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5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drawings/drawing6.xml" ContentType="application/vnd.openxmlformats-officedocument.drawing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drawings/drawing7.xml" ContentType="application/vnd.openxmlformats-officedocument.drawing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drawings/drawing8.xml" ContentType="application/vnd.openxmlformats-officedocument.drawing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drawings/drawing9.xml" ContentType="application/vnd.openxmlformats-officedocument.drawing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drawings/drawing10.xml" ContentType="application/vnd.openxmlformats-officedocument.drawing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drawings/drawing11.xml" ContentType="application/vnd.openxmlformats-officedocument.drawing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drawings/drawing12.xml" ContentType="application/vnd.openxmlformats-officedocument.drawing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drawings/drawing13.xml" ContentType="application/vnd.openxmlformats-officedocument.drawing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drawings/drawing14.xml" ContentType="application/vnd.openxmlformats-officedocument.drawing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drawings/drawing15.xml" ContentType="application/vnd.openxmlformats-officedocument.drawing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7E998C4-C9E5-D4B9-71C8-EB1FF731991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p\Desktop\"/>
    </mc:Choice>
  </mc:AlternateContent>
  <bookViews>
    <workbookView xWindow="0" yWindow="0" windowWidth="24000" windowHeight="9600" tabRatio="944" firstSheet="1" activeTab="1"/>
  </bookViews>
  <sheets>
    <sheet name="PRINCIPALE" sheetId="1" r:id="rId1"/>
    <sheet name="Calendrier fiscal" sheetId="7" r:id="rId2"/>
    <sheet name="Base de données" sheetId="2" r:id="rId3"/>
    <sheet name=" TVA M" sheetId="3" r:id="rId4"/>
    <sheet name="TVA T" sheetId="4" r:id="rId5"/>
    <sheet name="CNSS" sheetId="5" r:id="rId6"/>
    <sheet name="IR" sheetId="8" r:id="rId7"/>
    <sheet name=" Droit de timbre" sheetId="9" r:id="rId8"/>
    <sheet name="ETAT 9421" sheetId="6" r:id="rId9"/>
    <sheet name="Bilan " sheetId="10" r:id="rId10"/>
    <sheet name="Acompte" sheetId="11" r:id="rId11"/>
    <sheet name="CM" sheetId="12" r:id="rId12"/>
    <sheet name="TP" sheetId="13" r:id="rId13"/>
    <sheet name="IR PROF global" sheetId="14" r:id="rId14"/>
    <sheet name="PV de l'AGO" sheetId="17" r:id="rId15"/>
    <sheet name="SUIVI CLIENT" sheetId="15" r:id="rId16"/>
    <sheet name="TB" sheetId="16" r:id="rId17"/>
  </sheets>
  <externalReferences>
    <externalReference r:id="rId18"/>
  </externalReferences>
  <definedNames>
    <definedName name="_xlnm._FilterDatabase" localSheetId="7" hidden="1">' Droit de timbre'!$A$8:$C$1556</definedName>
    <definedName name="_xlnm._FilterDatabase" localSheetId="3" hidden="1">' TVA M'!$A$8:$C$1556</definedName>
    <definedName name="_xlnm._FilterDatabase" localSheetId="10" hidden="1">Acompte!$A$9:$C$300</definedName>
    <definedName name="_xlnm._FilterDatabase" localSheetId="2" hidden="1">'Base de données'!$A$3:$L$276</definedName>
    <definedName name="_xlnm._FilterDatabase" localSheetId="9" hidden="1">'Bilan '!$A$5:$F$5</definedName>
    <definedName name="_xlnm._FilterDatabase" localSheetId="11" hidden="1">CM!$A$5:$F$318</definedName>
    <definedName name="_xlnm._FilterDatabase" localSheetId="5" hidden="1">CNSS!$A$11:$C$281</definedName>
    <definedName name="_xlnm._FilterDatabase" localSheetId="8" hidden="1">'ETAT 9421'!$A$5:$E$318</definedName>
    <definedName name="_xlnm._FilterDatabase" localSheetId="6" hidden="1">IR!$A$8:$C$1551</definedName>
    <definedName name="_xlnm._FilterDatabase" localSheetId="13" hidden="1">'IR PROF global'!$A$5:$E$318</definedName>
    <definedName name="_xlnm._FilterDatabase" localSheetId="14" hidden="1">'PV de l''AGO'!$A$5:$E$5</definedName>
    <definedName name="_xlnm._FilterDatabase" localSheetId="12" hidden="1">TP!$A$5:$E$5</definedName>
    <definedName name="_xlnm._FilterDatabase" localSheetId="4" hidden="1">'TVA T'!$A$9:$C$200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36" i="7" l="1"/>
  <c r="I10" i="7" l="1"/>
  <c r="I9" i="7"/>
  <c r="B28" i="12" l="1"/>
  <c r="C28" i="12"/>
  <c r="K84" i="2" l="1"/>
  <c r="I84" i="2" l="1"/>
  <c r="H84" i="2"/>
  <c r="F84" i="2"/>
  <c r="D84" i="2"/>
  <c r="K83" i="2"/>
  <c r="I83" i="2"/>
  <c r="H83" i="2"/>
  <c r="F83" i="2"/>
  <c r="D83" i="2"/>
  <c r="K82" i="2"/>
  <c r="I82" i="2"/>
  <c r="H82" i="2"/>
  <c r="F82" i="2"/>
  <c r="D82" i="2"/>
  <c r="K81" i="2"/>
  <c r="I81" i="2"/>
  <c r="F81" i="2"/>
  <c r="D81" i="2"/>
  <c r="K80" i="2"/>
  <c r="I80" i="2"/>
  <c r="H80" i="2"/>
  <c r="F80" i="2"/>
  <c r="D80" i="2"/>
  <c r="K79" i="2"/>
  <c r="I79" i="2"/>
  <c r="H79" i="2"/>
  <c r="F79" i="2"/>
  <c r="D79" i="2"/>
  <c r="I77" i="2"/>
  <c r="H77" i="2"/>
  <c r="F77" i="2"/>
  <c r="D77" i="2"/>
  <c r="K76" i="2"/>
  <c r="D76" i="2"/>
  <c r="I76" i="2"/>
  <c r="H76" i="2"/>
  <c r="F76" i="2"/>
  <c r="G2" i="17" l="1"/>
  <c r="F1" i="17"/>
  <c r="F2" i="17"/>
  <c r="C318" i="17"/>
  <c r="B318" i="17"/>
  <c r="C317" i="17"/>
  <c r="B317" i="17"/>
  <c r="C316" i="17"/>
  <c r="B316" i="17"/>
  <c r="C315" i="17"/>
  <c r="B315" i="17"/>
  <c r="C314" i="17"/>
  <c r="B314" i="17"/>
  <c r="C313" i="17"/>
  <c r="B313" i="17"/>
  <c r="C312" i="17"/>
  <c r="B312" i="17"/>
  <c r="C311" i="17"/>
  <c r="B311" i="17"/>
  <c r="C310" i="17"/>
  <c r="B310" i="17"/>
  <c r="C309" i="17"/>
  <c r="B309" i="17"/>
  <c r="C308" i="17"/>
  <c r="B308" i="17"/>
  <c r="C307" i="17"/>
  <c r="B307" i="17"/>
  <c r="C306" i="17"/>
  <c r="B306" i="17"/>
  <c r="C305" i="17"/>
  <c r="B305" i="17"/>
  <c r="C304" i="17"/>
  <c r="B304" i="17"/>
  <c r="C303" i="17"/>
  <c r="B303" i="17"/>
  <c r="C302" i="17"/>
  <c r="B302" i="17"/>
  <c r="C301" i="17"/>
  <c r="B301" i="17"/>
  <c r="C300" i="17"/>
  <c r="B300" i="17"/>
  <c r="C299" i="17"/>
  <c r="B299" i="17"/>
  <c r="C298" i="17"/>
  <c r="B298" i="17"/>
  <c r="C297" i="17"/>
  <c r="B297" i="17"/>
  <c r="C296" i="17"/>
  <c r="B296" i="17"/>
  <c r="C295" i="17"/>
  <c r="B295" i="17"/>
  <c r="C294" i="17"/>
  <c r="B294" i="17"/>
  <c r="C293" i="17"/>
  <c r="B293" i="17"/>
  <c r="C292" i="17"/>
  <c r="B292" i="17"/>
  <c r="C291" i="17"/>
  <c r="B291" i="17"/>
  <c r="C290" i="17"/>
  <c r="B290" i="17"/>
  <c r="C289" i="17"/>
  <c r="B289" i="17"/>
  <c r="C288" i="17"/>
  <c r="B288" i="17"/>
  <c r="C287" i="17"/>
  <c r="B287" i="17"/>
  <c r="C286" i="17"/>
  <c r="B286" i="17"/>
  <c r="C285" i="17"/>
  <c r="B285" i="17"/>
  <c r="C284" i="17"/>
  <c r="B284" i="17"/>
  <c r="C283" i="17"/>
  <c r="B283" i="17"/>
  <c r="C282" i="17"/>
  <c r="B282" i="17"/>
  <c r="C281" i="17"/>
  <c r="B281" i="17"/>
  <c r="C280" i="17"/>
  <c r="B280" i="17"/>
  <c r="C279" i="17"/>
  <c r="B279" i="17"/>
  <c r="C278" i="17"/>
  <c r="B278" i="17"/>
  <c r="C277" i="17"/>
  <c r="B277" i="17"/>
  <c r="C276" i="17"/>
  <c r="B276" i="17"/>
  <c r="C275" i="17"/>
  <c r="B275" i="17"/>
  <c r="C274" i="17"/>
  <c r="B274" i="17"/>
  <c r="C273" i="17"/>
  <c r="B273" i="17"/>
  <c r="C272" i="17"/>
  <c r="B272" i="17"/>
  <c r="C271" i="17"/>
  <c r="B271" i="17"/>
  <c r="C270" i="17"/>
  <c r="B270" i="17"/>
  <c r="C269" i="17"/>
  <c r="B269" i="17"/>
  <c r="C268" i="17"/>
  <c r="B268" i="17"/>
  <c r="C267" i="17"/>
  <c r="B267" i="17"/>
  <c r="C266" i="17"/>
  <c r="B266" i="17"/>
  <c r="C265" i="17"/>
  <c r="B265" i="17"/>
  <c r="C264" i="17"/>
  <c r="B264" i="17"/>
  <c r="C263" i="17"/>
  <c r="B263" i="17"/>
  <c r="C262" i="17"/>
  <c r="B262" i="17"/>
  <c r="C261" i="17"/>
  <c r="B261" i="17"/>
  <c r="C260" i="17"/>
  <c r="B260" i="17"/>
  <c r="C259" i="17"/>
  <c r="B259" i="17"/>
  <c r="C258" i="17"/>
  <c r="B258" i="17"/>
  <c r="C257" i="17"/>
  <c r="B257" i="17"/>
  <c r="C256" i="17"/>
  <c r="B256" i="17"/>
  <c r="C255" i="17"/>
  <c r="B255" i="17"/>
  <c r="C254" i="17"/>
  <c r="B254" i="17"/>
  <c r="C253" i="17"/>
  <c r="B253" i="17"/>
  <c r="C252" i="17"/>
  <c r="B252" i="17"/>
  <c r="C251" i="17"/>
  <c r="B251" i="17"/>
  <c r="C250" i="17"/>
  <c r="B250" i="17"/>
  <c r="C249" i="17"/>
  <c r="B249" i="17"/>
  <c r="C248" i="17"/>
  <c r="B248" i="17"/>
  <c r="C247" i="17"/>
  <c r="B247" i="17"/>
  <c r="C246" i="17"/>
  <c r="B246" i="17"/>
  <c r="C245" i="17"/>
  <c r="B245" i="17"/>
  <c r="C244" i="17"/>
  <c r="B244" i="17"/>
  <c r="C243" i="17"/>
  <c r="B243" i="17"/>
  <c r="C242" i="17"/>
  <c r="B242" i="17"/>
  <c r="C241" i="17"/>
  <c r="B241" i="17"/>
  <c r="C240" i="17"/>
  <c r="B240" i="17"/>
  <c r="C239" i="17"/>
  <c r="B239" i="17"/>
  <c r="C238" i="17"/>
  <c r="B238" i="17"/>
  <c r="C237" i="17"/>
  <c r="B237" i="17"/>
  <c r="C236" i="17"/>
  <c r="B236" i="17"/>
  <c r="C235" i="17"/>
  <c r="B235" i="17"/>
  <c r="C234" i="17"/>
  <c r="B234" i="17"/>
  <c r="C233" i="17"/>
  <c r="B233" i="17"/>
  <c r="C232" i="17"/>
  <c r="B232" i="17"/>
  <c r="C231" i="17"/>
  <c r="B231" i="17"/>
  <c r="C230" i="17"/>
  <c r="B230" i="17"/>
  <c r="C229" i="17"/>
  <c r="B229" i="17"/>
  <c r="C228" i="17"/>
  <c r="B228" i="17"/>
  <c r="C227" i="17"/>
  <c r="B227" i="17"/>
  <c r="C226" i="17"/>
  <c r="B226" i="17"/>
  <c r="C225" i="17"/>
  <c r="B225" i="17"/>
  <c r="C224" i="17"/>
  <c r="B224" i="17"/>
  <c r="C223" i="17"/>
  <c r="B223" i="17"/>
  <c r="C222" i="17"/>
  <c r="B222" i="17"/>
  <c r="C221" i="17"/>
  <c r="B221" i="17"/>
  <c r="C220" i="17"/>
  <c r="B220" i="17"/>
  <c r="C219" i="17"/>
  <c r="B219" i="17"/>
  <c r="C218" i="17"/>
  <c r="B218" i="17"/>
  <c r="C217" i="17"/>
  <c r="B217" i="17"/>
  <c r="C216" i="17"/>
  <c r="B216" i="17"/>
  <c r="C215" i="17"/>
  <c r="B215" i="17"/>
  <c r="C214" i="17"/>
  <c r="B214" i="17"/>
  <c r="C213" i="17"/>
  <c r="B213" i="17"/>
  <c r="C212" i="17"/>
  <c r="B212" i="17"/>
  <c r="C211" i="17"/>
  <c r="B211" i="17"/>
  <c r="C210" i="17"/>
  <c r="B210" i="17"/>
  <c r="C209" i="17"/>
  <c r="B209" i="17"/>
  <c r="C208" i="17"/>
  <c r="B208" i="17"/>
  <c r="C207" i="17"/>
  <c r="B207" i="17"/>
  <c r="C206" i="17"/>
  <c r="B206" i="17"/>
  <c r="C205" i="17"/>
  <c r="B205" i="17"/>
  <c r="C204" i="17"/>
  <c r="B204" i="17"/>
  <c r="C203" i="17"/>
  <c r="B203" i="17"/>
  <c r="C202" i="17"/>
  <c r="B202" i="17"/>
  <c r="C201" i="17"/>
  <c r="B201" i="17"/>
  <c r="C200" i="17"/>
  <c r="B200" i="17"/>
  <c r="C199" i="17"/>
  <c r="B199" i="17"/>
  <c r="C198" i="17"/>
  <c r="B198" i="17"/>
  <c r="C197" i="17"/>
  <c r="B197" i="17"/>
  <c r="C196" i="17"/>
  <c r="B196" i="17"/>
  <c r="C195" i="17"/>
  <c r="B195" i="17"/>
  <c r="C194" i="17"/>
  <c r="B194" i="17"/>
  <c r="C193" i="17"/>
  <c r="B193" i="17"/>
  <c r="C192" i="17"/>
  <c r="B192" i="17"/>
  <c r="C191" i="17"/>
  <c r="B191" i="17"/>
  <c r="C190" i="17"/>
  <c r="B190" i="17"/>
  <c r="C189" i="17"/>
  <c r="B189" i="17"/>
  <c r="C188" i="17"/>
  <c r="B188" i="17"/>
  <c r="C187" i="17"/>
  <c r="B187" i="17"/>
  <c r="C186" i="17"/>
  <c r="B186" i="17"/>
  <c r="C185" i="17"/>
  <c r="B185" i="17"/>
  <c r="C184" i="17"/>
  <c r="B184" i="17"/>
  <c r="C183" i="17"/>
  <c r="B183" i="17"/>
  <c r="C182" i="17"/>
  <c r="B182" i="17"/>
  <c r="C181" i="17"/>
  <c r="B181" i="17"/>
  <c r="C180" i="17"/>
  <c r="B180" i="17"/>
  <c r="C179" i="17"/>
  <c r="B179" i="17"/>
  <c r="C178" i="17"/>
  <c r="B178" i="17"/>
  <c r="C177" i="17"/>
  <c r="B177" i="17"/>
  <c r="C176" i="17"/>
  <c r="B176" i="17"/>
  <c r="C175" i="17"/>
  <c r="B175" i="17"/>
  <c r="C174" i="17"/>
  <c r="B174" i="17"/>
  <c r="C173" i="17"/>
  <c r="B173" i="17"/>
  <c r="C172" i="17"/>
  <c r="B172" i="17"/>
  <c r="C171" i="17"/>
  <c r="B171" i="17"/>
  <c r="C170" i="17"/>
  <c r="B170" i="17"/>
  <c r="C169" i="17"/>
  <c r="B169" i="17"/>
  <c r="C168" i="17"/>
  <c r="B168" i="17"/>
  <c r="C167" i="17"/>
  <c r="B167" i="17"/>
  <c r="C166" i="17"/>
  <c r="B166" i="17"/>
  <c r="C165" i="17"/>
  <c r="B165" i="17"/>
  <c r="C164" i="17"/>
  <c r="B164" i="17"/>
  <c r="C163" i="17"/>
  <c r="B163" i="17"/>
  <c r="C162" i="17"/>
  <c r="B162" i="17"/>
  <c r="C161" i="17"/>
  <c r="B161" i="17"/>
  <c r="C160" i="17"/>
  <c r="B160" i="17"/>
  <c r="C159" i="17"/>
  <c r="B159" i="17"/>
  <c r="C158" i="17"/>
  <c r="B158" i="17"/>
  <c r="C157" i="17"/>
  <c r="B157" i="17"/>
  <c r="C156" i="17"/>
  <c r="B156" i="17"/>
  <c r="C155" i="17"/>
  <c r="B155" i="17"/>
  <c r="C154" i="17"/>
  <c r="B154" i="17"/>
  <c r="C153" i="17"/>
  <c r="B153" i="17"/>
  <c r="C152" i="17"/>
  <c r="B152" i="17"/>
  <c r="C151" i="17"/>
  <c r="B151" i="17"/>
  <c r="C150" i="17"/>
  <c r="B150" i="17"/>
  <c r="C149" i="17"/>
  <c r="B149" i="17"/>
  <c r="C148" i="17"/>
  <c r="B148" i="17"/>
  <c r="C147" i="17"/>
  <c r="B147" i="17"/>
  <c r="C146" i="17"/>
  <c r="B146" i="17"/>
  <c r="C145" i="17"/>
  <c r="B145" i="17"/>
  <c r="C144" i="17"/>
  <c r="B144" i="17"/>
  <c r="C143" i="17"/>
  <c r="B143" i="17"/>
  <c r="C142" i="17"/>
  <c r="B142" i="17"/>
  <c r="C141" i="17"/>
  <c r="B141" i="17"/>
  <c r="C140" i="17"/>
  <c r="B140" i="17"/>
  <c r="C139" i="17"/>
  <c r="B139" i="17"/>
  <c r="C138" i="17"/>
  <c r="B138" i="17"/>
  <c r="C137" i="17"/>
  <c r="B137" i="17"/>
  <c r="C136" i="17"/>
  <c r="B136" i="17"/>
  <c r="C135" i="17"/>
  <c r="B135" i="17"/>
  <c r="C134" i="17"/>
  <c r="B134" i="17"/>
  <c r="C133" i="17"/>
  <c r="B133" i="17"/>
  <c r="C132" i="17"/>
  <c r="B132" i="17"/>
  <c r="C131" i="17"/>
  <c r="B131" i="17"/>
  <c r="C130" i="17"/>
  <c r="B130" i="17"/>
  <c r="C129" i="17"/>
  <c r="B129" i="17"/>
  <c r="C128" i="17"/>
  <c r="B128" i="17"/>
  <c r="C127" i="17"/>
  <c r="B127" i="17"/>
  <c r="C126" i="17"/>
  <c r="B126" i="17"/>
  <c r="C125" i="17"/>
  <c r="B125" i="17"/>
  <c r="C124" i="17"/>
  <c r="B124" i="17"/>
  <c r="C123" i="17"/>
  <c r="B123" i="17"/>
  <c r="C122" i="17"/>
  <c r="B122" i="17"/>
  <c r="C121" i="17"/>
  <c r="B121" i="17"/>
  <c r="C120" i="17"/>
  <c r="B120" i="17"/>
  <c r="C119" i="17"/>
  <c r="B119" i="17"/>
  <c r="C118" i="17"/>
  <c r="B118" i="17"/>
  <c r="C117" i="17"/>
  <c r="B117" i="17"/>
  <c r="C116" i="17"/>
  <c r="B116" i="17"/>
  <c r="C115" i="17"/>
  <c r="B115" i="17"/>
  <c r="C114" i="17"/>
  <c r="B114" i="17"/>
  <c r="C113" i="17"/>
  <c r="B113" i="17"/>
  <c r="C112" i="17"/>
  <c r="B112" i="17"/>
  <c r="C111" i="17"/>
  <c r="B111" i="17"/>
  <c r="C110" i="17"/>
  <c r="B110" i="17"/>
  <c r="C109" i="17"/>
  <c r="B109" i="17"/>
  <c r="C108" i="17"/>
  <c r="B108" i="17"/>
  <c r="C107" i="17"/>
  <c r="B107" i="17"/>
  <c r="C106" i="17"/>
  <c r="B106" i="17"/>
  <c r="C105" i="17"/>
  <c r="B105" i="17"/>
  <c r="C104" i="17"/>
  <c r="B104" i="17"/>
  <c r="C103" i="17"/>
  <c r="B103" i="17"/>
  <c r="C102" i="17"/>
  <c r="B102" i="17"/>
  <c r="C101" i="17"/>
  <c r="B101" i="17"/>
  <c r="C100" i="17"/>
  <c r="B100" i="17"/>
  <c r="C99" i="17"/>
  <c r="B99" i="17"/>
  <c r="C98" i="17"/>
  <c r="B98" i="17"/>
  <c r="C97" i="17"/>
  <c r="B97" i="17"/>
  <c r="C96" i="17"/>
  <c r="B96" i="17"/>
  <c r="C95" i="17"/>
  <c r="B95" i="17"/>
  <c r="C94" i="17"/>
  <c r="B94" i="17"/>
  <c r="C93" i="17"/>
  <c r="B93" i="17"/>
  <c r="C92" i="17"/>
  <c r="B92" i="17"/>
  <c r="C91" i="17"/>
  <c r="B91" i="17"/>
  <c r="C90" i="17"/>
  <c r="B90" i="17"/>
  <c r="C89" i="17"/>
  <c r="B89" i="17"/>
  <c r="C88" i="17"/>
  <c r="B88" i="17"/>
  <c r="C87" i="17"/>
  <c r="B87" i="17"/>
  <c r="C86" i="17"/>
  <c r="B86" i="17"/>
  <c r="C85" i="17"/>
  <c r="B85" i="17"/>
  <c r="C84" i="17"/>
  <c r="B84" i="17"/>
  <c r="C83" i="17"/>
  <c r="B83" i="17"/>
  <c r="C82" i="17"/>
  <c r="B82" i="17"/>
  <c r="C81" i="17"/>
  <c r="B81" i="17"/>
  <c r="C80" i="17"/>
  <c r="B80" i="17"/>
  <c r="C79" i="17"/>
  <c r="B79" i="17"/>
  <c r="C78" i="17"/>
  <c r="B78" i="17"/>
  <c r="C77" i="17"/>
  <c r="B77" i="17"/>
  <c r="C76" i="17"/>
  <c r="B76" i="17"/>
  <c r="C75" i="17"/>
  <c r="B75" i="17"/>
  <c r="C74" i="17"/>
  <c r="B74" i="17"/>
  <c r="C73" i="17"/>
  <c r="B73" i="17"/>
  <c r="C72" i="17"/>
  <c r="B72" i="17"/>
  <c r="C71" i="17"/>
  <c r="B71" i="17"/>
  <c r="C70" i="17"/>
  <c r="B70" i="17"/>
  <c r="C69" i="17"/>
  <c r="B69" i="17"/>
  <c r="C68" i="17"/>
  <c r="B68" i="17"/>
  <c r="C67" i="17"/>
  <c r="B67" i="17"/>
  <c r="C66" i="17"/>
  <c r="B66" i="17"/>
  <c r="C65" i="17"/>
  <c r="B65" i="17"/>
  <c r="C64" i="17"/>
  <c r="B64" i="17"/>
  <c r="C63" i="17"/>
  <c r="B63" i="17"/>
  <c r="C62" i="17"/>
  <c r="B62" i="17"/>
  <c r="C61" i="17"/>
  <c r="B61" i="17"/>
  <c r="C60" i="17"/>
  <c r="B60" i="17"/>
  <c r="C59" i="17"/>
  <c r="B59" i="17"/>
  <c r="C58" i="17"/>
  <c r="B58" i="17"/>
  <c r="C57" i="17"/>
  <c r="B57" i="17"/>
  <c r="C56" i="17"/>
  <c r="B56" i="17"/>
  <c r="C55" i="17"/>
  <c r="B55" i="17"/>
  <c r="C54" i="17"/>
  <c r="B54" i="17"/>
  <c r="C53" i="17"/>
  <c r="B53" i="17"/>
  <c r="C52" i="17"/>
  <c r="B52" i="17"/>
  <c r="C51" i="17"/>
  <c r="B51" i="17"/>
  <c r="C50" i="17"/>
  <c r="B50" i="17"/>
  <c r="C49" i="17"/>
  <c r="B49" i="17"/>
  <c r="C48" i="17"/>
  <c r="B48" i="17"/>
  <c r="C47" i="17"/>
  <c r="B47" i="17"/>
  <c r="C46" i="17"/>
  <c r="B46" i="17"/>
  <c r="C45" i="17"/>
  <c r="B45" i="17"/>
  <c r="C44" i="17"/>
  <c r="B44" i="17"/>
  <c r="C43" i="17"/>
  <c r="B43" i="17"/>
  <c r="C42" i="17"/>
  <c r="B42" i="17"/>
  <c r="C41" i="17"/>
  <c r="B41" i="17"/>
  <c r="C40" i="17"/>
  <c r="B40" i="17"/>
  <c r="C39" i="17"/>
  <c r="B39" i="17"/>
  <c r="C38" i="17"/>
  <c r="B38" i="17"/>
  <c r="C37" i="17"/>
  <c r="B37" i="17"/>
  <c r="C36" i="17"/>
  <c r="B36" i="17"/>
  <c r="C35" i="17"/>
  <c r="B35" i="17"/>
  <c r="C34" i="17"/>
  <c r="B34" i="17"/>
  <c r="C33" i="17"/>
  <c r="B33" i="17"/>
  <c r="C32" i="17"/>
  <c r="B32" i="17"/>
  <c r="C31" i="17"/>
  <c r="B31" i="17"/>
  <c r="C30" i="17"/>
  <c r="B30" i="17"/>
  <c r="C29" i="17"/>
  <c r="B29" i="17"/>
  <c r="C28" i="17"/>
  <c r="B28" i="17"/>
  <c r="C27" i="17"/>
  <c r="B27" i="17"/>
  <c r="C26" i="17"/>
  <c r="B26" i="17"/>
  <c r="C25" i="17"/>
  <c r="B25" i="17"/>
  <c r="C24" i="17"/>
  <c r="B24" i="17"/>
  <c r="C23" i="17"/>
  <c r="B23" i="17"/>
  <c r="C22" i="17"/>
  <c r="B22" i="17"/>
  <c r="C21" i="17"/>
  <c r="B21" i="17"/>
  <c r="C20" i="17"/>
  <c r="B20" i="17"/>
  <c r="C19" i="17"/>
  <c r="B19" i="17"/>
  <c r="C18" i="17"/>
  <c r="B18" i="17"/>
  <c r="C17" i="17"/>
  <c r="B17" i="17"/>
  <c r="C16" i="17"/>
  <c r="B16" i="17"/>
  <c r="C15" i="17"/>
  <c r="B15" i="17"/>
  <c r="C14" i="17"/>
  <c r="B14" i="17"/>
  <c r="C13" i="17"/>
  <c r="B13" i="17"/>
  <c r="C12" i="17"/>
  <c r="B12" i="17"/>
  <c r="C11" i="17"/>
  <c r="B11" i="17"/>
  <c r="C10" i="17"/>
  <c r="B10" i="17"/>
  <c r="C9" i="17"/>
  <c r="B9" i="17"/>
  <c r="C8" i="17"/>
  <c r="B8" i="17"/>
  <c r="F7" i="17"/>
  <c r="C7" i="17"/>
  <c r="B7" i="17"/>
  <c r="C6" i="17"/>
  <c r="B6" i="17"/>
  <c r="E4" i="17"/>
  <c r="G3" i="17" l="1"/>
  <c r="J8" i="17"/>
  <c r="H8" i="17"/>
  <c r="I8" i="17"/>
  <c r="F3" i="17"/>
  <c r="F4" i="17" s="1"/>
  <c r="F6" i="17" s="1"/>
  <c r="C8" i="7"/>
  <c r="M8" i="17" l="1"/>
  <c r="L8" i="17"/>
  <c r="K8" i="17"/>
  <c r="G2" i="14"/>
  <c r="H2" i="12"/>
  <c r="G2" i="13"/>
  <c r="G2" i="6"/>
  <c r="L3" i="11"/>
  <c r="J3" i="11"/>
  <c r="H3" i="11"/>
  <c r="F3" i="11"/>
  <c r="D3" i="11"/>
  <c r="J3" i="4" l="1"/>
  <c r="H3" i="4"/>
  <c r="F3" i="4"/>
  <c r="D3" i="4"/>
  <c r="Z3" i="9"/>
  <c r="X3" i="9"/>
  <c r="V3" i="9"/>
  <c r="T3" i="9"/>
  <c r="R3" i="9"/>
  <c r="P3" i="9"/>
  <c r="N3" i="9"/>
  <c r="L3" i="9"/>
  <c r="J3" i="9"/>
  <c r="H3" i="9"/>
  <c r="F3" i="9"/>
  <c r="D3" i="9"/>
  <c r="D1" i="5"/>
  <c r="E1" i="5"/>
  <c r="F1" i="5"/>
  <c r="H1" i="5"/>
  <c r="I1" i="5"/>
  <c r="L1" i="5"/>
  <c r="M1" i="5"/>
  <c r="N1" i="5"/>
  <c r="O1" i="5"/>
  <c r="K1" i="5"/>
  <c r="J1" i="5"/>
  <c r="Z3" i="8"/>
  <c r="X3" i="8"/>
  <c r="T3" i="8"/>
  <c r="R3" i="8"/>
  <c r="P3" i="8"/>
  <c r="N3" i="8"/>
  <c r="L3" i="8"/>
  <c r="J3" i="8"/>
  <c r="H3" i="8"/>
  <c r="F3" i="8"/>
  <c r="D3" i="8"/>
  <c r="Z3" i="3"/>
  <c r="X3" i="3"/>
  <c r="V3" i="3"/>
  <c r="T3" i="3"/>
  <c r="R3" i="3"/>
  <c r="P3" i="3"/>
  <c r="N3" i="3"/>
  <c r="L3" i="3"/>
  <c r="J3" i="3"/>
  <c r="H3" i="3"/>
  <c r="F3" i="3"/>
  <c r="D3" i="3"/>
  <c r="G46" i="15" l="1"/>
  <c r="G45" i="15"/>
  <c r="F46" i="15"/>
  <c r="F45" i="15"/>
  <c r="E46" i="15"/>
  <c r="E45" i="15"/>
  <c r="D46" i="15"/>
  <c r="D45" i="15"/>
  <c r="C45" i="15"/>
  <c r="C46" i="15"/>
  <c r="F39" i="15"/>
  <c r="F38" i="15"/>
  <c r="F37" i="15"/>
  <c r="F36" i="15"/>
  <c r="F35" i="15"/>
  <c r="E39" i="15"/>
  <c r="E38" i="15"/>
  <c r="E37" i="15"/>
  <c r="E36" i="15"/>
  <c r="E35" i="15"/>
  <c r="D38" i="15"/>
  <c r="D37" i="15"/>
  <c r="D36" i="15"/>
  <c r="D35" i="15"/>
  <c r="C38" i="15"/>
  <c r="C37" i="15"/>
  <c r="C36" i="15"/>
  <c r="C35" i="15"/>
  <c r="C17" i="15"/>
  <c r="H8" i="15"/>
  <c r="H7" i="15"/>
  <c r="H6" i="15"/>
  <c r="F9" i="15"/>
  <c r="F8" i="15"/>
  <c r="F7" i="15"/>
  <c r="F6" i="15"/>
  <c r="D9" i="15"/>
  <c r="D8" i="15"/>
  <c r="I28" i="15"/>
  <c r="I27" i="15"/>
  <c r="I26" i="15"/>
  <c r="I25" i="15"/>
  <c r="I24" i="15"/>
  <c r="I23" i="15"/>
  <c r="I22" i="15"/>
  <c r="I21" i="15"/>
  <c r="I20" i="15"/>
  <c r="I19" i="15"/>
  <c r="I18" i="15"/>
  <c r="F18" i="15"/>
  <c r="F17" i="15"/>
  <c r="I17" i="15"/>
  <c r="H28" i="15"/>
  <c r="H27" i="15"/>
  <c r="H26" i="15"/>
  <c r="H25" i="15"/>
  <c r="H24" i="15"/>
  <c r="H23" i="15"/>
  <c r="H22" i="15"/>
  <c r="H21" i="15"/>
  <c r="H20" i="15"/>
  <c r="H19" i="15"/>
  <c r="H18" i="15"/>
  <c r="H17" i="15"/>
  <c r="G28" i="15"/>
  <c r="G27" i="15"/>
  <c r="G26" i="15"/>
  <c r="G25" i="15"/>
  <c r="G24" i="15"/>
  <c r="G23" i="15"/>
  <c r="G22" i="15"/>
  <c r="G21" i="15"/>
  <c r="G20" i="15"/>
  <c r="G19" i="15"/>
  <c r="G18" i="15"/>
  <c r="G17" i="15"/>
  <c r="F28" i="15"/>
  <c r="F27" i="15"/>
  <c r="F26" i="15"/>
  <c r="F25" i="15"/>
  <c r="F24" i="15"/>
  <c r="F23" i="15"/>
  <c r="F22" i="15"/>
  <c r="F21" i="15"/>
  <c r="F20" i="15"/>
  <c r="F19" i="15"/>
  <c r="D17" i="15"/>
  <c r="E28" i="15"/>
  <c r="E27" i="15"/>
  <c r="E26" i="15"/>
  <c r="E25" i="15"/>
  <c r="E24" i="15"/>
  <c r="E23" i="15"/>
  <c r="E22" i="15"/>
  <c r="E21" i="15"/>
  <c r="E20" i="15"/>
  <c r="E19" i="15"/>
  <c r="E18" i="15"/>
  <c r="E17" i="15"/>
  <c r="D28" i="15"/>
  <c r="D27" i="15"/>
  <c r="D26" i="15"/>
  <c r="D25" i="15"/>
  <c r="D24" i="15"/>
  <c r="D23" i="15"/>
  <c r="D22" i="15"/>
  <c r="D21" i="15"/>
  <c r="D20" i="15"/>
  <c r="D19" i="15"/>
  <c r="D18" i="15"/>
  <c r="C28" i="15"/>
  <c r="C27" i="15"/>
  <c r="C26" i="15"/>
  <c r="C25" i="15"/>
  <c r="C24" i="15"/>
  <c r="C23" i="15"/>
  <c r="C22" i="15"/>
  <c r="C21" i="15"/>
  <c r="C20" i="15"/>
  <c r="C19" i="15"/>
  <c r="C18" i="15"/>
  <c r="D7" i="15"/>
  <c r="D6" i="15"/>
  <c r="F2" i="15"/>
  <c r="C318" i="14" l="1"/>
  <c r="B318" i="14"/>
  <c r="C317" i="14"/>
  <c r="B317" i="14"/>
  <c r="C316" i="14"/>
  <c r="B316" i="14"/>
  <c r="C315" i="14"/>
  <c r="B315" i="14"/>
  <c r="C314" i="14"/>
  <c r="B314" i="14"/>
  <c r="C313" i="14"/>
  <c r="B313" i="14"/>
  <c r="C312" i="14"/>
  <c r="B312" i="14"/>
  <c r="C311" i="14"/>
  <c r="B311" i="14"/>
  <c r="C310" i="14"/>
  <c r="B310" i="14"/>
  <c r="C309" i="14"/>
  <c r="B309" i="14"/>
  <c r="C308" i="14"/>
  <c r="B308" i="14"/>
  <c r="C307" i="14"/>
  <c r="B307" i="14"/>
  <c r="C306" i="14"/>
  <c r="B306" i="14"/>
  <c r="C305" i="14"/>
  <c r="B305" i="14"/>
  <c r="C304" i="14"/>
  <c r="B304" i="14"/>
  <c r="C303" i="14"/>
  <c r="B303" i="14"/>
  <c r="C302" i="14"/>
  <c r="B302" i="14"/>
  <c r="C301" i="14"/>
  <c r="B301" i="14"/>
  <c r="C300" i="14"/>
  <c r="B300" i="14"/>
  <c r="C299" i="14"/>
  <c r="B299" i="14"/>
  <c r="C298" i="14"/>
  <c r="B298" i="14"/>
  <c r="C297" i="14"/>
  <c r="B297" i="14"/>
  <c r="C296" i="14"/>
  <c r="B296" i="14"/>
  <c r="C295" i="14"/>
  <c r="B295" i="14"/>
  <c r="C294" i="14"/>
  <c r="B294" i="14"/>
  <c r="C293" i="14"/>
  <c r="B293" i="14"/>
  <c r="C292" i="14"/>
  <c r="B292" i="14"/>
  <c r="C291" i="14"/>
  <c r="B291" i="14"/>
  <c r="C290" i="14"/>
  <c r="B290" i="14"/>
  <c r="C289" i="14"/>
  <c r="B289" i="14"/>
  <c r="C288" i="14"/>
  <c r="B288" i="14"/>
  <c r="C287" i="14"/>
  <c r="B287" i="14"/>
  <c r="C286" i="14"/>
  <c r="B286" i="14"/>
  <c r="C285" i="14"/>
  <c r="B285" i="14"/>
  <c r="C284" i="14"/>
  <c r="B284" i="14"/>
  <c r="C283" i="14"/>
  <c r="B283" i="14"/>
  <c r="C282" i="14"/>
  <c r="B282" i="14"/>
  <c r="C281" i="14"/>
  <c r="B281" i="14"/>
  <c r="C280" i="14"/>
  <c r="B280" i="14"/>
  <c r="C279" i="14"/>
  <c r="B279" i="14"/>
  <c r="C278" i="14"/>
  <c r="B278" i="14"/>
  <c r="C277" i="14"/>
  <c r="B277" i="14"/>
  <c r="C276" i="14"/>
  <c r="B276" i="14"/>
  <c r="C275" i="14"/>
  <c r="B275" i="14"/>
  <c r="C274" i="14"/>
  <c r="B274" i="14"/>
  <c r="C273" i="14"/>
  <c r="B273" i="14"/>
  <c r="C272" i="14"/>
  <c r="B272" i="14"/>
  <c r="C271" i="14"/>
  <c r="B271" i="14"/>
  <c r="C270" i="14"/>
  <c r="B270" i="14"/>
  <c r="C269" i="14"/>
  <c r="B269" i="14"/>
  <c r="C268" i="14"/>
  <c r="B268" i="14"/>
  <c r="C267" i="14"/>
  <c r="B267" i="14"/>
  <c r="C266" i="14"/>
  <c r="B266" i="14"/>
  <c r="C265" i="14"/>
  <c r="B265" i="14"/>
  <c r="C264" i="14"/>
  <c r="B264" i="14"/>
  <c r="C263" i="14"/>
  <c r="B263" i="14"/>
  <c r="C262" i="14"/>
  <c r="B262" i="14"/>
  <c r="C261" i="14"/>
  <c r="B261" i="14"/>
  <c r="C260" i="14"/>
  <c r="B260" i="14"/>
  <c r="C259" i="14"/>
  <c r="B259" i="14"/>
  <c r="C258" i="14"/>
  <c r="B258" i="14"/>
  <c r="C257" i="14"/>
  <c r="B257" i="14"/>
  <c r="C256" i="14"/>
  <c r="B256" i="14"/>
  <c r="C255" i="14"/>
  <c r="B255" i="14"/>
  <c r="C254" i="14"/>
  <c r="B254" i="14"/>
  <c r="C253" i="14"/>
  <c r="B253" i="14"/>
  <c r="C252" i="14"/>
  <c r="B252" i="14"/>
  <c r="C251" i="14"/>
  <c r="B251" i="14"/>
  <c r="C250" i="14"/>
  <c r="B250" i="14"/>
  <c r="C249" i="14"/>
  <c r="B249" i="14"/>
  <c r="C248" i="14"/>
  <c r="B248" i="14"/>
  <c r="C247" i="14"/>
  <c r="B247" i="14"/>
  <c r="C246" i="14"/>
  <c r="B246" i="14"/>
  <c r="C245" i="14"/>
  <c r="B245" i="14"/>
  <c r="C244" i="14"/>
  <c r="B244" i="14"/>
  <c r="C243" i="14"/>
  <c r="B243" i="14"/>
  <c r="C242" i="14"/>
  <c r="B242" i="14"/>
  <c r="C241" i="14"/>
  <c r="B241" i="14"/>
  <c r="C240" i="14"/>
  <c r="B240" i="14"/>
  <c r="C239" i="14"/>
  <c r="B239" i="14"/>
  <c r="C238" i="14"/>
  <c r="B238" i="14"/>
  <c r="C237" i="14"/>
  <c r="B237" i="14"/>
  <c r="C236" i="14"/>
  <c r="B236" i="14"/>
  <c r="C235" i="14"/>
  <c r="B235" i="14"/>
  <c r="C234" i="14"/>
  <c r="B234" i="14"/>
  <c r="C233" i="14"/>
  <c r="B233" i="14"/>
  <c r="C232" i="14"/>
  <c r="B232" i="14"/>
  <c r="C231" i="14"/>
  <c r="B231" i="14"/>
  <c r="C230" i="14"/>
  <c r="B230" i="14"/>
  <c r="C229" i="14"/>
  <c r="B229" i="14"/>
  <c r="C228" i="14"/>
  <c r="B228" i="14"/>
  <c r="C227" i="14"/>
  <c r="B227" i="14"/>
  <c r="C226" i="14"/>
  <c r="B226" i="14"/>
  <c r="C225" i="14"/>
  <c r="B225" i="14"/>
  <c r="C224" i="14"/>
  <c r="B224" i="14"/>
  <c r="C223" i="14"/>
  <c r="B223" i="14"/>
  <c r="C222" i="14"/>
  <c r="B222" i="14"/>
  <c r="C221" i="14"/>
  <c r="B221" i="14"/>
  <c r="C220" i="14"/>
  <c r="B220" i="14"/>
  <c r="C219" i="14"/>
  <c r="B219" i="14"/>
  <c r="C218" i="14"/>
  <c r="B218" i="14"/>
  <c r="C217" i="14"/>
  <c r="B217" i="14"/>
  <c r="C216" i="14"/>
  <c r="B216" i="14"/>
  <c r="C215" i="14"/>
  <c r="B215" i="14"/>
  <c r="C214" i="14"/>
  <c r="B214" i="14"/>
  <c r="C213" i="14"/>
  <c r="B213" i="14"/>
  <c r="C212" i="14"/>
  <c r="B212" i="14"/>
  <c r="C211" i="14"/>
  <c r="B211" i="14"/>
  <c r="C210" i="14"/>
  <c r="B210" i="14"/>
  <c r="C209" i="14"/>
  <c r="B209" i="14"/>
  <c r="C208" i="14"/>
  <c r="B208" i="14"/>
  <c r="C207" i="14"/>
  <c r="B207" i="14"/>
  <c r="C206" i="14"/>
  <c r="B206" i="14"/>
  <c r="C205" i="14"/>
  <c r="B205" i="14"/>
  <c r="C204" i="14"/>
  <c r="B204" i="14"/>
  <c r="C203" i="14"/>
  <c r="B203" i="14"/>
  <c r="C202" i="14"/>
  <c r="B202" i="14"/>
  <c r="C201" i="14"/>
  <c r="B201" i="14"/>
  <c r="C200" i="14"/>
  <c r="B200" i="14"/>
  <c r="C199" i="14"/>
  <c r="B199" i="14"/>
  <c r="C198" i="14"/>
  <c r="B198" i="14"/>
  <c r="C197" i="14"/>
  <c r="B197" i="14"/>
  <c r="C196" i="14"/>
  <c r="B196" i="14"/>
  <c r="C195" i="14"/>
  <c r="B195" i="14"/>
  <c r="C194" i="14"/>
  <c r="B194" i="14"/>
  <c r="C193" i="14"/>
  <c r="B193" i="14"/>
  <c r="C192" i="14"/>
  <c r="B192" i="14"/>
  <c r="C191" i="14"/>
  <c r="B191" i="14"/>
  <c r="C190" i="14"/>
  <c r="B190" i="14"/>
  <c r="C189" i="14"/>
  <c r="B189" i="14"/>
  <c r="C188" i="14"/>
  <c r="B188" i="14"/>
  <c r="C187" i="14"/>
  <c r="B187" i="14"/>
  <c r="C186" i="14"/>
  <c r="B186" i="14"/>
  <c r="C185" i="14"/>
  <c r="B185" i="14"/>
  <c r="C184" i="14"/>
  <c r="B184" i="14"/>
  <c r="C183" i="14"/>
  <c r="B183" i="14"/>
  <c r="C182" i="14"/>
  <c r="B182" i="14"/>
  <c r="C181" i="14"/>
  <c r="B181" i="14"/>
  <c r="C180" i="14"/>
  <c r="B180" i="14"/>
  <c r="C179" i="14"/>
  <c r="B179" i="14"/>
  <c r="C178" i="14"/>
  <c r="B178" i="14"/>
  <c r="C177" i="14"/>
  <c r="B177" i="14"/>
  <c r="C176" i="14"/>
  <c r="B176" i="14"/>
  <c r="C175" i="14"/>
  <c r="B175" i="14"/>
  <c r="C174" i="14"/>
  <c r="B174" i="14"/>
  <c r="C173" i="14"/>
  <c r="B173" i="14"/>
  <c r="C172" i="14"/>
  <c r="B172" i="14"/>
  <c r="C171" i="14"/>
  <c r="B171" i="14"/>
  <c r="C170" i="14"/>
  <c r="B170" i="14"/>
  <c r="C169" i="14"/>
  <c r="B169" i="14"/>
  <c r="C168" i="14"/>
  <c r="B168" i="14"/>
  <c r="C167" i="14"/>
  <c r="B167" i="14"/>
  <c r="C166" i="14"/>
  <c r="B166" i="14"/>
  <c r="C165" i="14"/>
  <c r="B165" i="14"/>
  <c r="C164" i="14"/>
  <c r="B164" i="14"/>
  <c r="C163" i="14"/>
  <c r="B163" i="14"/>
  <c r="C162" i="14"/>
  <c r="B162" i="14"/>
  <c r="C161" i="14"/>
  <c r="B161" i="14"/>
  <c r="C160" i="14"/>
  <c r="B160" i="14"/>
  <c r="C159" i="14"/>
  <c r="B159" i="14"/>
  <c r="C158" i="14"/>
  <c r="B158" i="14"/>
  <c r="C157" i="14"/>
  <c r="B157" i="14"/>
  <c r="C156" i="14"/>
  <c r="B156" i="14"/>
  <c r="C155" i="14"/>
  <c r="B155" i="14"/>
  <c r="C154" i="14"/>
  <c r="B154" i="14"/>
  <c r="C153" i="14"/>
  <c r="B153" i="14"/>
  <c r="C152" i="14"/>
  <c r="B152" i="14"/>
  <c r="C151" i="14"/>
  <c r="B151" i="14"/>
  <c r="C150" i="14"/>
  <c r="B150" i="14"/>
  <c r="C149" i="14"/>
  <c r="B149" i="14"/>
  <c r="C148" i="14"/>
  <c r="B148" i="14"/>
  <c r="C147" i="14"/>
  <c r="B147" i="14"/>
  <c r="C146" i="14"/>
  <c r="B146" i="14"/>
  <c r="C145" i="14"/>
  <c r="B145" i="14"/>
  <c r="C144" i="14"/>
  <c r="B144" i="14"/>
  <c r="C143" i="14"/>
  <c r="B143" i="14"/>
  <c r="C142" i="14"/>
  <c r="B142" i="14"/>
  <c r="C141" i="14"/>
  <c r="B141" i="14"/>
  <c r="C140" i="14"/>
  <c r="B140" i="14"/>
  <c r="C139" i="14"/>
  <c r="B139" i="14"/>
  <c r="C138" i="14"/>
  <c r="B138" i="14"/>
  <c r="C137" i="14"/>
  <c r="B137" i="14"/>
  <c r="C136" i="14"/>
  <c r="B136" i="14"/>
  <c r="C135" i="14"/>
  <c r="B135" i="14"/>
  <c r="C134" i="14"/>
  <c r="B134" i="14"/>
  <c r="C133" i="14"/>
  <c r="B133" i="14"/>
  <c r="C132" i="14"/>
  <c r="B132" i="14"/>
  <c r="C131" i="14"/>
  <c r="B131" i="14"/>
  <c r="C130" i="14"/>
  <c r="B130" i="14"/>
  <c r="C129" i="14"/>
  <c r="B129" i="14"/>
  <c r="C128" i="14"/>
  <c r="B128" i="14"/>
  <c r="C127" i="14"/>
  <c r="B127" i="14"/>
  <c r="C126" i="14"/>
  <c r="B126" i="14"/>
  <c r="C125" i="14"/>
  <c r="B125" i="14"/>
  <c r="C124" i="14"/>
  <c r="B124" i="14"/>
  <c r="C123" i="14"/>
  <c r="B123" i="14"/>
  <c r="C122" i="14"/>
  <c r="B122" i="14"/>
  <c r="C121" i="14"/>
  <c r="B121" i="14"/>
  <c r="C120" i="14"/>
  <c r="B120" i="14"/>
  <c r="C119" i="14"/>
  <c r="B119" i="14"/>
  <c r="C118" i="14"/>
  <c r="B118" i="14"/>
  <c r="C117" i="14"/>
  <c r="B117" i="14"/>
  <c r="C116" i="14"/>
  <c r="B116" i="14"/>
  <c r="C115" i="14"/>
  <c r="B115" i="14"/>
  <c r="C114" i="14"/>
  <c r="B114" i="14"/>
  <c r="C113" i="14"/>
  <c r="B113" i="14"/>
  <c r="C112" i="14"/>
  <c r="B112" i="14"/>
  <c r="C111" i="14"/>
  <c r="B111" i="14"/>
  <c r="C110" i="14"/>
  <c r="B110" i="14"/>
  <c r="C109" i="14"/>
  <c r="B109" i="14"/>
  <c r="C108" i="14"/>
  <c r="B108" i="14"/>
  <c r="C107" i="14"/>
  <c r="B107" i="14"/>
  <c r="C106" i="14"/>
  <c r="B106" i="14"/>
  <c r="C105" i="14"/>
  <c r="B105" i="14"/>
  <c r="C104" i="14"/>
  <c r="B104" i="14"/>
  <c r="C103" i="14"/>
  <c r="B103" i="14"/>
  <c r="C102" i="14"/>
  <c r="B102" i="14"/>
  <c r="C101" i="14"/>
  <c r="B101" i="14"/>
  <c r="C100" i="14"/>
  <c r="B100" i="14"/>
  <c r="C99" i="14"/>
  <c r="B99" i="14"/>
  <c r="C98" i="14"/>
  <c r="B98" i="14"/>
  <c r="C97" i="14"/>
  <c r="B97" i="14"/>
  <c r="C96" i="14"/>
  <c r="B96" i="14"/>
  <c r="C95" i="14"/>
  <c r="B95" i="14"/>
  <c r="C94" i="14"/>
  <c r="B94" i="14"/>
  <c r="C93" i="14"/>
  <c r="B93" i="14"/>
  <c r="C92" i="14"/>
  <c r="B92" i="14"/>
  <c r="C91" i="14"/>
  <c r="B91" i="14"/>
  <c r="C90" i="14"/>
  <c r="B90" i="14"/>
  <c r="C89" i="14"/>
  <c r="B89" i="14"/>
  <c r="C88" i="14"/>
  <c r="B88" i="14"/>
  <c r="C87" i="14"/>
  <c r="B87" i="14"/>
  <c r="C86" i="14"/>
  <c r="B86" i="14"/>
  <c r="C85" i="14"/>
  <c r="B85" i="14"/>
  <c r="C84" i="14"/>
  <c r="B84" i="14"/>
  <c r="C83" i="14"/>
  <c r="B83" i="14"/>
  <c r="C82" i="14"/>
  <c r="B82" i="14"/>
  <c r="C81" i="14"/>
  <c r="B81" i="14"/>
  <c r="C80" i="14"/>
  <c r="B80" i="14"/>
  <c r="C79" i="14"/>
  <c r="B79" i="14"/>
  <c r="C78" i="14"/>
  <c r="B78" i="14"/>
  <c r="C77" i="14"/>
  <c r="B77" i="14"/>
  <c r="C76" i="14"/>
  <c r="B76" i="14"/>
  <c r="C75" i="14"/>
  <c r="B75" i="14"/>
  <c r="C74" i="14"/>
  <c r="B74" i="14"/>
  <c r="C73" i="14"/>
  <c r="B73" i="14"/>
  <c r="C72" i="14"/>
  <c r="B72" i="14"/>
  <c r="C71" i="14"/>
  <c r="B71" i="14"/>
  <c r="C70" i="14"/>
  <c r="B70" i="14"/>
  <c r="C69" i="14"/>
  <c r="B69" i="14"/>
  <c r="C68" i="14"/>
  <c r="B68" i="14"/>
  <c r="C67" i="14"/>
  <c r="B67" i="14"/>
  <c r="C66" i="14"/>
  <c r="B66" i="14"/>
  <c r="C65" i="14"/>
  <c r="B65" i="14"/>
  <c r="C64" i="14"/>
  <c r="B64" i="14"/>
  <c r="C63" i="14"/>
  <c r="B63" i="14"/>
  <c r="C62" i="14"/>
  <c r="B62" i="14"/>
  <c r="C61" i="14"/>
  <c r="B61" i="14"/>
  <c r="C60" i="14"/>
  <c r="B60" i="14"/>
  <c r="C59" i="14"/>
  <c r="B59" i="14"/>
  <c r="C58" i="14"/>
  <c r="B58" i="14"/>
  <c r="C57" i="14"/>
  <c r="B57" i="14"/>
  <c r="C56" i="14"/>
  <c r="B56" i="14"/>
  <c r="C55" i="14"/>
  <c r="B55" i="14"/>
  <c r="C54" i="14"/>
  <c r="B54" i="14"/>
  <c r="C53" i="14"/>
  <c r="B53" i="14"/>
  <c r="C52" i="14"/>
  <c r="B52" i="14"/>
  <c r="C51" i="14"/>
  <c r="B51" i="14"/>
  <c r="C50" i="14"/>
  <c r="B50" i="14"/>
  <c r="C49" i="14"/>
  <c r="B49" i="14"/>
  <c r="C48" i="14"/>
  <c r="B48" i="14"/>
  <c r="C47" i="14"/>
  <c r="B47" i="14"/>
  <c r="C46" i="14"/>
  <c r="B46" i="14"/>
  <c r="C45" i="14"/>
  <c r="B45" i="14"/>
  <c r="C44" i="14"/>
  <c r="B44" i="14"/>
  <c r="C43" i="14"/>
  <c r="B43" i="14"/>
  <c r="C42" i="14"/>
  <c r="B42" i="14"/>
  <c r="C41" i="14"/>
  <c r="B41" i="14"/>
  <c r="C40" i="14"/>
  <c r="B40" i="14"/>
  <c r="C39" i="14"/>
  <c r="B39" i="14"/>
  <c r="C38" i="14"/>
  <c r="B38" i="14"/>
  <c r="C37" i="14"/>
  <c r="B37" i="14"/>
  <c r="C36" i="14"/>
  <c r="B36" i="14"/>
  <c r="C35" i="14"/>
  <c r="B35" i="14"/>
  <c r="C34" i="14"/>
  <c r="B34" i="14"/>
  <c r="C33" i="14"/>
  <c r="B33" i="14"/>
  <c r="C32" i="14"/>
  <c r="B32" i="14"/>
  <c r="C31" i="14"/>
  <c r="B31" i="14"/>
  <c r="C30" i="14"/>
  <c r="B30" i="14"/>
  <c r="C29" i="14"/>
  <c r="B29" i="14"/>
  <c r="C28" i="14"/>
  <c r="B28" i="14"/>
  <c r="C27" i="14"/>
  <c r="B27" i="14"/>
  <c r="C26" i="14"/>
  <c r="B26" i="14"/>
  <c r="C25" i="14"/>
  <c r="B25" i="14"/>
  <c r="C24" i="14"/>
  <c r="B24" i="14"/>
  <c r="C23" i="14"/>
  <c r="B23" i="14"/>
  <c r="C22" i="14"/>
  <c r="B22" i="14"/>
  <c r="C21" i="14"/>
  <c r="B21" i="14"/>
  <c r="C20" i="14"/>
  <c r="B20" i="14"/>
  <c r="C19" i="14"/>
  <c r="B19" i="14"/>
  <c r="C18" i="14"/>
  <c r="B18" i="14"/>
  <c r="C17" i="14"/>
  <c r="B17" i="14"/>
  <c r="C16" i="14"/>
  <c r="B16" i="14"/>
  <c r="C15" i="14"/>
  <c r="B15" i="14"/>
  <c r="C14" i="14"/>
  <c r="B14" i="14"/>
  <c r="C13" i="14"/>
  <c r="B13" i="14"/>
  <c r="C12" i="14"/>
  <c r="B12" i="14"/>
  <c r="C11" i="14"/>
  <c r="B11" i="14"/>
  <c r="C10" i="14"/>
  <c r="B10" i="14"/>
  <c r="C9" i="14"/>
  <c r="B9" i="14"/>
  <c r="C8" i="14"/>
  <c r="B8" i="14"/>
  <c r="F7" i="14"/>
  <c r="C7" i="14"/>
  <c r="B7" i="14"/>
  <c r="C6" i="14"/>
  <c r="B6" i="14"/>
  <c r="E4" i="14"/>
  <c r="F1" i="14"/>
  <c r="G3" i="14" s="1"/>
  <c r="G87" i="16" s="1"/>
  <c r="E4" i="13"/>
  <c r="J8" i="14" l="1"/>
  <c r="H8" i="14"/>
  <c r="C318" i="13"/>
  <c r="B318" i="13"/>
  <c r="C317" i="13"/>
  <c r="B317" i="13"/>
  <c r="C316" i="13"/>
  <c r="B316" i="13"/>
  <c r="C315" i="13"/>
  <c r="B315" i="13"/>
  <c r="C314" i="13"/>
  <c r="B314" i="13"/>
  <c r="C313" i="13"/>
  <c r="B313" i="13"/>
  <c r="C312" i="13"/>
  <c r="B312" i="13"/>
  <c r="C311" i="13"/>
  <c r="B311" i="13"/>
  <c r="C310" i="13"/>
  <c r="B310" i="13"/>
  <c r="C309" i="13"/>
  <c r="B309" i="13"/>
  <c r="C308" i="13"/>
  <c r="B308" i="13"/>
  <c r="C307" i="13"/>
  <c r="B307" i="13"/>
  <c r="C306" i="13"/>
  <c r="B306" i="13"/>
  <c r="C305" i="13"/>
  <c r="B305" i="13"/>
  <c r="C304" i="13"/>
  <c r="B304" i="13"/>
  <c r="C303" i="13"/>
  <c r="B303" i="13"/>
  <c r="C302" i="13"/>
  <c r="B302" i="13"/>
  <c r="C301" i="13"/>
  <c r="B301" i="13"/>
  <c r="C300" i="13"/>
  <c r="B300" i="13"/>
  <c r="C299" i="13"/>
  <c r="B299" i="13"/>
  <c r="C298" i="13"/>
  <c r="B298" i="13"/>
  <c r="C297" i="13"/>
  <c r="B297" i="13"/>
  <c r="C296" i="13"/>
  <c r="B296" i="13"/>
  <c r="C295" i="13"/>
  <c r="B295" i="13"/>
  <c r="C294" i="13"/>
  <c r="B294" i="13"/>
  <c r="C293" i="13"/>
  <c r="B293" i="13"/>
  <c r="C292" i="13"/>
  <c r="B292" i="13"/>
  <c r="C291" i="13"/>
  <c r="B291" i="13"/>
  <c r="C290" i="13"/>
  <c r="B290" i="13"/>
  <c r="C289" i="13"/>
  <c r="B289" i="13"/>
  <c r="C288" i="13"/>
  <c r="B288" i="13"/>
  <c r="C287" i="13"/>
  <c r="B287" i="13"/>
  <c r="C286" i="13"/>
  <c r="B286" i="13"/>
  <c r="C285" i="13"/>
  <c r="B285" i="13"/>
  <c r="C284" i="13"/>
  <c r="B284" i="13"/>
  <c r="C283" i="13"/>
  <c r="B283" i="13"/>
  <c r="C282" i="13"/>
  <c r="B282" i="13"/>
  <c r="C281" i="13"/>
  <c r="B281" i="13"/>
  <c r="C280" i="13"/>
  <c r="B280" i="13"/>
  <c r="C279" i="13"/>
  <c r="B279" i="13"/>
  <c r="C278" i="13"/>
  <c r="B278" i="13"/>
  <c r="C277" i="13"/>
  <c r="B277" i="13"/>
  <c r="C276" i="13"/>
  <c r="B276" i="13"/>
  <c r="C275" i="13"/>
  <c r="B275" i="13"/>
  <c r="C274" i="13"/>
  <c r="B274" i="13"/>
  <c r="C273" i="13"/>
  <c r="B273" i="13"/>
  <c r="C272" i="13"/>
  <c r="B272" i="13"/>
  <c r="C271" i="13"/>
  <c r="B271" i="13"/>
  <c r="C270" i="13"/>
  <c r="B270" i="13"/>
  <c r="C269" i="13"/>
  <c r="B269" i="13"/>
  <c r="C268" i="13"/>
  <c r="B268" i="13"/>
  <c r="C267" i="13"/>
  <c r="B267" i="13"/>
  <c r="C266" i="13"/>
  <c r="B266" i="13"/>
  <c r="C265" i="13"/>
  <c r="B265" i="13"/>
  <c r="C264" i="13"/>
  <c r="B264" i="13"/>
  <c r="C263" i="13"/>
  <c r="B263" i="13"/>
  <c r="C262" i="13"/>
  <c r="B262" i="13"/>
  <c r="C261" i="13"/>
  <c r="B261" i="13"/>
  <c r="C260" i="13"/>
  <c r="B260" i="13"/>
  <c r="C259" i="13"/>
  <c r="B259" i="13"/>
  <c r="C258" i="13"/>
  <c r="B258" i="13"/>
  <c r="C257" i="13"/>
  <c r="B257" i="13"/>
  <c r="C256" i="13"/>
  <c r="B256" i="13"/>
  <c r="C255" i="13"/>
  <c r="B255" i="13"/>
  <c r="C254" i="13"/>
  <c r="B254" i="13"/>
  <c r="C253" i="13"/>
  <c r="B253" i="13"/>
  <c r="C252" i="13"/>
  <c r="B252" i="13"/>
  <c r="C251" i="13"/>
  <c r="B251" i="13"/>
  <c r="C250" i="13"/>
  <c r="B250" i="13"/>
  <c r="C249" i="13"/>
  <c r="B249" i="13"/>
  <c r="C248" i="13"/>
  <c r="B248" i="13"/>
  <c r="C247" i="13"/>
  <c r="B247" i="13"/>
  <c r="C246" i="13"/>
  <c r="B246" i="13"/>
  <c r="C245" i="13"/>
  <c r="B245" i="13"/>
  <c r="C244" i="13"/>
  <c r="B244" i="13"/>
  <c r="C243" i="13"/>
  <c r="B243" i="13"/>
  <c r="C242" i="13"/>
  <c r="B242" i="13"/>
  <c r="C241" i="13"/>
  <c r="B241" i="13"/>
  <c r="C240" i="13"/>
  <c r="B240" i="13"/>
  <c r="C239" i="13"/>
  <c r="B239" i="13"/>
  <c r="C238" i="13"/>
  <c r="B238" i="13"/>
  <c r="C237" i="13"/>
  <c r="B237" i="13"/>
  <c r="C236" i="13"/>
  <c r="B236" i="13"/>
  <c r="C235" i="13"/>
  <c r="B235" i="13"/>
  <c r="C234" i="13"/>
  <c r="B234" i="13"/>
  <c r="C233" i="13"/>
  <c r="B233" i="13"/>
  <c r="C232" i="13"/>
  <c r="B232" i="13"/>
  <c r="C231" i="13"/>
  <c r="B231" i="13"/>
  <c r="C230" i="13"/>
  <c r="B230" i="13"/>
  <c r="C229" i="13"/>
  <c r="B229" i="13"/>
  <c r="C228" i="13"/>
  <c r="B228" i="13"/>
  <c r="C227" i="13"/>
  <c r="B227" i="13"/>
  <c r="C226" i="13"/>
  <c r="B226" i="13"/>
  <c r="C225" i="13"/>
  <c r="B225" i="13"/>
  <c r="C224" i="13"/>
  <c r="B224" i="13"/>
  <c r="C223" i="13"/>
  <c r="B223" i="13"/>
  <c r="C222" i="13"/>
  <c r="B222" i="13"/>
  <c r="C221" i="13"/>
  <c r="B221" i="13"/>
  <c r="C220" i="13"/>
  <c r="B220" i="13"/>
  <c r="C219" i="13"/>
  <c r="B219" i="13"/>
  <c r="C218" i="13"/>
  <c r="B218" i="13"/>
  <c r="C217" i="13"/>
  <c r="B217" i="13"/>
  <c r="C216" i="13"/>
  <c r="B216" i="13"/>
  <c r="C215" i="13"/>
  <c r="B215" i="13"/>
  <c r="C214" i="13"/>
  <c r="B214" i="13"/>
  <c r="C213" i="13"/>
  <c r="B213" i="13"/>
  <c r="C212" i="13"/>
  <c r="B212" i="13"/>
  <c r="C211" i="13"/>
  <c r="B211" i="13"/>
  <c r="C210" i="13"/>
  <c r="B210" i="13"/>
  <c r="C209" i="13"/>
  <c r="B209" i="13"/>
  <c r="C208" i="13"/>
  <c r="B208" i="13"/>
  <c r="C207" i="13"/>
  <c r="B207" i="13"/>
  <c r="C206" i="13"/>
  <c r="B206" i="13"/>
  <c r="C205" i="13"/>
  <c r="B205" i="13"/>
  <c r="C204" i="13"/>
  <c r="B204" i="13"/>
  <c r="C203" i="13"/>
  <c r="B203" i="13"/>
  <c r="C202" i="13"/>
  <c r="B202" i="13"/>
  <c r="C201" i="13"/>
  <c r="B201" i="13"/>
  <c r="C200" i="13"/>
  <c r="B200" i="13"/>
  <c r="C199" i="13"/>
  <c r="B199" i="13"/>
  <c r="C198" i="13"/>
  <c r="B198" i="13"/>
  <c r="C197" i="13"/>
  <c r="B197" i="13"/>
  <c r="C196" i="13"/>
  <c r="B196" i="13"/>
  <c r="C195" i="13"/>
  <c r="B195" i="13"/>
  <c r="C194" i="13"/>
  <c r="B194" i="13"/>
  <c r="C193" i="13"/>
  <c r="B193" i="13"/>
  <c r="C192" i="13"/>
  <c r="B192" i="13"/>
  <c r="C191" i="13"/>
  <c r="B191" i="13"/>
  <c r="C190" i="13"/>
  <c r="B190" i="13"/>
  <c r="C189" i="13"/>
  <c r="B189" i="13"/>
  <c r="C188" i="13"/>
  <c r="B188" i="13"/>
  <c r="C187" i="13"/>
  <c r="B187" i="13"/>
  <c r="C186" i="13"/>
  <c r="B186" i="13"/>
  <c r="C185" i="13"/>
  <c r="B185" i="13"/>
  <c r="C184" i="13"/>
  <c r="B184" i="13"/>
  <c r="C183" i="13"/>
  <c r="B183" i="13"/>
  <c r="C182" i="13"/>
  <c r="B182" i="13"/>
  <c r="C181" i="13"/>
  <c r="B181" i="13"/>
  <c r="C180" i="13"/>
  <c r="B180" i="13"/>
  <c r="C179" i="13"/>
  <c r="B179" i="13"/>
  <c r="C178" i="13"/>
  <c r="B178" i="13"/>
  <c r="C177" i="13"/>
  <c r="B177" i="13"/>
  <c r="C176" i="13"/>
  <c r="B176" i="13"/>
  <c r="C175" i="13"/>
  <c r="B175" i="13"/>
  <c r="C174" i="13"/>
  <c r="B174" i="13"/>
  <c r="C173" i="13"/>
  <c r="B173" i="13"/>
  <c r="C172" i="13"/>
  <c r="B172" i="13"/>
  <c r="C171" i="13"/>
  <c r="B171" i="13"/>
  <c r="C170" i="13"/>
  <c r="B170" i="13"/>
  <c r="C169" i="13"/>
  <c r="B169" i="13"/>
  <c r="C168" i="13"/>
  <c r="B168" i="13"/>
  <c r="C167" i="13"/>
  <c r="B167" i="13"/>
  <c r="C166" i="13"/>
  <c r="B166" i="13"/>
  <c r="C165" i="13"/>
  <c r="B165" i="13"/>
  <c r="C164" i="13"/>
  <c r="B164" i="13"/>
  <c r="C163" i="13"/>
  <c r="B163" i="13"/>
  <c r="C162" i="13"/>
  <c r="B162" i="13"/>
  <c r="C161" i="13"/>
  <c r="B161" i="13"/>
  <c r="C160" i="13"/>
  <c r="B160" i="13"/>
  <c r="C159" i="13"/>
  <c r="B159" i="13"/>
  <c r="C158" i="13"/>
  <c r="B158" i="13"/>
  <c r="C157" i="13"/>
  <c r="B157" i="13"/>
  <c r="C156" i="13"/>
  <c r="B156" i="13"/>
  <c r="C155" i="13"/>
  <c r="B155" i="13"/>
  <c r="C154" i="13"/>
  <c r="B154" i="13"/>
  <c r="C153" i="13"/>
  <c r="B153" i="13"/>
  <c r="C152" i="13"/>
  <c r="B152" i="13"/>
  <c r="C151" i="13"/>
  <c r="B151" i="13"/>
  <c r="C150" i="13"/>
  <c r="B150" i="13"/>
  <c r="C149" i="13"/>
  <c r="B149" i="13"/>
  <c r="C148" i="13"/>
  <c r="B148" i="13"/>
  <c r="C147" i="13"/>
  <c r="B147" i="13"/>
  <c r="C146" i="13"/>
  <c r="B146" i="13"/>
  <c r="C145" i="13"/>
  <c r="B145" i="13"/>
  <c r="C144" i="13"/>
  <c r="B144" i="13"/>
  <c r="C143" i="13"/>
  <c r="B143" i="13"/>
  <c r="C142" i="13"/>
  <c r="B142" i="13"/>
  <c r="C141" i="13"/>
  <c r="B141" i="13"/>
  <c r="C140" i="13"/>
  <c r="B140" i="13"/>
  <c r="C139" i="13"/>
  <c r="B139" i="13"/>
  <c r="C138" i="13"/>
  <c r="B138" i="13"/>
  <c r="C137" i="13"/>
  <c r="B137" i="13"/>
  <c r="C136" i="13"/>
  <c r="B136" i="13"/>
  <c r="C135" i="13"/>
  <c r="B135" i="13"/>
  <c r="C134" i="13"/>
  <c r="B134" i="13"/>
  <c r="C133" i="13"/>
  <c r="B133" i="13"/>
  <c r="C132" i="13"/>
  <c r="B132" i="13"/>
  <c r="C131" i="13"/>
  <c r="B131" i="13"/>
  <c r="C130" i="13"/>
  <c r="B130" i="13"/>
  <c r="C129" i="13"/>
  <c r="B129" i="13"/>
  <c r="C128" i="13"/>
  <c r="B128" i="13"/>
  <c r="C127" i="13"/>
  <c r="B127" i="13"/>
  <c r="C126" i="13"/>
  <c r="B126" i="13"/>
  <c r="C125" i="13"/>
  <c r="B125" i="13"/>
  <c r="C124" i="13"/>
  <c r="B124" i="13"/>
  <c r="C123" i="13"/>
  <c r="B123" i="13"/>
  <c r="C122" i="13"/>
  <c r="B122" i="13"/>
  <c r="C121" i="13"/>
  <c r="B121" i="13"/>
  <c r="C120" i="13"/>
  <c r="B120" i="13"/>
  <c r="C119" i="13"/>
  <c r="B119" i="13"/>
  <c r="C118" i="13"/>
  <c r="B118" i="13"/>
  <c r="C117" i="13"/>
  <c r="B117" i="13"/>
  <c r="C116" i="13"/>
  <c r="B116" i="13"/>
  <c r="C115" i="13"/>
  <c r="B115" i="13"/>
  <c r="C114" i="13"/>
  <c r="B114" i="13"/>
  <c r="C113" i="13"/>
  <c r="B113" i="13"/>
  <c r="C112" i="13"/>
  <c r="B112" i="13"/>
  <c r="C111" i="13"/>
  <c r="B111" i="13"/>
  <c r="C110" i="13"/>
  <c r="B110" i="13"/>
  <c r="C109" i="13"/>
  <c r="B109" i="13"/>
  <c r="C108" i="13"/>
  <c r="B108" i="13"/>
  <c r="C107" i="13"/>
  <c r="B107" i="13"/>
  <c r="C106" i="13"/>
  <c r="B106" i="13"/>
  <c r="C105" i="13"/>
  <c r="B105" i="13"/>
  <c r="C104" i="13"/>
  <c r="B104" i="13"/>
  <c r="C103" i="13"/>
  <c r="B103" i="13"/>
  <c r="C102" i="13"/>
  <c r="B102" i="13"/>
  <c r="C101" i="13"/>
  <c r="B101" i="13"/>
  <c r="C100" i="13"/>
  <c r="B100" i="13"/>
  <c r="C99" i="13"/>
  <c r="B99" i="13"/>
  <c r="C98" i="13"/>
  <c r="B98" i="13"/>
  <c r="C97" i="13"/>
  <c r="B97" i="13"/>
  <c r="C96" i="13"/>
  <c r="B96" i="13"/>
  <c r="C95" i="13"/>
  <c r="B95" i="13"/>
  <c r="C94" i="13"/>
  <c r="B94" i="13"/>
  <c r="C93" i="13"/>
  <c r="B93" i="13"/>
  <c r="C92" i="13"/>
  <c r="B92" i="13"/>
  <c r="C91" i="13"/>
  <c r="B91" i="13"/>
  <c r="C90" i="13"/>
  <c r="B90" i="13"/>
  <c r="C89" i="13"/>
  <c r="B89" i="13"/>
  <c r="C88" i="13"/>
  <c r="B88" i="13"/>
  <c r="C87" i="13"/>
  <c r="B87" i="13"/>
  <c r="C86" i="13"/>
  <c r="B86" i="13"/>
  <c r="C85" i="13"/>
  <c r="B85" i="13"/>
  <c r="C84" i="13"/>
  <c r="B84" i="13"/>
  <c r="C83" i="13"/>
  <c r="B83" i="13"/>
  <c r="C82" i="13"/>
  <c r="B82" i="13"/>
  <c r="C81" i="13"/>
  <c r="B81" i="13"/>
  <c r="C80" i="13"/>
  <c r="B80" i="13"/>
  <c r="C79" i="13"/>
  <c r="B79" i="13"/>
  <c r="C78" i="13"/>
  <c r="B78" i="13"/>
  <c r="C77" i="13"/>
  <c r="B77" i="13"/>
  <c r="C76" i="13"/>
  <c r="B76" i="13"/>
  <c r="C75" i="13"/>
  <c r="B75" i="13"/>
  <c r="C74" i="13"/>
  <c r="B74" i="13"/>
  <c r="C73" i="13"/>
  <c r="B73" i="13"/>
  <c r="C72" i="13"/>
  <c r="B72" i="13"/>
  <c r="C71" i="13"/>
  <c r="B71" i="13"/>
  <c r="C70" i="13"/>
  <c r="B70" i="13"/>
  <c r="C69" i="13"/>
  <c r="B69" i="13"/>
  <c r="C68" i="13"/>
  <c r="B68" i="13"/>
  <c r="C67" i="13"/>
  <c r="B67" i="13"/>
  <c r="C66" i="13"/>
  <c r="B66" i="13"/>
  <c r="C65" i="13"/>
  <c r="B65" i="13"/>
  <c r="C64" i="13"/>
  <c r="B64" i="13"/>
  <c r="C63" i="13"/>
  <c r="B63" i="13"/>
  <c r="C62" i="13"/>
  <c r="B62" i="13"/>
  <c r="C61" i="13"/>
  <c r="B61" i="13"/>
  <c r="C60" i="13"/>
  <c r="B60" i="13"/>
  <c r="C59" i="13"/>
  <c r="B59" i="13"/>
  <c r="C58" i="13"/>
  <c r="B58" i="13"/>
  <c r="C57" i="13"/>
  <c r="B57" i="13"/>
  <c r="C56" i="13"/>
  <c r="B56" i="13"/>
  <c r="C55" i="13"/>
  <c r="B55" i="13"/>
  <c r="C54" i="13"/>
  <c r="B54" i="13"/>
  <c r="C53" i="13"/>
  <c r="B53" i="13"/>
  <c r="C52" i="13"/>
  <c r="B52" i="13"/>
  <c r="C51" i="13"/>
  <c r="B51" i="13"/>
  <c r="C50" i="13"/>
  <c r="B50" i="13"/>
  <c r="C49" i="13"/>
  <c r="B49" i="13"/>
  <c r="C48" i="13"/>
  <c r="B48" i="13"/>
  <c r="C47" i="13"/>
  <c r="B47" i="13"/>
  <c r="C46" i="13"/>
  <c r="B46" i="13"/>
  <c r="C45" i="13"/>
  <c r="B45" i="13"/>
  <c r="C44" i="13"/>
  <c r="B44" i="13"/>
  <c r="C43" i="13"/>
  <c r="B43" i="13"/>
  <c r="C42" i="13"/>
  <c r="B42" i="13"/>
  <c r="C41" i="13"/>
  <c r="B41" i="13"/>
  <c r="C40" i="13"/>
  <c r="B40" i="13"/>
  <c r="C39" i="13"/>
  <c r="B39" i="13"/>
  <c r="C38" i="13"/>
  <c r="B38" i="13"/>
  <c r="C37" i="13"/>
  <c r="B37" i="13"/>
  <c r="C36" i="13"/>
  <c r="B36" i="13"/>
  <c r="C35" i="13"/>
  <c r="B35" i="13"/>
  <c r="C34" i="13"/>
  <c r="B34" i="13"/>
  <c r="C33" i="13"/>
  <c r="B33" i="13"/>
  <c r="C32" i="13"/>
  <c r="B32" i="13"/>
  <c r="C31" i="13"/>
  <c r="B31" i="13"/>
  <c r="C30" i="13"/>
  <c r="B30" i="13"/>
  <c r="C29" i="13"/>
  <c r="B29" i="13"/>
  <c r="C28" i="13"/>
  <c r="B28" i="13"/>
  <c r="C27" i="13"/>
  <c r="B27" i="13"/>
  <c r="C26" i="13"/>
  <c r="B26" i="13"/>
  <c r="C25" i="13"/>
  <c r="B25" i="13"/>
  <c r="C24" i="13"/>
  <c r="B24" i="13"/>
  <c r="C23" i="13"/>
  <c r="B23" i="13"/>
  <c r="C22" i="13"/>
  <c r="B22" i="13"/>
  <c r="C21" i="13"/>
  <c r="B21" i="13"/>
  <c r="C20" i="13"/>
  <c r="B20" i="13"/>
  <c r="C19" i="13"/>
  <c r="B19" i="13"/>
  <c r="C18" i="13"/>
  <c r="B18" i="13"/>
  <c r="C17" i="13"/>
  <c r="B17" i="13"/>
  <c r="C16" i="13"/>
  <c r="B16" i="13"/>
  <c r="C15" i="13"/>
  <c r="B15" i="13"/>
  <c r="C14" i="13"/>
  <c r="B14" i="13"/>
  <c r="C13" i="13"/>
  <c r="B13" i="13"/>
  <c r="C12" i="13"/>
  <c r="B12" i="13"/>
  <c r="C11" i="13"/>
  <c r="B11" i="13"/>
  <c r="C10" i="13"/>
  <c r="B10" i="13"/>
  <c r="C9" i="13"/>
  <c r="B9" i="13"/>
  <c r="C8" i="13"/>
  <c r="B8" i="13"/>
  <c r="F7" i="13"/>
  <c r="C7" i="13"/>
  <c r="B7" i="13"/>
  <c r="C6" i="13"/>
  <c r="B6" i="13"/>
  <c r="F1" i="13"/>
  <c r="G3" i="13" s="1"/>
  <c r="E87" i="16" s="1"/>
  <c r="M8" i="14" l="1"/>
  <c r="K8" i="14"/>
  <c r="H8" i="13"/>
  <c r="J8" i="13"/>
  <c r="M8" i="13" l="1"/>
  <c r="K8" i="13"/>
  <c r="G2" i="12"/>
  <c r="G1" i="12"/>
  <c r="H3" i="12" s="1"/>
  <c r="F87" i="16" s="1"/>
  <c r="C318" i="12"/>
  <c r="B318" i="12"/>
  <c r="C317" i="12"/>
  <c r="B317" i="12"/>
  <c r="C316" i="12"/>
  <c r="B316" i="12"/>
  <c r="C315" i="12"/>
  <c r="B315" i="12"/>
  <c r="C314" i="12"/>
  <c r="B314" i="12"/>
  <c r="C313" i="12"/>
  <c r="B313" i="12"/>
  <c r="C312" i="12"/>
  <c r="B312" i="12"/>
  <c r="C311" i="12"/>
  <c r="B311" i="12"/>
  <c r="C310" i="12"/>
  <c r="B310" i="12"/>
  <c r="C309" i="12"/>
  <c r="B309" i="12"/>
  <c r="C308" i="12"/>
  <c r="B308" i="12"/>
  <c r="C307" i="12"/>
  <c r="B307" i="12"/>
  <c r="C306" i="12"/>
  <c r="B306" i="12"/>
  <c r="C305" i="12"/>
  <c r="B305" i="12"/>
  <c r="C304" i="12"/>
  <c r="B304" i="12"/>
  <c r="C303" i="12"/>
  <c r="B303" i="12"/>
  <c r="C302" i="12"/>
  <c r="B302" i="12"/>
  <c r="C301" i="12"/>
  <c r="B301" i="12"/>
  <c r="C300" i="12"/>
  <c r="B300" i="12"/>
  <c r="C299" i="12"/>
  <c r="B299" i="12"/>
  <c r="C298" i="12"/>
  <c r="B298" i="12"/>
  <c r="C297" i="12"/>
  <c r="B297" i="12"/>
  <c r="C296" i="12"/>
  <c r="B296" i="12"/>
  <c r="C295" i="12"/>
  <c r="B295" i="12"/>
  <c r="C294" i="12"/>
  <c r="B294" i="12"/>
  <c r="C293" i="12"/>
  <c r="B293" i="12"/>
  <c r="C292" i="12"/>
  <c r="B292" i="12"/>
  <c r="C291" i="12"/>
  <c r="B291" i="12"/>
  <c r="C290" i="12"/>
  <c r="B290" i="12"/>
  <c r="C289" i="12"/>
  <c r="B289" i="12"/>
  <c r="C288" i="12"/>
  <c r="B288" i="12"/>
  <c r="C287" i="12"/>
  <c r="B287" i="12"/>
  <c r="C286" i="12"/>
  <c r="B286" i="12"/>
  <c r="C285" i="12"/>
  <c r="B285" i="12"/>
  <c r="C284" i="12"/>
  <c r="B284" i="12"/>
  <c r="C283" i="12"/>
  <c r="B283" i="12"/>
  <c r="C282" i="12"/>
  <c r="B282" i="12"/>
  <c r="C281" i="12"/>
  <c r="B281" i="12"/>
  <c r="C280" i="12"/>
  <c r="B280" i="12"/>
  <c r="C279" i="12"/>
  <c r="B279" i="12"/>
  <c r="C278" i="12"/>
  <c r="B278" i="12"/>
  <c r="C277" i="12"/>
  <c r="B277" i="12"/>
  <c r="C276" i="12"/>
  <c r="B276" i="12"/>
  <c r="C275" i="12"/>
  <c r="B275" i="12"/>
  <c r="C274" i="12"/>
  <c r="B274" i="12"/>
  <c r="C273" i="12"/>
  <c r="B273" i="12"/>
  <c r="C272" i="12"/>
  <c r="B272" i="12"/>
  <c r="C271" i="12"/>
  <c r="B271" i="12"/>
  <c r="C270" i="12"/>
  <c r="B270" i="12"/>
  <c r="C269" i="12"/>
  <c r="B269" i="12"/>
  <c r="C268" i="12"/>
  <c r="B268" i="12"/>
  <c r="C267" i="12"/>
  <c r="B267" i="12"/>
  <c r="C266" i="12"/>
  <c r="B266" i="12"/>
  <c r="C265" i="12"/>
  <c r="B265" i="12"/>
  <c r="C264" i="12"/>
  <c r="B264" i="12"/>
  <c r="C263" i="12"/>
  <c r="B263" i="12"/>
  <c r="C262" i="12"/>
  <c r="B262" i="12"/>
  <c r="C261" i="12"/>
  <c r="B261" i="12"/>
  <c r="C260" i="12"/>
  <c r="B260" i="12"/>
  <c r="C259" i="12"/>
  <c r="B259" i="12"/>
  <c r="C258" i="12"/>
  <c r="B258" i="12"/>
  <c r="C257" i="12"/>
  <c r="B257" i="12"/>
  <c r="C256" i="12"/>
  <c r="B256" i="12"/>
  <c r="C255" i="12"/>
  <c r="B255" i="12"/>
  <c r="C254" i="12"/>
  <c r="B254" i="12"/>
  <c r="C253" i="12"/>
  <c r="B253" i="12"/>
  <c r="C252" i="12"/>
  <c r="B252" i="12"/>
  <c r="C251" i="12"/>
  <c r="B251" i="12"/>
  <c r="C250" i="12"/>
  <c r="B250" i="12"/>
  <c r="C249" i="12"/>
  <c r="B249" i="12"/>
  <c r="C248" i="12"/>
  <c r="B248" i="12"/>
  <c r="C247" i="12"/>
  <c r="B247" i="12"/>
  <c r="C246" i="12"/>
  <c r="B246" i="12"/>
  <c r="C245" i="12"/>
  <c r="B245" i="12"/>
  <c r="C244" i="12"/>
  <c r="B244" i="12"/>
  <c r="C243" i="12"/>
  <c r="B243" i="12"/>
  <c r="C242" i="12"/>
  <c r="B242" i="12"/>
  <c r="C241" i="12"/>
  <c r="B241" i="12"/>
  <c r="C240" i="12"/>
  <c r="B240" i="12"/>
  <c r="C239" i="12"/>
  <c r="B239" i="12"/>
  <c r="C238" i="12"/>
  <c r="B238" i="12"/>
  <c r="C237" i="12"/>
  <c r="B237" i="12"/>
  <c r="C236" i="12"/>
  <c r="B236" i="12"/>
  <c r="C235" i="12"/>
  <c r="B235" i="12"/>
  <c r="C234" i="12"/>
  <c r="B234" i="12"/>
  <c r="C233" i="12"/>
  <c r="B233" i="12"/>
  <c r="C232" i="12"/>
  <c r="B232" i="12"/>
  <c r="C231" i="12"/>
  <c r="B231" i="12"/>
  <c r="C230" i="12"/>
  <c r="B230" i="12"/>
  <c r="C229" i="12"/>
  <c r="B229" i="12"/>
  <c r="C228" i="12"/>
  <c r="B228" i="12"/>
  <c r="C227" i="12"/>
  <c r="B227" i="12"/>
  <c r="C226" i="12"/>
  <c r="B226" i="12"/>
  <c r="C225" i="12"/>
  <c r="B225" i="12"/>
  <c r="C224" i="12"/>
  <c r="B224" i="12"/>
  <c r="C223" i="12"/>
  <c r="B223" i="12"/>
  <c r="C222" i="12"/>
  <c r="B222" i="12"/>
  <c r="C221" i="12"/>
  <c r="B221" i="12"/>
  <c r="C220" i="12"/>
  <c r="B220" i="12"/>
  <c r="C219" i="12"/>
  <c r="B219" i="12"/>
  <c r="C218" i="12"/>
  <c r="B218" i="12"/>
  <c r="C217" i="12"/>
  <c r="B217" i="12"/>
  <c r="C216" i="12"/>
  <c r="B216" i="12"/>
  <c r="C215" i="12"/>
  <c r="B215" i="12"/>
  <c r="C214" i="12"/>
  <c r="B214" i="12"/>
  <c r="C213" i="12"/>
  <c r="B213" i="12"/>
  <c r="C212" i="12"/>
  <c r="B212" i="12"/>
  <c r="C211" i="12"/>
  <c r="B211" i="12"/>
  <c r="C210" i="12"/>
  <c r="B210" i="12"/>
  <c r="C209" i="12"/>
  <c r="B209" i="12"/>
  <c r="C208" i="12"/>
  <c r="B208" i="12"/>
  <c r="C207" i="12"/>
  <c r="B207" i="12"/>
  <c r="C206" i="12"/>
  <c r="B206" i="12"/>
  <c r="C205" i="12"/>
  <c r="B205" i="12"/>
  <c r="C204" i="12"/>
  <c r="B204" i="12"/>
  <c r="C203" i="12"/>
  <c r="B203" i="12"/>
  <c r="C202" i="12"/>
  <c r="B202" i="12"/>
  <c r="C201" i="12"/>
  <c r="B201" i="12"/>
  <c r="C200" i="12"/>
  <c r="B200" i="12"/>
  <c r="C199" i="12"/>
  <c r="B199" i="12"/>
  <c r="C198" i="12"/>
  <c r="B198" i="12"/>
  <c r="C197" i="12"/>
  <c r="B197" i="12"/>
  <c r="C196" i="12"/>
  <c r="B196" i="12"/>
  <c r="C195" i="12"/>
  <c r="B195" i="12"/>
  <c r="C194" i="12"/>
  <c r="B194" i="12"/>
  <c r="C193" i="12"/>
  <c r="B193" i="12"/>
  <c r="C192" i="12"/>
  <c r="B192" i="12"/>
  <c r="C191" i="12"/>
  <c r="B191" i="12"/>
  <c r="C190" i="12"/>
  <c r="B190" i="12"/>
  <c r="C189" i="12"/>
  <c r="B189" i="12"/>
  <c r="C188" i="12"/>
  <c r="B188" i="12"/>
  <c r="C187" i="12"/>
  <c r="B187" i="12"/>
  <c r="C186" i="12"/>
  <c r="B186" i="12"/>
  <c r="C185" i="12"/>
  <c r="B185" i="12"/>
  <c r="C184" i="12"/>
  <c r="B184" i="12"/>
  <c r="C183" i="12"/>
  <c r="B183" i="12"/>
  <c r="C182" i="12"/>
  <c r="B182" i="12"/>
  <c r="C181" i="12"/>
  <c r="B181" i="12"/>
  <c r="C180" i="12"/>
  <c r="B180" i="12"/>
  <c r="C179" i="12"/>
  <c r="B179" i="12"/>
  <c r="C178" i="12"/>
  <c r="B178" i="12"/>
  <c r="C177" i="12"/>
  <c r="B177" i="12"/>
  <c r="C176" i="12"/>
  <c r="B176" i="12"/>
  <c r="C175" i="12"/>
  <c r="B175" i="12"/>
  <c r="C174" i="12"/>
  <c r="B174" i="12"/>
  <c r="C173" i="12"/>
  <c r="B173" i="12"/>
  <c r="C172" i="12"/>
  <c r="B172" i="12"/>
  <c r="C171" i="12"/>
  <c r="B171" i="12"/>
  <c r="C170" i="12"/>
  <c r="B170" i="12"/>
  <c r="C169" i="12"/>
  <c r="B169" i="12"/>
  <c r="C168" i="12"/>
  <c r="B168" i="12"/>
  <c r="C167" i="12"/>
  <c r="B167" i="12"/>
  <c r="C166" i="12"/>
  <c r="B166" i="12"/>
  <c r="C165" i="12"/>
  <c r="B165" i="12"/>
  <c r="C164" i="12"/>
  <c r="B164" i="12"/>
  <c r="C163" i="12"/>
  <c r="B163" i="12"/>
  <c r="C162" i="12"/>
  <c r="B162" i="12"/>
  <c r="C161" i="12"/>
  <c r="B161" i="12"/>
  <c r="C160" i="12"/>
  <c r="B160" i="12"/>
  <c r="C159" i="12"/>
  <c r="B159" i="12"/>
  <c r="C158" i="12"/>
  <c r="B158" i="12"/>
  <c r="C157" i="12"/>
  <c r="B157" i="12"/>
  <c r="C156" i="12"/>
  <c r="B156" i="12"/>
  <c r="C155" i="12"/>
  <c r="B155" i="12"/>
  <c r="C154" i="12"/>
  <c r="B154" i="12"/>
  <c r="C153" i="12"/>
  <c r="B153" i="12"/>
  <c r="C152" i="12"/>
  <c r="B152" i="12"/>
  <c r="C151" i="12"/>
  <c r="B151" i="12"/>
  <c r="C150" i="12"/>
  <c r="B150" i="12"/>
  <c r="C149" i="12"/>
  <c r="B149" i="12"/>
  <c r="C148" i="12"/>
  <c r="B148" i="12"/>
  <c r="C147" i="12"/>
  <c r="B147" i="12"/>
  <c r="C146" i="12"/>
  <c r="B146" i="12"/>
  <c r="C145" i="12"/>
  <c r="B145" i="12"/>
  <c r="C144" i="12"/>
  <c r="B144" i="12"/>
  <c r="C143" i="12"/>
  <c r="B143" i="12"/>
  <c r="C142" i="12"/>
  <c r="B142" i="12"/>
  <c r="C141" i="12"/>
  <c r="B141" i="12"/>
  <c r="C140" i="12"/>
  <c r="B140" i="12"/>
  <c r="C139" i="12"/>
  <c r="B139" i="12"/>
  <c r="C138" i="12"/>
  <c r="B138" i="12"/>
  <c r="C137" i="12"/>
  <c r="B137" i="12"/>
  <c r="C136" i="12"/>
  <c r="B136" i="12"/>
  <c r="C135" i="12"/>
  <c r="B135" i="12"/>
  <c r="C134" i="12"/>
  <c r="B134" i="12"/>
  <c r="C133" i="12"/>
  <c r="B133" i="12"/>
  <c r="C132" i="12"/>
  <c r="B132" i="12"/>
  <c r="C131" i="12"/>
  <c r="B131" i="12"/>
  <c r="C130" i="12"/>
  <c r="B130" i="12"/>
  <c r="C129" i="12"/>
  <c r="B129" i="12"/>
  <c r="C128" i="12"/>
  <c r="B128" i="12"/>
  <c r="C127" i="12"/>
  <c r="B127" i="12"/>
  <c r="C126" i="12"/>
  <c r="B126" i="12"/>
  <c r="C125" i="12"/>
  <c r="B125" i="12"/>
  <c r="C124" i="12"/>
  <c r="B124" i="12"/>
  <c r="C123" i="12"/>
  <c r="B123" i="12"/>
  <c r="C122" i="12"/>
  <c r="B122" i="12"/>
  <c r="C121" i="12"/>
  <c r="B121" i="12"/>
  <c r="C120" i="12"/>
  <c r="B120" i="12"/>
  <c r="C119" i="12"/>
  <c r="B119" i="12"/>
  <c r="C118" i="12"/>
  <c r="B118" i="12"/>
  <c r="C117" i="12"/>
  <c r="B117" i="12"/>
  <c r="C116" i="12"/>
  <c r="B116" i="12"/>
  <c r="C115" i="12"/>
  <c r="B115" i="12"/>
  <c r="C114" i="12"/>
  <c r="B114" i="12"/>
  <c r="C113" i="12"/>
  <c r="B113" i="12"/>
  <c r="C112" i="12"/>
  <c r="B112" i="12"/>
  <c r="C111" i="12"/>
  <c r="B111" i="12"/>
  <c r="C110" i="12"/>
  <c r="B110" i="12"/>
  <c r="C109" i="12"/>
  <c r="B109" i="12"/>
  <c r="C108" i="12"/>
  <c r="B108" i="12"/>
  <c r="C107" i="12"/>
  <c r="B107" i="12"/>
  <c r="C106" i="12"/>
  <c r="B106" i="12"/>
  <c r="C105" i="12"/>
  <c r="B105" i="12"/>
  <c r="C104" i="12"/>
  <c r="B104" i="12"/>
  <c r="C103" i="12"/>
  <c r="B103" i="12"/>
  <c r="C102" i="12"/>
  <c r="B102" i="12"/>
  <c r="C101" i="12"/>
  <c r="B101" i="12"/>
  <c r="C100" i="12"/>
  <c r="B100" i="12"/>
  <c r="C99" i="12"/>
  <c r="B99" i="12"/>
  <c r="C98" i="12"/>
  <c r="B98" i="12"/>
  <c r="C97" i="12"/>
  <c r="B97" i="12"/>
  <c r="C96" i="12"/>
  <c r="B96" i="12"/>
  <c r="C95" i="12"/>
  <c r="B95" i="12"/>
  <c r="C94" i="12"/>
  <c r="B94" i="12"/>
  <c r="C93" i="12"/>
  <c r="B93" i="12"/>
  <c r="C92" i="12"/>
  <c r="B92" i="12"/>
  <c r="C91" i="12"/>
  <c r="B91" i="12"/>
  <c r="C90" i="12"/>
  <c r="B90" i="12"/>
  <c r="C89" i="12"/>
  <c r="B89" i="12"/>
  <c r="C88" i="12"/>
  <c r="B88" i="12"/>
  <c r="C87" i="12"/>
  <c r="B87" i="12"/>
  <c r="C86" i="12"/>
  <c r="B86" i="12"/>
  <c r="C85" i="12"/>
  <c r="B85" i="12"/>
  <c r="C84" i="12"/>
  <c r="B84" i="12"/>
  <c r="C83" i="12"/>
  <c r="B83" i="12"/>
  <c r="C82" i="12"/>
  <c r="B82" i="12"/>
  <c r="C81" i="12"/>
  <c r="B81" i="12"/>
  <c r="C80" i="12"/>
  <c r="B80" i="12"/>
  <c r="C79" i="12"/>
  <c r="B79" i="12"/>
  <c r="C78" i="12"/>
  <c r="B78" i="12"/>
  <c r="C77" i="12"/>
  <c r="B77" i="12"/>
  <c r="C76" i="12"/>
  <c r="B76" i="12"/>
  <c r="C75" i="12"/>
  <c r="B75" i="12"/>
  <c r="C74" i="12"/>
  <c r="B74" i="12"/>
  <c r="C73" i="12"/>
  <c r="B73" i="12"/>
  <c r="C72" i="12"/>
  <c r="B72" i="12"/>
  <c r="C71" i="12"/>
  <c r="B71" i="12"/>
  <c r="C70" i="12"/>
  <c r="B70" i="12"/>
  <c r="C69" i="12"/>
  <c r="B69" i="12"/>
  <c r="C68" i="12"/>
  <c r="B68" i="12"/>
  <c r="C67" i="12"/>
  <c r="B67" i="12"/>
  <c r="C66" i="12"/>
  <c r="B66" i="12"/>
  <c r="C65" i="12"/>
  <c r="B65" i="12"/>
  <c r="C64" i="12"/>
  <c r="B64" i="12"/>
  <c r="C63" i="12"/>
  <c r="B63" i="12"/>
  <c r="C62" i="12"/>
  <c r="B62" i="12"/>
  <c r="C61" i="12"/>
  <c r="B61" i="12"/>
  <c r="C60" i="12"/>
  <c r="B60" i="12"/>
  <c r="C59" i="12"/>
  <c r="B59" i="12"/>
  <c r="C58" i="12"/>
  <c r="B58" i="12"/>
  <c r="C57" i="12"/>
  <c r="B57" i="12"/>
  <c r="C56" i="12"/>
  <c r="B56" i="12"/>
  <c r="C55" i="12"/>
  <c r="B55" i="12"/>
  <c r="C54" i="12"/>
  <c r="B54" i="12"/>
  <c r="C53" i="12"/>
  <c r="B53" i="12"/>
  <c r="C52" i="12"/>
  <c r="B52" i="12"/>
  <c r="C51" i="12"/>
  <c r="B51" i="12"/>
  <c r="C50" i="12"/>
  <c r="B50" i="12"/>
  <c r="C49" i="12"/>
  <c r="B49" i="12"/>
  <c r="C48" i="12"/>
  <c r="B48" i="12"/>
  <c r="C47" i="12"/>
  <c r="B47" i="12"/>
  <c r="C46" i="12"/>
  <c r="B46" i="12"/>
  <c r="C45" i="12"/>
  <c r="B45" i="12"/>
  <c r="C44" i="12"/>
  <c r="B44" i="12"/>
  <c r="C43" i="12"/>
  <c r="B43" i="12"/>
  <c r="C42" i="12"/>
  <c r="B42" i="12"/>
  <c r="C41" i="12"/>
  <c r="B41" i="12"/>
  <c r="C40" i="12"/>
  <c r="B40" i="12"/>
  <c r="C39" i="12"/>
  <c r="B39" i="12"/>
  <c r="C38" i="12"/>
  <c r="B38" i="12"/>
  <c r="C37" i="12"/>
  <c r="B37" i="12"/>
  <c r="C36" i="12"/>
  <c r="B36" i="12"/>
  <c r="C35" i="12"/>
  <c r="B35" i="12"/>
  <c r="C34" i="12"/>
  <c r="B34" i="12"/>
  <c r="C33" i="12"/>
  <c r="B33" i="12"/>
  <c r="C32" i="12"/>
  <c r="B32" i="12"/>
  <c r="C31" i="12"/>
  <c r="B31" i="12"/>
  <c r="C30" i="12"/>
  <c r="B30" i="12"/>
  <c r="C29" i="12"/>
  <c r="B29" i="12"/>
  <c r="C27" i="12"/>
  <c r="B27" i="12"/>
  <c r="C26" i="12"/>
  <c r="B26" i="12"/>
  <c r="C25" i="12"/>
  <c r="B25" i="12"/>
  <c r="C24" i="12"/>
  <c r="B24" i="12"/>
  <c r="C23" i="12"/>
  <c r="B23" i="12"/>
  <c r="B22" i="12"/>
  <c r="C21" i="12"/>
  <c r="B21" i="12"/>
  <c r="C20" i="12"/>
  <c r="B20" i="12"/>
  <c r="C19" i="12"/>
  <c r="B19" i="12"/>
  <c r="C18" i="12"/>
  <c r="B18" i="12"/>
  <c r="C17" i="12"/>
  <c r="B17" i="12"/>
  <c r="C16" i="12"/>
  <c r="B16" i="12"/>
  <c r="C15" i="12"/>
  <c r="B15" i="12"/>
  <c r="C14" i="12"/>
  <c r="B14" i="12"/>
  <c r="C13" i="12"/>
  <c r="B13" i="12"/>
  <c r="C12" i="12"/>
  <c r="B12" i="12"/>
  <c r="C11" i="12"/>
  <c r="B11" i="12"/>
  <c r="C10" i="12"/>
  <c r="B10" i="12"/>
  <c r="C9" i="12"/>
  <c r="B9" i="12"/>
  <c r="C8" i="12"/>
  <c r="B8" i="12"/>
  <c r="G7" i="12"/>
  <c r="C7" i="12"/>
  <c r="B7" i="12"/>
  <c r="C6" i="12"/>
  <c r="B6" i="12"/>
  <c r="F4" i="12"/>
  <c r="E26" i="7"/>
  <c r="F2" i="11" s="1"/>
  <c r="L1" i="11"/>
  <c r="M2" i="11" s="1"/>
  <c r="G62" i="16" s="1"/>
  <c r="H1" i="11"/>
  <c r="I2" i="11" s="1"/>
  <c r="G60" i="16" s="1"/>
  <c r="F1" i="11"/>
  <c r="G2" i="11" s="1"/>
  <c r="G59" i="16" s="1"/>
  <c r="D1" i="11"/>
  <c r="E2" i="11" s="1"/>
  <c r="G63" i="16" s="1"/>
  <c r="B201" i="11"/>
  <c r="C201" i="11"/>
  <c r="B202" i="11"/>
  <c r="C202" i="11"/>
  <c r="B203" i="11"/>
  <c r="C203" i="11"/>
  <c r="B204" i="11"/>
  <c r="C204" i="11"/>
  <c r="B205" i="11"/>
  <c r="C205" i="11"/>
  <c r="B206" i="11"/>
  <c r="C206" i="11"/>
  <c r="B207" i="11"/>
  <c r="C207" i="11"/>
  <c r="B208" i="11"/>
  <c r="C208" i="11"/>
  <c r="B209" i="11"/>
  <c r="C209" i="11"/>
  <c r="B210" i="11"/>
  <c r="C210" i="11"/>
  <c r="B211" i="11"/>
  <c r="C211" i="11"/>
  <c r="B212" i="11"/>
  <c r="C212" i="11"/>
  <c r="B213" i="11"/>
  <c r="C213" i="11"/>
  <c r="B214" i="11"/>
  <c r="C214" i="11"/>
  <c r="B215" i="11"/>
  <c r="C215" i="11"/>
  <c r="B216" i="11"/>
  <c r="C216" i="11"/>
  <c r="B217" i="11"/>
  <c r="C217" i="11"/>
  <c r="B218" i="11"/>
  <c r="C218" i="11"/>
  <c r="B219" i="11"/>
  <c r="C219" i="11"/>
  <c r="B220" i="11"/>
  <c r="C220" i="11"/>
  <c r="B221" i="11"/>
  <c r="C221" i="11"/>
  <c r="B222" i="11"/>
  <c r="C222" i="11"/>
  <c r="B223" i="11"/>
  <c r="C223" i="11"/>
  <c r="B224" i="11"/>
  <c r="C224" i="11"/>
  <c r="B225" i="11"/>
  <c r="C225" i="11"/>
  <c r="B226" i="11"/>
  <c r="C226" i="11"/>
  <c r="B227" i="11"/>
  <c r="C227" i="11"/>
  <c r="B228" i="11"/>
  <c r="C228" i="11"/>
  <c r="B229" i="11"/>
  <c r="C229" i="11"/>
  <c r="B230" i="11"/>
  <c r="C230" i="11"/>
  <c r="B231" i="11"/>
  <c r="C231" i="11"/>
  <c r="B232" i="11"/>
  <c r="C232" i="11"/>
  <c r="B233" i="11"/>
  <c r="C233" i="11"/>
  <c r="B234" i="11"/>
  <c r="C234" i="11"/>
  <c r="B235" i="11"/>
  <c r="C235" i="11"/>
  <c r="B236" i="11"/>
  <c r="C236" i="11"/>
  <c r="B237" i="11"/>
  <c r="C237" i="11"/>
  <c r="B238" i="11"/>
  <c r="C238" i="11"/>
  <c r="B239" i="11"/>
  <c r="C239" i="11"/>
  <c r="B240" i="11"/>
  <c r="C240" i="11"/>
  <c r="B241" i="11"/>
  <c r="C241" i="11"/>
  <c r="B242" i="11"/>
  <c r="C242" i="11"/>
  <c r="B243" i="11"/>
  <c r="C243" i="11"/>
  <c r="B244" i="11"/>
  <c r="C244" i="11"/>
  <c r="B245" i="11"/>
  <c r="C245" i="11"/>
  <c r="B246" i="11"/>
  <c r="C246" i="11"/>
  <c r="B247" i="11"/>
  <c r="C247" i="11"/>
  <c r="B248" i="11"/>
  <c r="C248" i="11"/>
  <c r="B249" i="11"/>
  <c r="C249" i="11"/>
  <c r="B250" i="11"/>
  <c r="C250" i="11"/>
  <c r="B251" i="11"/>
  <c r="C251" i="11"/>
  <c r="B252" i="11"/>
  <c r="C252" i="11"/>
  <c r="B253" i="11"/>
  <c r="C253" i="11"/>
  <c r="B254" i="11"/>
  <c r="C254" i="11"/>
  <c r="B255" i="11"/>
  <c r="C255" i="11"/>
  <c r="B256" i="11"/>
  <c r="C256" i="11"/>
  <c r="B257" i="11"/>
  <c r="C257" i="11"/>
  <c r="B258" i="11"/>
  <c r="C258" i="11"/>
  <c r="B259" i="11"/>
  <c r="C259" i="11"/>
  <c r="B260" i="11"/>
  <c r="C260" i="11"/>
  <c r="B261" i="11"/>
  <c r="C261" i="11"/>
  <c r="B262" i="11"/>
  <c r="C262" i="11"/>
  <c r="B263" i="11"/>
  <c r="C263" i="11"/>
  <c r="B264" i="11"/>
  <c r="C264" i="11"/>
  <c r="B265" i="11"/>
  <c r="C265" i="11"/>
  <c r="B266" i="11"/>
  <c r="C266" i="11"/>
  <c r="B267" i="11"/>
  <c r="C267" i="11"/>
  <c r="B268" i="11"/>
  <c r="C268" i="11"/>
  <c r="B269" i="11"/>
  <c r="C269" i="11"/>
  <c r="B270" i="11"/>
  <c r="C270" i="11"/>
  <c r="B271" i="11"/>
  <c r="C271" i="11"/>
  <c r="B272" i="11"/>
  <c r="C272" i="11"/>
  <c r="B273" i="11"/>
  <c r="C273" i="11"/>
  <c r="B274" i="11"/>
  <c r="C274" i="11"/>
  <c r="B275" i="11"/>
  <c r="C275" i="11"/>
  <c r="B276" i="11"/>
  <c r="C276" i="11"/>
  <c r="B277" i="11"/>
  <c r="C277" i="11"/>
  <c r="B278" i="11"/>
  <c r="C278" i="11"/>
  <c r="B279" i="11"/>
  <c r="C279" i="11"/>
  <c r="B280" i="11"/>
  <c r="C280" i="11"/>
  <c r="B281" i="11"/>
  <c r="C281" i="11"/>
  <c r="B282" i="11"/>
  <c r="C282" i="11"/>
  <c r="B283" i="11"/>
  <c r="C283" i="11"/>
  <c r="B284" i="11"/>
  <c r="C284" i="11"/>
  <c r="B285" i="11"/>
  <c r="C285" i="11"/>
  <c r="B286" i="11"/>
  <c r="C286" i="11"/>
  <c r="B287" i="11"/>
  <c r="C287" i="11"/>
  <c r="B288" i="11"/>
  <c r="C288" i="11"/>
  <c r="B289" i="11"/>
  <c r="C289" i="11"/>
  <c r="B290" i="11"/>
  <c r="C290" i="11"/>
  <c r="B291" i="11"/>
  <c r="C291" i="11"/>
  <c r="B292" i="11"/>
  <c r="C292" i="11"/>
  <c r="B293" i="11"/>
  <c r="C293" i="11"/>
  <c r="B294" i="11"/>
  <c r="C294" i="11"/>
  <c r="B295" i="11"/>
  <c r="C295" i="11"/>
  <c r="B296" i="11"/>
  <c r="C296" i="11"/>
  <c r="B297" i="11"/>
  <c r="C297" i="11"/>
  <c r="B298" i="11"/>
  <c r="C298" i="11"/>
  <c r="B299" i="11"/>
  <c r="C299" i="11"/>
  <c r="B300" i="11"/>
  <c r="C300" i="11"/>
  <c r="K8" i="12" l="1"/>
  <c r="I8" i="12"/>
  <c r="G3" i="12"/>
  <c r="G4" i="12" l="1"/>
  <c r="G6" i="12" s="1"/>
  <c r="F88" i="16"/>
  <c r="N8" i="12"/>
  <c r="L8" i="12"/>
  <c r="C200" i="11" l="1"/>
  <c r="B200" i="11"/>
  <c r="C199" i="11"/>
  <c r="B199" i="11"/>
  <c r="C198" i="11"/>
  <c r="B198" i="11"/>
  <c r="C197" i="11"/>
  <c r="B197" i="11"/>
  <c r="C196" i="11"/>
  <c r="B196" i="11"/>
  <c r="C195" i="11"/>
  <c r="B195" i="11"/>
  <c r="C194" i="11"/>
  <c r="B194" i="11"/>
  <c r="C193" i="11"/>
  <c r="B193" i="11"/>
  <c r="C192" i="11"/>
  <c r="B192" i="11"/>
  <c r="C191" i="11"/>
  <c r="B191" i="11"/>
  <c r="C190" i="11"/>
  <c r="B190" i="11"/>
  <c r="C189" i="11"/>
  <c r="B189" i="11"/>
  <c r="C188" i="11"/>
  <c r="B188" i="11"/>
  <c r="C187" i="11"/>
  <c r="B187" i="11"/>
  <c r="C186" i="11"/>
  <c r="B186" i="11"/>
  <c r="C185" i="11"/>
  <c r="B185" i="11"/>
  <c r="C184" i="11"/>
  <c r="B184" i="11"/>
  <c r="C183" i="11"/>
  <c r="B183" i="11"/>
  <c r="C182" i="11"/>
  <c r="B182" i="11"/>
  <c r="C181" i="11"/>
  <c r="B181" i="11"/>
  <c r="C180" i="11"/>
  <c r="B180" i="11"/>
  <c r="C179" i="11"/>
  <c r="B179" i="11"/>
  <c r="C178" i="11"/>
  <c r="B178" i="11"/>
  <c r="C177" i="11"/>
  <c r="B177" i="11"/>
  <c r="C176" i="11"/>
  <c r="B176" i="11"/>
  <c r="C175" i="11"/>
  <c r="B175" i="11"/>
  <c r="C174" i="11"/>
  <c r="B174" i="11"/>
  <c r="C173" i="11"/>
  <c r="B173" i="11"/>
  <c r="C172" i="11"/>
  <c r="B172" i="11"/>
  <c r="C171" i="11"/>
  <c r="B171" i="11"/>
  <c r="C170" i="11"/>
  <c r="B170" i="11"/>
  <c r="C169" i="11"/>
  <c r="B169" i="11"/>
  <c r="C168" i="11"/>
  <c r="B168" i="11"/>
  <c r="C167" i="11"/>
  <c r="B167" i="11"/>
  <c r="C166" i="11"/>
  <c r="B166" i="11"/>
  <c r="C165" i="11"/>
  <c r="B165" i="11"/>
  <c r="C164" i="11"/>
  <c r="B164" i="11"/>
  <c r="C163" i="11"/>
  <c r="B163" i="11"/>
  <c r="C162" i="11"/>
  <c r="B162" i="11"/>
  <c r="C161" i="11"/>
  <c r="B161" i="11"/>
  <c r="C160" i="11"/>
  <c r="B160" i="11"/>
  <c r="C159" i="11"/>
  <c r="B159" i="11"/>
  <c r="C158" i="11"/>
  <c r="B158" i="11"/>
  <c r="C157" i="11"/>
  <c r="B157" i="11"/>
  <c r="C156" i="11"/>
  <c r="B156" i="11"/>
  <c r="C155" i="11"/>
  <c r="B155" i="11"/>
  <c r="C154" i="11"/>
  <c r="B154" i="11"/>
  <c r="C153" i="11"/>
  <c r="B153" i="11"/>
  <c r="C152" i="11"/>
  <c r="B152" i="11"/>
  <c r="C151" i="11"/>
  <c r="B151" i="11"/>
  <c r="C150" i="11"/>
  <c r="B150" i="11"/>
  <c r="C149" i="11"/>
  <c r="B149" i="11"/>
  <c r="C148" i="11"/>
  <c r="B148" i="11"/>
  <c r="C147" i="11"/>
  <c r="B147" i="11"/>
  <c r="C146" i="11"/>
  <c r="B146" i="11"/>
  <c r="C145" i="11"/>
  <c r="B145" i="11"/>
  <c r="C144" i="11"/>
  <c r="B144" i="11"/>
  <c r="C143" i="11"/>
  <c r="B143" i="11"/>
  <c r="C142" i="11"/>
  <c r="B142" i="11"/>
  <c r="C141" i="11"/>
  <c r="B141" i="11"/>
  <c r="C140" i="11"/>
  <c r="B140" i="11"/>
  <c r="C139" i="11"/>
  <c r="B139" i="11"/>
  <c r="C138" i="11"/>
  <c r="B138" i="11"/>
  <c r="C137" i="11"/>
  <c r="B137" i="11"/>
  <c r="C136" i="11"/>
  <c r="B136" i="11"/>
  <c r="C135" i="11"/>
  <c r="B135" i="11"/>
  <c r="C134" i="11"/>
  <c r="B134" i="11"/>
  <c r="C133" i="11"/>
  <c r="B133" i="11"/>
  <c r="C132" i="11"/>
  <c r="B132" i="11"/>
  <c r="C131" i="11"/>
  <c r="B131" i="11"/>
  <c r="C130" i="11"/>
  <c r="B130" i="11"/>
  <c r="C129" i="11"/>
  <c r="B129" i="11"/>
  <c r="C128" i="11"/>
  <c r="B128" i="11"/>
  <c r="C127" i="11"/>
  <c r="B127" i="11"/>
  <c r="C126" i="11"/>
  <c r="B126" i="11"/>
  <c r="C125" i="11"/>
  <c r="B125" i="11"/>
  <c r="C124" i="11"/>
  <c r="B124" i="11"/>
  <c r="C123" i="11"/>
  <c r="B123" i="11"/>
  <c r="C122" i="11"/>
  <c r="B122" i="11"/>
  <c r="C121" i="11"/>
  <c r="B121" i="11"/>
  <c r="C120" i="11"/>
  <c r="B120" i="11"/>
  <c r="C119" i="11"/>
  <c r="B119" i="11"/>
  <c r="C118" i="11"/>
  <c r="B118" i="11"/>
  <c r="C117" i="11"/>
  <c r="B117" i="11"/>
  <c r="C116" i="11"/>
  <c r="B116" i="11"/>
  <c r="C115" i="11"/>
  <c r="B115" i="11"/>
  <c r="C114" i="11"/>
  <c r="B114" i="11"/>
  <c r="C113" i="11"/>
  <c r="B113" i="11"/>
  <c r="C112" i="11"/>
  <c r="B112" i="11"/>
  <c r="C111" i="11"/>
  <c r="B111" i="11"/>
  <c r="C110" i="11"/>
  <c r="B110" i="11"/>
  <c r="C109" i="11"/>
  <c r="B109" i="11"/>
  <c r="C108" i="11"/>
  <c r="B108" i="11"/>
  <c r="C107" i="11"/>
  <c r="B107" i="11"/>
  <c r="C106" i="11"/>
  <c r="B106" i="11"/>
  <c r="C105" i="11"/>
  <c r="B105" i="11"/>
  <c r="C104" i="11"/>
  <c r="B104" i="11"/>
  <c r="C103" i="11"/>
  <c r="B103" i="11"/>
  <c r="C102" i="11"/>
  <c r="B102" i="11"/>
  <c r="C101" i="11"/>
  <c r="B101" i="11"/>
  <c r="C100" i="11"/>
  <c r="B100" i="11"/>
  <c r="C99" i="11"/>
  <c r="B99" i="11"/>
  <c r="C98" i="11"/>
  <c r="B98" i="11"/>
  <c r="C97" i="11"/>
  <c r="B97" i="11"/>
  <c r="C96" i="11"/>
  <c r="B96" i="11"/>
  <c r="C95" i="11"/>
  <c r="B95" i="11"/>
  <c r="C94" i="11"/>
  <c r="B94" i="11"/>
  <c r="C93" i="11"/>
  <c r="B93" i="11"/>
  <c r="C92" i="11"/>
  <c r="B92" i="11"/>
  <c r="C91" i="11"/>
  <c r="B91" i="11"/>
  <c r="C90" i="11"/>
  <c r="B90" i="11"/>
  <c r="C89" i="11"/>
  <c r="B89" i="11"/>
  <c r="C88" i="11"/>
  <c r="B88" i="11"/>
  <c r="C87" i="11"/>
  <c r="B87" i="11"/>
  <c r="C86" i="11"/>
  <c r="B86" i="11"/>
  <c r="C85" i="11"/>
  <c r="B85" i="11"/>
  <c r="C84" i="11"/>
  <c r="B84" i="11"/>
  <c r="C83" i="11"/>
  <c r="B83" i="11"/>
  <c r="C82" i="11"/>
  <c r="B82" i="11"/>
  <c r="C81" i="11"/>
  <c r="B81" i="11"/>
  <c r="C80" i="11"/>
  <c r="B80" i="11"/>
  <c r="C79" i="11"/>
  <c r="B79" i="11"/>
  <c r="C78" i="11"/>
  <c r="B78" i="11"/>
  <c r="C77" i="11"/>
  <c r="B77" i="11"/>
  <c r="C76" i="11"/>
  <c r="B76" i="11"/>
  <c r="C75" i="11"/>
  <c r="B75" i="11"/>
  <c r="C74" i="11"/>
  <c r="B74" i="11"/>
  <c r="C73" i="11"/>
  <c r="B73" i="11"/>
  <c r="C72" i="11"/>
  <c r="B72" i="11"/>
  <c r="C71" i="11"/>
  <c r="B71" i="11"/>
  <c r="C70" i="11"/>
  <c r="B70" i="11"/>
  <c r="C69" i="11"/>
  <c r="B69" i="11"/>
  <c r="C68" i="11"/>
  <c r="B68" i="11"/>
  <c r="C67" i="11"/>
  <c r="B67" i="11"/>
  <c r="C66" i="11"/>
  <c r="B66" i="11"/>
  <c r="C65" i="11"/>
  <c r="B65" i="11"/>
  <c r="C64" i="11"/>
  <c r="B64" i="11"/>
  <c r="C63" i="11"/>
  <c r="B63" i="11"/>
  <c r="C62" i="11"/>
  <c r="B62" i="11"/>
  <c r="C61" i="11"/>
  <c r="B61" i="11"/>
  <c r="C60" i="11"/>
  <c r="B60" i="11"/>
  <c r="C59" i="11"/>
  <c r="B59" i="11"/>
  <c r="C58" i="11"/>
  <c r="B58" i="11"/>
  <c r="C57" i="11"/>
  <c r="B57" i="11"/>
  <c r="C56" i="11"/>
  <c r="B56" i="11"/>
  <c r="C55" i="11"/>
  <c r="B55" i="11"/>
  <c r="C54" i="11"/>
  <c r="B54" i="11"/>
  <c r="C53" i="11"/>
  <c r="B53" i="11"/>
  <c r="C52" i="11"/>
  <c r="B52" i="11"/>
  <c r="C51" i="11"/>
  <c r="B51" i="11"/>
  <c r="C50" i="11"/>
  <c r="B50" i="11"/>
  <c r="C49" i="11"/>
  <c r="B49" i="11"/>
  <c r="C48" i="11"/>
  <c r="B48" i="11"/>
  <c r="C47" i="11"/>
  <c r="B47" i="11"/>
  <c r="C46" i="11"/>
  <c r="B46" i="11"/>
  <c r="C45" i="11"/>
  <c r="B45" i="11"/>
  <c r="C44" i="11"/>
  <c r="B44" i="11"/>
  <c r="C43" i="11"/>
  <c r="B43" i="11"/>
  <c r="C42" i="11"/>
  <c r="B42" i="11"/>
  <c r="C41" i="11"/>
  <c r="B41" i="11"/>
  <c r="C40" i="11"/>
  <c r="B40" i="11"/>
  <c r="C39" i="11"/>
  <c r="B39" i="11"/>
  <c r="C38" i="11"/>
  <c r="B38" i="11"/>
  <c r="C37" i="11"/>
  <c r="B37" i="11"/>
  <c r="C36" i="11"/>
  <c r="B36" i="11"/>
  <c r="C35" i="11"/>
  <c r="B35" i="11"/>
  <c r="C34" i="11"/>
  <c r="B34" i="11"/>
  <c r="C33" i="11"/>
  <c r="B33" i="11"/>
  <c r="C32" i="11"/>
  <c r="B32" i="11"/>
  <c r="C31" i="11"/>
  <c r="B31" i="11"/>
  <c r="C30" i="11"/>
  <c r="B30" i="11"/>
  <c r="C29" i="11"/>
  <c r="B29" i="11"/>
  <c r="C28" i="11"/>
  <c r="B28" i="11"/>
  <c r="C27" i="11"/>
  <c r="B27" i="11"/>
  <c r="C26" i="11"/>
  <c r="B26" i="11"/>
  <c r="C25" i="11"/>
  <c r="B25" i="11"/>
  <c r="C24" i="11"/>
  <c r="B24" i="11"/>
  <c r="C23" i="11"/>
  <c r="B23" i="11"/>
  <c r="C22" i="11"/>
  <c r="B22" i="11"/>
  <c r="C21" i="11"/>
  <c r="B21" i="11"/>
  <c r="C20" i="11"/>
  <c r="B20" i="11"/>
  <c r="C19" i="11"/>
  <c r="B19" i="11"/>
  <c r="C18" i="11"/>
  <c r="B18" i="11"/>
  <c r="C17" i="11"/>
  <c r="B17" i="11"/>
  <c r="C16" i="11"/>
  <c r="B16" i="11"/>
  <c r="C15" i="11"/>
  <c r="B15" i="11"/>
  <c r="C14" i="11"/>
  <c r="B14" i="11"/>
  <c r="C13" i="11"/>
  <c r="B13" i="11"/>
  <c r="C12" i="11"/>
  <c r="B12" i="11"/>
  <c r="C11" i="11"/>
  <c r="B11" i="11"/>
  <c r="C10" i="11"/>
  <c r="B10" i="11"/>
  <c r="A6" i="11"/>
  <c r="J1" i="11"/>
  <c r="K2" i="11" s="1"/>
  <c r="G61" i="16" s="1"/>
  <c r="G64" i="16" s="1"/>
  <c r="D8" i="10"/>
  <c r="D9" i="10"/>
  <c r="D10" i="10"/>
  <c r="D11" i="10"/>
  <c r="D12" i="10"/>
  <c r="D13" i="10"/>
  <c r="D14" i="10"/>
  <c r="D15" i="10"/>
  <c r="D16" i="10"/>
  <c r="D17" i="10"/>
  <c r="D18" i="10"/>
  <c r="D19" i="10"/>
  <c r="D20" i="10"/>
  <c r="D21" i="10"/>
  <c r="D22" i="10"/>
  <c r="D23" i="10"/>
  <c r="D24" i="10"/>
  <c r="D25" i="10"/>
  <c r="D26" i="10"/>
  <c r="D27" i="10"/>
  <c r="D28" i="10"/>
  <c r="D29" i="10"/>
  <c r="D30" i="10"/>
  <c r="D31" i="10"/>
  <c r="D32" i="10"/>
  <c r="D33" i="10"/>
  <c r="D34" i="10"/>
  <c r="D35" i="10"/>
  <c r="D36" i="10"/>
  <c r="D37" i="10"/>
  <c r="D38" i="10"/>
  <c r="D39" i="10"/>
  <c r="D40" i="10"/>
  <c r="D41" i="10"/>
  <c r="D42" i="10"/>
  <c r="D43" i="10"/>
  <c r="D44" i="10"/>
  <c r="D45" i="10"/>
  <c r="D46" i="10"/>
  <c r="D47" i="10"/>
  <c r="D48" i="10"/>
  <c r="D49" i="10"/>
  <c r="D50" i="10"/>
  <c r="D51" i="10"/>
  <c r="D52" i="10"/>
  <c r="D53" i="10"/>
  <c r="D54" i="10"/>
  <c r="D55" i="10"/>
  <c r="D56" i="10"/>
  <c r="D57" i="10"/>
  <c r="D58" i="10"/>
  <c r="D59" i="10"/>
  <c r="D60" i="10"/>
  <c r="D61" i="10"/>
  <c r="D62" i="10"/>
  <c r="D63" i="10"/>
  <c r="D64" i="10"/>
  <c r="D65" i="10"/>
  <c r="D66" i="10"/>
  <c r="D67" i="10"/>
  <c r="D68" i="10"/>
  <c r="D69" i="10"/>
  <c r="D70" i="10"/>
  <c r="D71" i="10"/>
  <c r="D72" i="10"/>
  <c r="D73" i="10"/>
  <c r="D74" i="10"/>
  <c r="D75" i="10"/>
  <c r="D76" i="10"/>
  <c r="D77" i="10"/>
  <c r="D78" i="10"/>
  <c r="D79" i="10"/>
  <c r="D80" i="10"/>
  <c r="D81" i="10"/>
  <c r="D82" i="10"/>
  <c r="D83" i="10"/>
  <c r="D84" i="10"/>
  <c r="D85" i="10"/>
  <c r="D86" i="10"/>
  <c r="D87" i="10"/>
  <c r="D88" i="10"/>
  <c r="D89" i="10"/>
  <c r="D90" i="10"/>
  <c r="D91" i="10"/>
  <c r="D92" i="10"/>
  <c r="D93" i="10"/>
  <c r="D94" i="10"/>
  <c r="D95" i="10"/>
  <c r="D96" i="10"/>
  <c r="D97" i="10"/>
  <c r="D98" i="10"/>
  <c r="D99" i="10"/>
  <c r="D100" i="10"/>
  <c r="D101" i="10"/>
  <c r="D102" i="10"/>
  <c r="D103" i="10"/>
  <c r="D104" i="10"/>
  <c r="D105" i="10"/>
  <c r="D106" i="10"/>
  <c r="D107" i="10"/>
  <c r="D108" i="10"/>
  <c r="D109" i="10"/>
  <c r="D110" i="10"/>
  <c r="D111" i="10"/>
  <c r="D112" i="10"/>
  <c r="D113" i="10"/>
  <c r="D114" i="10"/>
  <c r="D115" i="10"/>
  <c r="D116" i="10"/>
  <c r="D117" i="10"/>
  <c r="D118" i="10"/>
  <c r="D119" i="10"/>
  <c r="D120" i="10"/>
  <c r="D121" i="10"/>
  <c r="D122" i="10"/>
  <c r="D123" i="10"/>
  <c r="D124" i="10"/>
  <c r="D125" i="10"/>
  <c r="D126" i="10"/>
  <c r="D127" i="10"/>
  <c r="D128" i="10"/>
  <c r="D129" i="10"/>
  <c r="D130" i="10"/>
  <c r="D131" i="10"/>
  <c r="D132" i="10"/>
  <c r="D133" i="10"/>
  <c r="D134" i="10"/>
  <c r="D135" i="10"/>
  <c r="D136" i="10"/>
  <c r="D137" i="10"/>
  <c r="D138" i="10"/>
  <c r="D139" i="10"/>
  <c r="D140" i="10"/>
  <c r="D141" i="10"/>
  <c r="D142" i="10"/>
  <c r="D143" i="10"/>
  <c r="D144" i="10"/>
  <c r="D145" i="10"/>
  <c r="D146" i="10"/>
  <c r="D147" i="10"/>
  <c r="D148" i="10"/>
  <c r="D149" i="10"/>
  <c r="D150" i="10"/>
  <c r="D151" i="10"/>
  <c r="D152" i="10"/>
  <c r="D153" i="10"/>
  <c r="D154" i="10"/>
  <c r="D155" i="10"/>
  <c r="D156" i="10"/>
  <c r="D157" i="10"/>
  <c r="D158" i="10"/>
  <c r="D159" i="10"/>
  <c r="D160" i="10"/>
  <c r="D161" i="10"/>
  <c r="D162" i="10"/>
  <c r="D163" i="10"/>
  <c r="D164" i="10"/>
  <c r="D165" i="10"/>
  <c r="D166" i="10"/>
  <c r="D167" i="10"/>
  <c r="D168" i="10"/>
  <c r="D169" i="10"/>
  <c r="D170" i="10"/>
  <c r="D171" i="10"/>
  <c r="D172" i="10"/>
  <c r="D173" i="10"/>
  <c r="D174" i="10"/>
  <c r="D175" i="10"/>
  <c r="D176" i="10"/>
  <c r="D177" i="10"/>
  <c r="D178" i="10"/>
  <c r="D179" i="10"/>
  <c r="D180" i="10"/>
  <c r="D181" i="10"/>
  <c r="D182" i="10"/>
  <c r="D183" i="10"/>
  <c r="D184" i="10"/>
  <c r="D185" i="10"/>
  <c r="D186" i="10"/>
  <c r="D187" i="10"/>
  <c r="D188" i="10"/>
  <c r="D189" i="10"/>
  <c r="D190" i="10"/>
  <c r="D191" i="10"/>
  <c r="D192" i="10"/>
  <c r="D193" i="10"/>
  <c r="D194" i="10"/>
  <c r="D195" i="10"/>
  <c r="D196" i="10"/>
  <c r="D197" i="10"/>
  <c r="D198" i="10"/>
  <c r="D199" i="10"/>
  <c r="D200" i="10"/>
  <c r="D201" i="10"/>
  <c r="D202" i="10"/>
  <c r="D203" i="10"/>
  <c r="D204" i="10"/>
  <c r="D205" i="10"/>
  <c r="D206" i="10"/>
  <c r="D207" i="10"/>
  <c r="D208" i="10"/>
  <c r="D209" i="10"/>
  <c r="D210" i="10"/>
  <c r="D211" i="10"/>
  <c r="D212" i="10"/>
  <c r="D213" i="10"/>
  <c r="D214" i="10"/>
  <c r="D215" i="10"/>
  <c r="D216" i="10"/>
  <c r="D217" i="10"/>
  <c r="D218" i="10"/>
  <c r="D219" i="10"/>
  <c r="D220" i="10"/>
  <c r="D221" i="10"/>
  <c r="D222" i="10"/>
  <c r="D223" i="10"/>
  <c r="D224" i="10"/>
  <c r="D225" i="10"/>
  <c r="D226" i="10"/>
  <c r="D227" i="10"/>
  <c r="D228" i="10"/>
  <c r="D229" i="10"/>
  <c r="D230" i="10"/>
  <c r="D231" i="10"/>
  <c r="D232" i="10"/>
  <c r="D233" i="10"/>
  <c r="D234" i="10"/>
  <c r="D235" i="10"/>
  <c r="D236" i="10"/>
  <c r="D237" i="10"/>
  <c r="D238" i="10"/>
  <c r="D239" i="10"/>
  <c r="D240" i="10"/>
  <c r="D241" i="10"/>
  <c r="D242" i="10"/>
  <c r="D243" i="10"/>
  <c r="D244" i="10"/>
  <c r="D245" i="10"/>
  <c r="D246" i="10"/>
  <c r="D247" i="10"/>
  <c r="D248" i="10"/>
  <c r="D249" i="10"/>
  <c r="D250" i="10"/>
  <c r="D251" i="10"/>
  <c r="D252" i="10"/>
  <c r="D253" i="10"/>
  <c r="D254" i="10"/>
  <c r="D255" i="10"/>
  <c r="D256" i="10"/>
  <c r="D257" i="10"/>
  <c r="D258" i="10"/>
  <c r="D259" i="10"/>
  <c r="D260" i="10"/>
  <c r="D261" i="10"/>
  <c r="D262" i="10"/>
  <c r="D263" i="10"/>
  <c r="D264" i="10"/>
  <c r="D265" i="10"/>
  <c r="D266" i="10"/>
  <c r="D267" i="10"/>
  <c r="D268" i="10"/>
  <c r="D269" i="10"/>
  <c r="D270" i="10"/>
  <c r="D271" i="10"/>
  <c r="D272" i="10"/>
  <c r="D273" i="10"/>
  <c r="D274" i="10"/>
  <c r="D275" i="10"/>
  <c r="D276" i="10"/>
  <c r="D277" i="10"/>
  <c r="D278" i="10"/>
  <c r="D279" i="10"/>
  <c r="D280" i="10"/>
  <c r="D281" i="10"/>
  <c r="D282" i="10"/>
  <c r="D283" i="10"/>
  <c r="D284" i="10"/>
  <c r="D285" i="10"/>
  <c r="D286" i="10"/>
  <c r="D287" i="10"/>
  <c r="D288" i="10"/>
  <c r="D289" i="10"/>
  <c r="D290" i="10"/>
  <c r="D291" i="10"/>
  <c r="D292" i="10"/>
  <c r="D293" i="10"/>
  <c r="D294" i="10"/>
  <c r="D295" i="10"/>
  <c r="D296" i="10"/>
  <c r="D297" i="10"/>
  <c r="D298" i="10"/>
  <c r="D299" i="10"/>
  <c r="D300" i="10"/>
  <c r="D301" i="10"/>
  <c r="D302" i="10"/>
  <c r="D303" i="10"/>
  <c r="D304" i="10"/>
  <c r="D305" i="10"/>
  <c r="D306" i="10"/>
  <c r="D307" i="10"/>
  <c r="D308" i="10"/>
  <c r="D309" i="10"/>
  <c r="D310" i="10"/>
  <c r="D311" i="10"/>
  <c r="D312" i="10"/>
  <c r="D313" i="10"/>
  <c r="D314" i="10"/>
  <c r="D315" i="10"/>
  <c r="D316" i="10"/>
  <c r="D317" i="10"/>
  <c r="D318" i="10"/>
  <c r="D7" i="10"/>
  <c r="D6" i="10"/>
  <c r="C318" i="10"/>
  <c r="B318" i="10"/>
  <c r="C317" i="10"/>
  <c r="B317" i="10"/>
  <c r="C316" i="10"/>
  <c r="B316" i="10"/>
  <c r="C315" i="10"/>
  <c r="B315" i="10"/>
  <c r="C314" i="10"/>
  <c r="B314" i="10"/>
  <c r="C313" i="10"/>
  <c r="B313" i="10"/>
  <c r="C312" i="10"/>
  <c r="B312" i="10"/>
  <c r="C311" i="10"/>
  <c r="B311" i="10"/>
  <c r="C310" i="10"/>
  <c r="B310" i="10"/>
  <c r="C309" i="10"/>
  <c r="B309" i="10"/>
  <c r="C308" i="10"/>
  <c r="B308" i="10"/>
  <c r="C307" i="10"/>
  <c r="B307" i="10"/>
  <c r="C306" i="10"/>
  <c r="B306" i="10"/>
  <c r="C305" i="10"/>
  <c r="B305" i="10"/>
  <c r="C304" i="10"/>
  <c r="B304" i="10"/>
  <c r="C303" i="10"/>
  <c r="B303" i="10"/>
  <c r="C302" i="10"/>
  <c r="B302" i="10"/>
  <c r="C301" i="10"/>
  <c r="B301" i="10"/>
  <c r="C300" i="10"/>
  <c r="B300" i="10"/>
  <c r="C299" i="10"/>
  <c r="B299" i="10"/>
  <c r="C298" i="10"/>
  <c r="B298" i="10"/>
  <c r="C297" i="10"/>
  <c r="B297" i="10"/>
  <c r="C296" i="10"/>
  <c r="B296" i="10"/>
  <c r="C295" i="10"/>
  <c r="B295" i="10"/>
  <c r="C294" i="10"/>
  <c r="B294" i="10"/>
  <c r="C293" i="10"/>
  <c r="B293" i="10"/>
  <c r="C292" i="10"/>
  <c r="B292" i="10"/>
  <c r="C291" i="10"/>
  <c r="B291" i="10"/>
  <c r="C290" i="10"/>
  <c r="B290" i="10"/>
  <c r="C289" i="10"/>
  <c r="B289" i="10"/>
  <c r="C288" i="10"/>
  <c r="B288" i="10"/>
  <c r="C287" i="10"/>
  <c r="B287" i="10"/>
  <c r="C286" i="10"/>
  <c r="B286" i="10"/>
  <c r="C285" i="10"/>
  <c r="B285" i="10"/>
  <c r="C284" i="10"/>
  <c r="B284" i="10"/>
  <c r="C283" i="10"/>
  <c r="B283" i="10"/>
  <c r="C282" i="10"/>
  <c r="B282" i="10"/>
  <c r="C281" i="10"/>
  <c r="B281" i="10"/>
  <c r="C280" i="10"/>
  <c r="B280" i="10"/>
  <c r="C279" i="10"/>
  <c r="B279" i="10"/>
  <c r="C278" i="10"/>
  <c r="B278" i="10"/>
  <c r="C277" i="10"/>
  <c r="B277" i="10"/>
  <c r="C276" i="10"/>
  <c r="B276" i="10"/>
  <c r="C275" i="10"/>
  <c r="B275" i="10"/>
  <c r="C274" i="10"/>
  <c r="B274" i="10"/>
  <c r="C273" i="10"/>
  <c r="B273" i="10"/>
  <c r="C272" i="10"/>
  <c r="B272" i="10"/>
  <c r="C271" i="10"/>
  <c r="B271" i="10"/>
  <c r="C270" i="10"/>
  <c r="B270" i="10"/>
  <c r="C269" i="10"/>
  <c r="B269" i="10"/>
  <c r="C268" i="10"/>
  <c r="B268" i="10"/>
  <c r="C267" i="10"/>
  <c r="B267" i="10"/>
  <c r="C266" i="10"/>
  <c r="B266" i="10"/>
  <c r="C265" i="10"/>
  <c r="B265" i="10"/>
  <c r="C264" i="10"/>
  <c r="B264" i="10"/>
  <c r="C263" i="10"/>
  <c r="B263" i="10"/>
  <c r="C262" i="10"/>
  <c r="B262" i="10"/>
  <c r="C261" i="10"/>
  <c r="B261" i="10"/>
  <c r="C260" i="10"/>
  <c r="B260" i="10"/>
  <c r="C259" i="10"/>
  <c r="B259" i="10"/>
  <c r="C258" i="10"/>
  <c r="B258" i="10"/>
  <c r="C257" i="10"/>
  <c r="B257" i="10"/>
  <c r="C256" i="10"/>
  <c r="B256" i="10"/>
  <c r="C255" i="10"/>
  <c r="B255" i="10"/>
  <c r="C254" i="10"/>
  <c r="B254" i="10"/>
  <c r="C253" i="10"/>
  <c r="B253" i="10"/>
  <c r="C252" i="10"/>
  <c r="B252" i="10"/>
  <c r="C251" i="10"/>
  <c r="B251" i="10"/>
  <c r="C250" i="10"/>
  <c r="B250" i="10"/>
  <c r="C249" i="10"/>
  <c r="B249" i="10"/>
  <c r="C248" i="10"/>
  <c r="B248" i="10"/>
  <c r="C247" i="10"/>
  <c r="B247" i="10"/>
  <c r="C246" i="10"/>
  <c r="B246" i="10"/>
  <c r="C245" i="10"/>
  <c r="B245" i="10"/>
  <c r="C244" i="10"/>
  <c r="B244" i="10"/>
  <c r="C243" i="10"/>
  <c r="B243" i="10"/>
  <c r="C242" i="10"/>
  <c r="B242" i="10"/>
  <c r="C241" i="10"/>
  <c r="B241" i="10"/>
  <c r="C240" i="10"/>
  <c r="B240" i="10"/>
  <c r="C239" i="10"/>
  <c r="B239" i="10"/>
  <c r="C238" i="10"/>
  <c r="B238" i="10"/>
  <c r="C237" i="10"/>
  <c r="B237" i="10"/>
  <c r="C236" i="10"/>
  <c r="B236" i="10"/>
  <c r="C235" i="10"/>
  <c r="B235" i="10"/>
  <c r="C234" i="10"/>
  <c r="B234" i="10"/>
  <c r="C233" i="10"/>
  <c r="B233" i="10"/>
  <c r="C232" i="10"/>
  <c r="B232" i="10"/>
  <c r="C231" i="10"/>
  <c r="B231" i="10"/>
  <c r="C230" i="10"/>
  <c r="B230" i="10"/>
  <c r="C229" i="10"/>
  <c r="B229" i="10"/>
  <c r="C228" i="10"/>
  <c r="B228" i="10"/>
  <c r="C227" i="10"/>
  <c r="B227" i="10"/>
  <c r="C226" i="10"/>
  <c r="B226" i="10"/>
  <c r="C225" i="10"/>
  <c r="B225" i="10"/>
  <c r="C224" i="10"/>
  <c r="B224" i="10"/>
  <c r="C223" i="10"/>
  <c r="B223" i="10"/>
  <c r="C222" i="10"/>
  <c r="B222" i="10"/>
  <c r="C221" i="10"/>
  <c r="B221" i="10"/>
  <c r="C220" i="10"/>
  <c r="B220" i="10"/>
  <c r="C219" i="10"/>
  <c r="B219" i="10"/>
  <c r="C218" i="10"/>
  <c r="B218" i="10"/>
  <c r="C217" i="10"/>
  <c r="B217" i="10"/>
  <c r="C216" i="10"/>
  <c r="B216" i="10"/>
  <c r="C215" i="10"/>
  <c r="B215" i="10"/>
  <c r="C214" i="10"/>
  <c r="B214" i="10"/>
  <c r="C213" i="10"/>
  <c r="B213" i="10"/>
  <c r="C212" i="10"/>
  <c r="B212" i="10"/>
  <c r="C211" i="10"/>
  <c r="B211" i="10"/>
  <c r="C210" i="10"/>
  <c r="B210" i="10"/>
  <c r="C209" i="10"/>
  <c r="B209" i="10"/>
  <c r="C208" i="10"/>
  <c r="B208" i="10"/>
  <c r="C207" i="10"/>
  <c r="B207" i="10"/>
  <c r="C206" i="10"/>
  <c r="B206" i="10"/>
  <c r="C205" i="10"/>
  <c r="B205" i="10"/>
  <c r="C204" i="10"/>
  <c r="B204" i="10"/>
  <c r="C203" i="10"/>
  <c r="B203" i="10"/>
  <c r="C202" i="10"/>
  <c r="B202" i="10"/>
  <c r="C201" i="10"/>
  <c r="B201" i="10"/>
  <c r="C200" i="10"/>
  <c r="B200" i="10"/>
  <c r="C199" i="10"/>
  <c r="B199" i="10"/>
  <c r="C198" i="10"/>
  <c r="B198" i="10"/>
  <c r="C197" i="10"/>
  <c r="B197" i="10"/>
  <c r="C196" i="10"/>
  <c r="B196" i="10"/>
  <c r="C195" i="10"/>
  <c r="B195" i="10"/>
  <c r="C194" i="10"/>
  <c r="B194" i="10"/>
  <c r="C193" i="10"/>
  <c r="B193" i="10"/>
  <c r="C192" i="10"/>
  <c r="B192" i="10"/>
  <c r="C191" i="10"/>
  <c r="B191" i="10"/>
  <c r="C190" i="10"/>
  <c r="B190" i="10"/>
  <c r="C189" i="10"/>
  <c r="B189" i="10"/>
  <c r="C188" i="10"/>
  <c r="B188" i="10"/>
  <c r="C187" i="10"/>
  <c r="B187" i="10"/>
  <c r="C186" i="10"/>
  <c r="B186" i="10"/>
  <c r="C185" i="10"/>
  <c r="B185" i="10"/>
  <c r="C184" i="10"/>
  <c r="B184" i="10"/>
  <c r="C183" i="10"/>
  <c r="B183" i="10"/>
  <c r="C182" i="10"/>
  <c r="B182" i="10"/>
  <c r="C181" i="10"/>
  <c r="B181" i="10"/>
  <c r="C180" i="10"/>
  <c r="B180" i="10"/>
  <c r="C179" i="10"/>
  <c r="B179" i="10"/>
  <c r="C178" i="10"/>
  <c r="B178" i="10"/>
  <c r="C177" i="10"/>
  <c r="B177" i="10"/>
  <c r="C176" i="10"/>
  <c r="B176" i="10"/>
  <c r="C175" i="10"/>
  <c r="B175" i="10"/>
  <c r="C174" i="10"/>
  <c r="B174" i="10"/>
  <c r="C173" i="10"/>
  <c r="B173" i="10"/>
  <c r="C172" i="10"/>
  <c r="B172" i="10"/>
  <c r="C171" i="10"/>
  <c r="B171" i="10"/>
  <c r="C170" i="10"/>
  <c r="B170" i="10"/>
  <c r="C169" i="10"/>
  <c r="B169" i="10"/>
  <c r="C168" i="10"/>
  <c r="B168" i="10"/>
  <c r="C167" i="10"/>
  <c r="B167" i="10"/>
  <c r="C166" i="10"/>
  <c r="B166" i="10"/>
  <c r="C165" i="10"/>
  <c r="B165" i="10"/>
  <c r="C164" i="10"/>
  <c r="B164" i="10"/>
  <c r="C163" i="10"/>
  <c r="B163" i="10"/>
  <c r="C162" i="10"/>
  <c r="B162" i="10"/>
  <c r="C161" i="10"/>
  <c r="B161" i="10"/>
  <c r="C160" i="10"/>
  <c r="B160" i="10"/>
  <c r="C159" i="10"/>
  <c r="B159" i="10"/>
  <c r="C158" i="10"/>
  <c r="B158" i="10"/>
  <c r="C157" i="10"/>
  <c r="B157" i="10"/>
  <c r="C156" i="10"/>
  <c r="B156" i="10"/>
  <c r="C155" i="10"/>
  <c r="B155" i="10"/>
  <c r="C154" i="10"/>
  <c r="B154" i="10"/>
  <c r="C153" i="10"/>
  <c r="B153" i="10"/>
  <c r="C152" i="10"/>
  <c r="B152" i="10"/>
  <c r="C151" i="10"/>
  <c r="B151" i="10"/>
  <c r="C150" i="10"/>
  <c r="B150" i="10"/>
  <c r="C149" i="10"/>
  <c r="B149" i="10"/>
  <c r="C148" i="10"/>
  <c r="B148" i="10"/>
  <c r="C147" i="10"/>
  <c r="B147" i="10"/>
  <c r="C146" i="10"/>
  <c r="B146" i="10"/>
  <c r="C145" i="10"/>
  <c r="B145" i="10"/>
  <c r="C144" i="10"/>
  <c r="B144" i="10"/>
  <c r="C143" i="10"/>
  <c r="B143" i="10"/>
  <c r="C142" i="10"/>
  <c r="B142" i="10"/>
  <c r="C141" i="10"/>
  <c r="B141" i="10"/>
  <c r="C140" i="10"/>
  <c r="B140" i="10"/>
  <c r="C139" i="10"/>
  <c r="B139" i="10"/>
  <c r="C138" i="10"/>
  <c r="B138" i="10"/>
  <c r="C137" i="10"/>
  <c r="B137" i="10"/>
  <c r="C136" i="10"/>
  <c r="B136" i="10"/>
  <c r="C135" i="10"/>
  <c r="B135" i="10"/>
  <c r="C134" i="10"/>
  <c r="B134" i="10"/>
  <c r="C133" i="10"/>
  <c r="B133" i="10"/>
  <c r="C132" i="10"/>
  <c r="B132" i="10"/>
  <c r="C131" i="10"/>
  <c r="B131" i="10"/>
  <c r="C130" i="10"/>
  <c r="B130" i="10"/>
  <c r="C129" i="10"/>
  <c r="B129" i="10"/>
  <c r="C128" i="10"/>
  <c r="B128" i="10"/>
  <c r="C127" i="10"/>
  <c r="B127" i="10"/>
  <c r="C126" i="10"/>
  <c r="B126" i="10"/>
  <c r="C125" i="10"/>
  <c r="B125" i="10"/>
  <c r="C124" i="10"/>
  <c r="B124" i="10"/>
  <c r="C123" i="10"/>
  <c r="B123" i="10"/>
  <c r="C122" i="10"/>
  <c r="B122" i="10"/>
  <c r="C121" i="10"/>
  <c r="B121" i="10"/>
  <c r="C120" i="10"/>
  <c r="B120" i="10"/>
  <c r="C119" i="10"/>
  <c r="B119" i="10"/>
  <c r="C118" i="10"/>
  <c r="B118" i="10"/>
  <c r="C117" i="10"/>
  <c r="B117" i="10"/>
  <c r="C116" i="10"/>
  <c r="B116" i="10"/>
  <c r="C115" i="10"/>
  <c r="B115" i="10"/>
  <c r="C114" i="10"/>
  <c r="B114" i="10"/>
  <c r="C113" i="10"/>
  <c r="B113" i="10"/>
  <c r="C112" i="10"/>
  <c r="B112" i="10"/>
  <c r="C111" i="10"/>
  <c r="B111" i="10"/>
  <c r="C110" i="10"/>
  <c r="B110" i="10"/>
  <c r="C109" i="10"/>
  <c r="B109" i="10"/>
  <c r="C108" i="10"/>
  <c r="B108" i="10"/>
  <c r="C107" i="10"/>
  <c r="B107" i="10"/>
  <c r="C106" i="10"/>
  <c r="B106" i="10"/>
  <c r="C105" i="10"/>
  <c r="B105" i="10"/>
  <c r="C104" i="10"/>
  <c r="B104" i="10"/>
  <c r="C103" i="10"/>
  <c r="B103" i="10"/>
  <c r="C102" i="10"/>
  <c r="B102" i="10"/>
  <c r="C101" i="10"/>
  <c r="B101" i="10"/>
  <c r="C100" i="10"/>
  <c r="B100" i="10"/>
  <c r="C99" i="10"/>
  <c r="B99" i="10"/>
  <c r="C98" i="10"/>
  <c r="B98" i="10"/>
  <c r="C97" i="10"/>
  <c r="B97" i="10"/>
  <c r="C96" i="10"/>
  <c r="B96" i="10"/>
  <c r="C95" i="10"/>
  <c r="B95" i="10"/>
  <c r="C94" i="10"/>
  <c r="B94" i="10"/>
  <c r="C93" i="10"/>
  <c r="B93" i="10"/>
  <c r="C92" i="10"/>
  <c r="B92" i="10"/>
  <c r="C91" i="10"/>
  <c r="B91" i="10"/>
  <c r="C90" i="10"/>
  <c r="B90" i="10"/>
  <c r="C89" i="10"/>
  <c r="B89" i="10"/>
  <c r="C88" i="10"/>
  <c r="B88" i="10"/>
  <c r="C87" i="10"/>
  <c r="B87" i="10"/>
  <c r="C86" i="10"/>
  <c r="B86" i="10"/>
  <c r="C85" i="10"/>
  <c r="B85" i="10"/>
  <c r="C84" i="10"/>
  <c r="B84" i="10"/>
  <c r="C83" i="10"/>
  <c r="B83" i="10"/>
  <c r="C82" i="10"/>
  <c r="B82" i="10"/>
  <c r="C81" i="10"/>
  <c r="B81" i="10"/>
  <c r="C80" i="10"/>
  <c r="B80" i="10"/>
  <c r="C79" i="10"/>
  <c r="B79" i="10"/>
  <c r="C78" i="10"/>
  <c r="B78" i="10"/>
  <c r="C77" i="10"/>
  <c r="B77" i="10"/>
  <c r="C76" i="10"/>
  <c r="B76" i="10"/>
  <c r="C75" i="10"/>
  <c r="B75" i="10"/>
  <c r="C74" i="10"/>
  <c r="B74" i="10"/>
  <c r="C73" i="10"/>
  <c r="B73" i="10"/>
  <c r="C72" i="10"/>
  <c r="B72" i="10"/>
  <c r="C71" i="10"/>
  <c r="B71" i="10"/>
  <c r="C70" i="10"/>
  <c r="B70" i="10"/>
  <c r="C69" i="10"/>
  <c r="B69" i="10"/>
  <c r="C68" i="10"/>
  <c r="B68" i="10"/>
  <c r="C67" i="10"/>
  <c r="B67" i="10"/>
  <c r="C66" i="10"/>
  <c r="B66" i="10"/>
  <c r="C65" i="10"/>
  <c r="B65" i="10"/>
  <c r="C64" i="10"/>
  <c r="B64" i="10"/>
  <c r="C63" i="10"/>
  <c r="B63" i="10"/>
  <c r="C62" i="10"/>
  <c r="B62" i="10"/>
  <c r="C61" i="10"/>
  <c r="B61" i="10"/>
  <c r="C60" i="10"/>
  <c r="B60" i="10"/>
  <c r="C59" i="10"/>
  <c r="B59" i="10"/>
  <c r="C58" i="10"/>
  <c r="B58" i="10"/>
  <c r="C57" i="10"/>
  <c r="B57" i="10"/>
  <c r="C56" i="10"/>
  <c r="B56" i="10"/>
  <c r="C55" i="10"/>
  <c r="B55" i="10"/>
  <c r="C54" i="10"/>
  <c r="B54" i="10"/>
  <c r="C53" i="10"/>
  <c r="B53" i="10"/>
  <c r="C52" i="10"/>
  <c r="B52" i="10"/>
  <c r="C51" i="10"/>
  <c r="B51" i="10"/>
  <c r="C50" i="10"/>
  <c r="B50" i="10"/>
  <c r="C49" i="10"/>
  <c r="B49" i="10"/>
  <c r="C48" i="10"/>
  <c r="B48" i="10"/>
  <c r="C47" i="10"/>
  <c r="B47" i="10"/>
  <c r="C46" i="10"/>
  <c r="B46" i="10"/>
  <c r="C45" i="10"/>
  <c r="B45" i="10"/>
  <c r="C44" i="10"/>
  <c r="B44" i="10"/>
  <c r="C43" i="10"/>
  <c r="B43" i="10"/>
  <c r="C42" i="10"/>
  <c r="B42" i="10"/>
  <c r="C41" i="10"/>
  <c r="B41" i="10"/>
  <c r="C40" i="10"/>
  <c r="B40" i="10"/>
  <c r="C39" i="10"/>
  <c r="B39" i="10"/>
  <c r="C38" i="10"/>
  <c r="B38" i="10"/>
  <c r="C37" i="10"/>
  <c r="B37" i="10"/>
  <c r="C36" i="10"/>
  <c r="B36" i="10"/>
  <c r="C35" i="10"/>
  <c r="B35" i="10"/>
  <c r="C34" i="10"/>
  <c r="B34" i="10"/>
  <c r="C33" i="10"/>
  <c r="B33" i="10"/>
  <c r="C32" i="10"/>
  <c r="B32" i="10"/>
  <c r="C31" i="10"/>
  <c r="B31" i="10"/>
  <c r="C30" i="10"/>
  <c r="B30" i="10"/>
  <c r="C29" i="10"/>
  <c r="B29" i="10"/>
  <c r="C28" i="10"/>
  <c r="B28" i="10"/>
  <c r="C27" i="10"/>
  <c r="B27" i="10"/>
  <c r="C26" i="10"/>
  <c r="B26" i="10"/>
  <c r="C25" i="10"/>
  <c r="B25" i="10"/>
  <c r="C24" i="10"/>
  <c r="B24" i="10"/>
  <c r="C23" i="10"/>
  <c r="B23" i="10"/>
  <c r="C22" i="10"/>
  <c r="B22" i="10"/>
  <c r="C21" i="10"/>
  <c r="B21" i="10"/>
  <c r="C20" i="10"/>
  <c r="B20" i="10"/>
  <c r="C19" i="10"/>
  <c r="B19" i="10"/>
  <c r="C18" i="10"/>
  <c r="B18" i="10"/>
  <c r="C17" i="10"/>
  <c r="B17" i="10"/>
  <c r="C16" i="10"/>
  <c r="B16" i="10"/>
  <c r="C15" i="10"/>
  <c r="B15" i="10"/>
  <c r="C14" i="10"/>
  <c r="B14" i="10"/>
  <c r="C13" i="10"/>
  <c r="B13" i="10"/>
  <c r="C12" i="10"/>
  <c r="B12" i="10"/>
  <c r="C11" i="10"/>
  <c r="B11" i="10"/>
  <c r="C10" i="10"/>
  <c r="B10" i="10"/>
  <c r="C9" i="10"/>
  <c r="B9" i="10"/>
  <c r="C8" i="10"/>
  <c r="B8" i="10"/>
  <c r="G7" i="10"/>
  <c r="C7" i="10"/>
  <c r="B7" i="10"/>
  <c r="C6" i="10"/>
  <c r="B6" i="10"/>
  <c r="F4" i="10"/>
  <c r="I1" i="10" l="1"/>
  <c r="I3" i="10"/>
  <c r="R16" i="11"/>
  <c r="H1" i="10"/>
  <c r="J87" i="16" s="1"/>
  <c r="P16" i="11"/>
  <c r="P12" i="11"/>
  <c r="Q12" i="11"/>
  <c r="P15" i="11"/>
  <c r="P14" i="11"/>
  <c r="P13" i="11"/>
  <c r="G1" i="11"/>
  <c r="R15" i="11"/>
  <c r="R14" i="11"/>
  <c r="R13" i="11"/>
  <c r="R12" i="11"/>
  <c r="G1" i="10"/>
  <c r="J86" i="16" s="1"/>
  <c r="L8" i="10"/>
  <c r="L9" i="10"/>
  <c r="J9" i="10"/>
  <c r="J8" i="10"/>
  <c r="J10" i="10"/>
  <c r="G3" i="11" l="1"/>
  <c r="G5" i="11" s="1"/>
  <c r="H59" i="16"/>
  <c r="O8" i="10"/>
  <c r="O9" i="10"/>
  <c r="U14" i="11"/>
  <c r="U12" i="11"/>
  <c r="T12" i="11"/>
  <c r="U15" i="11"/>
  <c r="S16" i="11"/>
  <c r="U16" i="11"/>
  <c r="U13" i="11"/>
  <c r="J88" i="16"/>
  <c r="I4" i="10"/>
  <c r="M87" i="16" s="1"/>
  <c r="L87" i="16"/>
  <c r="I2" i="10"/>
  <c r="M86" i="16" s="1"/>
  <c r="L86" i="16"/>
  <c r="M8" i="10"/>
  <c r="L10" i="10"/>
  <c r="O10" i="10" s="1"/>
  <c r="S13" i="11"/>
  <c r="S15" i="11"/>
  <c r="S14" i="11"/>
  <c r="S12" i="11"/>
  <c r="M9" i="10"/>
  <c r="L88" i="16" l="1"/>
  <c r="M88" i="16" s="1"/>
  <c r="M10" i="10"/>
  <c r="F7" i="6"/>
  <c r="F1" i="6"/>
  <c r="G3" i="6" s="1"/>
  <c r="D87" i="16" s="1"/>
  <c r="E4" i="6"/>
  <c r="C1556" i="9" l="1"/>
  <c r="B1556" i="9"/>
  <c r="C1555" i="9"/>
  <c r="B1555" i="9"/>
  <c r="C1554" i="9"/>
  <c r="B1554" i="9"/>
  <c r="C1553" i="9"/>
  <c r="B1553" i="9"/>
  <c r="C1552" i="9"/>
  <c r="B1552" i="9"/>
  <c r="C1551" i="9"/>
  <c r="B1551" i="9"/>
  <c r="C1550" i="9"/>
  <c r="B1550" i="9"/>
  <c r="C1549" i="9"/>
  <c r="B1549" i="9"/>
  <c r="C1548" i="9"/>
  <c r="B1548" i="9"/>
  <c r="C1547" i="9"/>
  <c r="B1547" i="9"/>
  <c r="C1546" i="9"/>
  <c r="B1546" i="9"/>
  <c r="C1545" i="9"/>
  <c r="B1545" i="9"/>
  <c r="C1544" i="9"/>
  <c r="B1544" i="9"/>
  <c r="C1543" i="9"/>
  <c r="B1543" i="9"/>
  <c r="C1542" i="9"/>
  <c r="B1542" i="9"/>
  <c r="C1541" i="9"/>
  <c r="B1541" i="9"/>
  <c r="C1540" i="9"/>
  <c r="B1540" i="9"/>
  <c r="C1539" i="9"/>
  <c r="B1539" i="9"/>
  <c r="C1538" i="9"/>
  <c r="B1538" i="9"/>
  <c r="C1537" i="9"/>
  <c r="B1537" i="9"/>
  <c r="C1536" i="9"/>
  <c r="B1536" i="9"/>
  <c r="C1535" i="9"/>
  <c r="B1535" i="9"/>
  <c r="C1534" i="9"/>
  <c r="B1534" i="9"/>
  <c r="C1533" i="9"/>
  <c r="B1533" i="9"/>
  <c r="C1532" i="9"/>
  <c r="B1532" i="9"/>
  <c r="C1531" i="9"/>
  <c r="B1531" i="9"/>
  <c r="C1530" i="9"/>
  <c r="B1530" i="9"/>
  <c r="C1529" i="9"/>
  <c r="B1529" i="9"/>
  <c r="C1528" i="9"/>
  <c r="B1528" i="9"/>
  <c r="C1527" i="9"/>
  <c r="B1527" i="9"/>
  <c r="C1526" i="9"/>
  <c r="B1526" i="9"/>
  <c r="C1525" i="9"/>
  <c r="B1525" i="9"/>
  <c r="C1524" i="9"/>
  <c r="B1524" i="9"/>
  <c r="C1523" i="9"/>
  <c r="B1523" i="9"/>
  <c r="C1522" i="9"/>
  <c r="B1522" i="9"/>
  <c r="C1521" i="9"/>
  <c r="B1521" i="9"/>
  <c r="C1520" i="9"/>
  <c r="B1520" i="9"/>
  <c r="C1519" i="9"/>
  <c r="B1519" i="9"/>
  <c r="C1518" i="9"/>
  <c r="B1518" i="9"/>
  <c r="C1517" i="9"/>
  <c r="B1517" i="9"/>
  <c r="C1516" i="9"/>
  <c r="B1516" i="9"/>
  <c r="C1515" i="9"/>
  <c r="B1515" i="9"/>
  <c r="C1514" i="9"/>
  <c r="B1514" i="9"/>
  <c r="C1513" i="9"/>
  <c r="B1513" i="9"/>
  <c r="C1512" i="9"/>
  <c r="B1512" i="9"/>
  <c r="C1511" i="9"/>
  <c r="B1511" i="9"/>
  <c r="C1510" i="9"/>
  <c r="B1510" i="9"/>
  <c r="C1509" i="9"/>
  <c r="B1509" i="9"/>
  <c r="C1508" i="9"/>
  <c r="B1508" i="9"/>
  <c r="C1507" i="9"/>
  <c r="B1507" i="9"/>
  <c r="C1506" i="9"/>
  <c r="B1506" i="9"/>
  <c r="C1505" i="9"/>
  <c r="B1505" i="9"/>
  <c r="C1504" i="9"/>
  <c r="B1504" i="9"/>
  <c r="C1503" i="9"/>
  <c r="B1503" i="9"/>
  <c r="C1502" i="9"/>
  <c r="B1502" i="9"/>
  <c r="C1501" i="9"/>
  <c r="B1501" i="9"/>
  <c r="C1500" i="9"/>
  <c r="B1500" i="9"/>
  <c r="C1499" i="9"/>
  <c r="B1499" i="9"/>
  <c r="C1498" i="9"/>
  <c r="B1498" i="9"/>
  <c r="C1497" i="9"/>
  <c r="B1497" i="9"/>
  <c r="C1496" i="9"/>
  <c r="B1496" i="9"/>
  <c r="C1495" i="9"/>
  <c r="B1495" i="9"/>
  <c r="C1494" i="9"/>
  <c r="B1494" i="9"/>
  <c r="C1493" i="9"/>
  <c r="B1493" i="9"/>
  <c r="C1492" i="9"/>
  <c r="B1492" i="9"/>
  <c r="C1491" i="9"/>
  <c r="B1491" i="9"/>
  <c r="C1490" i="9"/>
  <c r="B1490" i="9"/>
  <c r="C1489" i="9"/>
  <c r="B1489" i="9"/>
  <c r="C1488" i="9"/>
  <c r="B1488" i="9"/>
  <c r="C1487" i="9"/>
  <c r="B1487" i="9"/>
  <c r="C1486" i="9"/>
  <c r="B1486" i="9"/>
  <c r="C1485" i="9"/>
  <c r="B1485" i="9"/>
  <c r="C1484" i="9"/>
  <c r="B1484" i="9"/>
  <c r="C1483" i="9"/>
  <c r="B1483" i="9"/>
  <c r="C1482" i="9"/>
  <c r="B1482" i="9"/>
  <c r="C1481" i="9"/>
  <c r="B1481" i="9"/>
  <c r="C1480" i="9"/>
  <c r="B1480" i="9"/>
  <c r="C1479" i="9"/>
  <c r="B1479" i="9"/>
  <c r="C1478" i="9"/>
  <c r="B1478" i="9"/>
  <c r="C1477" i="9"/>
  <c r="B1477" i="9"/>
  <c r="C1476" i="9"/>
  <c r="B1476" i="9"/>
  <c r="C1475" i="9"/>
  <c r="B1475" i="9"/>
  <c r="C1474" i="9"/>
  <c r="B1474" i="9"/>
  <c r="C1473" i="9"/>
  <c r="B1473" i="9"/>
  <c r="C1472" i="9"/>
  <c r="B1472" i="9"/>
  <c r="C1471" i="9"/>
  <c r="B1471" i="9"/>
  <c r="C1470" i="9"/>
  <c r="B1470" i="9"/>
  <c r="C1469" i="9"/>
  <c r="B1469" i="9"/>
  <c r="C1468" i="9"/>
  <c r="B1468" i="9"/>
  <c r="C1467" i="9"/>
  <c r="B1467" i="9"/>
  <c r="C1466" i="9"/>
  <c r="B1466" i="9"/>
  <c r="C1465" i="9"/>
  <c r="B1465" i="9"/>
  <c r="C1464" i="9"/>
  <c r="B1464" i="9"/>
  <c r="C1463" i="9"/>
  <c r="B1463" i="9"/>
  <c r="C1462" i="9"/>
  <c r="B1462" i="9"/>
  <c r="C1461" i="9"/>
  <c r="B1461" i="9"/>
  <c r="C1460" i="9"/>
  <c r="B1460" i="9"/>
  <c r="C1459" i="9"/>
  <c r="B1459" i="9"/>
  <c r="C1458" i="9"/>
  <c r="B1458" i="9"/>
  <c r="C1457" i="9"/>
  <c r="B1457" i="9"/>
  <c r="C1456" i="9"/>
  <c r="B1456" i="9"/>
  <c r="C1455" i="9"/>
  <c r="B1455" i="9"/>
  <c r="C1454" i="9"/>
  <c r="B1454" i="9"/>
  <c r="C1453" i="9"/>
  <c r="B1453" i="9"/>
  <c r="C1452" i="9"/>
  <c r="B1452" i="9"/>
  <c r="C1451" i="9"/>
  <c r="B1451" i="9"/>
  <c r="C1450" i="9"/>
  <c r="B1450" i="9"/>
  <c r="C1449" i="9"/>
  <c r="B1449" i="9"/>
  <c r="C1448" i="9"/>
  <c r="B1448" i="9"/>
  <c r="C1447" i="9"/>
  <c r="B1447" i="9"/>
  <c r="C1446" i="9"/>
  <c r="B1446" i="9"/>
  <c r="C1445" i="9"/>
  <c r="B1445" i="9"/>
  <c r="C1444" i="9"/>
  <c r="B1444" i="9"/>
  <c r="C1443" i="9"/>
  <c r="B1443" i="9"/>
  <c r="C1442" i="9"/>
  <c r="B1442" i="9"/>
  <c r="C1441" i="9"/>
  <c r="B1441" i="9"/>
  <c r="C1440" i="9"/>
  <c r="B1440" i="9"/>
  <c r="C1439" i="9"/>
  <c r="B1439" i="9"/>
  <c r="C1438" i="9"/>
  <c r="B1438" i="9"/>
  <c r="C1437" i="9"/>
  <c r="B1437" i="9"/>
  <c r="C1436" i="9"/>
  <c r="B1436" i="9"/>
  <c r="C1435" i="9"/>
  <c r="B1435" i="9"/>
  <c r="C1434" i="9"/>
  <c r="B1434" i="9"/>
  <c r="C1433" i="9"/>
  <c r="B1433" i="9"/>
  <c r="C1432" i="9"/>
  <c r="B1432" i="9"/>
  <c r="C1431" i="9"/>
  <c r="B1431" i="9"/>
  <c r="C1430" i="9"/>
  <c r="B1430" i="9"/>
  <c r="C1429" i="9"/>
  <c r="B1429" i="9"/>
  <c r="C1428" i="9"/>
  <c r="B1428" i="9"/>
  <c r="C1427" i="9"/>
  <c r="B1427" i="9"/>
  <c r="C1426" i="9"/>
  <c r="B1426" i="9"/>
  <c r="C1425" i="9"/>
  <c r="B1425" i="9"/>
  <c r="C1424" i="9"/>
  <c r="B1424" i="9"/>
  <c r="C1423" i="9"/>
  <c r="B1423" i="9"/>
  <c r="C1422" i="9"/>
  <c r="B1422" i="9"/>
  <c r="C1421" i="9"/>
  <c r="B1421" i="9"/>
  <c r="C1420" i="9"/>
  <c r="B1420" i="9"/>
  <c r="C1419" i="9"/>
  <c r="B1419" i="9"/>
  <c r="C1418" i="9"/>
  <c r="B1418" i="9"/>
  <c r="C1417" i="9"/>
  <c r="B1417" i="9"/>
  <c r="C1416" i="9"/>
  <c r="B1416" i="9"/>
  <c r="C1415" i="9"/>
  <c r="B1415" i="9"/>
  <c r="C1414" i="9"/>
  <c r="B1414" i="9"/>
  <c r="C1413" i="9"/>
  <c r="B1413" i="9"/>
  <c r="C1412" i="9"/>
  <c r="B1412" i="9"/>
  <c r="C1411" i="9"/>
  <c r="B1411" i="9"/>
  <c r="C1410" i="9"/>
  <c r="B1410" i="9"/>
  <c r="C1409" i="9"/>
  <c r="B1409" i="9"/>
  <c r="C1408" i="9"/>
  <c r="B1408" i="9"/>
  <c r="C1407" i="9"/>
  <c r="B1407" i="9"/>
  <c r="C1406" i="9"/>
  <c r="B1406" i="9"/>
  <c r="C1405" i="9"/>
  <c r="B1405" i="9"/>
  <c r="C1404" i="9"/>
  <c r="B1404" i="9"/>
  <c r="C1403" i="9"/>
  <c r="B1403" i="9"/>
  <c r="C1402" i="9"/>
  <c r="B1402" i="9"/>
  <c r="C1401" i="9"/>
  <c r="B1401" i="9"/>
  <c r="C1400" i="9"/>
  <c r="B1400" i="9"/>
  <c r="C1399" i="9"/>
  <c r="B1399" i="9"/>
  <c r="C1398" i="9"/>
  <c r="B1398" i="9"/>
  <c r="C1397" i="9"/>
  <c r="B1397" i="9"/>
  <c r="C1396" i="9"/>
  <c r="B1396" i="9"/>
  <c r="C1395" i="9"/>
  <c r="B1395" i="9"/>
  <c r="C1394" i="9"/>
  <c r="B1394" i="9"/>
  <c r="C1393" i="9"/>
  <c r="B1393" i="9"/>
  <c r="C1392" i="9"/>
  <c r="B1392" i="9"/>
  <c r="C1391" i="9"/>
  <c r="B1391" i="9"/>
  <c r="C1390" i="9"/>
  <c r="B1390" i="9"/>
  <c r="C1389" i="9"/>
  <c r="B1389" i="9"/>
  <c r="C1388" i="9"/>
  <c r="B1388" i="9"/>
  <c r="C1387" i="9"/>
  <c r="B1387" i="9"/>
  <c r="C1386" i="9"/>
  <c r="B1386" i="9"/>
  <c r="C1385" i="9"/>
  <c r="B1385" i="9"/>
  <c r="C1384" i="9"/>
  <c r="B1384" i="9"/>
  <c r="C1383" i="9"/>
  <c r="B1383" i="9"/>
  <c r="C1382" i="9"/>
  <c r="B1382" i="9"/>
  <c r="C1381" i="9"/>
  <c r="B1381" i="9"/>
  <c r="C1380" i="9"/>
  <c r="B1380" i="9"/>
  <c r="C1379" i="9"/>
  <c r="B1379" i="9"/>
  <c r="C1378" i="9"/>
  <c r="B1378" i="9"/>
  <c r="C1377" i="9"/>
  <c r="B1377" i="9"/>
  <c r="C1376" i="9"/>
  <c r="B1376" i="9"/>
  <c r="C1375" i="9"/>
  <c r="B1375" i="9"/>
  <c r="C1374" i="9"/>
  <c r="B1374" i="9"/>
  <c r="C1373" i="9"/>
  <c r="B1373" i="9"/>
  <c r="C1372" i="9"/>
  <c r="B1372" i="9"/>
  <c r="C1371" i="9"/>
  <c r="B1371" i="9"/>
  <c r="C1370" i="9"/>
  <c r="B1370" i="9"/>
  <c r="C1369" i="9"/>
  <c r="B1369" i="9"/>
  <c r="C1368" i="9"/>
  <c r="B1368" i="9"/>
  <c r="C1367" i="9"/>
  <c r="B1367" i="9"/>
  <c r="C1366" i="9"/>
  <c r="B1366" i="9"/>
  <c r="C1365" i="9"/>
  <c r="B1365" i="9"/>
  <c r="C1364" i="9"/>
  <c r="B1364" i="9"/>
  <c r="C1363" i="9"/>
  <c r="B1363" i="9"/>
  <c r="C1362" i="9"/>
  <c r="B1362" i="9"/>
  <c r="C1361" i="9"/>
  <c r="B1361" i="9"/>
  <c r="C1360" i="9"/>
  <c r="B1360" i="9"/>
  <c r="C1359" i="9"/>
  <c r="B1359" i="9"/>
  <c r="C1358" i="9"/>
  <c r="B1358" i="9"/>
  <c r="C1357" i="9"/>
  <c r="B1357" i="9"/>
  <c r="C1356" i="9"/>
  <c r="B1356" i="9"/>
  <c r="C1355" i="9"/>
  <c r="B1355" i="9"/>
  <c r="C1354" i="9"/>
  <c r="B1354" i="9"/>
  <c r="C1353" i="9"/>
  <c r="B1353" i="9"/>
  <c r="C1352" i="9"/>
  <c r="B1352" i="9"/>
  <c r="C1351" i="9"/>
  <c r="B1351" i="9"/>
  <c r="C1350" i="9"/>
  <c r="B1350" i="9"/>
  <c r="C1349" i="9"/>
  <c r="B1349" i="9"/>
  <c r="C1348" i="9"/>
  <c r="B1348" i="9"/>
  <c r="C1347" i="9"/>
  <c r="B1347" i="9"/>
  <c r="C1346" i="9"/>
  <c r="B1346" i="9"/>
  <c r="C1345" i="9"/>
  <c r="B1345" i="9"/>
  <c r="C1344" i="9"/>
  <c r="B1344" i="9"/>
  <c r="C1343" i="9"/>
  <c r="B1343" i="9"/>
  <c r="C1342" i="9"/>
  <c r="B1342" i="9"/>
  <c r="C1341" i="9"/>
  <c r="B1341" i="9"/>
  <c r="C1340" i="9"/>
  <c r="B1340" i="9"/>
  <c r="C1339" i="9"/>
  <c r="B1339" i="9"/>
  <c r="C1338" i="9"/>
  <c r="B1338" i="9"/>
  <c r="C1337" i="9"/>
  <c r="B1337" i="9"/>
  <c r="C1336" i="9"/>
  <c r="B1336" i="9"/>
  <c r="C1335" i="9"/>
  <c r="B1335" i="9"/>
  <c r="C1334" i="9"/>
  <c r="B1334" i="9"/>
  <c r="C1333" i="9"/>
  <c r="B1333" i="9"/>
  <c r="C1332" i="9"/>
  <c r="B1332" i="9"/>
  <c r="C1331" i="9"/>
  <c r="B1331" i="9"/>
  <c r="C1330" i="9"/>
  <c r="B1330" i="9"/>
  <c r="C1329" i="9"/>
  <c r="B1329" i="9"/>
  <c r="C1328" i="9"/>
  <c r="B1328" i="9"/>
  <c r="C1327" i="9"/>
  <c r="B1327" i="9"/>
  <c r="C1326" i="9"/>
  <c r="B1326" i="9"/>
  <c r="C1325" i="9"/>
  <c r="B1325" i="9"/>
  <c r="C1324" i="9"/>
  <c r="B1324" i="9"/>
  <c r="C1323" i="9"/>
  <c r="B1323" i="9"/>
  <c r="C1322" i="9"/>
  <c r="B1322" i="9"/>
  <c r="C1321" i="9"/>
  <c r="B1321" i="9"/>
  <c r="C1320" i="9"/>
  <c r="B1320" i="9"/>
  <c r="C1319" i="9"/>
  <c r="B1319" i="9"/>
  <c r="C1318" i="9"/>
  <c r="B1318" i="9"/>
  <c r="C1317" i="9"/>
  <c r="B1317" i="9"/>
  <c r="C1316" i="9"/>
  <c r="B1316" i="9"/>
  <c r="C1315" i="9"/>
  <c r="B1315" i="9"/>
  <c r="C1314" i="9"/>
  <c r="B1314" i="9"/>
  <c r="C1313" i="9"/>
  <c r="B1313" i="9"/>
  <c r="C1312" i="9"/>
  <c r="B1312" i="9"/>
  <c r="C1311" i="9"/>
  <c r="B1311" i="9"/>
  <c r="C1310" i="9"/>
  <c r="B1310" i="9"/>
  <c r="C1309" i="9"/>
  <c r="B1309" i="9"/>
  <c r="C1308" i="9"/>
  <c r="B1308" i="9"/>
  <c r="C1307" i="9"/>
  <c r="B1307" i="9"/>
  <c r="C1306" i="9"/>
  <c r="B1306" i="9"/>
  <c r="C1305" i="9"/>
  <c r="B1305" i="9"/>
  <c r="C1304" i="9"/>
  <c r="B1304" i="9"/>
  <c r="C1303" i="9"/>
  <c r="B1303" i="9"/>
  <c r="C1302" i="9"/>
  <c r="B1302" i="9"/>
  <c r="C1301" i="9"/>
  <c r="B1301" i="9"/>
  <c r="C1300" i="9"/>
  <c r="B1300" i="9"/>
  <c r="C1299" i="9"/>
  <c r="B1299" i="9"/>
  <c r="C1298" i="9"/>
  <c r="B1298" i="9"/>
  <c r="C1297" i="9"/>
  <c r="B1297" i="9"/>
  <c r="C1296" i="9"/>
  <c r="B1296" i="9"/>
  <c r="C1295" i="9"/>
  <c r="B1295" i="9"/>
  <c r="C1294" i="9"/>
  <c r="B1294" i="9"/>
  <c r="C1293" i="9"/>
  <c r="B1293" i="9"/>
  <c r="C1292" i="9"/>
  <c r="B1292" i="9"/>
  <c r="C1291" i="9"/>
  <c r="B1291" i="9"/>
  <c r="C1290" i="9"/>
  <c r="B1290" i="9"/>
  <c r="C1289" i="9"/>
  <c r="B1289" i="9"/>
  <c r="C1288" i="9"/>
  <c r="B1288" i="9"/>
  <c r="C1287" i="9"/>
  <c r="B1287" i="9"/>
  <c r="C1286" i="9"/>
  <c r="B1286" i="9"/>
  <c r="C1285" i="9"/>
  <c r="B1285" i="9"/>
  <c r="C1284" i="9"/>
  <c r="B1284" i="9"/>
  <c r="C1283" i="9"/>
  <c r="B1283" i="9"/>
  <c r="C1282" i="9"/>
  <c r="B1282" i="9"/>
  <c r="C1281" i="9"/>
  <c r="B1281" i="9"/>
  <c r="C1280" i="9"/>
  <c r="B1280" i="9"/>
  <c r="C1279" i="9"/>
  <c r="B1279" i="9"/>
  <c r="C1278" i="9"/>
  <c r="B1278" i="9"/>
  <c r="C1277" i="9"/>
  <c r="B1277" i="9"/>
  <c r="C1276" i="9"/>
  <c r="B1276" i="9"/>
  <c r="C1275" i="9"/>
  <c r="B1275" i="9"/>
  <c r="C1274" i="9"/>
  <c r="B1274" i="9"/>
  <c r="C1273" i="9"/>
  <c r="B1273" i="9"/>
  <c r="C1272" i="9"/>
  <c r="B1272" i="9"/>
  <c r="C1271" i="9"/>
  <c r="B1271" i="9"/>
  <c r="C1270" i="9"/>
  <c r="B1270" i="9"/>
  <c r="C1269" i="9"/>
  <c r="B1269" i="9"/>
  <c r="C1268" i="9"/>
  <c r="B1268" i="9"/>
  <c r="C1267" i="9"/>
  <c r="B1267" i="9"/>
  <c r="C1266" i="9"/>
  <c r="B1266" i="9"/>
  <c r="C1265" i="9"/>
  <c r="B1265" i="9"/>
  <c r="C1264" i="9"/>
  <c r="B1264" i="9"/>
  <c r="C1263" i="9"/>
  <c r="B1263" i="9"/>
  <c r="C1262" i="9"/>
  <c r="B1262" i="9"/>
  <c r="C1261" i="9"/>
  <c r="B1261" i="9"/>
  <c r="C1260" i="9"/>
  <c r="B1260" i="9"/>
  <c r="C1259" i="9"/>
  <c r="B1259" i="9"/>
  <c r="C1258" i="9"/>
  <c r="B1258" i="9"/>
  <c r="C1257" i="9"/>
  <c r="B1257" i="9"/>
  <c r="C1256" i="9"/>
  <c r="B1256" i="9"/>
  <c r="C1255" i="9"/>
  <c r="B1255" i="9"/>
  <c r="C1254" i="9"/>
  <c r="B1254" i="9"/>
  <c r="C1253" i="9"/>
  <c r="B1253" i="9"/>
  <c r="C1252" i="9"/>
  <c r="B1252" i="9"/>
  <c r="C1251" i="9"/>
  <c r="B1251" i="9"/>
  <c r="C1250" i="9"/>
  <c r="B1250" i="9"/>
  <c r="C1249" i="9"/>
  <c r="B1249" i="9"/>
  <c r="C1248" i="9"/>
  <c r="B1248" i="9"/>
  <c r="C1247" i="9"/>
  <c r="B1247" i="9"/>
  <c r="C1246" i="9"/>
  <c r="B1246" i="9"/>
  <c r="C1245" i="9"/>
  <c r="B1245" i="9"/>
  <c r="C1244" i="9"/>
  <c r="B1244" i="9"/>
  <c r="C1243" i="9"/>
  <c r="B1243" i="9"/>
  <c r="C1242" i="9"/>
  <c r="B1242" i="9"/>
  <c r="C1241" i="9"/>
  <c r="B1241" i="9"/>
  <c r="C1240" i="9"/>
  <c r="B1240" i="9"/>
  <c r="C1239" i="9"/>
  <c r="B1239" i="9"/>
  <c r="C1238" i="9"/>
  <c r="B1238" i="9"/>
  <c r="C1237" i="9"/>
  <c r="B1237" i="9"/>
  <c r="C1236" i="9"/>
  <c r="B1236" i="9"/>
  <c r="C1235" i="9"/>
  <c r="B1235" i="9"/>
  <c r="C1234" i="9"/>
  <c r="B1234" i="9"/>
  <c r="C1233" i="9"/>
  <c r="B1233" i="9"/>
  <c r="C1232" i="9"/>
  <c r="B1232" i="9"/>
  <c r="C1231" i="9"/>
  <c r="B1231" i="9"/>
  <c r="C1230" i="9"/>
  <c r="B1230" i="9"/>
  <c r="C1229" i="9"/>
  <c r="B1229" i="9"/>
  <c r="C1228" i="9"/>
  <c r="B1228" i="9"/>
  <c r="C1227" i="9"/>
  <c r="B1227" i="9"/>
  <c r="C1226" i="9"/>
  <c r="B1226" i="9"/>
  <c r="C1225" i="9"/>
  <c r="B1225" i="9"/>
  <c r="C1224" i="9"/>
  <c r="B1224" i="9"/>
  <c r="C1223" i="9"/>
  <c r="B1223" i="9"/>
  <c r="C1222" i="9"/>
  <c r="B1222" i="9"/>
  <c r="C1221" i="9"/>
  <c r="B1221" i="9"/>
  <c r="C1220" i="9"/>
  <c r="B1220" i="9"/>
  <c r="C1219" i="9"/>
  <c r="B1219" i="9"/>
  <c r="C1218" i="9"/>
  <c r="B1218" i="9"/>
  <c r="C1217" i="9"/>
  <c r="B1217" i="9"/>
  <c r="C1216" i="9"/>
  <c r="B1216" i="9"/>
  <c r="C1215" i="9"/>
  <c r="B1215" i="9"/>
  <c r="C1214" i="9"/>
  <c r="B1214" i="9"/>
  <c r="C1213" i="9"/>
  <c r="B1213" i="9"/>
  <c r="C1212" i="9"/>
  <c r="B1212" i="9"/>
  <c r="C1211" i="9"/>
  <c r="B1211" i="9"/>
  <c r="C1210" i="9"/>
  <c r="B1210" i="9"/>
  <c r="C1209" i="9"/>
  <c r="B1209" i="9"/>
  <c r="C1208" i="9"/>
  <c r="B1208" i="9"/>
  <c r="C1207" i="9"/>
  <c r="B1207" i="9"/>
  <c r="C1206" i="9"/>
  <c r="B1206" i="9"/>
  <c r="C1205" i="9"/>
  <c r="B1205" i="9"/>
  <c r="C1204" i="9"/>
  <c r="B1204" i="9"/>
  <c r="C1203" i="9"/>
  <c r="B1203" i="9"/>
  <c r="C1202" i="9"/>
  <c r="B1202" i="9"/>
  <c r="C1201" i="9"/>
  <c r="B1201" i="9"/>
  <c r="C1200" i="9"/>
  <c r="B1200" i="9"/>
  <c r="C1199" i="9"/>
  <c r="B1199" i="9"/>
  <c r="C1198" i="9"/>
  <c r="B1198" i="9"/>
  <c r="C1197" i="9"/>
  <c r="B1197" i="9"/>
  <c r="C1196" i="9"/>
  <c r="B1196" i="9"/>
  <c r="C1195" i="9"/>
  <c r="B1195" i="9"/>
  <c r="C1194" i="9"/>
  <c r="B1194" i="9"/>
  <c r="C1193" i="9"/>
  <c r="B1193" i="9"/>
  <c r="C1192" i="9"/>
  <c r="B1192" i="9"/>
  <c r="C1191" i="9"/>
  <c r="B1191" i="9"/>
  <c r="C1190" i="9"/>
  <c r="B1190" i="9"/>
  <c r="C1189" i="9"/>
  <c r="B1189" i="9"/>
  <c r="C1188" i="9"/>
  <c r="B1188" i="9"/>
  <c r="C1187" i="9"/>
  <c r="B1187" i="9"/>
  <c r="C1186" i="9"/>
  <c r="B1186" i="9"/>
  <c r="C1185" i="9"/>
  <c r="B1185" i="9"/>
  <c r="C1184" i="9"/>
  <c r="B1184" i="9"/>
  <c r="C1183" i="9"/>
  <c r="B1183" i="9"/>
  <c r="C1182" i="9"/>
  <c r="B1182" i="9"/>
  <c r="C1181" i="9"/>
  <c r="B1181" i="9"/>
  <c r="C1180" i="9"/>
  <c r="B1180" i="9"/>
  <c r="C1179" i="9"/>
  <c r="B1179" i="9"/>
  <c r="C1178" i="9"/>
  <c r="B1178" i="9"/>
  <c r="C1177" i="9"/>
  <c r="B1177" i="9"/>
  <c r="C1176" i="9"/>
  <c r="B1176" i="9"/>
  <c r="C1175" i="9"/>
  <c r="B1175" i="9"/>
  <c r="C1174" i="9"/>
  <c r="B1174" i="9"/>
  <c r="C1173" i="9"/>
  <c r="B1173" i="9"/>
  <c r="C1172" i="9"/>
  <c r="B1172" i="9"/>
  <c r="C1171" i="9"/>
  <c r="B1171" i="9"/>
  <c r="C1170" i="9"/>
  <c r="B1170" i="9"/>
  <c r="C1169" i="9"/>
  <c r="B1169" i="9"/>
  <c r="C1168" i="9"/>
  <c r="B1168" i="9"/>
  <c r="C1167" i="9"/>
  <c r="B1167" i="9"/>
  <c r="C1166" i="9"/>
  <c r="B1166" i="9"/>
  <c r="C1165" i="9"/>
  <c r="B1165" i="9"/>
  <c r="C1164" i="9"/>
  <c r="B1164" i="9"/>
  <c r="C1163" i="9"/>
  <c r="B1163" i="9"/>
  <c r="C1162" i="9"/>
  <c r="B1162" i="9"/>
  <c r="C1161" i="9"/>
  <c r="B1161" i="9"/>
  <c r="C1160" i="9"/>
  <c r="B1160" i="9"/>
  <c r="C1159" i="9"/>
  <c r="B1159" i="9"/>
  <c r="C1158" i="9"/>
  <c r="B1158" i="9"/>
  <c r="C1157" i="9"/>
  <c r="B1157" i="9"/>
  <c r="C1156" i="9"/>
  <c r="B1156" i="9"/>
  <c r="C1155" i="9"/>
  <c r="B1155" i="9"/>
  <c r="C1154" i="9"/>
  <c r="B1154" i="9"/>
  <c r="C1153" i="9"/>
  <c r="B1153" i="9"/>
  <c r="C1152" i="9"/>
  <c r="B1152" i="9"/>
  <c r="C1151" i="9"/>
  <c r="B1151" i="9"/>
  <c r="C1150" i="9"/>
  <c r="B1150" i="9"/>
  <c r="C1149" i="9"/>
  <c r="B1149" i="9"/>
  <c r="C1148" i="9"/>
  <c r="B1148" i="9"/>
  <c r="C1147" i="9"/>
  <c r="B1147" i="9"/>
  <c r="C1146" i="9"/>
  <c r="B1146" i="9"/>
  <c r="C1145" i="9"/>
  <c r="B1145" i="9"/>
  <c r="C1144" i="9"/>
  <c r="B1144" i="9"/>
  <c r="C1143" i="9"/>
  <c r="B1143" i="9"/>
  <c r="C1142" i="9"/>
  <c r="B1142" i="9"/>
  <c r="C1141" i="9"/>
  <c r="B1141" i="9"/>
  <c r="C1140" i="9"/>
  <c r="B1140" i="9"/>
  <c r="C1139" i="9"/>
  <c r="B1139" i="9"/>
  <c r="C1138" i="9"/>
  <c r="B1138" i="9"/>
  <c r="C1137" i="9"/>
  <c r="B1137" i="9"/>
  <c r="C1136" i="9"/>
  <c r="B1136" i="9"/>
  <c r="C1135" i="9"/>
  <c r="B1135" i="9"/>
  <c r="C1134" i="9"/>
  <c r="B1134" i="9"/>
  <c r="C1133" i="9"/>
  <c r="B1133" i="9"/>
  <c r="C1132" i="9"/>
  <c r="B1132" i="9"/>
  <c r="C1131" i="9"/>
  <c r="B1131" i="9"/>
  <c r="C1130" i="9"/>
  <c r="B1130" i="9"/>
  <c r="C1129" i="9"/>
  <c r="B1129" i="9"/>
  <c r="C1128" i="9"/>
  <c r="B1128" i="9"/>
  <c r="C1127" i="9"/>
  <c r="B1127" i="9"/>
  <c r="C1126" i="9"/>
  <c r="B1126" i="9"/>
  <c r="C1125" i="9"/>
  <c r="B1125" i="9"/>
  <c r="C1124" i="9"/>
  <c r="B1124" i="9"/>
  <c r="C1123" i="9"/>
  <c r="B1123" i="9"/>
  <c r="C1122" i="9"/>
  <c r="B1122" i="9"/>
  <c r="C1121" i="9"/>
  <c r="B1121" i="9"/>
  <c r="C1120" i="9"/>
  <c r="B1120" i="9"/>
  <c r="C1119" i="9"/>
  <c r="B1119" i="9"/>
  <c r="C1118" i="9"/>
  <c r="B1118" i="9"/>
  <c r="C1117" i="9"/>
  <c r="B1117" i="9"/>
  <c r="C1116" i="9"/>
  <c r="B1116" i="9"/>
  <c r="C1115" i="9"/>
  <c r="B1115" i="9"/>
  <c r="C1114" i="9"/>
  <c r="B1114" i="9"/>
  <c r="C1113" i="9"/>
  <c r="B1113" i="9"/>
  <c r="C1112" i="9"/>
  <c r="B1112" i="9"/>
  <c r="C1111" i="9"/>
  <c r="B1111" i="9"/>
  <c r="C1110" i="9"/>
  <c r="B1110" i="9"/>
  <c r="C1109" i="9"/>
  <c r="B1109" i="9"/>
  <c r="C1108" i="9"/>
  <c r="B1108" i="9"/>
  <c r="C1107" i="9"/>
  <c r="B1107" i="9"/>
  <c r="C1106" i="9"/>
  <c r="B1106" i="9"/>
  <c r="C1105" i="9"/>
  <c r="B1105" i="9"/>
  <c r="C1104" i="9"/>
  <c r="B1104" i="9"/>
  <c r="C1103" i="9"/>
  <c r="B1103" i="9"/>
  <c r="C1102" i="9"/>
  <c r="B1102" i="9"/>
  <c r="C1101" i="9"/>
  <c r="B1101" i="9"/>
  <c r="C1100" i="9"/>
  <c r="B1100" i="9"/>
  <c r="C1099" i="9"/>
  <c r="B1099" i="9"/>
  <c r="C1098" i="9"/>
  <c r="B1098" i="9"/>
  <c r="C1097" i="9"/>
  <c r="B1097" i="9"/>
  <c r="C1096" i="9"/>
  <c r="B1096" i="9"/>
  <c r="C1095" i="9"/>
  <c r="B1095" i="9"/>
  <c r="C1094" i="9"/>
  <c r="B1094" i="9"/>
  <c r="C1093" i="9"/>
  <c r="B1093" i="9"/>
  <c r="C1092" i="9"/>
  <c r="B1092" i="9"/>
  <c r="C1091" i="9"/>
  <c r="B1091" i="9"/>
  <c r="C1090" i="9"/>
  <c r="B1090" i="9"/>
  <c r="C1089" i="9"/>
  <c r="B1089" i="9"/>
  <c r="C1088" i="9"/>
  <c r="B1088" i="9"/>
  <c r="C1087" i="9"/>
  <c r="B1087" i="9"/>
  <c r="C1086" i="9"/>
  <c r="B1086" i="9"/>
  <c r="C1085" i="9"/>
  <c r="B1085" i="9"/>
  <c r="C1084" i="9"/>
  <c r="B1084" i="9"/>
  <c r="C1083" i="9"/>
  <c r="B1083" i="9"/>
  <c r="C1082" i="9"/>
  <c r="B1082" i="9"/>
  <c r="C1081" i="9"/>
  <c r="B1081" i="9"/>
  <c r="C1080" i="9"/>
  <c r="B1080" i="9"/>
  <c r="C1079" i="9"/>
  <c r="B1079" i="9"/>
  <c r="C1078" i="9"/>
  <c r="B1078" i="9"/>
  <c r="C1077" i="9"/>
  <c r="B1077" i="9"/>
  <c r="C1076" i="9"/>
  <c r="B1076" i="9"/>
  <c r="C1075" i="9"/>
  <c r="B1075" i="9"/>
  <c r="C1074" i="9"/>
  <c r="B1074" i="9"/>
  <c r="C1073" i="9"/>
  <c r="B1073" i="9"/>
  <c r="C1072" i="9"/>
  <c r="B1072" i="9"/>
  <c r="C1071" i="9"/>
  <c r="B1071" i="9"/>
  <c r="C1070" i="9"/>
  <c r="B1070" i="9"/>
  <c r="C1069" i="9"/>
  <c r="B1069" i="9"/>
  <c r="C1068" i="9"/>
  <c r="B1068" i="9"/>
  <c r="C1067" i="9"/>
  <c r="B1067" i="9"/>
  <c r="C1066" i="9"/>
  <c r="B1066" i="9"/>
  <c r="C1065" i="9"/>
  <c r="B1065" i="9"/>
  <c r="C1064" i="9"/>
  <c r="B1064" i="9"/>
  <c r="C1063" i="9"/>
  <c r="B1063" i="9"/>
  <c r="C1062" i="9"/>
  <c r="B1062" i="9"/>
  <c r="C1061" i="9"/>
  <c r="B1061" i="9"/>
  <c r="C1060" i="9"/>
  <c r="B1060" i="9"/>
  <c r="C1059" i="9"/>
  <c r="B1059" i="9"/>
  <c r="C1058" i="9"/>
  <c r="B1058" i="9"/>
  <c r="C1057" i="9"/>
  <c r="B1057" i="9"/>
  <c r="C1056" i="9"/>
  <c r="B1056" i="9"/>
  <c r="C1055" i="9"/>
  <c r="B1055" i="9"/>
  <c r="C1054" i="9"/>
  <c r="B1054" i="9"/>
  <c r="C1053" i="9"/>
  <c r="B1053" i="9"/>
  <c r="C1052" i="9"/>
  <c r="B1052" i="9"/>
  <c r="C1051" i="9"/>
  <c r="B1051" i="9"/>
  <c r="C1050" i="9"/>
  <c r="B1050" i="9"/>
  <c r="C1049" i="9"/>
  <c r="B1049" i="9"/>
  <c r="C1048" i="9"/>
  <c r="B1048" i="9"/>
  <c r="C1047" i="9"/>
  <c r="B1047" i="9"/>
  <c r="C1046" i="9"/>
  <c r="B1046" i="9"/>
  <c r="C1045" i="9"/>
  <c r="B1045" i="9"/>
  <c r="C1044" i="9"/>
  <c r="B1044" i="9"/>
  <c r="C1043" i="9"/>
  <c r="B1043" i="9"/>
  <c r="C1042" i="9"/>
  <c r="B1042" i="9"/>
  <c r="C1041" i="9"/>
  <c r="B1041" i="9"/>
  <c r="C1040" i="9"/>
  <c r="B1040" i="9"/>
  <c r="C1039" i="9"/>
  <c r="B1039" i="9"/>
  <c r="C1038" i="9"/>
  <c r="B1038" i="9"/>
  <c r="C1037" i="9"/>
  <c r="B1037" i="9"/>
  <c r="C1036" i="9"/>
  <c r="B1036" i="9"/>
  <c r="C1035" i="9"/>
  <c r="B1035" i="9"/>
  <c r="C1034" i="9"/>
  <c r="B1034" i="9"/>
  <c r="C1033" i="9"/>
  <c r="B1033" i="9"/>
  <c r="C1032" i="9"/>
  <c r="B1032" i="9"/>
  <c r="C1031" i="9"/>
  <c r="B1031" i="9"/>
  <c r="C1030" i="9"/>
  <c r="B1030" i="9"/>
  <c r="C1029" i="9"/>
  <c r="B1029" i="9"/>
  <c r="C1028" i="9"/>
  <c r="B1028" i="9"/>
  <c r="C1027" i="9"/>
  <c r="B1027" i="9"/>
  <c r="C1026" i="9"/>
  <c r="B1026" i="9"/>
  <c r="C1025" i="9"/>
  <c r="B1025" i="9"/>
  <c r="C1024" i="9"/>
  <c r="B1024" i="9"/>
  <c r="C1023" i="9"/>
  <c r="B1023" i="9"/>
  <c r="C1022" i="9"/>
  <c r="B1022" i="9"/>
  <c r="C1021" i="9"/>
  <c r="B1021" i="9"/>
  <c r="C1020" i="9"/>
  <c r="B1020" i="9"/>
  <c r="C1019" i="9"/>
  <c r="B1019" i="9"/>
  <c r="C1018" i="9"/>
  <c r="B1018" i="9"/>
  <c r="C1017" i="9"/>
  <c r="B1017" i="9"/>
  <c r="C1016" i="9"/>
  <c r="B1016" i="9"/>
  <c r="C1015" i="9"/>
  <c r="B1015" i="9"/>
  <c r="C1014" i="9"/>
  <c r="B1014" i="9"/>
  <c r="C1013" i="9"/>
  <c r="B1013" i="9"/>
  <c r="C1012" i="9"/>
  <c r="B1012" i="9"/>
  <c r="C1011" i="9"/>
  <c r="B1011" i="9"/>
  <c r="C1010" i="9"/>
  <c r="B1010" i="9"/>
  <c r="C1009" i="9"/>
  <c r="B1009" i="9"/>
  <c r="C1008" i="9"/>
  <c r="B1008" i="9"/>
  <c r="C1007" i="9"/>
  <c r="B1007" i="9"/>
  <c r="C1006" i="9"/>
  <c r="B1006" i="9"/>
  <c r="C1005" i="9"/>
  <c r="B1005" i="9"/>
  <c r="C1004" i="9"/>
  <c r="B1004" i="9"/>
  <c r="C1003" i="9"/>
  <c r="B1003" i="9"/>
  <c r="C1002" i="9"/>
  <c r="B1002" i="9"/>
  <c r="C1001" i="9"/>
  <c r="B1001" i="9"/>
  <c r="C1000" i="9"/>
  <c r="B1000" i="9"/>
  <c r="C999" i="9"/>
  <c r="B999" i="9"/>
  <c r="C998" i="9"/>
  <c r="B998" i="9"/>
  <c r="C997" i="9"/>
  <c r="B997" i="9"/>
  <c r="C996" i="9"/>
  <c r="B996" i="9"/>
  <c r="C995" i="9"/>
  <c r="B995" i="9"/>
  <c r="C994" i="9"/>
  <c r="B994" i="9"/>
  <c r="C993" i="9"/>
  <c r="B993" i="9"/>
  <c r="C992" i="9"/>
  <c r="B992" i="9"/>
  <c r="C991" i="9"/>
  <c r="B991" i="9"/>
  <c r="C990" i="9"/>
  <c r="B990" i="9"/>
  <c r="C989" i="9"/>
  <c r="B989" i="9"/>
  <c r="C988" i="9"/>
  <c r="B988" i="9"/>
  <c r="C987" i="9"/>
  <c r="B987" i="9"/>
  <c r="C986" i="9"/>
  <c r="B986" i="9"/>
  <c r="C985" i="9"/>
  <c r="B985" i="9"/>
  <c r="C984" i="9"/>
  <c r="B984" i="9"/>
  <c r="C983" i="9"/>
  <c r="B983" i="9"/>
  <c r="C982" i="9"/>
  <c r="B982" i="9"/>
  <c r="C981" i="9"/>
  <c r="B981" i="9"/>
  <c r="C980" i="9"/>
  <c r="B980" i="9"/>
  <c r="C979" i="9"/>
  <c r="B979" i="9"/>
  <c r="C978" i="9"/>
  <c r="B978" i="9"/>
  <c r="C977" i="9"/>
  <c r="B977" i="9"/>
  <c r="C976" i="9"/>
  <c r="B976" i="9"/>
  <c r="C975" i="9"/>
  <c r="B975" i="9"/>
  <c r="C974" i="9"/>
  <c r="B974" i="9"/>
  <c r="C973" i="9"/>
  <c r="B973" i="9"/>
  <c r="C972" i="9"/>
  <c r="B972" i="9"/>
  <c r="C971" i="9"/>
  <c r="B971" i="9"/>
  <c r="C970" i="9"/>
  <c r="B970" i="9"/>
  <c r="C969" i="9"/>
  <c r="B969" i="9"/>
  <c r="C968" i="9"/>
  <c r="B968" i="9"/>
  <c r="C967" i="9"/>
  <c r="B967" i="9"/>
  <c r="C966" i="9"/>
  <c r="B966" i="9"/>
  <c r="C965" i="9"/>
  <c r="B965" i="9"/>
  <c r="C964" i="9"/>
  <c r="B964" i="9"/>
  <c r="C963" i="9"/>
  <c r="B963" i="9"/>
  <c r="C962" i="9"/>
  <c r="B962" i="9"/>
  <c r="C961" i="9"/>
  <c r="B961" i="9"/>
  <c r="C960" i="9"/>
  <c r="B960" i="9"/>
  <c r="C959" i="9"/>
  <c r="B959" i="9"/>
  <c r="C958" i="9"/>
  <c r="B958" i="9"/>
  <c r="C957" i="9"/>
  <c r="B957" i="9"/>
  <c r="C956" i="9"/>
  <c r="B956" i="9"/>
  <c r="C955" i="9"/>
  <c r="B955" i="9"/>
  <c r="C954" i="9"/>
  <c r="B954" i="9"/>
  <c r="C953" i="9"/>
  <c r="B953" i="9"/>
  <c r="C952" i="9"/>
  <c r="B952" i="9"/>
  <c r="C951" i="9"/>
  <c r="B951" i="9"/>
  <c r="C950" i="9"/>
  <c r="B950" i="9"/>
  <c r="C949" i="9"/>
  <c r="B949" i="9"/>
  <c r="C948" i="9"/>
  <c r="B948" i="9"/>
  <c r="C947" i="9"/>
  <c r="B947" i="9"/>
  <c r="C946" i="9"/>
  <c r="B946" i="9"/>
  <c r="C945" i="9"/>
  <c r="B945" i="9"/>
  <c r="C944" i="9"/>
  <c r="B944" i="9"/>
  <c r="C943" i="9"/>
  <c r="B943" i="9"/>
  <c r="C942" i="9"/>
  <c r="B942" i="9"/>
  <c r="C941" i="9"/>
  <c r="B941" i="9"/>
  <c r="C940" i="9"/>
  <c r="B940" i="9"/>
  <c r="C939" i="9"/>
  <c r="B939" i="9"/>
  <c r="C938" i="9"/>
  <c r="B938" i="9"/>
  <c r="C937" i="9"/>
  <c r="B937" i="9"/>
  <c r="C936" i="9"/>
  <c r="B936" i="9"/>
  <c r="C935" i="9"/>
  <c r="B935" i="9"/>
  <c r="C934" i="9"/>
  <c r="B934" i="9"/>
  <c r="C933" i="9"/>
  <c r="B933" i="9"/>
  <c r="C932" i="9"/>
  <c r="B932" i="9"/>
  <c r="C931" i="9"/>
  <c r="B931" i="9"/>
  <c r="C930" i="9"/>
  <c r="B930" i="9"/>
  <c r="C929" i="9"/>
  <c r="B929" i="9"/>
  <c r="C928" i="9"/>
  <c r="B928" i="9"/>
  <c r="C927" i="9"/>
  <c r="B927" i="9"/>
  <c r="C926" i="9"/>
  <c r="B926" i="9"/>
  <c r="C925" i="9"/>
  <c r="B925" i="9"/>
  <c r="C924" i="9"/>
  <c r="B924" i="9"/>
  <c r="C923" i="9"/>
  <c r="B923" i="9"/>
  <c r="C922" i="9"/>
  <c r="B922" i="9"/>
  <c r="C921" i="9"/>
  <c r="B921" i="9"/>
  <c r="C920" i="9"/>
  <c r="B920" i="9"/>
  <c r="C919" i="9"/>
  <c r="B919" i="9"/>
  <c r="C918" i="9"/>
  <c r="B918" i="9"/>
  <c r="C917" i="9"/>
  <c r="B917" i="9"/>
  <c r="C916" i="9"/>
  <c r="B916" i="9"/>
  <c r="C915" i="9"/>
  <c r="B915" i="9"/>
  <c r="C914" i="9"/>
  <c r="B914" i="9"/>
  <c r="C913" i="9"/>
  <c r="B913" i="9"/>
  <c r="C912" i="9"/>
  <c r="B912" i="9"/>
  <c r="C911" i="9"/>
  <c r="B911" i="9"/>
  <c r="C910" i="9"/>
  <c r="B910" i="9"/>
  <c r="C909" i="9"/>
  <c r="B909" i="9"/>
  <c r="C908" i="9"/>
  <c r="B908" i="9"/>
  <c r="C907" i="9"/>
  <c r="B907" i="9"/>
  <c r="C906" i="9"/>
  <c r="B906" i="9"/>
  <c r="C905" i="9"/>
  <c r="B905" i="9"/>
  <c r="C904" i="9"/>
  <c r="B904" i="9"/>
  <c r="C903" i="9"/>
  <c r="B903" i="9"/>
  <c r="C902" i="9"/>
  <c r="B902" i="9"/>
  <c r="C901" i="9"/>
  <c r="B901" i="9"/>
  <c r="C900" i="9"/>
  <c r="B900" i="9"/>
  <c r="C899" i="9"/>
  <c r="B899" i="9"/>
  <c r="C898" i="9"/>
  <c r="B898" i="9"/>
  <c r="C897" i="9"/>
  <c r="B897" i="9"/>
  <c r="C896" i="9"/>
  <c r="B896" i="9"/>
  <c r="C895" i="9"/>
  <c r="B895" i="9"/>
  <c r="C894" i="9"/>
  <c r="B894" i="9"/>
  <c r="C893" i="9"/>
  <c r="B893" i="9"/>
  <c r="C892" i="9"/>
  <c r="B892" i="9"/>
  <c r="C891" i="9"/>
  <c r="B891" i="9"/>
  <c r="C890" i="9"/>
  <c r="B890" i="9"/>
  <c r="C889" i="9"/>
  <c r="B889" i="9"/>
  <c r="C888" i="9"/>
  <c r="B888" i="9"/>
  <c r="C887" i="9"/>
  <c r="B887" i="9"/>
  <c r="C886" i="9"/>
  <c r="B886" i="9"/>
  <c r="C885" i="9"/>
  <c r="B885" i="9"/>
  <c r="C884" i="9"/>
  <c r="B884" i="9"/>
  <c r="C883" i="9"/>
  <c r="B883" i="9"/>
  <c r="C882" i="9"/>
  <c r="B882" i="9"/>
  <c r="C881" i="9"/>
  <c r="B881" i="9"/>
  <c r="C880" i="9"/>
  <c r="B880" i="9"/>
  <c r="C879" i="9"/>
  <c r="B879" i="9"/>
  <c r="C878" i="9"/>
  <c r="B878" i="9"/>
  <c r="C877" i="9"/>
  <c r="B877" i="9"/>
  <c r="C876" i="9"/>
  <c r="B876" i="9"/>
  <c r="C875" i="9"/>
  <c r="B875" i="9"/>
  <c r="C874" i="9"/>
  <c r="B874" i="9"/>
  <c r="C873" i="9"/>
  <c r="B873" i="9"/>
  <c r="C872" i="9"/>
  <c r="B872" i="9"/>
  <c r="C871" i="9"/>
  <c r="B871" i="9"/>
  <c r="C870" i="9"/>
  <c r="B870" i="9"/>
  <c r="C869" i="9"/>
  <c r="B869" i="9"/>
  <c r="C868" i="9"/>
  <c r="B868" i="9"/>
  <c r="C867" i="9"/>
  <c r="B867" i="9"/>
  <c r="C866" i="9"/>
  <c r="B866" i="9"/>
  <c r="C865" i="9"/>
  <c r="B865" i="9"/>
  <c r="C864" i="9"/>
  <c r="B864" i="9"/>
  <c r="C863" i="9"/>
  <c r="B863" i="9"/>
  <c r="C862" i="9"/>
  <c r="B862" i="9"/>
  <c r="C861" i="9"/>
  <c r="B861" i="9"/>
  <c r="C860" i="9"/>
  <c r="B860" i="9"/>
  <c r="C859" i="9"/>
  <c r="B859" i="9"/>
  <c r="C858" i="9"/>
  <c r="B858" i="9"/>
  <c r="C857" i="9"/>
  <c r="B857" i="9"/>
  <c r="C856" i="9"/>
  <c r="B856" i="9"/>
  <c r="C855" i="9"/>
  <c r="B855" i="9"/>
  <c r="C854" i="9"/>
  <c r="B854" i="9"/>
  <c r="C853" i="9"/>
  <c r="B853" i="9"/>
  <c r="C852" i="9"/>
  <c r="B852" i="9"/>
  <c r="C851" i="9"/>
  <c r="B851" i="9"/>
  <c r="C850" i="9"/>
  <c r="B850" i="9"/>
  <c r="C849" i="9"/>
  <c r="B849" i="9"/>
  <c r="C848" i="9"/>
  <c r="B848" i="9"/>
  <c r="C847" i="9"/>
  <c r="B847" i="9"/>
  <c r="C846" i="9"/>
  <c r="B846" i="9"/>
  <c r="C845" i="9"/>
  <c r="B845" i="9"/>
  <c r="C844" i="9"/>
  <c r="B844" i="9"/>
  <c r="C843" i="9"/>
  <c r="B843" i="9"/>
  <c r="C842" i="9"/>
  <c r="B842" i="9"/>
  <c r="C841" i="9"/>
  <c r="B841" i="9"/>
  <c r="C840" i="9"/>
  <c r="B840" i="9"/>
  <c r="C839" i="9"/>
  <c r="B839" i="9"/>
  <c r="C838" i="9"/>
  <c r="B838" i="9"/>
  <c r="C837" i="9"/>
  <c r="B837" i="9"/>
  <c r="C836" i="9"/>
  <c r="B836" i="9"/>
  <c r="C835" i="9"/>
  <c r="B835" i="9"/>
  <c r="C834" i="9"/>
  <c r="B834" i="9"/>
  <c r="C833" i="9"/>
  <c r="B833" i="9"/>
  <c r="C832" i="9"/>
  <c r="B832" i="9"/>
  <c r="C831" i="9"/>
  <c r="B831" i="9"/>
  <c r="C830" i="9"/>
  <c r="B830" i="9"/>
  <c r="C829" i="9"/>
  <c r="B829" i="9"/>
  <c r="C828" i="9"/>
  <c r="B828" i="9"/>
  <c r="C827" i="9"/>
  <c r="B827" i="9"/>
  <c r="C826" i="9"/>
  <c r="B826" i="9"/>
  <c r="C825" i="9"/>
  <c r="B825" i="9"/>
  <c r="C824" i="9"/>
  <c r="B824" i="9"/>
  <c r="C823" i="9"/>
  <c r="B823" i="9"/>
  <c r="C822" i="9"/>
  <c r="B822" i="9"/>
  <c r="C821" i="9"/>
  <c r="B821" i="9"/>
  <c r="C820" i="9"/>
  <c r="B820" i="9"/>
  <c r="C819" i="9"/>
  <c r="B819" i="9"/>
  <c r="C818" i="9"/>
  <c r="B818" i="9"/>
  <c r="C817" i="9"/>
  <c r="B817" i="9"/>
  <c r="C816" i="9"/>
  <c r="B816" i="9"/>
  <c r="C815" i="9"/>
  <c r="B815" i="9"/>
  <c r="C814" i="9"/>
  <c r="B814" i="9"/>
  <c r="C813" i="9"/>
  <c r="B813" i="9"/>
  <c r="C812" i="9"/>
  <c r="B812" i="9"/>
  <c r="C811" i="9"/>
  <c r="B811" i="9"/>
  <c r="C810" i="9"/>
  <c r="B810" i="9"/>
  <c r="C809" i="9"/>
  <c r="B809" i="9"/>
  <c r="C808" i="9"/>
  <c r="B808" i="9"/>
  <c r="C807" i="9"/>
  <c r="B807" i="9"/>
  <c r="C806" i="9"/>
  <c r="B806" i="9"/>
  <c r="C805" i="9"/>
  <c r="B805" i="9"/>
  <c r="C804" i="9"/>
  <c r="B804" i="9"/>
  <c r="C803" i="9"/>
  <c r="B803" i="9"/>
  <c r="C802" i="9"/>
  <c r="B802" i="9"/>
  <c r="C801" i="9"/>
  <c r="B801" i="9"/>
  <c r="C800" i="9"/>
  <c r="B800" i="9"/>
  <c r="C799" i="9"/>
  <c r="B799" i="9"/>
  <c r="C798" i="9"/>
  <c r="B798" i="9"/>
  <c r="C797" i="9"/>
  <c r="B797" i="9"/>
  <c r="C796" i="9"/>
  <c r="B796" i="9"/>
  <c r="C795" i="9"/>
  <c r="B795" i="9"/>
  <c r="C794" i="9"/>
  <c r="B794" i="9"/>
  <c r="C793" i="9"/>
  <c r="B793" i="9"/>
  <c r="C792" i="9"/>
  <c r="B792" i="9"/>
  <c r="C791" i="9"/>
  <c r="B791" i="9"/>
  <c r="C790" i="9"/>
  <c r="B790" i="9"/>
  <c r="C789" i="9"/>
  <c r="B789" i="9"/>
  <c r="C788" i="9"/>
  <c r="B788" i="9"/>
  <c r="C787" i="9"/>
  <c r="B787" i="9"/>
  <c r="C786" i="9"/>
  <c r="B786" i="9"/>
  <c r="C785" i="9"/>
  <c r="B785" i="9"/>
  <c r="C784" i="9"/>
  <c r="B784" i="9"/>
  <c r="C783" i="9"/>
  <c r="B783" i="9"/>
  <c r="C782" i="9"/>
  <c r="B782" i="9"/>
  <c r="C781" i="9"/>
  <c r="B781" i="9"/>
  <c r="C780" i="9"/>
  <c r="B780" i="9"/>
  <c r="C779" i="9"/>
  <c r="B779" i="9"/>
  <c r="C778" i="9"/>
  <c r="B778" i="9"/>
  <c r="C777" i="9"/>
  <c r="B777" i="9"/>
  <c r="C776" i="9"/>
  <c r="B776" i="9"/>
  <c r="C775" i="9"/>
  <c r="B775" i="9"/>
  <c r="C774" i="9"/>
  <c r="B774" i="9"/>
  <c r="C773" i="9"/>
  <c r="B773" i="9"/>
  <c r="C772" i="9"/>
  <c r="B772" i="9"/>
  <c r="C771" i="9"/>
  <c r="B771" i="9"/>
  <c r="C770" i="9"/>
  <c r="B770" i="9"/>
  <c r="C769" i="9"/>
  <c r="B769" i="9"/>
  <c r="C768" i="9"/>
  <c r="B768" i="9"/>
  <c r="C767" i="9"/>
  <c r="B767" i="9"/>
  <c r="C766" i="9"/>
  <c r="B766" i="9"/>
  <c r="C765" i="9"/>
  <c r="B765" i="9"/>
  <c r="C764" i="9"/>
  <c r="B764" i="9"/>
  <c r="C763" i="9"/>
  <c r="B763" i="9"/>
  <c r="C762" i="9"/>
  <c r="B762" i="9"/>
  <c r="C761" i="9"/>
  <c r="B761" i="9"/>
  <c r="C760" i="9"/>
  <c r="B760" i="9"/>
  <c r="C759" i="9"/>
  <c r="B759" i="9"/>
  <c r="C758" i="9"/>
  <c r="B758" i="9"/>
  <c r="C757" i="9"/>
  <c r="B757" i="9"/>
  <c r="C756" i="9"/>
  <c r="B756" i="9"/>
  <c r="C755" i="9"/>
  <c r="B755" i="9"/>
  <c r="C754" i="9"/>
  <c r="B754" i="9"/>
  <c r="C753" i="9"/>
  <c r="B753" i="9"/>
  <c r="C752" i="9"/>
  <c r="B752" i="9"/>
  <c r="C751" i="9"/>
  <c r="B751" i="9"/>
  <c r="C750" i="9"/>
  <c r="B750" i="9"/>
  <c r="C749" i="9"/>
  <c r="B749" i="9"/>
  <c r="C748" i="9"/>
  <c r="B748" i="9"/>
  <c r="C747" i="9"/>
  <c r="B747" i="9"/>
  <c r="C746" i="9"/>
  <c r="B746" i="9"/>
  <c r="C745" i="9"/>
  <c r="B745" i="9"/>
  <c r="C744" i="9"/>
  <c r="B744" i="9"/>
  <c r="C743" i="9"/>
  <c r="B743" i="9"/>
  <c r="C742" i="9"/>
  <c r="B742" i="9"/>
  <c r="C741" i="9"/>
  <c r="B741" i="9"/>
  <c r="C740" i="9"/>
  <c r="B740" i="9"/>
  <c r="C739" i="9"/>
  <c r="B739" i="9"/>
  <c r="C738" i="9"/>
  <c r="B738" i="9"/>
  <c r="C737" i="9"/>
  <c r="B737" i="9"/>
  <c r="C736" i="9"/>
  <c r="B736" i="9"/>
  <c r="C735" i="9"/>
  <c r="B735" i="9"/>
  <c r="C734" i="9"/>
  <c r="B734" i="9"/>
  <c r="C733" i="9"/>
  <c r="B733" i="9"/>
  <c r="C732" i="9"/>
  <c r="B732" i="9"/>
  <c r="C731" i="9"/>
  <c r="B731" i="9"/>
  <c r="C730" i="9"/>
  <c r="B730" i="9"/>
  <c r="C729" i="9"/>
  <c r="B729" i="9"/>
  <c r="C728" i="9"/>
  <c r="B728" i="9"/>
  <c r="C727" i="9"/>
  <c r="B727" i="9"/>
  <c r="C726" i="9"/>
  <c r="B726" i="9"/>
  <c r="C725" i="9"/>
  <c r="B725" i="9"/>
  <c r="C724" i="9"/>
  <c r="B724" i="9"/>
  <c r="C723" i="9"/>
  <c r="B723" i="9"/>
  <c r="C722" i="9"/>
  <c r="B722" i="9"/>
  <c r="C721" i="9"/>
  <c r="B721" i="9"/>
  <c r="C720" i="9"/>
  <c r="B720" i="9"/>
  <c r="C719" i="9"/>
  <c r="B719" i="9"/>
  <c r="C718" i="9"/>
  <c r="B718" i="9"/>
  <c r="C717" i="9"/>
  <c r="B717" i="9"/>
  <c r="C716" i="9"/>
  <c r="B716" i="9"/>
  <c r="C715" i="9"/>
  <c r="B715" i="9"/>
  <c r="C714" i="9"/>
  <c r="B714" i="9"/>
  <c r="C713" i="9"/>
  <c r="B713" i="9"/>
  <c r="C712" i="9"/>
  <c r="B712" i="9"/>
  <c r="C711" i="9"/>
  <c r="B711" i="9"/>
  <c r="C710" i="9"/>
  <c r="B710" i="9"/>
  <c r="C709" i="9"/>
  <c r="B709" i="9"/>
  <c r="C708" i="9"/>
  <c r="B708" i="9"/>
  <c r="C707" i="9"/>
  <c r="B707" i="9"/>
  <c r="C706" i="9"/>
  <c r="B706" i="9"/>
  <c r="C705" i="9"/>
  <c r="B705" i="9"/>
  <c r="C704" i="9"/>
  <c r="B704" i="9"/>
  <c r="C703" i="9"/>
  <c r="B703" i="9"/>
  <c r="C702" i="9"/>
  <c r="B702" i="9"/>
  <c r="C701" i="9"/>
  <c r="B701" i="9"/>
  <c r="C700" i="9"/>
  <c r="B700" i="9"/>
  <c r="C699" i="9"/>
  <c r="B699" i="9"/>
  <c r="C698" i="9"/>
  <c r="B698" i="9"/>
  <c r="C697" i="9"/>
  <c r="B697" i="9"/>
  <c r="C696" i="9"/>
  <c r="B696" i="9"/>
  <c r="C695" i="9"/>
  <c r="B695" i="9"/>
  <c r="C694" i="9"/>
  <c r="B694" i="9"/>
  <c r="C693" i="9"/>
  <c r="B693" i="9"/>
  <c r="C692" i="9"/>
  <c r="B692" i="9"/>
  <c r="C691" i="9"/>
  <c r="B691" i="9"/>
  <c r="C690" i="9"/>
  <c r="B690" i="9"/>
  <c r="C689" i="9"/>
  <c r="B689" i="9"/>
  <c r="C688" i="9"/>
  <c r="B688" i="9"/>
  <c r="C687" i="9"/>
  <c r="B687" i="9"/>
  <c r="C686" i="9"/>
  <c r="B686" i="9"/>
  <c r="C685" i="9"/>
  <c r="B685" i="9"/>
  <c r="C684" i="9"/>
  <c r="B684" i="9"/>
  <c r="C683" i="9"/>
  <c r="B683" i="9"/>
  <c r="C682" i="9"/>
  <c r="B682" i="9"/>
  <c r="C681" i="9"/>
  <c r="B681" i="9"/>
  <c r="C680" i="9"/>
  <c r="B680" i="9"/>
  <c r="C679" i="9"/>
  <c r="B679" i="9"/>
  <c r="C678" i="9"/>
  <c r="B678" i="9"/>
  <c r="C677" i="9"/>
  <c r="B677" i="9"/>
  <c r="C676" i="9"/>
  <c r="B676" i="9"/>
  <c r="C675" i="9"/>
  <c r="B675" i="9"/>
  <c r="C674" i="9"/>
  <c r="B674" i="9"/>
  <c r="C673" i="9"/>
  <c r="B673" i="9"/>
  <c r="C672" i="9"/>
  <c r="B672" i="9"/>
  <c r="C671" i="9"/>
  <c r="B671" i="9"/>
  <c r="C670" i="9"/>
  <c r="B670" i="9"/>
  <c r="C669" i="9"/>
  <c r="B669" i="9"/>
  <c r="C668" i="9"/>
  <c r="B668" i="9"/>
  <c r="C667" i="9"/>
  <c r="B667" i="9"/>
  <c r="C666" i="9"/>
  <c r="B666" i="9"/>
  <c r="C665" i="9"/>
  <c r="B665" i="9"/>
  <c r="C664" i="9"/>
  <c r="B664" i="9"/>
  <c r="C663" i="9"/>
  <c r="B663" i="9"/>
  <c r="C662" i="9"/>
  <c r="B662" i="9"/>
  <c r="C661" i="9"/>
  <c r="B661" i="9"/>
  <c r="C660" i="9"/>
  <c r="B660" i="9"/>
  <c r="C659" i="9"/>
  <c r="B659" i="9"/>
  <c r="C658" i="9"/>
  <c r="B658" i="9"/>
  <c r="C657" i="9"/>
  <c r="B657" i="9"/>
  <c r="C656" i="9"/>
  <c r="B656" i="9"/>
  <c r="C655" i="9"/>
  <c r="B655" i="9"/>
  <c r="C654" i="9"/>
  <c r="B654" i="9"/>
  <c r="C653" i="9"/>
  <c r="B653" i="9"/>
  <c r="C652" i="9"/>
  <c r="B652" i="9"/>
  <c r="C651" i="9"/>
  <c r="B651" i="9"/>
  <c r="C650" i="9"/>
  <c r="B650" i="9"/>
  <c r="C649" i="9"/>
  <c r="B649" i="9"/>
  <c r="C648" i="9"/>
  <c r="B648" i="9"/>
  <c r="C647" i="9"/>
  <c r="B647" i="9"/>
  <c r="C646" i="9"/>
  <c r="B646" i="9"/>
  <c r="C645" i="9"/>
  <c r="B645" i="9"/>
  <c r="C644" i="9"/>
  <c r="B644" i="9"/>
  <c r="C643" i="9"/>
  <c r="B643" i="9"/>
  <c r="C642" i="9"/>
  <c r="B642" i="9"/>
  <c r="C641" i="9"/>
  <c r="B641" i="9"/>
  <c r="C640" i="9"/>
  <c r="B640" i="9"/>
  <c r="C639" i="9"/>
  <c r="B639" i="9"/>
  <c r="C638" i="9"/>
  <c r="B638" i="9"/>
  <c r="C637" i="9"/>
  <c r="B637" i="9"/>
  <c r="C636" i="9"/>
  <c r="B636" i="9"/>
  <c r="C635" i="9"/>
  <c r="B635" i="9"/>
  <c r="C634" i="9"/>
  <c r="B634" i="9"/>
  <c r="C633" i="9"/>
  <c r="B633" i="9"/>
  <c r="C632" i="9"/>
  <c r="B632" i="9"/>
  <c r="C631" i="9"/>
  <c r="B631" i="9"/>
  <c r="C630" i="9"/>
  <c r="B630" i="9"/>
  <c r="C629" i="9"/>
  <c r="B629" i="9"/>
  <c r="C628" i="9"/>
  <c r="B628" i="9"/>
  <c r="C627" i="9"/>
  <c r="B627" i="9"/>
  <c r="C626" i="9"/>
  <c r="B626" i="9"/>
  <c r="C625" i="9"/>
  <c r="B625" i="9"/>
  <c r="C624" i="9"/>
  <c r="B624" i="9"/>
  <c r="C623" i="9"/>
  <c r="B623" i="9"/>
  <c r="C622" i="9"/>
  <c r="B622" i="9"/>
  <c r="C621" i="9"/>
  <c r="B621" i="9"/>
  <c r="C620" i="9"/>
  <c r="B620" i="9"/>
  <c r="C619" i="9"/>
  <c r="B619" i="9"/>
  <c r="C618" i="9"/>
  <c r="B618" i="9"/>
  <c r="C617" i="9"/>
  <c r="B617" i="9"/>
  <c r="C616" i="9"/>
  <c r="B616" i="9"/>
  <c r="C615" i="9"/>
  <c r="B615" i="9"/>
  <c r="C614" i="9"/>
  <c r="B614" i="9"/>
  <c r="C613" i="9"/>
  <c r="B613" i="9"/>
  <c r="C612" i="9"/>
  <c r="B612" i="9"/>
  <c r="C611" i="9"/>
  <c r="B611" i="9"/>
  <c r="C610" i="9"/>
  <c r="B610" i="9"/>
  <c r="C609" i="9"/>
  <c r="B609" i="9"/>
  <c r="C608" i="9"/>
  <c r="B608" i="9"/>
  <c r="C607" i="9"/>
  <c r="B607" i="9"/>
  <c r="C606" i="9"/>
  <c r="B606" i="9"/>
  <c r="C605" i="9"/>
  <c r="B605" i="9"/>
  <c r="C604" i="9"/>
  <c r="B604" i="9"/>
  <c r="C603" i="9"/>
  <c r="B603" i="9"/>
  <c r="C602" i="9"/>
  <c r="B602" i="9"/>
  <c r="C601" i="9"/>
  <c r="B601" i="9"/>
  <c r="C600" i="9"/>
  <c r="B600" i="9"/>
  <c r="C599" i="9"/>
  <c r="B599" i="9"/>
  <c r="C598" i="9"/>
  <c r="B598" i="9"/>
  <c r="C597" i="9"/>
  <c r="B597" i="9"/>
  <c r="C596" i="9"/>
  <c r="B596" i="9"/>
  <c r="C595" i="9"/>
  <c r="B595" i="9"/>
  <c r="C594" i="9"/>
  <c r="B594" i="9"/>
  <c r="C593" i="9"/>
  <c r="B593" i="9"/>
  <c r="C592" i="9"/>
  <c r="B592" i="9"/>
  <c r="C591" i="9"/>
  <c r="B591" i="9"/>
  <c r="C590" i="9"/>
  <c r="B590" i="9"/>
  <c r="C589" i="9"/>
  <c r="B589" i="9"/>
  <c r="C588" i="9"/>
  <c r="B588" i="9"/>
  <c r="C587" i="9"/>
  <c r="B587" i="9"/>
  <c r="C586" i="9"/>
  <c r="B586" i="9"/>
  <c r="C585" i="9"/>
  <c r="B585" i="9"/>
  <c r="C584" i="9"/>
  <c r="B584" i="9"/>
  <c r="C583" i="9"/>
  <c r="B583" i="9"/>
  <c r="C582" i="9"/>
  <c r="B582" i="9"/>
  <c r="C581" i="9"/>
  <c r="B581" i="9"/>
  <c r="C580" i="9"/>
  <c r="B580" i="9"/>
  <c r="C579" i="9"/>
  <c r="B579" i="9"/>
  <c r="C578" i="9"/>
  <c r="B578" i="9"/>
  <c r="C577" i="9"/>
  <c r="B577" i="9"/>
  <c r="C576" i="9"/>
  <c r="B576" i="9"/>
  <c r="C575" i="9"/>
  <c r="B575" i="9"/>
  <c r="C574" i="9"/>
  <c r="B574" i="9"/>
  <c r="C573" i="9"/>
  <c r="B573" i="9"/>
  <c r="C572" i="9"/>
  <c r="B572" i="9"/>
  <c r="C571" i="9"/>
  <c r="B571" i="9"/>
  <c r="C570" i="9"/>
  <c r="B570" i="9"/>
  <c r="C569" i="9"/>
  <c r="B569" i="9"/>
  <c r="C568" i="9"/>
  <c r="B568" i="9"/>
  <c r="C567" i="9"/>
  <c r="B567" i="9"/>
  <c r="C566" i="9"/>
  <c r="B566" i="9"/>
  <c r="C565" i="9"/>
  <c r="B565" i="9"/>
  <c r="C564" i="9"/>
  <c r="B564" i="9"/>
  <c r="C563" i="9"/>
  <c r="B563" i="9"/>
  <c r="C562" i="9"/>
  <c r="B562" i="9"/>
  <c r="C561" i="9"/>
  <c r="B561" i="9"/>
  <c r="C560" i="9"/>
  <c r="B560" i="9"/>
  <c r="C559" i="9"/>
  <c r="B559" i="9"/>
  <c r="C558" i="9"/>
  <c r="B558" i="9"/>
  <c r="C557" i="9"/>
  <c r="B557" i="9"/>
  <c r="C556" i="9"/>
  <c r="B556" i="9"/>
  <c r="C555" i="9"/>
  <c r="B555" i="9"/>
  <c r="C554" i="9"/>
  <c r="B554" i="9"/>
  <c r="C553" i="9"/>
  <c r="B553" i="9"/>
  <c r="C552" i="9"/>
  <c r="B552" i="9"/>
  <c r="C551" i="9"/>
  <c r="B551" i="9"/>
  <c r="C550" i="9"/>
  <c r="B550" i="9"/>
  <c r="C549" i="9"/>
  <c r="B549" i="9"/>
  <c r="C548" i="9"/>
  <c r="B548" i="9"/>
  <c r="C547" i="9"/>
  <c r="B547" i="9"/>
  <c r="C546" i="9"/>
  <c r="B546" i="9"/>
  <c r="C545" i="9"/>
  <c r="B545" i="9"/>
  <c r="C544" i="9"/>
  <c r="B544" i="9"/>
  <c r="C543" i="9"/>
  <c r="B543" i="9"/>
  <c r="C542" i="9"/>
  <c r="B542" i="9"/>
  <c r="C541" i="9"/>
  <c r="B541" i="9"/>
  <c r="C540" i="9"/>
  <c r="B540" i="9"/>
  <c r="C539" i="9"/>
  <c r="B539" i="9"/>
  <c r="C538" i="9"/>
  <c r="B538" i="9"/>
  <c r="C537" i="9"/>
  <c r="B537" i="9"/>
  <c r="C536" i="9"/>
  <c r="B536" i="9"/>
  <c r="C535" i="9"/>
  <c r="B535" i="9"/>
  <c r="C534" i="9"/>
  <c r="B534" i="9"/>
  <c r="C533" i="9"/>
  <c r="B533" i="9"/>
  <c r="C532" i="9"/>
  <c r="B532" i="9"/>
  <c r="C531" i="9"/>
  <c r="B531" i="9"/>
  <c r="C530" i="9"/>
  <c r="B530" i="9"/>
  <c r="C529" i="9"/>
  <c r="B529" i="9"/>
  <c r="C528" i="9"/>
  <c r="B528" i="9"/>
  <c r="C527" i="9"/>
  <c r="B527" i="9"/>
  <c r="C526" i="9"/>
  <c r="B526" i="9"/>
  <c r="C525" i="9"/>
  <c r="B525" i="9"/>
  <c r="C524" i="9"/>
  <c r="B524" i="9"/>
  <c r="C523" i="9"/>
  <c r="B523" i="9"/>
  <c r="C522" i="9"/>
  <c r="B522" i="9"/>
  <c r="C521" i="9"/>
  <c r="B521" i="9"/>
  <c r="C520" i="9"/>
  <c r="B520" i="9"/>
  <c r="C519" i="9"/>
  <c r="B519" i="9"/>
  <c r="C518" i="9"/>
  <c r="B518" i="9"/>
  <c r="C517" i="9"/>
  <c r="B517" i="9"/>
  <c r="C516" i="9"/>
  <c r="B516" i="9"/>
  <c r="C515" i="9"/>
  <c r="B515" i="9"/>
  <c r="C514" i="9"/>
  <c r="B514" i="9"/>
  <c r="C513" i="9"/>
  <c r="B513" i="9"/>
  <c r="C512" i="9"/>
  <c r="B512" i="9"/>
  <c r="C511" i="9"/>
  <c r="B511" i="9"/>
  <c r="C510" i="9"/>
  <c r="B510" i="9"/>
  <c r="C509" i="9"/>
  <c r="B509" i="9"/>
  <c r="C508" i="9"/>
  <c r="B508" i="9"/>
  <c r="C507" i="9"/>
  <c r="B507" i="9"/>
  <c r="C506" i="9"/>
  <c r="B506" i="9"/>
  <c r="C505" i="9"/>
  <c r="B505" i="9"/>
  <c r="C504" i="9"/>
  <c r="B504" i="9"/>
  <c r="C503" i="9"/>
  <c r="B503" i="9"/>
  <c r="C502" i="9"/>
  <c r="B502" i="9"/>
  <c r="C501" i="9"/>
  <c r="B501" i="9"/>
  <c r="C500" i="9"/>
  <c r="B500" i="9"/>
  <c r="C499" i="9"/>
  <c r="B499" i="9"/>
  <c r="C498" i="9"/>
  <c r="B498" i="9"/>
  <c r="C497" i="9"/>
  <c r="B497" i="9"/>
  <c r="C496" i="9"/>
  <c r="B496" i="9"/>
  <c r="C495" i="9"/>
  <c r="B495" i="9"/>
  <c r="C494" i="9"/>
  <c r="B494" i="9"/>
  <c r="C493" i="9"/>
  <c r="B493" i="9"/>
  <c r="C492" i="9"/>
  <c r="B492" i="9"/>
  <c r="C491" i="9"/>
  <c r="B491" i="9"/>
  <c r="C490" i="9"/>
  <c r="B490" i="9"/>
  <c r="C489" i="9"/>
  <c r="B489" i="9"/>
  <c r="C488" i="9"/>
  <c r="B488" i="9"/>
  <c r="C487" i="9"/>
  <c r="B487" i="9"/>
  <c r="C486" i="9"/>
  <c r="B486" i="9"/>
  <c r="C485" i="9"/>
  <c r="B485" i="9"/>
  <c r="C484" i="9"/>
  <c r="B484" i="9"/>
  <c r="C483" i="9"/>
  <c r="B483" i="9"/>
  <c r="C482" i="9"/>
  <c r="B482" i="9"/>
  <c r="C481" i="9"/>
  <c r="B481" i="9"/>
  <c r="C480" i="9"/>
  <c r="B480" i="9"/>
  <c r="C479" i="9"/>
  <c r="B479" i="9"/>
  <c r="C478" i="9"/>
  <c r="B478" i="9"/>
  <c r="C477" i="9"/>
  <c r="B477" i="9"/>
  <c r="C476" i="9"/>
  <c r="B476" i="9"/>
  <c r="C475" i="9"/>
  <c r="B475" i="9"/>
  <c r="C474" i="9"/>
  <c r="B474" i="9"/>
  <c r="C473" i="9"/>
  <c r="B473" i="9"/>
  <c r="C472" i="9"/>
  <c r="B472" i="9"/>
  <c r="C471" i="9"/>
  <c r="B471" i="9"/>
  <c r="C470" i="9"/>
  <c r="B470" i="9"/>
  <c r="C469" i="9"/>
  <c r="B469" i="9"/>
  <c r="C468" i="9"/>
  <c r="B468" i="9"/>
  <c r="C467" i="9"/>
  <c r="B467" i="9"/>
  <c r="C466" i="9"/>
  <c r="B466" i="9"/>
  <c r="C465" i="9"/>
  <c r="B465" i="9"/>
  <c r="C464" i="9"/>
  <c r="B464" i="9"/>
  <c r="C463" i="9"/>
  <c r="B463" i="9"/>
  <c r="C462" i="9"/>
  <c r="B462" i="9"/>
  <c r="C461" i="9"/>
  <c r="B461" i="9"/>
  <c r="C460" i="9"/>
  <c r="B460" i="9"/>
  <c r="C459" i="9"/>
  <c r="B459" i="9"/>
  <c r="C458" i="9"/>
  <c r="B458" i="9"/>
  <c r="C457" i="9"/>
  <c r="B457" i="9"/>
  <c r="C456" i="9"/>
  <c r="B456" i="9"/>
  <c r="C455" i="9"/>
  <c r="B455" i="9"/>
  <c r="C454" i="9"/>
  <c r="B454" i="9"/>
  <c r="C453" i="9"/>
  <c r="B453" i="9"/>
  <c r="C452" i="9"/>
  <c r="B452" i="9"/>
  <c r="C451" i="9"/>
  <c r="B451" i="9"/>
  <c r="C450" i="9"/>
  <c r="B450" i="9"/>
  <c r="C449" i="9"/>
  <c r="B449" i="9"/>
  <c r="C448" i="9"/>
  <c r="B448" i="9"/>
  <c r="C447" i="9"/>
  <c r="B447" i="9"/>
  <c r="C446" i="9"/>
  <c r="B446" i="9"/>
  <c r="C445" i="9"/>
  <c r="B445" i="9"/>
  <c r="C444" i="9"/>
  <c r="B444" i="9"/>
  <c r="C443" i="9"/>
  <c r="B443" i="9"/>
  <c r="C442" i="9"/>
  <c r="B442" i="9"/>
  <c r="C441" i="9"/>
  <c r="B441" i="9"/>
  <c r="C440" i="9"/>
  <c r="B440" i="9"/>
  <c r="C439" i="9"/>
  <c r="B439" i="9"/>
  <c r="C438" i="9"/>
  <c r="B438" i="9"/>
  <c r="C437" i="9"/>
  <c r="B437" i="9"/>
  <c r="C436" i="9"/>
  <c r="B436" i="9"/>
  <c r="C435" i="9"/>
  <c r="B435" i="9"/>
  <c r="C434" i="9"/>
  <c r="B434" i="9"/>
  <c r="C433" i="9"/>
  <c r="B433" i="9"/>
  <c r="C432" i="9"/>
  <c r="B432" i="9"/>
  <c r="C431" i="9"/>
  <c r="B431" i="9"/>
  <c r="C430" i="9"/>
  <c r="B430" i="9"/>
  <c r="C429" i="9"/>
  <c r="B429" i="9"/>
  <c r="C428" i="9"/>
  <c r="B428" i="9"/>
  <c r="C427" i="9"/>
  <c r="B427" i="9"/>
  <c r="C426" i="9"/>
  <c r="B426" i="9"/>
  <c r="C425" i="9"/>
  <c r="B425" i="9"/>
  <c r="C424" i="9"/>
  <c r="B424" i="9"/>
  <c r="C423" i="9"/>
  <c r="B423" i="9"/>
  <c r="C422" i="9"/>
  <c r="B422" i="9"/>
  <c r="C421" i="9"/>
  <c r="B421" i="9"/>
  <c r="C420" i="9"/>
  <c r="B420" i="9"/>
  <c r="C419" i="9"/>
  <c r="B419" i="9"/>
  <c r="C418" i="9"/>
  <c r="B418" i="9"/>
  <c r="C417" i="9"/>
  <c r="B417" i="9"/>
  <c r="C416" i="9"/>
  <c r="B416" i="9"/>
  <c r="C415" i="9"/>
  <c r="B415" i="9"/>
  <c r="C414" i="9"/>
  <c r="B414" i="9"/>
  <c r="C413" i="9"/>
  <c r="B413" i="9"/>
  <c r="C412" i="9"/>
  <c r="B412" i="9"/>
  <c r="C411" i="9"/>
  <c r="B411" i="9"/>
  <c r="C410" i="9"/>
  <c r="B410" i="9"/>
  <c r="C409" i="9"/>
  <c r="B409" i="9"/>
  <c r="C408" i="9"/>
  <c r="B408" i="9"/>
  <c r="C407" i="9"/>
  <c r="B407" i="9"/>
  <c r="C406" i="9"/>
  <c r="B406" i="9"/>
  <c r="C405" i="9"/>
  <c r="B405" i="9"/>
  <c r="C404" i="9"/>
  <c r="B404" i="9"/>
  <c r="C403" i="9"/>
  <c r="B403" i="9"/>
  <c r="C402" i="9"/>
  <c r="B402" i="9"/>
  <c r="C401" i="9"/>
  <c r="B401" i="9"/>
  <c r="C400" i="9"/>
  <c r="B400" i="9"/>
  <c r="C399" i="9"/>
  <c r="B399" i="9"/>
  <c r="C398" i="9"/>
  <c r="B398" i="9"/>
  <c r="C397" i="9"/>
  <c r="B397" i="9"/>
  <c r="C396" i="9"/>
  <c r="B396" i="9"/>
  <c r="C395" i="9"/>
  <c r="B395" i="9"/>
  <c r="C394" i="9"/>
  <c r="B394" i="9"/>
  <c r="C393" i="9"/>
  <c r="B393" i="9"/>
  <c r="C392" i="9"/>
  <c r="B392" i="9"/>
  <c r="C391" i="9"/>
  <c r="B391" i="9"/>
  <c r="C390" i="9"/>
  <c r="B390" i="9"/>
  <c r="C389" i="9"/>
  <c r="B389" i="9"/>
  <c r="C388" i="9"/>
  <c r="B388" i="9"/>
  <c r="C387" i="9"/>
  <c r="B387" i="9"/>
  <c r="C386" i="9"/>
  <c r="B386" i="9"/>
  <c r="C385" i="9"/>
  <c r="B385" i="9"/>
  <c r="C384" i="9"/>
  <c r="B384" i="9"/>
  <c r="C383" i="9"/>
  <c r="B383" i="9"/>
  <c r="C382" i="9"/>
  <c r="B382" i="9"/>
  <c r="C381" i="9"/>
  <c r="B381" i="9"/>
  <c r="C380" i="9"/>
  <c r="B380" i="9"/>
  <c r="C379" i="9"/>
  <c r="B379" i="9"/>
  <c r="C378" i="9"/>
  <c r="B378" i="9"/>
  <c r="C377" i="9"/>
  <c r="B377" i="9"/>
  <c r="C376" i="9"/>
  <c r="B376" i="9"/>
  <c r="C375" i="9"/>
  <c r="B375" i="9"/>
  <c r="C374" i="9"/>
  <c r="B374" i="9"/>
  <c r="C373" i="9"/>
  <c r="B373" i="9"/>
  <c r="C372" i="9"/>
  <c r="B372" i="9"/>
  <c r="C371" i="9"/>
  <c r="B371" i="9"/>
  <c r="C370" i="9"/>
  <c r="B370" i="9"/>
  <c r="C369" i="9"/>
  <c r="B369" i="9"/>
  <c r="C368" i="9"/>
  <c r="B368" i="9"/>
  <c r="C367" i="9"/>
  <c r="B367" i="9"/>
  <c r="C366" i="9"/>
  <c r="B366" i="9"/>
  <c r="C365" i="9"/>
  <c r="B365" i="9"/>
  <c r="C364" i="9"/>
  <c r="B364" i="9"/>
  <c r="C363" i="9"/>
  <c r="B363" i="9"/>
  <c r="C362" i="9"/>
  <c r="B362" i="9"/>
  <c r="C361" i="9"/>
  <c r="B361" i="9"/>
  <c r="C360" i="9"/>
  <c r="B360" i="9"/>
  <c r="C359" i="9"/>
  <c r="B359" i="9"/>
  <c r="C358" i="9"/>
  <c r="B358" i="9"/>
  <c r="C357" i="9"/>
  <c r="B357" i="9"/>
  <c r="C356" i="9"/>
  <c r="B356" i="9"/>
  <c r="C355" i="9"/>
  <c r="B355" i="9"/>
  <c r="C354" i="9"/>
  <c r="B354" i="9"/>
  <c r="C353" i="9"/>
  <c r="B353" i="9"/>
  <c r="C352" i="9"/>
  <c r="B352" i="9"/>
  <c r="C351" i="9"/>
  <c r="B351" i="9"/>
  <c r="C350" i="9"/>
  <c r="B350" i="9"/>
  <c r="C349" i="9"/>
  <c r="B349" i="9"/>
  <c r="C348" i="9"/>
  <c r="B348" i="9"/>
  <c r="C347" i="9"/>
  <c r="B347" i="9"/>
  <c r="C346" i="9"/>
  <c r="B346" i="9"/>
  <c r="C345" i="9"/>
  <c r="B345" i="9"/>
  <c r="C344" i="9"/>
  <c r="B344" i="9"/>
  <c r="C343" i="9"/>
  <c r="B343" i="9"/>
  <c r="C342" i="9"/>
  <c r="B342" i="9"/>
  <c r="C341" i="9"/>
  <c r="B341" i="9"/>
  <c r="C340" i="9"/>
  <c r="B340" i="9"/>
  <c r="C339" i="9"/>
  <c r="B339" i="9"/>
  <c r="C338" i="9"/>
  <c r="B338" i="9"/>
  <c r="C337" i="9"/>
  <c r="B337" i="9"/>
  <c r="C336" i="9"/>
  <c r="B336" i="9"/>
  <c r="C335" i="9"/>
  <c r="B335" i="9"/>
  <c r="C334" i="9"/>
  <c r="B334" i="9"/>
  <c r="C333" i="9"/>
  <c r="B333" i="9"/>
  <c r="C332" i="9"/>
  <c r="B332" i="9"/>
  <c r="C331" i="9"/>
  <c r="B331" i="9"/>
  <c r="C330" i="9"/>
  <c r="B330" i="9"/>
  <c r="C329" i="9"/>
  <c r="B329" i="9"/>
  <c r="C328" i="9"/>
  <c r="B328" i="9"/>
  <c r="C327" i="9"/>
  <c r="B327" i="9"/>
  <c r="C326" i="9"/>
  <c r="B326" i="9"/>
  <c r="C325" i="9"/>
  <c r="B325" i="9"/>
  <c r="C324" i="9"/>
  <c r="B324" i="9"/>
  <c r="C323" i="9"/>
  <c r="B323" i="9"/>
  <c r="C322" i="9"/>
  <c r="B322" i="9"/>
  <c r="C321" i="9"/>
  <c r="B321" i="9"/>
  <c r="C320" i="9"/>
  <c r="B320" i="9"/>
  <c r="C319" i="9"/>
  <c r="B319" i="9"/>
  <c r="C318" i="9"/>
  <c r="B318" i="9"/>
  <c r="C317" i="9"/>
  <c r="B317" i="9"/>
  <c r="C316" i="9"/>
  <c r="B316" i="9"/>
  <c r="C315" i="9"/>
  <c r="B315" i="9"/>
  <c r="C314" i="9"/>
  <c r="B314" i="9"/>
  <c r="C313" i="9"/>
  <c r="B313" i="9"/>
  <c r="C312" i="9"/>
  <c r="B312" i="9"/>
  <c r="C311" i="9"/>
  <c r="B311" i="9"/>
  <c r="C310" i="9"/>
  <c r="B310" i="9"/>
  <c r="C309" i="9"/>
  <c r="B309" i="9"/>
  <c r="C308" i="9"/>
  <c r="B308" i="9"/>
  <c r="C307" i="9"/>
  <c r="B307" i="9"/>
  <c r="C306" i="9"/>
  <c r="B306" i="9"/>
  <c r="C305" i="9"/>
  <c r="B305" i="9"/>
  <c r="C304" i="9"/>
  <c r="B304" i="9"/>
  <c r="C303" i="9"/>
  <c r="B303" i="9"/>
  <c r="C302" i="9"/>
  <c r="B302" i="9"/>
  <c r="C301" i="9"/>
  <c r="B301" i="9"/>
  <c r="C300" i="9"/>
  <c r="B300" i="9"/>
  <c r="C299" i="9"/>
  <c r="B299" i="9"/>
  <c r="C298" i="9"/>
  <c r="B298" i="9"/>
  <c r="C297" i="9"/>
  <c r="B297" i="9"/>
  <c r="C296" i="9"/>
  <c r="B296" i="9"/>
  <c r="C295" i="9"/>
  <c r="B295" i="9"/>
  <c r="C294" i="9"/>
  <c r="B294" i="9"/>
  <c r="C293" i="9"/>
  <c r="B293" i="9"/>
  <c r="C292" i="9"/>
  <c r="B292" i="9"/>
  <c r="C291" i="9"/>
  <c r="B291" i="9"/>
  <c r="C290" i="9"/>
  <c r="B290" i="9"/>
  <c r="C289" i="9"/>
  <c r="B289" i="9"/>
  <c r="C288" i="9"/>
  <c r="B288" i="9"/>
  <c r="C287" i="9"/>
  <c r="B287" i="9"/>
  <c r="C286" i="9"/>
  <c r="B286" i="9"/>
  <c r="C285" i="9"/>
  <c r="B285" i="9"/>
  <c r="C284" i="9"/>
  <c r="B284" i="9"/>
  <c r="C283" i="9"/>
  <c r="B283" i="9"/>
  <c r="C282" i="9"/>
  <c r="B282" i="9"/>
  <c r="C281" i="9"/>
  <c r="B281" i="9"/>
  <c r="C280" i="9"/>
  <c r="B280" i="9"/>
  <c r="C279" i="9"/>
  <c r="B279" i="9"/>
  <c r="C278" i="9"/>
  <c r="B278" i="9"/>
  <c r="C277" i="9"/>
  <c r="B277" i="9"/>
  <c r="C276" i="9"/>
  <c r="B276" i="9"/>
  <c r="C275" i="9"/>
  <c r="B275" i="9"/>
  <c r="C274" i="9"/>
  <c r="B274" i="9"/>
  <c r="C273" i="9"/>
  <c r="B273" i="9"/>
  <c r="C272" i="9"/>
  <c r="B272" i="9"/>
  <c r="C271" i="9"/>
  <c r="B271" i="9"/>
  <c r="C270" i="9"/>
  <c r="B270" i="9"/>
  <c r="C269" i="9"/>
  <c r="B269" i="9"/>
  <c r="C268" i="9"/>
  <c r="B268" i="9"/>
  <c r="C267" i="9"/>
  <c r="B267" i="9"/>
  <c r="C266" i="9"/>
  <c r="B266" i="9"/>
  <c r="C265" i="9"/>
  <c r="B265" i="9"/>
  <c r="C264" i="9"/>
  <c r="B264" i="9"/>
  <c r="C263" i="9"/>
  <c r="B263" i="9"/>
  <c r="C262" i="9"/>
  <c r="B262" i="9"/>
  <c r="C261" i="9"/>
  <c r="B261" i="9"/>
  <c r="C260" i="9"/>
  <c r="B260" i="9"/>
  <c r="C259" i="9"/>
  <c r="B259" i="9"/>
  <c r="C258" i="9"/>
  <c r="B258" i="9"/>
  <c r="C257" i="9"/>
  <c r="B257" i="9"/>
  <c r="C256" i="9"/>
  <c r="B256" i="9"/>
  <c r="C255" i="9"/>
  <c r="B255" i="9"/>
  <c r="C254" i="9"/>
  <c r="B254" i="9"/>
  <c r="C253" i="9"/>
  <c r="B253" i="9"/>
  <c r="C252" i="9"/>
  <c r="B252" i="9"/>
  <c r="C251" i="9"/>
  <c r="B251" i="9"/>
  <c r="C250" i="9"/>
  <c r="B250" i="9"/>
  <c r="C249" i="9"/>
  <c r="B249" i="9"/>
  <c r="C248" i="9"/>
  <c r="B248" i="9"/>
  <c r="C247" i="9"/>
  <c r="B247" i="9"/>
  <c r="C246" i="9"/>
  <c r="B246" i="9"/>
  <c r="C245" i="9"/>
  <c r="B245" i="9"/>
  <c r="C244" i="9"/>
  <c r="B244" i="9"/>
  <c r="C243" i="9"/>
  <c r="B243" i="9"/>
  <c r="C242" i="9"/>
  <c r="B242" i="9"/>
  <c r="C241" i="9"/>
  <c r="B241" i="9"/>
  <c r="C240" i="9"/>
  <c r="B240" i="9"/>
  <c r="C239" i="9"/>
  <c r="B239" i="9"/>
  <c r="C238" i="9"/>
  <c r="B238" i="9"/>
  <c r="C237" i="9"/>
  <c r="B237" i="9"/>
  <c r="C236" i="9"/>
  <c r="B236" i="9"/>
  <c r="C235" i="9"/>
  <c r="B235" i="9"/>
  <c r="C234" i="9"/>
  <c r="B234" i="9"/>
  <c r="C233" i="9"/>
  <c r="B233" i="9"/>
  <c r="C232" i="9"/>
  <c r="B232" i="9"/>
  <c r="C231" i="9"/>
  <c r="B231" i="9"/>
  <c r="C230" i="9"/>
  <c r="B230" i="9"/>
  <c r="C229" i="9"/>
  <c r="B229" i="9"/>
  <c r="C228" i="9"/>
  <c r="B228" i="9"/>
  <c r="C227" i="9"/>
  <c r="B227" i="9"/>
  <c r="C226" i="9"/>
  <c r="B226" i="9"/>
  <c r="C225" i="9"/>
  <c r="B225" i="9"/>
  <c r="C224" i="9"/>
  <c r="B224" i="9"/>
  <c r="C223" i="9"/>
  <c r="B223" i="9"/>
  <c r="C222" i="9"/>
  <c r="B222" i="9"/>
  <c r="C221" i="9"/>
  <c r="B221" i="9"/>
  <c r="C220" i="9"/>
  <c r="B220" i="9"/>
  <c r="C219" i="9"/>
  <c r="B219" i="9"/>
  <c r="C218" i="9"/>
  <c r="B218" i="9"/>
  <c r="C217" i="9"/>
  <c r="B217" i="9"/>
  <c r="C216" i="9"/>
  <c r="B216" i="9"/>
  <c r="C215" i="9"/>
  <c r="B215" i="9"/>
  <c r="C214" i="9"/>
  <c r="B214" i="9"/>
  <c r="C213" i="9"/>
  <c r="B213" i="9"/>
  <c r="C212" i="9"/>
  <c r="B212" i="9"/>
  <c r="C211" i="9"/>
  <c r="B211" i="9"/>
  <c r="C210" i="9"/>
  <c r="B210" i="9"/>
  <c r="C209" i="9"/>
  <c r="B209" i="9"/>
  <c r="C208" i="9"/>
  <c r="B208" i="9"/>
  <c r="C207" i="9"/>
  <c r="B207" i="9"/>
  <c r="C206" i="9"/>
  <c r="B206" i="9"/>
  <c r="C205" i="9"/>
  <c r="B205" i="9"/>
  <c r="C204" i="9"/>
  <c r="B204" i="9"/>
  <c r="C203" i="9"/>
  <c r="B203" i="9"/>
  <c r="C202" i="9"/>
  <c r="B202" i="9"/>
  <c r="C201" i="9"/>
  <c r="B201" i="9"/>
  <c r="C200" i="9"/>
  <c r="B200" i="9"/>
  <c r="C199" i="9"/>
  <c r="B199" i="9"/>
  <c r="C198" i="9"/>
  <c r="B198" i="9"/>
  <c r="C197" i="9"/>
  <c r="B197" i="9"/>
  <c r="C196" i="9"/>
  <c r="B196" i="9"/>
  <c r="C195" i="9"/>
  <c r="B195" i="9"/>
  <c r="C194" i="9"/>
  <c r="B194" i="9"/>
  <c r="C193" i="9"/>
  <c r="B193" i="9"/>
  <c r="C192" i="9"/>
  <c r="B192" i="9"/>
  <c r="C191" i="9"/>
  <c r="B191" i="9"/>
  <c r="C190" i="9"/>
  <c r="B190" i="9"/>
  <c r="C189" i="9"/>
  <c r="B189" i="9"/>
  <c r="C188" i="9"/>
  <c r="B188" i="9"/>
  <c r="C187" i="9"/>
  <c r="B187" i="9"/>
  <c r="C186" i="9"/>
  <c r="B186" i="9"/>
  <c r="C185" i="9"/>
  <c r="B185" i="9"/>
  <c r="C184" i="9"/>
  <c r="B184" i="9"/>
  <c r="C183" i="9"/>
  <c r="B183" i="9"/>
  <c r="C182" i="9"/>
  <c r="B182" i="9"/>
  <c r="C181" i="9"/>
  <c r="B181" i="9"/>
  <c r="C180" i="9"/>
  <c r="B180" i="9"/>
  <c r="C179" i="9"/>
  <c r="B179" i="9"/>
  <c r="C178" i="9"/>
  <c r="B178" i="9"/>
  <c r="C177" i="9"/>
  <c r="B177" i="9"/>
  <c r="C176" i="9"/>
  <c r="B176" i="9"/>
  <c r="C175" i="9"/>
  <c r="B175" i="9"/>
  <c r="C174" i="9"/>
  <c r="B174" i="9"/>
  <c r="C173" i="9"/>
  <c r="B173" i="9"/>
  <c r="C172" i="9"/>
  <c r="B172" i="9"/>
  <c r="C171" i="9"/>
  <c r="B171" i="9"/>
  <c r="C170" i="9"/>
  <c r="B170" i="9"/>
  <c r="C169" i="9"/>
  <c r="B169" i="9"/>
  <c r="C168" i="9"/>
  <c r="B168" i="9"/>
  <c r="C167" i="9"/>
  <c r="B167" i="9"/>
  <c r="C166" i="9"/>
  <c r="B166" i="9"/>
  <c r="C165" i="9"/>
  <c r="B165" i="9"/>
  <c r="C164" i="9"/>
  <c r="B164" i="9"/>
  <c r="C163" i="9"/>
  <c r="B163" i="9"/>
  <c r="C162" i="9"/>
  <c r="B162" i="9"/>
  <c r="C161" i="9"/>
  <c r="B161" i="9"/>
  <c r="C160" i="9"/>
  <c r="B160" i="9"/>
  <c r="C159" i="9"/>
  <c r="B159" i="9"/>
  <c r="C158" i="9"/>
  <c r="B158" i="9"/>
  <c r="C157" i="9"/>
  <c r="B157" i="9"/>
  <c r="C156" i="9"/>
  <c r="B156" i="9"/>
  <c r="C155" i="9"/>
  <c r="B155" i="9"/>
  <c r="C154" i="9"/>
  <c r="B154" i="9"/>
  <c r="C153" i="9"/>
  <c r="B153" i="9"/>
  <c r="C152" i="9"/>
  <c r="B152" i="9"/>
  <c r="C151" i="9"/>
  <c r="B151" i="9"/>
  <c r="C150" i="9"/>
  <c r="B150" i="9"/>
  <c r="C149" i="9"/>
  <c r="B149" i="9"/>
  <c r="C148" i="9"/>
  <c r="B148" i="9"/>
  <c r="C147" i="9"/>
  <c r="B147" i="9"/>
  <c r="C146" i="9"/>
  <c r="B146" i="9"/>
  <c r="C145" i="9"/>
  <c r="B145" i="9"/>
  <c r="C144" i="9"/>
  <c r="B144" i="9"/>
  <c r="C143" i="9"/>
  <c r="B143" i="9"/>
  <c r="C142" i="9"/>
  <c r="B142" i="9"/>
  <c r="C141" i="9"/>
  <c r="B141" i="9"/>
  <c r="C140" i="9"/>
  <c r="B140" i="9"/>
  <c r="C139" i="9"/>
  <c r="B139" i="9"/>
  <c r="C138" i="9"/>
  <c r="B138" i="9"/>
  <c r="C137" i="9"/>
  <c r="B137" i="9"/>
  <c r="C136" i="9"/>
  <c r="B136" i="9"/>
  <c r="C135" i="9"/>
  <c r="B135" i="9"/>
  <c r="C134" i="9"/>
  <c r="B134" i="9"/>
  <c r="C133" i="9"/>
  <c r="B133" i="9"/>
  <c r="C132" i="9"/>
  <c r="B132" i="9"/>
  <c r="C131" i="9"/>
  <c r="B131" i="9"/>
  <c r="C130" i="9"/>
  <c r="B130" i="9"/>
  <c r="C129" i="9"/>
  <c r="B129" i="9"/>
  <c r="C128" i="9"/>
  <c r="B128" i="9"/>
  <c r="C127" i="9"/>
  <c r="B127" i="9"/>
  <c r="C126" i="9"/>
  <c r="B126" i="9"/>
  <c r="C125" i="9"/>
  <c r="B125" i="9"/>
  <c r="C124" i="9"/>
  <c r="B124" i="9"/>
  <c r="C123" i="9"/>
  <c r="B123" i="9"/>
  <c r="C122" i="9"/>
  <c r="B122" i="9"/>
  <c r="C121" i="9"/>
  <c r="B121" i="9"/>
  <c r="C120" i="9"/>
  <c r="B120" i="9"/>
  <c r="C119" i="9"/>
  <c r="B119" i="9"/>
  <c r="C118" i="9"/>
  <c r="B118" i="9"/>
  <c r="C117" i="9"/>
  <c r="B117" i="9"/>
  <c r="C116" i="9"/>
  <c r="B116" i="9"/>
  <c r="C115" i="9"/>
  <c r="B115" i="9"/>
  <c r="C114" i="9"/>
  <c r="B114" i="9"/>
  <c r="C113" i="9"/>
  <c r="B113" i="9"/>
  <c r="C112" i="9"/>
  <c r="B112" i="9"/>
  <c r="C111" i="9"/>
  <c r="B111" i="9"/>
  <c r="C110" i="9"/>
  <c r="B110" i="9"/>
  <c r="C109" i="9"/>
  <c r="B109" i="9"/>
  <c r="C108" i="9"/>
  <c r="B108" i="9"/>
  <c r="C107" i="9"/>
  <c r="B107" i="9"/>
  <c r="C106" i="9"/>
  <c r="B106" i="9"/>
  <c r="C105" i="9"/>
  <c r="B105" i="9"/>
  <c r="C104" i="9"/>
  <c r="B104" i="9"/>
  <c r="C103" i="9"/>
  <c r="B103" i="9"/>
  <c r="C102" i="9"/>
  <c r="B102" i="9"/>
  <c r="C101" i="9"/>
  <c r="B101" i="9"/>
  <c r="C100" i="9"/>
  <c r="B100" i="9"/>
  <c r="C99" i="9"/>
  <c r="B99" i="9"/>
  <c r="C98" i="9"/>
  <c r="B98" i="9"/>
  <c r="C97" i="9"/>
  <c r="B97" i="9"/>
  <c r="C96" i="9"/>
  <c r="B96" i="9"/>
  <c r="C95" i="9"/>
  <c r="B95" i="9"/>
  <c r="C94" i="9"/>
  <c r="B94" i="9"/>
  <c r="C93" i="9"/>
  <c r="B93" i="9"/>
  <c r="C92" i="9"/>
  <c r="B92" i="9"/>
  <c r="C91" i="9"/>
  <c r="B91" i="9"/>
  <c r="C90" i="9"/>
  <c r="B90" i="9"/>
  <c r="C89" i="9"/>
  <c r="B89" i="9"/>
  <c r="C88" i="9"/>
  <c r="B88" i="9"/>
  <c r="C87" i="9"/>
  <c r="B87" i="9"/>
  <c r="C86" i="9"/>
  <c r="B86" i="9"/>
  <c r="C85" i="9"/>
  <c r="B85" i="9"/>
  <c r="C84" i="9"/>
  <c r="B84" i="9"/>
  <c r="C83" i="9"/>
  <c r="B83" i="9"/>
  <c r="C82" i="9"/>
  <c r="B82" i="9"/>
  <c r="C81" i="9"/>
  <c r="B81" i="9"/>
  <c r="C80" i="9"/>
  <c r="B80" i="9"/>
  <c r="C79" i="9"/>
  <c r="B79" i="9"/>
  <c r="C78" i="9"/>
  <c r="B78" i="9"/>
  <c r="C77" i="9"/>
  <c r="B77" i="9"/>
  <c r="C76" i="9"/>
  <c r="B76" i="9"/>
  <c r="C75" i="9"/>
  <c r="B75" i="9"/>
  <c r="C74" i="9"/>
  <c r="B74" i="9"/>
  <c r="C73" i="9"/>
  <c r="B73" i="9"/>
  <c r="C72" i="9"/>
  <c r="B72" i="9"/>
  <c r="C71" i="9"/>
  <c r="B71" i="9"/>
  <c r="C70" i="9"/>
  <c r="B70" i="9"/>
  <c r="C69" i="9"/>
  <c r="B69" i="9"/>
  <c r="C68" i="9"/>
  <c r="B68" i="9"/>
  <c r="C67" i="9"/>
  <c r="B67" i="9"/>
  <c r="C66" i="9"/>
  <c r="B66" i="9"/>
  <c r="C65" i="9"/>
  <c r="B65" i="9"/>
  <c r="C64" i="9"/>
  <c r="B64" i="9"/>
  <c r="C63" i="9"/>
  <c r="B63" i="9"/>
  <c r="C62" i="9"/>
  <c r="B62" i="9"/>
  <c r="C61" i="9"/>
  <c r="B61" i="9"/>
  <c r="C60" i="9"/>
  <c r="B60" i="9"/>
  <c r="C59" i="9"/>
  <c r="B59" i="9"/>
  <c r="C58" i="9"/>
  <c r="B58" i="9"/>
  <c r="C57" i="9"/>
  <c r="B57" i="9"/>
  <c r="C56" i="9"/>
  <c r="B56" i="9"/>
  <c r="C55" i="9"/>
  <c r="B55" i="9"/>
  <c r="C54" i="9"/>
  <c r="B54" i="9"/>
  <c r="C53" i="9"/>
  <c r="B53" i="9"/>
  <c r="C52" i="9"/>
  <c r="B52" i="9"/>
  <c r="C51" i="9"/>
  <c r="B51" i="9"/>
  <c r="C50" i="9"/>
  <c r="B50" i="9"/>
  <c r="C49" i="9"/>
  <c r="B49" i="9"/>
  <c r="C48" i="9"/>
  <c r="B48" i="9"/>
  <c r="C47" i="9"/>
  <c r="B47" i="9"/>
  <c r="C46" i="9"/>
  <c r="B46" i="9"/>
  <c r="C45" i="9"/>
  <c r="B45" i="9"/>
  <c r="C44" i="9"/>
  <c r="B44" i="9"/>
  <c r="C43" i="9"/>
  <c r="B43" i="9"/>
  <c r="C42" i="9"/>
  <c r="B42" i="9"/>
  <c r="C41" i="9"/>
  <c r="B41" i="9"/>
  <c r="C40" i="9"/>
  <c r="B40" i="9"/>
  <c r="C39" i="9"/>
  <c r="B39" i="9"/>
  <c r="C38" i="9"/>
  <c r="B38" i="9"/>
  <c r="C37" i="9"/>
  <c r="B37" i="9"/>
  <c r="C36" i="9"/>
  <c r="B36" i="9"/>
  <c r="C35" i="9"/>
  <c r="B35" i="9"/>
  <c r="C34" i="9"/>
  <c r="B34" i="9"/>
  <c r="C33" i="9"/>
  <c r="B33" i="9"/>
  <c r="C32" i="9"/>
  <c r="B32" i="9"/>
  <c r="C31" i="9"/>
  <c r="B31" i="9"/>
  <c r="C30" i="9"/>
  <c r="B30" i="9"/>
  <c r="C29" i="9"/>
  <c r="B29" i="9"/>
  <c r="C28" i="9"/>
  <c r="B28" i="9"/>
  <c r="C27" i="9"/>
  <c r="B27" i="9"/>
  <c r="C26" i="9"/>
  <c r="B26" i="9"/>
  <c r="C25" i="9"/>
  <c r="B25" i="9"/>
  <c r="C24" i="9"/>
  <c r="B24" i="9"/>
  <c r="C23" i="9"/>
  <c r="B23" i="9"/>
  <c r="C22" i="9"/>
  <c r="B22" i="9"/>
  <c r="C21" i="9"/>
  <c r="B21" i="9"/>
  <c r="C20" i="9"/>
  <c r="B20" i="9"/>
  <c r="C19" i="9"/>
  <c r="B19" i="9"/>
  <c r="C18" i="9"/>
  <c r="B18" i="9"/>
  <c r="C17" i="9"/>
  <c r="B17" i="9"/>
  <c r="C16" i="9"/>
  <c r="B16" i="9"/>
  <c r="C15" i="9"/>
  <c r="B15" i="9"/>
  <c r="C14" i="9"/>
  <c r="B14" i="9"/>
  <c r="C13" i="9"/>
  <c r="B13" i="9"/>
  <c r="C12" i="9"/>
  <c r="B12" i="9"/>
  <c r="C11" i="9"/>
  <c r="B11" i="9"/>
  <c r="C10" i="9"/>
  <c r="B10" i="9"/>
  <c r="C9" i="9"/>
  <c r="B9" i="9"/>
  <c r="A6" i="9"/>
  <c r="Z1" i="9"/>
  <c r="X1" i="9"/>
  <c r="Y2" i="9" s="1"/>
  <c r="J19" i="16" s="1"/>
  <c r="V1" i="9"/>
  <c r="W2" i="9" s="1"/>
  <c r="J18" i="16" s="1"/>
  <c r="T1" i="9"/>
  <c r="R1" i="9"/>
  <c r="S2" i="9" s="1"/>
  <c r="J16" i="16" s="1"/>
  <c r="P1" i="9"/>
  <c r="Q2" i="9" s="1"/>
  <c r="J15" i="16" s="1"/>
  <c r="N1" i="9"/>
  <c r="O2" i="9" s="1"/>
  <c r="J14" i="16" s="1"/>
  <c r="L1" i="9"/>
  <c r="J1" i="9"/>
  <c r="K2" i="9" s="1"/>
  <c r="J12" i="16" s="1"/>
  <c r="H1" i="9"/>
  <c r="I2" i="9" s="1"/>
  <c r="J11" i="16" s="1"/>
  <c r="F1" i="9"/>
  <c r="G2" i="9" s="1"/>
  <c r="J10" i="16" s="1"/>
  <c r="D1" i="9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8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C1551" i="8"/>
  <c r="C1550" i="8"/>
  <c r="C1549" i="8"/>
  <c r="C1548" i="8"/>
  <c r="C1547" i="8"/>
  <c r="C1546" i="8"/>
  <c r="C1545" i="8"/>
  <c r="C1544" i="8"/>
  <c r="C1543" i="8"/>
  <c r="C1542" i="8"/>
  <c r="C1541" i="8"/>
  <c r="C1540" i="8"/>
  <c r="C1539" i="8"/>
  <c r="C1538" i="8"/>
  <c r="C1537" i="8"/>
  <c r="C1536" i="8"/>
  <c r="C1535" i="8"/>
  <c r="C1534" i="8"/>
  <c r="C1533" i="8"/>
  <c r="C1532" i="8"/>
  <c r="C1531" i="8"/>
  <c r="C1530" i="8"/>
  <c r="C1529" i="8"/>
  <c r="C1528" i="8"/>
  <c r="C1527" i="8"/>
  <c r="C1526" i="8"/>
  <c r="C1525" i="8"/>
  <c r="C1524" i="8"/>
  <c r="C1523" i="8"/>
  <c r="C1522" i="8"/>
  <c r="C1521" i="8"/>
  <c r="C1520" i="8"/>
  <c r="C1519" i="8"/>
  <c r="C1518" i="8"/>
  <c r="C1517" i="8"/>
  <c r="C1516" i="8"/>
  <c r="C1515" i="8"/>
  <c r="C1514" i="8"/>
  <c r="C1513" i="8"/>
  <c r="C1512" i="8"/>
  <c r="C1511" i="8"/>
  <c r="C1510" i="8"/>
  <c r="C1509" i="8"/>
  <c r="C1508" i="8"/>
  <c r="C1507" i="8"/>
  <c r="C1506" i="8"/>
  <c r="C1505" i="8"/>
  <c r="C1504" i="8"/>
  <c r="C1503" i="8"/>
  <c r="C1502" i="8"/>
  <c r="C1501" i="8"/>
  <c r="C1500" i="8"/>
  <c r="C1499" i="8"/>
  <c r="C1498" i="8"/>
  <c r="C1497" i="8"/>
  <c r="C1496" i="8"/>
  <c r="C1495" i="8"/>
  <c r="C1494" i="8"/>
  <c r="C1493" i="8"/>
  <c r="C1492" i="8"/>
  <c r="C1491" i="8"/>
  <c r="C1490" i="8"/>
  <c r="C1489" i="8"/>
  <c r="C1488" i="8"/>
  <c r="C1487" i="8"/>
  <c r="C1486" i="8"/>
  <c r="C1485" i="8"/>
  <c r="C1484" i="8"/>
  <c r="C1483" i="8"/>
  <c r="C1482" i="8"/>
  <c r="C1481" i="8"/>
  <c r="C1480" i="8"/>
  <c r="C1479" i="8"/>
  <c r="C1478" i="8"/>
  <c r="C1477" i="8"/>
  <c r="C1476" i="8"/>
  <c r="C1475" i="8"/>
  <c r="C1474" i="8"/>
  <c r="C1473" i="8"/>
  <c r="C1472" i="8"/>
  <c r="C1471" i="8"/>
  <c r="C1470" i="8"/>
  <c r="C1469" i="8"/>
  <c r="C1468" i="8"/>
  <c r="C1467" i="8"/>
  <c r="C1466" i="8"/>
  <c r="C1465" i="8"/>
  <c r="C1464" i="8"/>
  <c r="C1463" i="8"/>
  <c r="C1462" i="8"/>
  <c r="C1461" i="8"/>
  <c r="C1460" i="8"/>
  <c r="C1459" i="8"/>
  <c r="C1458" i="8"/>
  <c r="C1457" i="8"/>
  <c r="C1456" i="8"/>
  <c r="C1455" i="8"/>
  <c r="C1454" i="8"/>
  <c r="C1453" i="8"/>
  <c r="C1452" i="8"/>
  <c r="C1451" i="8"/>
  <c r="C1450" i="8"/>
  <c r="C1449" i="8"/>
  <c r="C1448" i="8"/>
  <c r="C1447" i="8"/>
  <c r="C1446" i="8"/>
  <c r="C1445" i="8"/>
  <c r="C1444" i="8"/>
  <c r="C1443" i="8"/>
  <c r="C1442" i="8"/>
  <c r="C1441" i="8"/>
  <c r="C1440" i="8"/>
  <c r="C1439" i="8"/>
  <c r="C1438" i="8"/>
  <c r="C1437" i="8"/>
  <c r="C1436" i="8"/>
  <c r="C1435" i="8"/>
  <c r="C1434" i="8"/>
  <c r="C1433" i="8"/>
  <c r="C1432" i="8"/>
  <c r="C1431" i="8"/>
  <c r="C1430" i="8"/>
  <c r="C1429" i="8"/>
  <c r="C1428" i="8"/>
  <c r="C1427" i="8"/>
  <c r="C1426" i="8"/>
  <c r="C1425" i="8"/>
  <c r="C1424" i="8"/>
  <c r="C1423" i="8"/>
  <c r="C1422" i="8"/>
  <c r="C1421" i="8"/>
  <c r="C1420" i="8"/>
  <c r="C1419" i="8"/>
  <c r="C1418" i="8"/>
  <c r="C1417" i="8"/>
  <c r="C1416" i="8"/>
  <c r="C1415" i="8"/>
  <c r="C1414" i="8"/>
  <c r="C1413" i="8"/>
  <c r="C1412" i="8"/>
  <c r="C1411" i="8"/>
  <c r="C1410" i="8"/>
  <c r="C1409" i="8"/>
  <c r="C1408" i="8"/>
  <c r="C1407" i="8"/>
  <c r="C1406" i="8"/>
  <c r="C1405" i="8"/>
  <c r="C1404" i="8"/>
  <c r="C1403" i="8"/>
  <c r="C1402" i="8"/>
  <c r="C1401" i="8"/>
  <c r="C1400" i="8"/>
  <c r="C1399" i="8"/>
  <c r="C1398" i="8"/>
  <c r="C1397" i="8"/>
  <c r="C1396" i="8"/>
  <c r="C1395" i="8"/>
  <c r="C1394" i="8"/>
  <c r="C1393" i="8"/>
  <c r="C1392" i="8"/>
  <c r="C1391" i="8"/>
  <c r="C1390" i="8"/>
  <c r="C1389" i="8"/>
  <c r="C1388" i="8"/>
  <c r="C1387" i="8"/>
  <c r="C1386" i="8"/>
  <c r="C1385" i="8"/>
  <c r="C1384" i="8"/>
  <c r="C1383" i="8"/>
  <c r="C1382" i="8"/>
  <c r="C1381" i="8"/>
  <c r="C1380" i="8"/>
  <c r="C1379" i="8"/>
  <c r="C1378" i="8"/>
  <c r="C1377" i="8"/>
  <c r="C1376" i="8"/>
  <c r="C1375" i="8"/>
  <c r="C1374" i="8"/>
  <c r="C1373" i="8"/>
  <c r="C1372" i="8"/>
  <c r="C1371" i="8"/>
  <c r="C1370" i="8"/>
  <c r="C1369" i="8"/>
  <c r="C1368" i="8"/>
  <c r="C1367" i="8"/>
  <c r="C1366" i="8"/>
  <c r="C1365" i="8"/>
  <c r="C1364" i="8"/>
  <c r="C1363" i="8"/>
  <c r="C1362" i="8"/>
  <c r="C1361" i="8"/>
  <c r="C1360" i="8"/>
  <c r="C1359" i="8"/>
  <c r="C1358" i="8"/>
  <c r="C1357" i="8"/>
  <c r="C1356" i="8"/>
  <c r="C1355" i="8"/>
  <c r="C1354" i="8"/>
  <c r="C1353" i="8"/>
  <c r="C1352" i="8"/>
  <c r="C1351" i="8"/>
  <c r="C1350" i="8"/>
  <c r="C1349" i="8"/>
  <c r="C1348" i="8"/>
  <c r="C1347" i="8"/>
  <c r="C1346" i="8"/>
  <c r="C1345" i="8"/>
  <c r="C1344" i="8"/>
  <c r="C1343" i="8"/>
  <c r="C1342" i="8"/>
  <c r="C1341" i="8"/>
  <c r="C1340" i="8"/>
  <c r="C1339" i="8"/>
  <c r="C1338" i="8"/>
  <c r="C1337" i="8"/>
  <c r="C1336" i="8"/>
  <c r="C1335" i="8"/>
  <c r="C1334" i="8"/>
  <c r="C1333" i="8"/>
  <c r="C1332" i="8"/>
  <c r="C1331" i="8"/>
  <c r="C1330" i="8"/>
  <c r="C1329" i="8"/>
  <c r="C1328" i="8"/>
  <c r="C1327" i="8"/>
  <c r="C1326" i="8"/>
  <c r="C1325" i="8"/>
  <c r="C1324" i="8"/>
  <c r="C1323" i="8"/>
  <c r="C1322" i="8"/>
  <c r="C1321" i="8"/>
  <c r="C1320" i="8"/>
  <c r="C1319" i="8"/>
  <c r="C1318" i="8"/>
  <c r="C1317" i="8"/>
  <c r="C1316" i="8"/>
  <c r="C1315" i="8"/>
  <c r="C1314" i="8"/>
  <c r="C1313" i="8"/>
  <c r="C1312" i="8"/>
  <c r="C1311" i="8"/>
  <c r="C1310" i="8"/>
  <c r="C1309" i="8"/>
  <c r="C1308" i="8"/>
  <c r="C1307" i="8"/>
  <c r="C1306" i="8"/>
  <c r="C1305" i="8"/>
  <c r="C1304" i="8"/>
  <c r="C1303" i="8"/>
  <c r="C1302" i="8"/>
  <c r="C1301" i="8"/>
  <c r="C1300" i="8"/>
  <c r="C1299" i="8"/>
  <c r="C1298" i="8"/>
  <c r="C1297" i="8"/>
  <c r="C1296" i="8"/>
  <c r="C1295" i="8"/>
  <c r="C1294" i="8"/>
  <c r="C1293" i="8"/>
  <c r="C1292" i="8"/>
  <c r="C1291" i="8"/>
  <c r="C1290" i="8"/>
  <c r="C1289" i="8"/>
  <c r="C1288" i="8"/>
  <c r="C1287" i="8"/>
  <c r="C1286" i="8"/>
  <c r="C1285" i="8"/>
  <c r="C1284" i="8"/>
  <c r="C1283" i="8"/>
  <c r="C1282" i="8"/>
  <c r="C1281" i="8"/>
  <c r="C1280" i="8"/>
  <c r="C1279" i="8"/>
  <c r="C1278" i="8"/>
  <c r="C1277" i="8"/>
  <c r="C1276" i="8"/>
  <c r="C1275" i="8"/>
  <c r="C1274" i="8"/>
  <c r="C1273" i="8"/>
  <c r="C1272" i="8"/>
  <c r="C1271" i="8"/>
  <c r="C1270" i="8"/>
  <c r="C1269" i="8"/>
  <c r="C1268" i="8"/>
  <c r="C1267" i="8"/>
  <c r="C1266" i="8"/>
  <c r="C1265" i="8"/>
  <c r="C1264" i="8"/>
  <c r="C1263" i="8"/>
  <c r="C1262" i="8"/>
  <c r="C1261" i="8"/>
  <c r="C1260" i="8"/>
  <c r="C1259" i="8"/>
  <c r="C1258" i="8"/>
  <c r="C1257" i="8"/>
  <c r="C1256" i="8"/>
  <c r="C1255" i="8"/>
  <c r="C1254" i="8"/>
  <c r="C1253" i="8"/>
  <c r="C1252" i="8"/>
  <c r="C1251" i="8"/>
  <c r="C1250" i="8"/>
  <c r="C1249" i="8"/>
  <c r="C1248" i="8"/>
  <c r="C1247" i="8"/>
  <c r="C1246" i="8"/>
  <c r="C1245" i="8"/>
  <c r="C1244" i="8"/>
  <c r="C1243" i="8"/>
  <c r="C1242" i="8"/>
  <c r="C1241" i="8"/>
  <c r="C1240" i="8"/>
  <c r="C1239" i="8"/>
  <c r="C1238" i="8"/>
  <c r="C1237" i="8"/>
  <c r="C1236" i="8"/>
  <c r="C1235" i="8"/>
  <c r="C1234" i="8"/>
  <c r="C1233" i="8"/>
  <c r="C1232" i="8"/>
  <c r="C1231" i="8"/>
  <c r="C1230" i="8"/>
  <c r="C1229" i="8"/>
  <c r="C1228" i="8"/>
  <c r="C1227" i="8"/>
  <c r="C1226" i="8"/>
  <c r="C1225" i="8"/>
  <c r="C1224" i="8"/>
  <c r="C1223" i="8"/>
  <c r="C1222" i="8"/>
  <c r="C1221" i="8"/>
  <c r="C1220" i="8"/>
  <c r="C1219" i="8"/>
  <c r="C1218" i="8"/>
  <c r="C1217" i="8"/>
  <c r="C1216" i="8"/>
  <c r="C1215" i="8"/>
  <c r="C1214" i="8"/>
  <c r="C1213" i="8"/>
  <c r="C1212" i="8"/>
  <c r="C1211" i="8"/>
  <c r="C1210" i="8"/>
  <c r="C1209" i="8"/>
  <c r="C1208" i="8"/>
  <c r="C1207" i="8"/>
  <c r="C1206" i="8"/>
  <c r="C1205" i="8"/>
  <c r="C1204" i="8"/>
  <c r="C1203" i="8"/>
  <c r="C1202" i="8"/>
  <c r="C1201" i="8"/>
  <c r="C1200" i="8"/>
  <c r="C1199" i="8"/>
  <c r="C1198" i="8"/>
  <c r="C1197" i="8"/>
  <c r="C1196" i="8"/>
  <c r="C1195" i="8"/>
  <c r="C1194" i="8"/>
  <c r="C1193" i="8"/>
  <c r="C1192" i="8"/>
  <c r="C1191" i="8"/>
  <c r="C1190" i="8"/>
  <c r="C1189" i="8"/>
  <c r="C1188" i="8"/>
  <c r="C1187" i="8"/>
  <c r="C1186" i="8"/>
  <c r="C1185" i="8"/>
  <c r="C1184" i="8"/>
  <c r="C1183" i="8"/>
  <c r="C1182" i="8"/>
  <c r="C1181" i="8"/>
  <c r="C1180" i="8"/>
  <c r="C1179" i="8"/>
  <c r="C1178" i="8"/>
  <c r="C1177" i="8"/>
  <c r="C1176" i="8"/>
  <c r="C1175" i="8"/>
  <c r="C1174" i="8"/>
  <c r="C1173" i="8"/>
  <c r="C1172" i="8"/>
  <c r="C1171" i="8"/>
  <c r="C1170" i="8"/>
  <c r="C1169" i="8"/>
  <c r="C1168" i="8"/>
  <c r="C1167" i="8"/>
  <c r="C1166" i="8"/>
  <c r="C1165" i="8"/>
  <c r="C1164" i="8"/>
  <c r="C1163" i="8"/>
  <c r="C1162" i="8"/>
  <c r="C1161" i="8"/>
  <c r="C1160" i="8"/>
  <c r="C1159" i="8"/>
  <c r="C1158" i="8"/>
  <c r="C1157" i="8"/>
  <c r="C1156" i="8"/>
  <c r="C1155" i="8"/>
  <c r="C1154" i="8"/>
  <c r="C1153" i="8"/>
  <c r="C1152" i="8"/>
  <c r="C1151" i="8"/>
  <c r="C1150" i="8"/>
  <c r="C1149" i="8"/>
  <c r="C1148" i="8"/>
  <c r="C1147" i="8"/>
  <c r="C1146" i="8"/>
  <c r="C1145" i="8"/>
  <c r="C1144" i="8"/>
  <c r="C1143" i="8"/>
  <c r="C1142" i="8"/>
  <c r="C1141" i="8"/>
  <c r="C1140" i="8"/>
  <c r="C1139" i="8"/>
  <c r="C1138" i="8"/>
  <c r="C1137" i="8"/>
  <c r="C1136" i="8"/>
  <c r="C1135" i="8"/>
  <c r="C1134" i="8"/>
  <c r="C1133" i="8"/>
  <c r="C1132" i="8"/>
  <c r="C1131" i="8"/>
  <c r="C1130" i="8"/>
  <c r="C1129" i="8"/>
  <c r="C1128" i="8"/>
  <c r="C1127" i="8"/>
  <c r="C1126" i="8"/>
  <c r="C1125" i="8"/>
  <c r="C1124" i="8"/>
  <c r="C1123" i="8"/>
  <c r="C1122" i="8"/>
  <c r="C1121" i="8"/>
  <c r="C1120" i="8"/>
  <c r="C1119" i="8"/>
  <c r="C1118" i="8"/>
  <c r="C1117" i="8"/>
  <c r="C1116" i="8"/>
  <c r="C1115" i="8"/>
  <c r="C1114" i="8"/>
  <c r="C1113" i="8"/>
  <c r="C1112" i="8"/>
  <c r="C1111" i="8"/>
  <c r="C1110" i="8"/>
  <c r="C1109" i="8"/>
  <c r="C1108" i="8"/>
  <c r="C1107" i="8"/>
  <c r="C1106" i="8"/>
  <c r="C1105" i="8"/>
  <c r="C1104" i="8"/>
  <c r="C1103" i="8"/>
  <c r="C1102" i="8"/>
  <c r="C1101" i="8"/>
  <c r="C1100" i="8"/>
  <c r="C1099" i="8"/>
  <c r="C1098" i="8"/>
  <c r="C1097" i="8"/>
  <c r="C1096" i="8"/>
  <c r="C1095" i="8"/>
  <c r="C1094" i="8"/>
  <c r="C1093" i="8"/>
  <c r="C1092" i="8"/>
  <c r="C1091" i="8"/>
  <c r="C1090" i="8"/>
  <c r="C1089" i="8"/>
  <c r="C1088" i="8"/>
  <c r="C1087" i="8"/>
  <c r="C1086" i="8"/>
  <c r="C1085" i="8"/>
  <c r="C1084" i="8"/>
  <c r="C1083" i="8"/>
  <c r="C1082" i="8"/>
  <c r="C1081" i="8"/>
  <c r="C1080" i="8"/>
  <c r="C1079" i="8"/>
  <c r="C1078" i="8"/>
  <c r="C1077" i="8"/>
  <c r="C1076" i="8"/>
  <c r="C1075" i="8"/>
  <c r="C1074" i="8"/>
  <c r="C1073" i="8"/>
  <c r="C1072" i="8"/>
  <c r="C1071" i="8"/>
  <c r="C1070" i="8"/>
  <c r="C1069" i="8"/>
  <c r="C1068" i="8"/>
  <c r="C1067" i="8"/>
  <c r="C1066" i="8"/>
  <c r="C1065" i="8"/>
  <c r="C1064" i="8"/>
  <c r="C1063" i="8"/>
  <c r="C1062" i="8"/>
  <c r="C1061" i="8"/>
  <c r="C1060" i="8"/>
  <c r="C1059" i="8"/>
  <c r="C1058" i="8"/>
  <c r="C1057" i="8"/>
  <c r="C1056" i="8"/>
  <c r="C1055" i="8"/>
  <c r="C1054" i="8"/>
  <c r="C1053" i="8"/>
  <c r="C1052" i="8"/>
  <c r="C1051" i="8"/>
  <c r="C1050" i="8"/>
  <c r="C1049" i="8"/>
  <c r="C1048" i="8"/>
  <c r="C1047" i="8"/>
  <c r="C1046" i="8"/>
  <c r="C1045" i="8"/>
  <c r="C1044" i="8"/>
  <c r="C1043" i="8"/>
  <c r="C1042" i="8"/>
  <c r="C1041" i="8"/>
  <c r="C1040" i="8"/>
  <c r="C1039" i="8"/>
  <c r="C1038" i="8"/>
  <c r="C1037" i="8"/>
  <c r="C1036" i="8"/>
  <c r="C1035" i="8"/>
  <c r="C1034" i="8"/>
  <c r="C1033" i="8"/>
  <c r="C1032" i="8"/>
  <c r="C1031" i="8"/>
  <c r="C1030" i="8"/>
  <c r="C1029" i="8"/>
  <c r="C1028" i="8"/>
  <c r="C1027" i="8"/>
  <c r="C1026" i="8"/>
  <c r="C1025" i="8"/>
  <c r="C1024" i="8"/>
  <c r="C1023" i="8"/>
  <c r="C1022" i="8"/>
  <c r="C1021" i="8"/>
  <c r="C1020" i="8"/>
  <c r="C1019" i="8"/>
  <c r="C1018" i="8"/>
  <c r="C1017" i="8"/>
  <c r="C1016" i="8"/>
  <c r="C1015" i="8"/>
  <c r="C1014" i="8"/>
  <c r="C1013" i="8"/>
  <c r="C1012" i="8"/>
  <c r="C1011" i="8"/>
  <c r="C1010" i="8"/>
  <c r="C1009" i="8"/>
  <c r="C1008" i="8"/>
  <c r="C1007" i="8"/>
  <c r="C1006" i="8"/>
  <c r="C1005" i="8"/>
  <c r="C1004" i="8"/>
  <c r="C1003" i="8"/>
  <c r="C1002" i="8"/>
  <c r="C1001" i="8"/>
  <c r="C1000" i="8"/>
  <c r="C999" i="8"/>
  <c r="C998" i="8"/>
  <c r="C997" i="8"/>
  <c r="C996" i="8"/>
  <c r="C995" i="8"/>
  <c r="C994" i="8"/>
  <c r="C993" i="8"/>
  <c r="C992" i="8"/>
  <c r="C991" i="8"/>
  <c r="C990" i="8"/>
  <c r="C989" i="8"/>
  <c r="C988" i="8"/>
  <c r="C987" i="8"/>
  <c r="C986" i="8"/>
  <c r="C985" i="8"/>
  <c r="C984" i="8"/>
  <c r="C983" i="8"/>
  <c r="C982" i="8"/>
  <c r="C981" i="8"/>
  <c r="C980" i="8"/>
  <c r="C979" i="8"/>
  <c r="C978" i="8"/>
  <c r="C977" i="8"/>
  <c r="C976" i="8"/>
  <c r="C975" i="8"/>
  <c r="C974" i="8"/>
  <c r="C973" i="8"/>
  <c r="C972" i="8"/>
  <c r="C971" i="8"/>
  <c r="C970" i="8"/>
  <c r="C969" i="8"/>
  <c r="C968" i="8"/>
  <c r="C967" i="8"/>
  <c r="C966" i="8"/>
  <c r="C965" i="8"/>
  <c r="C964" i="8"/>
  <c r="C963" i="8"/>
  <c r="C962" i="8"/>
  <c r="C961" i="8"/>
  <c r="C960" i="8"/>
  <c r="C959" i="8"/>
  <c r="C958" i="8"/>
  <c r="C957" i="8"/>
  <c r="C956" i="8"/>
  <c r="C955" i="8"/>
  <c r="C954" i="8"/>
  <c r="C953" i="8"/>
  <c r="C952" i="8"/>
  <c r="C951" i="8"/>
  <c r="C950" i="8"/>
  <c r="C949" i="8"/>
  <c r="C948" i="8"/>
  <c r="C947" i="8"/>
  <c r="C946" i="8"/>
  <c r="C945" i="8"/>
  <c r="C944" i="8"/>
  <c r="C943" i="8"/>
  <c r="C942" i="8"/>
  <c r="C941" i="8"/>
  <c r="C940" i="8"/>
  <c r="C939" i="8"/>
  <c r="C938" i="8"/>
  <c r="C937" i="8"/>
  <c r="C936" i="8"/>
  <c r="C935" i="8"/>
  <c r="C934" i="8"/>
  <c r="C933" i="8"/>
  <c r="C932" i="8"/>
  <c r="C931" i="8"/>
  <c r="C930" i="8"/>
  <c r="C929" i="8"/>
  <c r="C928" i="8"/>
  <c r="C927" i="8"/>
  <c r="C926" i="8"/>
  <c r="C925" i="8"/>
  <c r="C924" i="8"/>
  <c r="C923" i="8"/>
  <c r="C922" i="8"/>
  <c r="C921" i="8"/>
  <c r="C920" i="8"/>
  <c r="C919" i="8"/>
  <c r="C918" i="8"/>
  <c r="C917" i="8"/>
  <c r="C916" i="8"/>
  <c r="C915" i="8"/>
  <c r="C914" i="8"/>
  <c r="C913" i="8"/>
  <c r="C912" i="8"/>
  <c r="C911" i="8"/>
  <c r="C910" i="8"/>
  <c r="C909" i="8"/>
  <c r="C908" i="8"/>
  <c r="C907" i="8"/>
  <c r="C906" i="8"/>
  <c r="C905" i="8"/>
  <c r="C904" i="8"/>
  <c r="C903" i="8"/>
  <c r="C902" i="8"/>
  <c r="C901" i="8"/>
  <c r="C900" i="8"/>
  <c r="C899" i="8"/>
  <c r="C898" i="8"/>
  <c r="C897" i="8"/>
  <c r="C896" i="8"/>
  <c r="C895" i="8"/>
  <c r="C894" i="8"/>
  <c r="C893" i="8"/>
  <c r="C892" i="8"/>
  <c r="C891" i="8"/>
  <c r="C890" i="8"/>
  <c r="C889" i="8"/>
  <c r="C888" i="8"/>
  <c r="C887" i="8"/>
  <c r="C886" i="8"/>
  <c r="C885" i="8"/>
  <c r="C884" i="8"/>
  <c r="C883" i="8"/>
  <c r="C882" i="8"/>
  <c r="C881" i="8"/>
  <c r="C880" i="8"/>
  <c r="C879" i="8"/>
  <c r="C878" i="8"/>
  <c r="C877" i="8"/>
  <c r="C876" i="8"/>
  <c r="C875" i="8"/>
  <c r="C874" i="8"/>
  <c r="C873" i="8"/>
  <c r="C872" i="8"/>
  <c r="C871" i="8"/>
  <c r="C870" i="8"/>
  <c r="C869" i="8"/>
  <c r="C868" i="8"/>
  <c r="C867" i="8"/>
  <c r="C866" i="8"/>
  <c r="C865" i="8"/>
  <c r="C864" i="8"/>
  <c r="C863" i="8"/>
  <c r="C862" i="8"/>
  <c r="C861" i="8"/>
  <c r="C860" i="8"/>
  <c r="C859" i="8"/>
  <c r="C858" i="8"/>
  <c r="C857" i="8"/>
  <c r="C856" i="8"/>
  <c r="C855" i="8"/>
  <c r="C854" i="8"/>
  <c r="C853" i="8"/>
  <c r="C852" i="8"/>
  <c r="C851" i="8"/>
  <c r="C850" i="8"/>
  <c r="C849" i="8"/>
  <c r="C848" i="8"/>
  <c r="C847" i="8"/>
  <c r="C846" i="8"/>
  <c r="C845" i="8"/>
  <c r="C844" i="8"/>
  <c r="C843" i="8"/>
  <c r="C842" i="8"/>
  <c r="C841" i="8"/>
  <c r="C840" i="8"/>
  <c r="C839" i="8"/>
  <c r="C838" i="8"/>
  <c r="C837" i="8"/>
  <c r="C836" i="8"/>
  <c r="C835" i="8"/>
  <c r="C834" i="8"/>
  <c r="C833" i="8"/>
  <c r="C832" i="8"/>
  <c r="C831" i="8"/>
  <c r="C830" i="8"/>
  <c r="C829" i="8"/>
  <c r="C828" i="8"/>
  <c r="C827" i="8"/>
  <c r="C826" i="8"/>
  <c r="C825" i="8"/>
  <c r="C824" i="8"/>
  <c r="C823" i="8"/>
  <c r="C822" i="8"/>
  <c r="C821" i="8"/>
  <c r="C820" i="8"/>
  <c r="C819" i="8"/>
  <c r="C818" i="8"/>
  <c r="C817" i="8"/>
  <c r="C816" i="8"/>
  <c r="C815" i="8"/>
  <c r="C814" i="8"/>
  <c r="C813" i="8"/>
  <c r="C812" i="8"/>
  <c r="C811" i="8"/>
  <c r="C810" i="8"/>
  <c r="C809" i="8"/>
  <c r="C808" i="8"/>
  <c r="C807" i="8"/>
  <c r="C806" i="8"/>
  <c r="C805" i="8"/>
  <c r="C804" i="8"/>
  <c r="C803" i="8"/>
  <c r="C802" i="8"/>
  <c r="C801" i="8"/>
  <c r="C800" i="8"/>
  <c r="C799" i="8"/>
  <c r="C798" i="8"/>
  <c r="C797" i="8"/>
  <c r="C796" i="8"/>
  <c r="C795" i="8"/>
  <c r="C794" i="8"/>
  <c r="C793" i="8"/>
  <c r="C792" i="8"/>
  <c r="C791" i="8"/>
  <c r="C790" i="8"/>
  <c r="C789" i="8"/>
  <c r="C788" i="8"/>
  <c r="C787" i="8"/>
  <c r="C786" i="8"/>
  <c r="C785" i="8"/>
  <c r="C784" i="8"/>
  <c r="C783" i="8"/>
  <c r="C782" i="8"/>
  <c r="C781" i="8"/>
  <c r="C780" i="8"/>
  <c r="C779" i="8"/>
  <c r="C778" i="8"/>
  <c r="C777" i="8"/>
  <c r="C776" i="8"/>
  <c r="C775" i="8"/>
  <c r="C774" i="8"/>
  <c r="C773" i="8"/>
  <c r="C772" i="8"/>
  <c r="C771" i="8"/>
  <c r="C770" i="8"/>
  <c r="C769" i="8"/>
  <c r="C768" i="8"/>
  <c r="C767" i="8"/>
  <c r="C766" i="8"/>
  <c r="C765" i="8"/>
  <c r="C764" i="8"/>
  <c r="C763" i="8"/>
  <c r="C762" i="8"/>
  <c r="C761" i="8"/>
  <c r="C760" i="8"/>
  <c r="C759" i="8"/>
  <c r="C758" i="8"/>
  <c r="C757" i="8"/>
  <c r="C756" i="8"/>
  <c r="C755" i="8"/>
  <c r="C754" i="8"/>
  <c r="C753" i="8"/>
  <c r="C752" i="8"/>
  <c r="C751" i="8"/>
  <c r="C750" i="8"/>
  <c r="C749" i="8"/>
  <c r="C748" i="8"/>
  <c r="C747" i="8"/>
  <c r="C746" i="8"/>
  <c r="C745" i="8"/>
  <c r="C744" i="8"/>
  <c r="C743" i="8"/>
  <c r="C742" i="8"/>
  <c r="C741" i="8"/>
  <c r="C740" i="8"/>
  <c r="C739" i="8"/>
  <c r="C738" i="8"/>
  <c r="C737" i="8"/>
  <c r="C736" i="8"/>
  <c r="C735" i="8"/>
  <c r="C734" i="8"/>
  <c r="C733" i="8"/>
  <c r="C732" i="8"/>
  <c r="C731" i="8"/>
  <c r="C730" i="8"/>
  <c r="C729" i="8"/>
  <c r="C728" i="8"/>
  <c r="C727" i="8"/>
  <c r="C726" i="8"/>
  <c r="C725" i="8"/>
  <c r="C724" i="8"/>
  <c r="C723" i="8"/>
  <c r="C722" i="8"/>
  <c r="C721" i="8"/>
  <c r="C720" i="8"/>
  <c r="C719" i="8"/>
  <c r="C718" i="8"/>
  <c r="C717" i="8"/>
  <c r="C716" i="8"/>
  <c r="C715" i="8"/>
  <c r="C714" i="8"/>
  <c r="C713" i="8"/>
  <c r="C712" i="8"/>
  <c r="C711" i="8"/>
  <c r="C710" i="8"/>
  <c r="C709" i="8"/>
  <c r="C708" i="8"/>
  <c r="C707" i="8"/>
  <c r="C706" i="8"/>
  <c r="C705" i="8"/>
  <c r="C704" i="8"/>
  <c r="C703" i="8"/>
  <c r="C702" i="8"/>
  <c r="C701" i="8"/>
  <c r="C700" i="8"/>
  <c r="C699" i="8"/>
  <c r="C698" i="8"/>
  <c r="C697" i="8"/>
  <c r="C696" i="8"/>
  <c r="C695" i="8"/>
  <c r="C694" i="8"/>
  <c r="C693" i="8"/>
  <c r="C692" i="8"/>
  <c r="C691" i="8"/>
  <c r="C690" i="8"/>
  <c r="C689" i="8"/>
  <c r="C688" i="8"/>
  <c r="C687" i="8"/>
  <c r="C686" i="8"/>
  <c r="C685" i="8"/>
  <c r="C684" i="8"/>
  <c r="C683" i="8"/>
  <c r="C682" i="8"/>
  <c r="C681" i="8"/>
  <c r="C680" i="8"/>
  <c r="C679" i="8"/>
  <c r="C678" i="8"/>
  <c r="C677" i="8"/>
  <c r="C676" i="8"/>
  <c r="C675" i="8"/>
  <c r="C674" i="8"/>
  <c r="C673" i="8"/>
  <c r="C672" i="8"/>
  <c r="C671" i="8"/>
  <c r="C670" i="8"/>
  <c r="C669" i="8"/>
  <c r="C668" i="8"/>
  <c r="C667" i="8"/>
  <c r="C666" i="8"/>
  <c r="C665" i="8"/>
  <c r="C664" i="8"/>
  <c r="C663" i="8"/>
  <c r="C662" i="8"/>
  <c r="C661" i="8"/>
  <c r="C660" i="8"/>
  <c r="C659" i="8"/>
  <c r="C658" i="8"/>
  <c r="C657" i="8"/>
  <c r="C656" i="8"/>
  <c r="C655" i="8"/>
  <c r="C654" i="8"/>
  <c r="C653" i="8"/>
  <c r="C652" i="8"/>
  <c r="C651" i="8"/>
  <c r="C650" i="8"/>
  <c r="C649" i="8"/>
  <c r="C648" i="8"/>
  <c r="C647" i="8"/>
  <c r="C646" i="8"/>
  <c r="C645" i="8"/>
  <c r="C644" i="8"/>
  <c r="C643" i="8"/>
  <c r="C642" i="8"/>
  <c r="C641" i="8"/>
  <c r="C640" i="8"/>
  <c r="C639" i="8"/>
  <c r="C638" i="8"/>
  <c r="C637" i="8"/>
  <c r="C636" i="8"/>
  <c r="C635" i="8"/>
  <c r="C634" i="8"/>
  <c r="C633" i="8"/>
  <c r="C632" i="8"/>
  <c r="C631" i="8"/>
  <c r="C630" i="8"/>
  <c r="C629" i="8"/>
  <c r="C628" i="8"/>
  <c r="C627" i="8"/>
  <c r="C626" i="8"/>
  <c r="C625" i="8"/>
  <c r="C624" i="8"/>
  <c r="C623" i="8"/>
  <c r="C622" i="8"/>
  <c r="C621" i="8"/>
  <c r="C620" i="8"/>
  <c r="C619" i="8"/>
  <c r="C618" i="8"/>
  <c r="C617" i="8"/>
  <c r="C616" i="8"/>
  <c r="C615" i="8"/>
  <c r="C614" i="8"/>
  <c r="C613" i="8"/>
  <c r="C612" i="8"/>
  <c r="C611" i="8"/>
  <c r="C610" i="8"/>
  <c r="C609" i="8"/>
  <c r="C608" i="8"/>
  <c r="C607" i="8"/>
  <c r="C606" i="8"/>
  <c r="C605" i="8"/>
  <c r="C604" i="8"/>
  <c r="C603" i="8"/>
  <c r="C602" i="8"/>
  <c r="C601" i="8"/>
  <c r="C600" i="8"/>
  <c r="C599" i="8"/>
  <c r="C598" i="8"/>
  <c r="C597" i="8"/>
  <c r="C596" i="8"/>
  <c r="C595" i="8"/>
  <c r="C594" i="8"/>
  <c r="C593" i="8"/>
  <c r="C592" i="8"/>
  <c r="C591" i="8"/>
  <c r="C590" i="8"/>
  <c r="C589" i="8"/>
  <c r="C588" i="8"/>
  <c r="C587" i="8"/>
  <c r="C586" i="8"/>
  <c r="C585" i="8"/>
  <c r="C584" i="8"/>
  <c r="C583" i="8"/>
  <c r="C582" i="8"/>
  <c r="C581" i="8"/>
  <c r="C580" i="8"/>
  <c r="C579" i="8"/>
  <c r="C578" i="8"/>
  <c r="C577" i="8"/>
  <c r="C576" i="8"/>
  <c r="C575" i="8"/>
  <c r="C574" i="8"/>
  <c r="C573" i="8"/>
  <c r="C572" i="8"/>
  <c r="C571" i="8"/>
  <c r="C570" i="8"/>
  <c r="C569" i="8"/>
  <c r="C568" i="8"/>
  <c r="C567" i="8"/>
  <c r="C566" i="8"/>
  <c r="C565" i="8"/>
  <c r="C564" i="8"/>
  <c r="C563" i="8"/>
  <c r="C562" i="8"/>
  <c r="C561" i="8"/>
  <c r="C560" i="8"/>
  <c r="C559" i="8"/>
  <c r="C558" i="8"/>
  <c r="C557" i="8"/>
  <c r="C556" i="8"/>
  <c r="C555" i="8"/>
  <c r="C554" i="8"/>
  <c r="C553" i="8"/>
  <c r="C552" i="8"/>
  <c r="C551" i="8"/>
  <c r="C550" i="8"/>
  <c r="C549" i="8"/>
  <c r="C548" i="8"/>
  <c r="C547" i="8"/>
  <c r="C546" i="8"/>
  <c r="C545" i="8"/>
  <c r="C544" i="8"/>
  <c r="C543" i="8"/>
  <c r="C542" i="8"/>
  <c r="C541" i="8"/>
  <c r="C540" i="8"/>
  <c r="C539" i="8"/>
  <c r="C538" i="8"/>
  <c r="C537" i="8"/>
  <c r="C536" i="8"/>
  <c r="C535" i="8"/>
  <c r="C534" i="8"/>
  <c r="C533" i="8"/>
  <c r="C532" i="8"/>
  <c r="C531" i="8"/>
  <c r="C530" i="8"/>
  <c r="C529" i="8"/>
  <c r="C528" i="8"/>
  <c r="C527" i="8"/>
  <c r="C526" i="8"/>
  <c r="C525" i="8"/>
  <c r="C524" i="8"/>
  <c r="C523" i="8"/>
  <c r="C522" i="8"/>
  <c r="C521" i="8"/>
  <c r="C520" i="8"/>
  <c r="C519" i="8"/>
  <c r="C518" i="8"/>
  <c r="C517" i="8"/>
  <c r="C516" i="8"/>
  <c r="C515" i="8"/>
  <c r="C514" i="8"/>
  <c r="C513" i="8"/>
  <c r="C512" i="8"/>
  <c r="C511" i="8"/>
  <c r="C510" i="8"/>
  <c r="C509" i="8"/>
  <c r="C508" i="8"/>
  <c r="C507" i="8"/>
  <c r="C506" i="8"/>
  <c r="C505" i="8"/>
  <c r="C504" i="8"/>
  <c r="C503" i="8"/>
  <c r="C502" i="8"/>
  <c r="C501" i="8"/>
  <c r="C500" i="8"/>
  <c r="C499" i="8"/>
  <c r="C498" i="8"/>
  <c r="C497" i="8"/>
  <c r="C496" i="8"/>
  <c r="C495" i="8"/>
  <c r="C494" i="8"/>
  <c r="C493" i="8"/>
  <c r="C492" i="8"/>
  <c r="C491" i="8"/>
  <c r="C490" i="8"/>
  <c r="C489" i="8"/>
  <c r="C488" i="8"/>
  <c r="C487" i="8"/>
  <c r="C486" i="8"/>
  <c r="C485" i="8"/>
  <c r="C484" i="8"/>
  <c r="C483" i="8"/>
  <c r="C482" i="8"/>
  <c r="C481" i="8"/>
  <c r="C480" i="8"/>
  <c r="C479" i="8"/>
  <c r="C478" i="8"/>
  <c r="C477" i="8"/>
  <c r="C476" i="8"/>
  <c r="C475" i="8"/>
  <c r="C474" i="8"/>
  <c r="C473" i="8"/>
  <c r="C472" i="8"/>
  <c r="C471" i="8"/>
  <c r="C470" i="8"/>
  <c r="C469" i="8"/>
  <c r="C468" i="8"/>
  <c r="C467" i="8"/>
  <c r="C466" i="8"/>
  <c r="C465" i="8"/>
  <c r="C464" i="8"/>
  <c r="C463" i="8"/>
  <c r="C462" i="8"/>
  <c r="C461" i="8"/>
  <c r="C460" i="8"/>
  <c r="C459" i="8"/>
  <c r="C458" i="8"/>
  <c r="C457" i="8"/>
  <c r="C456" i="8"/>
  <c r="C455" i="8"/>
  <c r="C454" i="8"/>
  <c r="C453" i="8"/>
  <c r="C452" i="8"/>
  <c r="C451" i="8"/>
  <c r="C450" i="8"/>
  <c r="C449" i="8"/>
  <c r="C448" i="8"/>
  <c r="C447" i="8"/>
  <c r="C446" i="8"/>
  <c r="C445" i="8"/>
  <c r="C444" i="8"/>
  <c r="C443" i="8"/>
  <c r="C442" i="8"/>
  <c r="C441" i="8"/>
  <c r="C440" i="8"/>
  <c r="C439" i="8"/>
  <c r="C438" i="8"/>
  <c r="C437" i="8"/>
  <c r="C436" i="8"/>
  <c r="C435" i="8"/>
  <c r="C434" i="8"/>
  <c r="C433" i="8"/>
  <c r="C432" i="8"/>
  <c r="C431" i="8"/>
  <c r="C430" i="8"/>
  <c r="C429" i="8"/>
  <c r="C428" i="8"/>
  <c r="C427" i="8"/>
  <c r="C426" i="8"/>
  <c r="C425" i="8"/>
  <c r="C424" i="8"/>
  <c r="C423" i="8"/>
  <c r="C422" i="8"/>
  <c r="C421" i="8"/>
  <c r="C420" i="8"/>
  <c r="C419" i="8"/>
  <c r="C418" i="8"/>
  <c r="C417" i="8"/>
  <c r="C416" i="8"/>
  <c r="C415" i="8"/>
  <c r="C414" i="8"/>
  <c r="C413" i="8"/>
  <c r="C412" i="8"/>
  <c r="C411" i="8"/>
  <c r="C410" i="8"/>
  <c r="C409" i="8"/>
  <c r="C408" i="8"/>
  <c r="C407" i="8"/>
  <c r="C406" i="8"/>
  <c r="C405" i="8"/>
  <c r="C404" i="8"/>
  <c r="C403" i="8"/>
  <c r="C402" i="8"/>
  <c r="C401" i="8"/>
  <c r="C400" i="8"/>
  <c r="C399" i="8"/>
  <c r="C398" i="8"/>
  <c r="C397" i="8"/>
  <c r="C396" i="8"/>
  <c r="C395" i="8"/>
  <c r="C394" i="8"/>
  <c r="C393" i="8"/>
  <c r="C392" i="8"/>
  <c r="C391" i="8"/>
  <c r="C390" i="8"/>
  <c r="C389" i="8"/>
  <c r="C388" i="8"/>
  <c r="C387" i="8"/>
  <c r="C386" i="8"/>
  <c r="C385" i="8"/>
  <c r="C384" i="8"/>
  <c r="C383" i="8"/>
  <c r="C382" i="8"/>
  <c r="C381" i="8"/>
  <c r="C380" i="8"/>
  <c r="C379" i="8"/>
  <c r="C378" i="8"/>
  <c r="C377" i="8"/>
  <c r="C376" i="8"/>
  <c r="C375" i="8"/>
  <c r="C374" i="8"/>
  <c r="C373" i="8"/>
  <c r="C372" i="8"/>
  <c r="C371" i="8"/>
  <c r="C370" i="8"/>
  <c r="C369" i="8"/>
  <c r="C368" i="8"/>
  <c r="C367" i="8"/>
  <c r="C366" i="8"/>
  <c r="C365" i="8"/>
  <c r="C364" i="8"/>
  <c r="C363" i="8"/>
  <c r="C362" i="8"/>
  <c r="C361" i="8"/>
  <c r="C360" i="8"/>
  <c r="C359" i="8"/>
  <c r="C358" i="8"/>
  <c r="C357" i="8"/>
  <c r="A6" i="8"/>
  <c r="Z1" i="8"/>
  <c r="AA2" i="8" s="1"/>
  <c r="F20" i="16" s="1"/>
  <c r="X1" i="8"/>
  <c r="Y2" i="8" s="1"/>
  <c r="F19" i="16" s="1"/>
  <c r="V1" i="8"/>
  <c r="T1" i="8"/>
  <c r="U2" i="8" s="1"/>
  <c r="F17" i="16" s="1"/>
  <c r="R1" i="8"/>
  <c r="P1" i="8"/>
  <c r="Q2" i="8" s="1"/>
  <c r="F15" i="16" s="1"/>
  <c r="N1" i="8"/>
  <c r="O2" i="8" s="1"/>
  <c r="F14" i="16" s="1"/>
  <c r="L1" i="8"/>
  <c r="M2" i="8" s="1"/>
  <c r="F13" i="16" s="1"/>
  <c r="J1" i="8"/>
  <c r="K2" i="8" s="1"/>
  <c r="F12" i="16" s="1"/>
  <c r="H1" i="8"/>
  <c r="I2" i="8" s="1"/>
  <c r="F11" i="16" s="1"/>
  <c r="F1" i="8"/>
  <c r="G2" i="8" s="1"/>
  <c r="F10" i="16" s="1"/>
  <c r="D1" i="8"/>
  <c r="E2" i="8" s="1"/>
  <c r="F9" i="16" s="1"/>
  <c r="AA2" i="9" l="1"/>
  <c r="J20" i="16" s="1"/>
  <c r="M2" i="9"/>
  <c r="J13" i="16" s="1"/>
  <c r="S2" i="8"/>
  <c r="F16" i="16" s="1"/>
  <c r="AF22" i="9"/>
  <c r="AF17" i="8"/>
  <c r="U2" i="9"/>
  <c r="J17" i="16" s="1"/>
  <c r="E2" i="9"/>
  <c r="J9" i="16" s="1"/>
  <c r="AF10" i="8"/>
  <c r="AF14" i="8"/>
  <c r="AD22" i="9"/>
  <c r="AF11" i="8"/>
  <c r="AF15" i="8"/>
  <c r="AF12" i="8"/>
  <c r="AF16" i="8"/>
  <c r="AF9" i="8"/>
  <c r="AF13" i="8"/>
  <c r="AF19" i="9"/>
  <c r="AD17" i="9"/>
  <c r="AD21" i="9"/>
  <c r="AD12" i="9"/>
  <c r="AF14" i="9"/>
  <c r="AD16" i="9"/>
  <c r="AF18" i="9"/>
  <c r="AD20" i="9"/>
  <c r="AD11" i="9"/>
  <c r="AF13" i="9"/>
  <c r="AD15" i="9"/>
  <c r="AF17" i="9"/>
  <c r="AD19" i="9"/>
  <c r="AF21" i="9"/>
  <c r="AF11" i="9"/>
  <c r="AD13" i="9"/>
  <c r="AF15" i="9"/>
  <c r="AF12" i="9"/>
  <c r="AD14" i="9"/>
  <c r="AF16" i="9"/>
  <c r="AD18" i="9"/>
  <c r="AF20" i="9"/>
  <c r="AD16" i="8"/>
  <c r="AD17" i="8"/>
  <c r="AD12" i="8"/>
  <c r="AD11" i="8"/>
  <c r="AD15" i="8"/>
  <c r="AD10" i="8"/>
  <c r="AD14" i="8"/>
  <c r="AD9" i="8"/>
  <c r="AD13" i="8"/>
  <c r="AH13" i="8" l="1"/>
  <c r="AH9" i="8"/>
  <c r="AH12" i="8"/>
  <c r="AH14" i="8"/>
  <c r="AH16" i="8"/>
  <c r="J21" i="16"/>
  <c r="AI11" i="9"/>
  <c r="AH11" i="8"/>
  <c r="AH15" i="8"/>
  <c r="AH10" i="8"/>
  <c r="AH17" i="8"/>
  <c r="AI15" i="9"/>
  <c r="AI13" i="9"/>
  <c r="AI19" i="9"/>
  <c r="AI12" i="9"/>
  <c r="AI22" i="9"/>
  <c r="AI14" i="9"/>
  <c r="AI16" i="9"/>
  <c r="AI21" i="9"/>
  <c r="AG18" i="9"/>
  <c r="AI18" i="9"/>
  <c r="AI20" i="9"/>
  <c r="AI17" i="9"/>
  <c r="AG19" i="9"/>
  <c r="AG14" i="9"/>
  <c r="AG13" i="9"/>
  <c r="AG17" i="8"/>
  <c r="AG11" i="9"/>
  <c r="AG12" i="9"/>
  <c r="AG15" i="9"/>
  <c r="AG16" i="9"/>
  <c r="AG21" i="9"/>
  <c r="AG20" i="9"/>
  <c r="AG17" i="9"/>
  <c r="AG22" i="9"/>
  <c r="AG9" i="8"/>
  <c r="AG13" i="8"/>
  <c r="AG10" i="8"/>
  <c r="AG11" i="8"/>
  <c r="AG14" i="8"/>
  <c r="AG15" i="8"/>
  <c r="AG12" i="8"/>
  <c r="AG16" i="8"/>
  <c r="O4" i="5" l="1"/>
  <c r="O2" i="5" s="1"/>
  <c r="H20" i="16" s="1"/>
  <c r="N4" i="5"/>
  <c r="N2" i="5" s="1"/>
  <c r="H19" i="16" s="1"/>
  <c r="M4" i="5"/>
  <c r="M2" i="5" s="1"/>
  <c r="H18" i="16" s="1"/>
  <c r="L4" i="5"/>
  <c r="L2" i="5" s="1"/>
  <c r="H17" i="16" s="1"/>
  <c r="K4" i="5"/>
  <c r="K2" i="5" s="1"/>
  <c r="H16" i="16" s="1"/>
  <c r="J4" i="5"/>
  <c r="J2" i="5" s="1"/>
  <c r="H15" i="16" s="1"/>
  <c r="I4" i="5"/>
  <c r="I2" i="5" s="1"/>
  <c r="H14" i="16" s="1"/>
  <c r="H4" i="5"/>
  <c r="H2" i="5" s="1"/>
  <c r="H13" i="16" s="1"/>
  <c r="G4" i="5"/>
  <c r="B12" i="5"/>
  <c r="F4" i="5"/>
  <c r="F2" i="5" s="1"/>
  <c r="E4" i="5"/>
  <c r="E2" i="5" s="1"/>
  <c r="H10" i="16" s="1"/>
  <c r="D4" i="5"/>
  <c r="D2" i="5" s="1"/>
  <c r="H9" i="16" s="1"/>
  <c r="B10" i="5"/>
  <c r="H11" i="16" l="1"/>
  <c r="I11" i="16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86" i="5"/>
  <c r="B87" i="5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B101" i="5"/>
  <c r="B102" i="5"/>
  <c r="B103" i="5"/>
  <c r="B104" i="5"/>
  <c r="B105" i="5"/>
  <c r="B106" i="5"/>
  <c r="B107" i="5"/>
  <c r="B108" i="5"/>
  <c r="B109" i="5"/>
  <c r="B110" i="5"/>
  <c r="B111" i="5"/>
  <c r="B112" i="5"/>
  <c r="B113" i="5"/>
  <c r="B114" i="5"/>
  <c r="B115" i="5"/>
  <c r="B116" i="5"/>
  <c r="B117" i="5"/>
  <c r="B118" i="5"/>
  <c r="B119" i="5"/>
  <c r="B120" i="5"/>
  <c r="B121" i="5"/>
  <c r="B122" i="5"/>
  <c r="B123" i="5"/>
  <c r="B124" i="5"/>
  <c r="B125" i="5"/>
  <c r="B126" i="5"/>
  <c r="B127" i="5"/>
  <c r="B128" i="5"/>
  <c r="B129" i="5"/>
  <c r="B130" i="5"/>
  <c r="B131" i="5"/>
  <c r="B132" i="5"/>
  <c r="B133" i="5"/>
  <c r="B134" i="5"/>
  <c r="B135" i="5"/>
  <c r="B136" i="5"/>
  <c r="B137" i="5"/>
  <c r="B138" i="5"/>
  <c r="B139" i="5"/>
  <c r="B140" i="5"/>
  <c r="B141" i="5"/>
  <c r="B142" i="5"/>
  <c r="B143" i="5"/>
  <c r="B144" i="5"/>
  <c r="B145" i="5"/>
  <c r="B146" i="5"/>
  <c r="B147" i="5"/>
  <c r="B148" i="5"/>
  <c r="B149" i="5"/>
  <c r="B150" i="5"/>
  <c r="B151" i="5"/>
  <c r="B152" i="5"/>
  <c r="B153" i="5"/>
  <c r="B154" i="5"/>
  <c r="B155" i="5"/>
  <c r="B156" i="5"/>
  <c r="B157" i="5"/>
  <c r="B158" i="5"/>
  <c r="B159" i="5"/>
  <c r="B160" i="5"/>
  <c r="B161" i="5"/>
  <c r="B162" i="5"/>
  <c r="B163" i="5"/>
  <c r="B164" i="5"/>
  <c r="B165" i="5"/>
  <c r="B166" i="5"/>
  <c r="B167" i="5"/>
  <c r="B168" i="5"/>
  <c r="B169" i="5"/>
  <c r="B170" i="5"/>
  <c r="B171" i="5"/>
  <c r="B172" i="5"/>
  <c r="B173" i="5"/>
  <c r="B174" i="5"/>
  <c r="B175" i="5"/>
  <c r="B176" i="5"/>
  <c r="B177" i="5"/>
  <c r="B178" i="5"/>
  <c r="B179" i="5"/>
  <c r="B180" i="5"/>
  <c r="B181" i="5"/>
  <c r="B182" i="5"/>
  <c r="B183" i="5"/>
  <c r="B184" i="5"/>
  <c r="B185" i="5"/>
  <c r="B186" i="5"/>
  <c r="B187" i="5"/>
  <c r="B188" i="5"/>
  <c r="B189" i="5"/>
  <c r="B190" i="5"/>
  <c r="B191" i="5"/>
  <c r="B192" i="5"/>
  <c r="B193" i="5"/>
  <c r="B194" i="5"/>
  <c r="B195" i="5"/>
  <c r="B196" i="5"/>
  <c r="B197" i="5"/>
  <c r="B198" i="5"/>
  <c r="B199" i="5"/>
  <c r="B200" i="5"/>
  <c r="B201" i="5"/>
  <c r="B202" i="5"/>
  <c r="B203" i="5"/>
  <c r="B204" i="5"/>
  <c r="B205" i="5"/>
  <c r="B206" i="5"/>
  <c r="B207" i="5"/>
  <c r="B208" i="5"/>
  <c r="B209" i="5"/>
  <c r="B210" i="5"/>
  <c r="B211" i="5"/>
  <c r="B212" i="5"/>
  <c r="B213" i="5"/>
  <c r="B214" i="5"/>
  <c r="B215" i="5"/>
  <c r="B216" i="5"/>
  <c r="B217" i="5"/>
  <c r="B218" i="5"/>
  <c r="B219" i="5"/>
  <c r="B220" i="5"/>
  <c r="B221" i="5"/>
  <c r="B222" i="5"/>
  <c r="B223" i="5"/>
  <c r="B224" i="5"/>
  <c r="B225" i="5"/>
  <c r="B226" i="5"/>
  <c r="B227" i="5"/>
  <c r="B228" i="5"/>
  <c r="B229" i="5"/>
  <c r="B230" i="5"/>
  <c r="B231" i="5"/>
  <c r="B232" i="5"/>
  <c r="B233" i="5"/>
  <c r="B234" i="5"/>
  <c r="B235" i="5"/>
  <c r="B236" i="5"/>
  <c r="B237" i="5"/>
  <c r="B238" i="5"/>
  <c r="B239" i="5"/>
  <c r="B240" i="5"/>
  <c r="B241" i="5"/>
  <c r="B242" i="5"/>
  <c r="B243" i="5"/>
  <c r="B244" i="5"/>
  <c r="B245" i="5"/>
  <c r="B246" i="5"/>
  <c r="B247" i="5"/>
  <c r="B248" i="5"/>
  <c r="B249" i="5"/>
  <c r="B250" i="5"/>
  <c r="B251" i="5"/>
  <c r="B252" i="5"/>
  <c r="B253" i="5"/>
  <c r="B254" i="5"/>
  <c r="B255" i="5"/>
  <c r="B256" i="5"/>
  <c r="B257" i="5"/>
  <c r="B258" i="5"/>
  <c r="B259" i="5"/>
  <c r="B260" i="5"/>
  <c r="B261" i="5"/>
  <c r="B262" i="5"/>
  <c r="B263" i="5"/>
  <c r="B264" i="5"/>
  <c r="B265" i="5"/>
  <c r="B266" i="5"/>
  <c r="B267" i="5"/>
  <c r="B268" i="5"/>
  <c r="B269" i="5"/>
  <c r="B270" i="5"/>
  <c r="B271" i="5"/>
  <c r="B272" i="5"/>
  <c r="B273" i="5"/>
  <c r="B274" i="5"/>
  <c r="B275" i="5"/>
  <c r="B276" i="5"/>
  <c r="B277" i="5"/>
  <c r="B278" i="5"/>
  <c r="B279" i="5"/>
  <c r="B280" i="5"/>
  <c r="B281" i="5"/>
  <c r="T23" i="5" l="1"/>
  <c r="T20" i="5"/>
  <c r="T16" i="5"/>
  <c r="T12" i="5"/>
  <c r="R23" i="5"/>
  <c r="R19" i="5"/>
  <c r="R15" i="5"/>
  <c r="R20" i="5"/>
  <c r="T22" i="5"/>
  <c r="T19" i="5"/>
  <c r="T15" i="5"/>
  <c r="R22" i="5"/>
  <c r="R18" i="5"/>
  <c r="R14" i="5"/>
  <c r="T13" i="5"/>
  <c r="R12" i="5"/>
  <c r="T21" i="5"/>
  <c r="T18" i="5"/>
  <c r="T14" i="5"/>
  <c r="R21" i="5"/>
  <c r="R17" i="5"/>
  <c r="R13" i="5"/>
  <c r="T17" i="5"/>
  <c r="R16" i="5"/>
  <c r="J1" i="4"/>
  <c r="K2" i="4" s="1"/>
  <c r="E62" i="16" s="1"/>
  <c r="H1" i="4"/>
  <c r="I2" i="4" s="1"/>
  <c r="E61" i="16" s="1"/>
  <c r="F1" i="4"/>
  <c r="G2" i="4" s="1"/>
  <c r="E60" i="16" s="1"/>
  <c r="D1" i="4"/>
  <c r="E2" i="4" s="1"/>
  <c r="E59" i="16" s="1"/>
  <c r="A6" i="4"/>
  <c r="B125" i="4"/>
  <c r="C125" i="4"/>
  <c r="B126" i="4"/>
  <c r="C126" i="4"/>
  <c r="B127" i="4"/>
  <c r="C127" i="4"/>
  <c r="B128" i="4"/>
  <c r="C128" i="4"/>
  <c r="B129" i="4"/>
  <c r="C129" i="4"/>
  <c r="B130" i="4"/>
  <c r="C130" i="4"/>
  <c r="B131" i="4"/>
  <c r="C131" i="4"/>
  <c r="B132" i="4"/>
  <c r="C132" i="4"/>
  <c r="B133" i="4"/>
  <c r="C133" i="4"/>
  <c r="B134" i="4"/>
  <c r="C134" i="4"/>
  <c r="B135" i="4"/>
  <c r="C135" i="4"/>
  <c r="B136" i="4"/>
  <c r="C136" i="4"/>
  <c r="B137" i="4"/>
  <c r="C137" i="4"/>
  <c r="B138" i="4"/>
  <c r="C138" i="4"/>
  <c r="B139" i="4"/>
  <c r="C139" i="4"/>
  <c r="B140" i="4"/>
  <c r="C140" i="4"/>
  <c r="B141" i="4"/>
  <c r="C141" i="4"/>
  <c r="B142" i="4"/>
  <c r="C142" i="4"/>
  <c r="B143" i="4"/>
  <c r="C143" i="4"/>
  <c r="B144" i="4"/>
  <c r="C144" i="4"/>
  <c r="B145" i="4"/>
  <c r="C145" i="4"/>
  <c r="B146" i="4"/>
  <c r="C146" i="4"/>
  <c r="B147" i="4"/>
  <c r="C147" i="4"/>
  <c r="B148" i="4"/>
  <c r="C148" i="4"/>
  <c r="B149" i="4"/>
  <c r="C149" i="4"/>
  <c r="B150" i="4"/>
  <c r="C150" i="4"/>
  <c r="B151" i="4"/>
  <c r="C151" i="4"/>
  <c r="B152" i="4"/>
  <c r="C152" i="4"/>
  <c r="B153" i="4"/>
  <c r="C153" i="4"/>
  <c r="B154" i="4"/>
  <c r="C154" i="4"/>
  <c r="B155" i="4"/>
  <c r="C155" i="4"/>
  <c r="B156" i="4"/>
  <c r="C156" i="4"/>
  <c r="B157" i="4"/>
  <c r="C157" i="4"/>
  <c r="B158" i="4"/>
  <c r="C158" i="4"/>
  <c r="B159" i="4"/>
  <c r="C159" i="4"/>
  <c r="B160" i="4"/>
  <c r="C160" i="4"/>
  <c r="B161" i="4"/>
  <c r="C161" i="4"/>
  <c r="B162" i="4"/>
  <c r="C162" i="4"/>
  <c r="B163" i="4"/>
  <c r="C163" i="4"/>
  <c r="B164" i="4"/>
  <c r="C164" i="4"/>
  <c r="B165" i="4"/>
  <c r="C165" i="4"/>
  <c r="B166" i="4"/>
  <c r="C166" i="4"/>
  <c r="B167" i="4"/>
  <c r="C167" i="4"/>
  <c r="B168" i="4"/>
  <c r="C168" i="4"/>
  <c r="B169" i="4"/>
  <c r="C169" i="4"/>
  <c r="B170" i="4"/>
  <c r="C170" i="4"/>
  <c r="B171" i="4"/>
  <c r="C171" i="4"/>
  <c r="B172" i="4"/>
  <c r="C172" i="4"/>
  <c r="B173" i="4"/>
  <c r="C173" i="4"/>
  <c r="B174" i="4"/>
  <c r="C174" i="4"/>
  <c r="B175" i="4"/>
  <c r="C175" i="4"/>
  <c r="B176" i="4"/>
  <c r="C176" i="4"/>
  <c r="B177" i="4"/>
  <c r="C177" i="4"/>
  <c r="B178" i="4"/>
  <c r="C178" i="4"/>
  <c r="B179" i="4"/>
  <c r="C179" i="4"/>
  <c r="B180" i="4"/>
  <c r="C180" i="4"/>
  <c r="B181" i="4"/>
  <c r="C181" i="4"/>
  <c r="B182" i="4"/>
  <c r="C182" i="4"/>
  <c r="B183" i="4"/>
  <c r="C183" i="4"/>
  <c r="B184" i="4"/>
  <c r="C184" i="4"/>
  <c r="B185" i="4"/>
  <c r="C185" i="4"/>
  <c r="B186" i="4"/>
  <c r="C186" i="4"/>
  <c r="B187" i="4"/>
  <c r="C187" i="4"/>
  <c r="B188" i="4"/>
  <c r="C188" i="4"/>
  <c r="B189" i="4"/>
  <c r="C189" i="4"/>
  <c r="B190" i="4"/>
  <c r="C190" i="4"/>
  <c r="B191" i="4"/>
  <c r="C191" i="4"/>
  <c r="B192" i="4"/>
  <c r="C192" i="4"/>
  <c r="B193" i="4"/>
  <c r="C193" i="4"/>
  <c r="B194" i="4"/>
  <c r="C194" i="4"/>
  <c r="B195" i="4"/>
  <c r="C195" i="4"/>
  <c r="B196" i="4"/>
  <c r="C196" i="4"/>
  <c r="B197" i="4"/>
  <c r="C197" i="4"/>
  <c r="B198" i="4"/>
  <c r="C198" i="4"/>
  <c r="B199" i="4"/>
  <c r="C199" i="4"/>
  <c r="B200" i="4"/>
  <c r="C200" i="4"/>
  <c r="E64" i="16" l="1"/>
  <c r="U13" i="5"/>
  <c r="W13" i="5"/>
  <c r="W17" i="5"/>
  <c r="U12" i="5"/>
  <c r="W12" i="5"/>
  <c r="W22" i="5"/>
  <c r="U23" i="5"/>
  <c r="W23" i="5"/>
  <c r="U16" i="5"/>
  <c r="W16" i="5"/>
  <c r="W18" i="5"/>
  <c r="U20" i="5"/>
  <c r="W20" i="5"/>
  <c r="W19" i="5"/>
  <c r="W21" i="5"/>
  <c r="W14" i="5"/>
  <c r="W15" i="5"/>
  <c r="U22" i="5"/>
  <c r="U21" i="5"/>
  <c r="U17" i="5"/>
  <c r="U18" i="5"/>
  <c r="U19" i="5"/>
  <c r="U14" i="5"/>
  <c r="U15" i="5"/>
  <c r="E30" i="7"/>
  <c r="D2" i="11" l="1"/>
  <c r="E1" i="11" s="1"/>
  <c r="Q16" i="11"/>
  <c r="T16" i="11" s="1"/>
  <c r="Z1" i="3"/>
  <c r="AA2" i="3" s="1"/>
  <c r="D20" i="16" s="1"/>
  <c r="X1" i="3"/>
  <c r="Y2" i="3" s="1"/>
  <c r="D19" i="16" s="1"/>
  <c r="E3" i="11" l="1"/>
  <c r="E5" i="11" s="1"/>
  <c r="H63" i="16"/>
  <c r="V1" i="3"/>
  <c r="W2" i="3" s="1"/>
  <c r="D18" i="16" s="1"/>
  <c r="T1" i="3"/>
  <c r="U2" i="3" s="1"/>
  <c r="D17" i="16" s="1"/>
  <c r="R1" i="3"/>
  <c r="S2" i="3" s="1"/>
  <c r="D16" i="16" s="1"/>
  <c r="B20" i="3"/>
  <c r="C20" i="3"/>
  <c r="P1" i="3"/>
  <c r="Q2" i="3" s="1"/>
  <c r="D15" i="16" s="1"/>
  <c r="N1" i="3"/>
  <c r="O2" i="3" s="1"/>
  <c r="D14" i="16" s="1"/>
  <c r="C36" i="7" l="1"/>
  <c r="D36" i="7"/>
  <c r="E36" i="7"/>
  <c r="F36" i="7"/>
  <c r="J8" i="12" s="1"/>
  <c r="M8" i="12" s="1"/>
  <c r="G36" i="7"/>
  <c r="B36" i="7"/>
  <c r="F2" i="6" s="1"/>
  <c r="E27" i="7"/>
  <c r="E28" i="7"/>
  <c r="E29" i="7"/>
  <c r="I11" i="7"/>
  <c r="I12" i="7"/>
  <c r="I13" i="7"/>
  <c r="I14" i="7"/>
  <c r="I15" i="7"/>
  <c r="I16" i="7"/>
  <c r="I17" i="7"/>
  <c r="I18" i="7"/>
  <c r="I19" i="7"/>
  <c r="I8" i="7"/>
  <c r="G9" i="7"/>
  <c r="G10" i="7"/>
  <c r="G11" i="7"/>
  <c r="G12" i="7"/>
  <c r="G13" i="7"/>
  <c r="G14" i="7"/>
  <c r="G15" i="7"/>
  <c r="G16" i="7"/>
  <c r="G17" i="7"/>
  <c r="G18" i="7"/>
  <c r="G19" i="7"/>
  <c r="G8" i="7"/>
  <c r="E9" i="7"/>
  <c r="E10" i="7"/>
  <c r="E11" i="7"/>
  <c r="E12" i="7"/>
  <c r="E13" i="7"/>
  <c r="E14" i="7"/>
  <c r="E15" i="7"/>
  <c r="E16" i="7"/>
  <c r="E17" i="7"/>
  <c r="E18" i="7"/>
  <c r="E19" i="7"/>
  <c r="AE17" i="8" s="1"/>
  <c r="AI17" i="8" s="1"/>
  <c r="E8" i="7"/>
  <c r="V3" i="8" l="1"/>
  <c r="W2" i="8" s="1"/>
  <c r="F18" i="16" s="1"/>
  <c r="F21" i="16" s="1"/>
  <c r="V2" i="8"/>
  <c r="W1" i="8" s="1"/>
  <c r="V2" i="9"/>
  <c r="W1" i="9" s="1"/>
  <c r="AE15" i="8"/>
  <c r="AI15" i="8" s="1"/>
  <c r="R2" i="8"/>
  <c r="S1" i="8" s="1"/>
  <c r="R2" i="9"/>
  <c r="S1" i="9" s="1"/>
  <c r="AE13" i="8"/>
  <c r="AI13" i="8" s="1"/>
  <c r="N2" i="8"/>
  <c r="O1" i="8" s="1"/>
  <c r="N2" i="9"/>
  <c r="O1" i="9" s="1"/>
  <c r="AE11" i="8"/>
  <c r="AI11" i="8" s="1"/>
  <c r="J2" i="8"/>
  <c r="K1" i="8" s="1"/>
  <c r="J2" i="9"/>
  <c r="K1" i="9" s="1"/>
  <c r="AE9" i="8"/>
  <c r="AI9" i="8" s="1"/>
  <c r="F2" i="8"/>
  <c r="G1" i="8" s="1"/>
  <c r="F2" i="9"/>
  <c r="G1" i="9" s="1"/>
  <c r="M3" i="5"/>
  <c r="M5" i="5" s="1"/>
  <c r="S21" i="5"/>
  <c r="V21" i="5" s="1"/>
  <c r="K3" i="5"/>
  <c r="K5" i="5" s="1"/>
  <c r="S19" i="5"/>
  <c r="V19" i="5" s="1"/>
  <c r="I3" i="5"/>
  <c r="I5" i="5" s="1"/>
  <c r="S17" i="5"/>
  <c r="V17" i="5" s="1"/>
  <c r="G1" i="5"/>
  <c r="G2" i="5" s="1"/>
  <c r="H12" i="16" s="1"/>
  <c r="H21" i="16" s="1"/>
  <c r="G3" i="5"/>
  <c r="G5" i="5" s="1"/>
  <c r="S15" i="5"/>
  <c r="V15" i="5" s="1"/>
  <c r="E3" i="5"/>
  <c r="E5" i="5" s="1"/>
  <c r="S13" i="5"/>
  <c r="V13" i="5" s="1"/>
  <c r="D2" i="9"/>
  <c r="E1" i="9" s="1"/>
  <c r="D2" i="8"/>
  <c r="E1" i="8" s="1"/>
  <c r="X2" i="9"/>
  <c r="Y1" i="9" s="1"/>
  <c r="X2" i="8"/>
  <c r="Y1" i="8" s="1"/>
  <c r="AE16" i="8"/>
  <c r="AI16" i="8" s="1"/>
  <c r="T2" i="9"/>
  <c r="U1" i="9" s="1"/>
  <c r="T2" i="8"/>
  <c r="U1" i="8" s="1"/>
  <c r="AE14" i="8"/>
  <c r="AI14" i="8" s="1"/>
  <c r="P2" i="9"/>
  <c r="Q1" i="9" s="1"/>
  <c r="P2" i="8"/>
  <c r="Q1" i="8" s="1"/>
  <c r="AE12" i="8"/>
  <c r="AI12" i="8" s="1"/>
  <c r="L2" i="9"/>
  <c r="M1" i="9" s="1"/>
  <c r="L2" i="8"/>
  <c r="M1" i="8" s="1"/>
  <c r="AE10" i="8"/>
  <c r="AI10" i="8" s="1"/>
  <c r="H2" i="9"/>
  <c r="I1" i="9" s="1"/>
  <c r="H2" i="8"/>
  <c r="I1" i="8" s="1"/>
  <c r="D3" i="5"/>
  <c r="D5" i="5" s="1"/>
  <c r="S12" i="5"/>
  <c r="V12" i="5" s="1"/>
  <c r="N3" i="5"/>
  <c r="N5" i="5" s="1"/>
  <c r="S22" i="5"/>
  <c r="V22" i="5" s="1"/>
  <c r="L3" i="5"/>
  <c r="L5" i="5" s="1"/>
  <c r="S20" i="5"/>
  <c r="V20" i="5" s="1"/>
  <c r="J3" i="5"/>
  <c r="J5" i="5" s="1"/>
  <c r="S18" i="5"/>
  <c r="V18" i="5" s="1"/>
  <c r="H3" i="5"/>
  <c r="H5" i="5" s="1"/>
  <c r="S16" i="5"/>
  <c r="V16" i="5" s="1"/>
  <c r="F3" i="5"/>
  <c r="F5" i="5" s="1"/>
  <c r="F6" i="5" s="1"/>
  <c r="F8" i="5" s="1"/>
  <c r="S14" i="5"/>
  <c r="V14" i="5" s="1"/>
  <c r="G2" i="10"/>
  <c r="K86" i="16" s="1"/>
  <c r="K8" i="10"/>
  <c r="H2" i="10"/>
  <c r="K9" i="10"/>
  <c r="N9" i="10" s="1"/>
  <c r="F2" i="13"/>
  <c r="F3" i="13" s="1"/>
  <c r="I8" i="13"/>
  <c r="L8" i="13" s="1"/>
  <c r="L2" i="11"/>
  <c r="M1" i="11" s="1"/>
  <c r="Q15" i="11"/>
  <c r="T15" i="11" s="1"/>
  <c r="J2" i="11"/>
  <c r="K1" i="11" s="1"/>
  <c r="Q14" i="11"/>
  <c r="T14" i="11" s="1"/>
  <c r="H2" i="11"/>
  <c r="I1" i="11" s="1"/>
  <c r="Q13" i="11"/>
  <c r="T13" i="11" s="1"/>
  <c r="F2" i="14"/>
  <c r="F3" i="14" s="1"/>
  <c r="I8" i="14"/>
  <c r="L8" i="14" s="1"/>
  <c r="O3" i="5"/>
  <c r="O5" i="5" s="1"/>
  <c r="S23" i="5"/>
  <c r="V23" i="5" s="1"/>
  <c r="F3" i="6"/>
  <c r="C27" i="7"/>
  <c r="F2" i="4" s="1"/>
  <c r="G1" i="4" s="1"/>
  <c r="C28" i="7"/>
  <c r="H2" i="4" s="1"/>
  <c r="I1" i="4" s="1"/>
  <c r="C29" i="7"/>
  <c r="J2" i="4" s="1"/>
  <c r="K1" i="4" s="1"/>
  <c r="C26" i="7"/>
  <c r="D2" i="4" s="1"/>
  <c r="E1" i="4" s="1"/>
  <c r="C9" i="7"/>
  <c r="C10" i="7"/>
  <c r="C11" i="7"/>
  <c r="C12" i="7"/>
  <c r="C13" i="7"/>
  <c r="C14" i="7"/>
  <c r="C15" i="7"/>
  <c r="C16" i="7"/>
  <c r="C17" i="7"/>
  <c r="C18" i="7"/>
  <c r="C19" i="7"/>
  <c r="G3" i="10" l="1"/>
  <c r="N86" i="16" s="1"/>
  <c r="AE21" i="9"/>
  <c r="AH21" i="9" s="1"/>
  <c r="X2" i="3"/>
  <c r="Y1" i="3" s="1"/>
  <c r="AE19" i="9"/>
  <c r="AH19" i="9" s="1"/>
  <c r="T2" i="3"/>
  <c r="U1" i="3" s="1"/>
  <c r="AE15" i="9"/>
  <c r="AH15" i="9" s="1"/>
  <c r="L2" i="3"/>
  <c r="AE13" i="9"/>
  <c r="AH13" i="9" s="1"/>
  <c r="H2" i="3"/>
  <c r="F59" i="16"/>
  <c r="E3" i="4"/>
  <c r="E5" i="4" s="1"/>
  <c r="K10" i="10"/>
  <c r="N10" i="10" s="1"/>
  <c r="N8" i="10"/>
  <c r="Z2" i="8"/>
  <c r="AA1" i="8" s="1"/>
  <c r="Z2" i="9"/>
  <c r="AA1" i="9" s="1"/>
  <c r="AE22" i="9"/>
  <c r="AH22" i="9" s="1"/>
  <c r="Z2" i="3"/>
  <c r="AA1" i="3" s="1"/>
  <c r="AE20" i="9"/>
  <c r="AH20" i="9" s="1"/>
  <c r="V2" i="3"/>
  <c r="W1" i="3" s="1"/>
  <c r="AE18" i="9"/>
  <c r="AH18" i="9" s="1"/>
  <c r="R2" i="3"/>
  <c r="S1" i="3" s="1"/>
  <c r="N2" i="3"/>
  <c r="O1" i="3" s="1"/>
  <c r="AE16" i="9"/>
  <c r="AH16" i="9" s="1"/>
  <c r="AE14" i="9"/>
  <c r="AH14" i="9" s="1"/>
  <c r="J2" i="3"/>
  <c r="AE12" i="9"/>
  <c r="AH12" i="9" s="1"/>
  <c r="F2" i="3"/>
  <c r="K3" i="4"/>
  <c r="K5" i="4" s="1"/>
  <c r="F62" i="16"/>
  <c r="G3" i="4"/>
  <c r="G5" i="4" s="1"/>
  <c r="F60" i="16"/>
  <c r="K87" i="16"/>
  <c r="K88" i="16" s="1"/>
  <c r="N88" i="16" s="1"/>
  <c r="H3" i="10"/>
  <c r="H6" i="5"/>
  <c r="H8" i="5" s="1"/>
  <c r="I13" i="16"/>
  <c r="J6" i="5"/>
  <c r="J8" i="5" s="1"/>
  <c r="I15" i="16"/>
  <c r="L6" i="5"/>
  <c r="L8" i="5" s="1"/>
  <c r="I17" i="16"/>
  <c r="N6" i="5"/>
  <c r="N8" i="5" s="1"/>
  <c r="I19" i="16"/>
  <c r="D6" i="5"/>
  <c r="D8" i="5" s="1"/>
  <c r="I9" i="16"/>
  <c r="G11" i="16"/>
  <c r="I3" i="8"/>
  <c r="I5" i="8" s="1"/>
  <c r="M3" i="9"/>
  <c r="M5" i="9" s="1"/>
  <c r="K13" i="16"/>
  <c r="G15" i="16"/>
  <c r="Q3" i="8"/>
  <c r="Q5" i="8" s="1"/>
  <c r="U3" i="9"/>
  <c r="U5" i="9" s="1"/>
  <c r="K17" i="16"/>
  <c r="G19" i="16"/>
  <c r="Y3" i="8"/>
  <c r="Y5" i="8" s="1"/>
  <c r="E3" i="9"/>
  <c r="E5" i="9" s="1"/>
  <c r="E6" i="9" s="1"/>
  <c r="K9" i="16"/>
  <c r="E6" i="5"/>
  <c r="E8" i="5" s="1"/>
  <c r="I10" i="16"/>
  <c r="G6" i="5"/>
  <c r="G8" i="5" s="1"/>
  <c r="I12" i="16"/>
  <c r="G10" i="16"/>
  <c r="G3" i="8"/>
  <c r="G5" i="8" s="1"/>
  <c r="K3" i="9"/>
  <c r="K5" i="9" s="1"/>
  <c r="K12" i="16"/>
  <c r="G14" i="16"/>
  <c r="O3" i="8"/>
  <c r="O5" i="8" s="1"/>
  <c r="S3" i="9"/>
  <c r="S5" i="9" s="1"/>
  <c r="K16" i="16"/>
  <c r="G18" i="16"/>
  <c r="W3" i="8"/>
  <c r="W5" i="8" s="1"/>
  <c r="AE17" i="9"/>
  <c r="AH17" i="9" s="1"/>
  <c r="P2" i="3"/>
  <c r="Q1" i="3" s="1"/>
  <c r="F61" i="16"/>
  <c r="I3" i="4"/>
  <c r="I5" i="4" s="1"/>
  <c r="I3" i="9"/>
  <c r="I5" i="9" s="1"/>
  <c r="K11" i="16"/>
  <c r="G13" i="16"/>
  <c r="M3" i="8"/>
  <c r="M5" i="8" s="1"/>
  <c r="Q3" i="9"/>
  <c r="Q5" i="9" s="1"/>
  <c r="K15" i="16"/>
  <c r="U3" i="8"/>
  <c r="U5" i="8" s="1"/>
  <c r="G17" i="16"/>
  <c r="Y3" i="9"/>
  <c r="Y5" i="9" s="1"/>
  <c r="K19" i="16"/>
  <c r="G9" i="16"/>
  <c r="E3" i="8"/>
  <c r="E5" i="8" s="1"/>
  <c r="E6" i="8" s="1"/>
  <c r="I6" i="5"/>
  <c r="I8" i="5" s="1"/>
  <c r="I14" i="16"/>
  <c r="K6" i="5"/>
  <c r="K8" i="5" s="1"/>
  <c r="I16" i="16"/>
  <c r="M6" i="5"/>
  <c r="M8" i="5" s="1"/>
  <c r="I18" i="16"/>
  <c r="G3" i="9"/>
  <c r="G5" i="9" s="1"/>
  <c r="K10" i="16"/>
  <c r="G12" i="16"/>
  <c r="K3" i="8"/>
  <c r="K5" i="8" s="1"/>
  <c r="K14" i="16"/>
  <c r="O3" i="9"/>
  <c r="O5" i="9" s="1"/>
  <c r="G16" i="16"/>
  <c r="S3" i="8"/>
  <c r="S5" i="8" s="1"/>
  <c r="W3" i="9"/>
  <c r="W5" i="9" s="1"/>
  <c r="K18" i="16"/>
  <c r="F4" i="13"/>
  <c r="F6" i="13" s="1"/>
  <c r="E88" i="16"/>
  <c r="M3" i="11"/>
  <c r="M5" i="11" s="1"/>
  <c r="H62" i="16"/>
  <c r="K3" i="11"/>
  <c r="K5" i="11" s="1"/>
  <c r="H61" i="16"/>
  <c r="I3" i="11"/>
  <c r="I5" i="11" s="1"/>
  <c r="H60" i="16"/>
  <c r="F4" i="14"/>
  <c r="F6" i="14" s="1"/>
  <c r="G88" i="16"/>
  <c r="F4" i="6"/>
  <c r="F6" i="6" s="1"/>
  <c r="D88" i="16"/>
  <c r="O6" i="5"/>
  <c r="O8" i="5" s="1"/>
  <c r="I20" i="16"/>
  <c r="AE11" i="9"/>
  <c r="AH11" i="9" s="1"/>
  <c r="D2" i="3"/>
  <c r="L1" i="3"/>
  <c r="J1" i="3"/>
  <c r="H1" i="3"/>
  <c r="F1" i="3"/>
  <c r="D1" i="3"/>
  <c r="H64" i="16" l="1"/>
  <c r="I21" i="16"/>
  <c r="G4" i="10"/>
  <c r="G6" i="10" s="1"/>
  <c r="Q3" i="3"/>
  <c r="Q5" i="3" s="1"/>
  <c r="E15" i="16"/>
  <c r="N87" i="16"/>
  <c r="H4" i="10"/>
  <c r="H6" i="10" s="1"/>
  <c r="S3" i="3"/>
  <c r="S5" i="3" s="1"/>
  <c r="E16" i="16"/>
  <c r="W3" i="3"/>
  <c r="W5" i="3" s="1"/>
  <c r="E18" i="16"/>
  <c r="AA3" i="3"/>
  <c r="AA5" i="3" s="1"/>
  <c r="E20" i="16"/>
  <c r="AA3" i="9"/>
  <c r="AA5" i="9" s="1"/>
  <c r="K20" i="16"/>
  <c r="K21" i="16" s="1"/>
  <c r="U3" i="3"/>
  <c r="U5" i="3" s="1"/>
  <c r="E17" i="16"/>
  <c r="Y3" i="3"/>
  <c r="Y5" i="3" s="1"/>
  <c r="E19" i="16"/>
  <c r="O3" i="3"/>
  <c r="O5" i="3" s="1"/>
  <c r="E14" i="16"/>
  <c r="G20" i="16"/>
  <c r="G21" i="16" s="1"/>
  <c r="AA3" i="8"/>
  <c r="AA5" i="8" s="1"/>
  <c r="F64" i="16"/>
  <c r="K1" i="3"/>
  <c r="K2" i="3"/>
  <c r="D12" i="16" s="1"/>
  <c r="G1" i="3"/>
  <c r="G2" i="3"/>
  <c r="D10" i="16" s="1"/>
  <c r="M1" i="3"/>
  <c r="M2" i="3"/>
  <c r="D13" i="16" s="1"/>
  <c r="I1" i="3"/>
  <c r="I2" i="3"/>
  <c r="D11" i="16" s="1"/>
  <c r="E1" i="3"/>
  <c r="E9" i="16" s="1"/>
  <c r="E2" i="3"/>
  <c r="D9" i="16" s="1"/>
  <c r="A6" i="3"/>
  <c r="B114" i="6"/>
  <c r="C114" i="6"/>
  <c r="B115" i="6"/>
  <c r="C115" i="6"/>
  <c r="B116" i="6"/>
  <c r="C116" i="6"/>
  <c r="B117" i="6"/>
  <c r="C117" i="6"/>
  <c r="B118" i="6"/>
  <c r="C118" i="6"/>
  <c r="B119" i="6"/>
  <c r="C119" i="6"/>
  <c r="B120" i="6"/>
  <c r="C120" i="6"/>
  <c r="B121" i="6"/>
  <c r="C121" i="6"/>
  <c r="B122" i="6"/>
  <c r="C122" i="6"/>
  <c r="B123" i="6"/>
  <c r="C123" i="6"/>
  <c r="B124" i="6"/>
  <c r="C124" i="6"/>
  <c r="B125" i="6"/>
  <c r="C125" i="6"/>
  <c r="B126" i="6"/>
  <c r="C126" i="6"/>
  <c r="B127" i="6"/>
  <c r="C127" i="6"/>
  <c r="B128" i="6"/>
  <c r="C128" i="6"/>
  <c r="B129" i="6"/>
  <c r="C129" i="6"/>
  <c r="B130" i="6"/>
  <c r="C130" i="6"/>
  <c r="B131" i="6"/>
  <c r="C131" i="6"/>
  <c r="B132" i="6"/>
  <c r="C132" i="6"/>
  <c r="B133" i="6"/>
  <c r="C133" i="6"/>
  <c r="B134" i="6"/>
  <c r="C134" i="6"/>
  <c r="B135" i="6"/>
  <c r="C135" i="6"/>
  <c r="B136" i="6"/>
  <c r="C136" i="6"/>
  <c r="B137" i="6"/>
  <c r="C137" i="6"/>
  <c r="B138" i="6"/>
  <c r="C138" i="6"/>
  <c r="B139" i="6"/>
  <c r="C139" i="6"/>
  <c r="B140" i="6"/>
  <c r="C140" i="6"/>
  <c r="B141" i="6"/>
  <c r="C141" i="6"/>
  <c r="B142" i="6"/>
  <c r="C142" i="6"/>
  <c r="B143" i="6"/>
  <c r="C143" i="6"/>
  <c r="B144" i="6"/>
  <c r="C144" i="6"/>
  <c r="B145" i="6"/>
  <c r="C145" i="6"/>
  <c r="B146" i="6"/>
  <c r="C146" i="6"/>
  <c r="B147" i="6"/>
  <c r="C147" i="6"/>
  <c r="B148" i="6"/>
  <c r="C148" i="6"/>
  <c r="B149" i="6"/>
  <c r="C149" i="6"/>
  <c r="B150" i="6"/>
  <c r="C150" i="6"/>
  <c r="B151" i="6"/>
  <c r="C151" i="6"/>
  <c r="B152" i="6"/>
  <c r="C152" i="6"/>
  <c r="B153" i="6"/>
  <c r="C153" i="6"/>
  <c r="B154" i="6"/>
  <c r="C154" i="6"/>
  <c r="B155" i="6"/>
  <c r="C155" i="6"/>
  <c r="B156" i="6"/>
  <c r="C156" i="6"/>
  <c r="B157" i="6"/>
  <c r="C157" i="6"/>
  <c r="B158" i="6"/>
  <c r="C158" i="6"/>
  <c r="B159" i="6"/>
  <c r="C159" i="6"/>
  <c r="B160" i="6"/>
  <c r="C160" i="6"/>
  <c r="B161" i="6"/>
  <c r="C161" i="6"/>
  <c r="B162" i="6"/>
  <c r="C162" i="6"/>
  <c r="B163" i="6"/>
  <c r="C163" i="6"/>
  <c r="B164" i="6"/>
  <c r="C164" i="6"/>
  <c r="B165" i="6"/>
  <c r="C165" i="6"/>
  <c r="B166" i="6"/>
  <c r="C166" i="6"/>
  <c r="B167" i="6"/>
  <c r="C167" i="6"/>
  <c r="B168" i="6"/>
  <c r="C168" i="6"/>
  <c r="B169" i="6"/>
  <c r="C169" i="6"/>
  <c r="B170" i="6"/>
  <c r="C170" i="6"/>
  <c r="B171" i="6"/>
  <c r="C171" i="6"/>
  <c r="B172" i="6"/>
  <c r="C172" i="6"/>
  <c r="B173" i="6"/>
  <c r="C173" i="6"/>
  <c r="B174" i="6"/>
  <c r="C174" i="6"/>
  <c r="B175" i="6"/>
  <c r="C175" i="6"/>
  <c r="B176" i="6"/>
  <c r="C176" i="6"/>
  <c r="B177" i="6"/>
  <c r="C177" i="6"/>
  <c r="B178" i="6"/>
  <c r="C178" i="6"/>
  <c r="B179" i="6"/>
  <c r="C179" i="6"/>
  <c r="B180" i="6"/>
  <c r="C180" i="6"/>
  <c r="B181" i="6"/>
  <c r="C181" i="6"/>
  <c r="B182" i="6"/>
  <c r="C182" i="6"/>
  <c r="B183" i="6"/>
  <c r="C183" i="6"/>
  <c r="B184" i="6"/>
  <c r="C184" i="6"/>
  <c r="B185" i="6"/>
  <c r="C185" i="6"/>
  <c r="B186" i="6"/>
  <c r="C186" i="6"/>
  <c r="B187" i="6"/>
  <c r="C187" i="6"/>
  <c r="B188" i="6"/>
  <c r="C188" i="6"/>
  <c r="B189" i="6"/>
  <c r="C189" i="6"/>
  <c r="B190" i="6"/>
  <c r="C190" i="6"/>
  <c r="B191" i="6"/>
  <c r="C191" i="6"/>
  <c r="B192" i="6"/>
  <c r="C192" i="6"/>
  <c r="B193" i="6"/>
  <c r="C193" i="6"/>
  <c r="B194" i="6"/>
  <c r="C194" i="6"/>
  <c r="B195" i="6"/>
  <c r="C195" i="6"/>
  <c r="B196" i="6"/>
  <c r="C196" i="6"/>
  <c r="B197" i="6"/>
  <c r="C197" i="6"/>
  <c r="B198" i="6"/>
  <c r="C198" i="6"/>
  <c r="B199" i="6"/>
  <c r="C199" i="6"/>
  <c r="B200" i="6"/>
  <c r="C200" i="6"/>
  <c r="B201" i="6"/>
  <c r="C201" i="6"/>
  <c r="B202" i="6"/>
  <c r="C202" i="6"/>
  <c r="B203" i="6"/>
  <c r="C203" i="6"/>
  <c r="B204" i="6"/>
  <c r="C204" i="6"/>
  <c r="B205" i="6"/>
  <c r="C205" i="6"/>
  <c r="B206" i="6"/>
  <c r="C206" i="6"/>
  <c r="B207" i="6"/>
  <c r="C207" i="6"/>
  <c r="B208" i="6"/>
  <c r="C208" i="6"/>
  <c r="B209" i="6"/>
  <c r="C209" i="6"/>
  <c r="B210" i="6"/>
  <c r="C210" i="6"/>
  <c r="B211" i="6"/>
  <c r="C211" i="6"/>
  <c r="B212" i="6"/>
  <c r="C212" i="6"/>
  <c r="B213" i="6"/>
  <c r="C213" i="6"/>
  <c r="B214" i="6"/>
  <c r="C214" i="6"/>
  <c r="B215" i="6"/>
  <c r="C215" i="6"/>
  <c r="B216" i="6"/>
  <c r="C216" i="6"/>
  <c r="B217" i="6"/>
  <c r="C217" i="6"/>
  <c r="B218" i="6"/>
  <c r="C218" i="6"/>
  <c r="B219" i="6"/>
  <c r="C219" i="6"/>
  <c r="B220" i="6"/>
  <c r="C220" i="6"/>
  <c r="B221" i="6"/>
  <c r="C221" i="6"/>
  <c r="B222" i="6"/>
  <c r="C222" i="6"/>
  <c r="B223" i="6"/>
  <c r="C223" i="6"/>
  <c r="B224" i="6"/>
  <c r="C224" i="6"/>
  <c r="B225" i="6"/>
  <c r="C225" i="6"/>
  <c r="B226" i="6"/>
  <c r="C226" i="6"/>
  <c r="B227" i="6"/>
  <c r="C227" i="6"/>
  <c r="B228" i="6"/>
  <c r="C228" i="6"/>
  <c r="B229" i="6"/>
  <c r="C229" i="6"/>
  <c r="B230" i="6"/>
  <c r="C230" i="6"/>
  <c r="B231" i="6"/>
  <c r="C231" i="6"/>
  <c r="B232" i="6"/>
  <c r="C232" i="6"/>
  <c r="B233" i="6"/>
  <c r="C233" i="6"/>
  <c r="B234" i="6"/>
  <c r="C234" i="6"/>
  <c r="B235" i="6"/>
  <c r="C235" i="6"/>
  <c r="B236" i="6"/>
  <c r="C236" i="6"/>
  <c r="B237" i="6"/>
  <c r="C237" i="6"/>
  <c r="B238" i="6"/>
  <c r="C238" i="6"/>
  <c r="B239" i="6"/>
  <c r="C239" i="6"/>
  <c r="B240" i="6"/>
  <c r="C240" i="6"/>
  <c r="B241" i="6"/>
  <c r="C241" i="6"/>
  <c r="B242" i="6"/>
  <c r="C242" i="6"/>
  <c r="B243" i="6"/>
  <c r="C243" i="6"/>
  <c r="B244" i="6"/>
  <c r="C244" i="6"/>
  <c r="B245" i="6"/>
  <c r="C245" i="6"/>
  <c r="B246" i="6"/>
  <c r="C246" i="6"/>
  <c r="B247" i="6"/>
  <c r="C247" i="6"/>
  <c r="B248" i="6"/>
  <c r="C248" i="6"/>
  <c r="B249" i="6"/>
  <c r="C249" i="6"/>
  <c r="B250" i="6"/>
  <c r="C250" i="6"/>
  <c r="B251" i="6"/>
  <c r="C251" i="6"/>
  <c r="B252" i="6"/>
  <c r="C252" i="6"/>
  <c r="B253" i="6"/>
  <c r="C253" i="6"/>
  <c r="B254" i="6"/>
  <c r="C254" i="6"/>
  <c r="B255" i="6"/>
  <c r="C255" i="6"/>
  <c r="B256" i="6"/>
  <c r="C256" i="6"/>
  <c r="B257" i="6"/>
  <c r="C257" i="6"/>
  <c r="B258" i="6"/>
  <c r="C258" i="6"/>
  <c r="B259" i="6"/>
  <c r="C259" i="6"/>
  <c r="B260" i="6"/>
  <c r="C260" i="6"/>
  <c r="B261" i="6"/>
  <c r="C261" i="6"/>
  <c r="B262" i="6"/>
  <c r="C262" i="6"/>
  <c r="B263" i="6"/>
  <c r="C263" i="6"/>
  <c r="B264" i="6"/>
  <c r="C264" i="6"/>
  <c r="B265" i="6"/>
  <c r="C265" i="6"/>
  <c r="B266" i="6"/>
  <c r="C266" i="6"/>
  <c r="B267" i="6"/>
  <c r="C267" i="6"/>
  <c r="B268" i="6"/>
  <c r="C268" i="6"/>
  <c r="B269" i="6"/>
  <c r="C269" i="6"/>
  <c r="B270" i="6"/>
  <c r="C270" i="6"/>
  <c r="B271" i="6"/>
  <c r="C271" i="6"/>
  <c r="B272" i="6"/>
  <c r="C272" i="6"/>
  <c r="B273" i="6"/>
  <c r="C273" i="6"/>
  <c r="B274" i="6"/>
  <c r="C274" i="6"/>
  <c r="B275" i="6"/>
  <c r="C275" i="6"/>
  <c r="B276" i="6"/>
  <c r="C276" i="6"/>
  <c r="B277" i="6"/>
  <c r="C277" i="6"/>
  <c r="B278" i="6"/>
  <c r="C278" i="6"/>
  <c r="B279" i="6"/>
  <c r="C279" i="6"/>
  <c r="B280" i="6"/>
  <c r="C280" i="6"/>
  <c r="B281" i="6"/>
  <c r="C281" i="6"/>
  <c r="B282" i="6"/>
  <c r="C282" i="6"/>
  <c r="B283" i="6"/>
  <c r="C283" i="6"/>
  <c r="B284" i="6"/>
  <c r="C284" i="6"/>
  <c r="B285" i="6"/>
  <c r="C285" i="6"/>
  <c r="B286" i="6"/>
  <c r="C286" i="6"/>
  <c r="B287" i="6"/>
  <c r="C287" i="6"/>
  <c r="B288" i="6"/>
  <c r="C288" i="6"/>
  <c r="B289" i="6"/>
  <c r="C289" i="6"/>
  <c r="B290" i="6"/>
  <c r="C290" i="6"/>
  <c r="B291" i="6"/>
  <c r="C291" i="6"/>
  <c r="B292" i="6"/>
  <c r="C292" i="6"/>
  <c r="B293" i="6"/>
  <c r="C293" i="6"/>
  <c r="B294" i="6"/>
  <c r="C294" i="6"/>
  <c r="B295" i="6"/>
  <c r="C295" i="6"/>
  <c r="B296" i="6"/>
  <c r="C296" i="6"/>
  <c r="B297" i="6"/>
  <c r="C297" i="6"/>
  <c r="B298" i="6"/>
  <c r="C298" i="6"/>
  <c r="B299" i="6"/>
  <c r="C299" i="6"/>
  <c r="B300" i="6"/>
  <c r="C300" i="6"/>
  <c r="B301" i="6"/>
  <c r="C301" i="6"/>
  <c r="B302" i="6"/>
  <c r="C302" i="6"/>
  <c r="B303" i="6"/>
  <c r="C303" i="6"/>
  <c r="B304" i="6"/>
  <c r="C304" i="6"/>
  <c r="B305" i="6"/>
  <c r="C305" i="6"/>
  <c r="B306" i="6"/>
  <c r="C306" i="6"/>
  <c r="B307" i="6"/>
  <c r="C307" i="6"/>
  <c r="B308" i="6"/>
  <c r="C308" i="6"/>
  <c r="B309" i="6"/>
  <c r="C309" i="6"/>
  <c r="B310" i="6"/>
  <c r="C310" i="6"/>
  <c r="B311" i="6"/>
  <c r="C311" i="6"/>
  <c r="B312" i="6"/>
  <c r="C312" i="6"/>
  <c r="B313" i="6"/>
  <c r="C313" i="6"/>
  <c r="B314" i="6"/>
  <c r="C314" i="6"/>
  <c r="B315" i="6"/>
  <c r="C315" i="6"/>
  <c r="B316" i="6"/>
  <c r="C316" i="6"/>
  <c r="B317" i="6"/>
  <c r="C317" i="6"/>
  <c r="B318" i="6"/>
  <c r="C318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6" i="6"/>
  <c r="G3" i="3" l="1"/>
  <c r="G5" i="3" s="1"/>
  <c r="E10" i="16"/>
  <c r="D21" i="16"/>
  <c r="I3" i="3"/>
  <c r="I5" i="3" s="1"/>
  <c r="E11" i="16"/>
  <c r="M3" i="3"/>
  <c r="M5" i="3" s="1"/>
  <c r="E13" i="16"/>
  <c r="K3" i="3"/>
  <c r="K5" i="3" s="1"/>
  <c r="E12" i="16"/>
  <c r="I8" i="6"/>
  <c r="J8" i="6"/>
  <c r="H8" i="6"/>
  <c r="E3" i="3"/>
  <c r="E5" i="3" s="1"/>
  <c r="E21" i="16" l="1"/>
  <c r="M8" i="6"/>
  <c r="L8" i="6"/>
  <c r="K8" i="6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0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0" i="4"/>
  <c r="B9" i="3"/>
  <c r="C363" i="3"/>
  <c r="C364" i="3"/>
  <c r="C365" i="3"/>
  <c r="C366" i="3"/>
  <c r="C367" i="3"/>
  <c r="B366" i="3"/>
  <c r="B364" i="3"/>
  <c r="B365" i="3"/>
  <c r="P13" i="4" l="1"/>
  <c r="O13" i="4"/>
  <c r="N13" i="4"/>
  <c r="N14" i="4"/>
  <c r="P12" i="4"/>
  <c r="O12" i="4"/>
  <c r="N12" i="4"/>
  <c r="P15" i="4"/>
  <c r="O15" i="4"/>
  <c r="N15" i="4"/>
  <c r="P14" i="4"/>
  <c r="O14" i="4"/>
  <c r="C11" i="3"/>
  <c r="C10" i="3"/>
  <c r="C12" i="3"/>
  <c r="C13" i="3"/>
  <c r="C14" i="3"/>
  <c r="C15" i="3"/>
  <c r="C16" i="3"/>
  <c r="C17" i="3"/>
  <c r="C18" i="3"/>
  <c r="C19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C406" i="3"/>
  <c r="C407" i="3"/>
  <c r="C408" i="3"/>
  <c r="C409" i="3"/>
  <c r="C410" i="3"/>
  <c r="C411" i="3"/>
  <c r="C412" i="3"/>
  <c r="C413" i="3"/>
  <c r="C414" i="3"/>
  <c r="C415" i="3"/>
  <c r="C416" i="3"/>
  <c r="C417" i="3"/>
  <c r="C418" i="3"/>
  <c r="C419" i="3"/>
  <c r="C420" i="3"/>
  <c r="C421" i="3"/>
  <c r="C422" i="3"/>
  <c r="C423" i="3"/>
  <c r="C424" i="3"/>
  <c r="C425" i="3"/>
  <c r="C426" i="3"/>
  <c r="C427" i="3"/>
  <c r="C428" i="3"/>
  <c r="C429" i="3"/>
  <c r="C430" i="3"/>
  <c r="C431" i="3"/>
  <c r="C432" i="3"/>
  <c r="C433" i="3"/>
  <c r="C434" i="3"/>
  <c r="C435" i="3"/>
  <c r="C436" i="3"/>
  <c r="C437" i="3"/>
  <c r="C438" i="3"/>
  <c r="C439" i="3"/>
  <c r="C440" i="3"/>
  <c r="C441" i="3"/>
  <c r="C442" i="3"/>
  <c r="C443" i="3"/>
  <c r="C444" i="3"/>
  <c r="C445" i="3"/>
  <c r="C446" i="3"/>
  <c r="C447" i="3"/>
  <c r="C448" i="3"/>
  <c r="C449" i="3"/>
  <c r="C450" i="3"/>
  <c r="C451" i="3"/>
  <c r="C452" i="3"/>
  <c r="C453" i="3"/>
  <c r="C454" i="3"/>
  <c r="C455" i="3"/>
  <c r="C456" i="3"/>
  <c r="C457" i="3"/>
  <c r="C458" i="3"/>
  <c r="C459" i="3"/>
  <c r="C460" i="3"/>
  <c r="C461" i="3"/>
  <c r="C462" i="3"/>
  <c r="C463" i="3"/>
  <c r="C464" i="3"/>
  <c r="C465" i="3"/>
  <c r="C466" i="3"/>
  <c r="C467" i="3"/>
  <c r="C468" i="3"/>
  <c r="C469" i="3"/>
  <c r="C470" i="3"/>
  <c r="C471" i="3"/>
  <c r="C472" i="3"/>
  <c r="C473" i="3"/>
  <c r="C474" i="3"/>
  <c r="C475" i="3"/>
  <c r="C476" i="3"/>
  <c r="C477" i="3"/>
  <c r="C478" i="3"/>
  <c r="C479" i="3"/>
  <c r="C480" i="3"/>
  <c r="C481" i="3"/>
  <c r="C482" i="3"/>
  <c r="C483" i="3"/>
  <c r="C484" i="3"/>
  <c r="C485" i="3"/>
  <c r="C486" i="3"/>
  <c r="C487" i="3"/>
  <c r="C488" i="3"/>
  <c r="C489" i="3"/>
  <c r="C490" i="3"/>
  <c r="C491" i="3"/>
  <c r="C492" i="3"/>
  <c r="C493" i="3"/>
  <c r="C494" i="3"/>
  <c r="C495" i="3"/>
  <c r="C496" i="3"/>
  <c r="C497" i="3"/>
  <c r="C498" i="3"/>
  <c r="C499" i="3"/>
  <c r="C500" i="3"/>
  <c r="C501" i="3"/>
  <c r="C502" i="3"/>
  <c r="C503" i="3"/>
  <c r="C504" i="3"/>
  <c r="C505" i="3"/>
  <c r="C506" i="3"/>
  <c r="C507" i="3"/>
  <c r="C508" i="3"/>
  <c r="C509" i="3"/>
  <c r="C510" i="3"/>
  <c r="C511" i="3"/>
  <c r="C512" i="3"/>
  <c r="C513" i="3"/>
  <c r="C514" i="3"/>
  <c r="C515" i="3"/>
  <c r="C516" i="3"/>
  <c r="C517" i="3"/>
  <c r="C518" i="3"/>
  <c r="C519" i="3"/>
  <c r="C520" i="3"/>
  <c r="C521" i="3"/>
  <c r="C522" i="3"/>
  <c r="C523" i="3"/>
  <c r="C524" i="3"/>
  <c r="C525" i="3"/>
  <c r="C526" i="3"/>
  <c r="C527" i="3"/>
  <c r="C528" i="3"/>
  <c r="C529" i="3"/>
  <c r="C530" i="3"/>
  <c r="C531" i="3"/>
  <c r="C532" i="3"/>
  <c r="C533" i="3"/>
  <c r="C534" i="3"/>
  <c r="C535" i="3"/>
  <c r="C536" i="3"/>
  <c r="C537" i="3"/>
  <c r="C538" i="3"/>
  <c r="C539" i="3"/>
  <c r="C540" i="3"/>
  <c r="C541" i="3"/>
  <c r="C542" i="3"/>
  <c r="C543" i="3"/>
  <c r="C544" i="3"/>
  <c r="C545" i="3"/>
  <c r="C546" i="3"/>
  <c r="C547" i="3"/>
  <c r="C548" i="3"/>
  <c r="C549" i="3"/>
  <c r="C550" i="3"/>
  <c r="C551" i="3"/>
  <c r="C552" i="3"/>
  <c r="C553" i="3"/>
  <c r="C554" i="3"/>
  <c r="C555" i="3"/>
  <c r="C556" i="3"/>
  <c r="C557" i="3"/>
  <c r="C558" i="3"/>
  <c r="C559" i="3"/>
  <c r="C560" i="3"/>
  <c r="C561" i="3"/>
  <c r="C562" i="3"/>
  <c r="C563" i="3"/>
  <c r="C564" i="3"/>
  <c r="C565" i="3"/>
  <c r="C566" i="3"/>
  <c r="C567" i="3"/>
  <c r="C568" i="3"/>
  <c r="C569" i="3"/>
  <c r="C570" i="3"/>
  <c r="C571" i="3"/>
  <c r="C572" i="3"/>
  <c r="C573" i="3"/>
  <c r="C574" i="3"/>
  <c r="C575" i="3"/>
  <c r="C576" i="3"/>
  <c r="C577" i="3"/>
  <c r="C578" i="3"/>
  <c r="C579" i="3"/>
  <c r="C580" i="3"/>
  <c r="C581" i="3"/>
  <c r="C582" i="3"/>
  <c r="C583" i="3"/>
  <c r="C584" i="3"/>
  <c r="C585" i="3"/>
  <c r="C586" i="3"/>
  <c r="C587" i="3"/>
  <c r="C588" i="3"/>
  <c r="C589" i="3"/>
  <c r="C590" i="3"/>
  <c r="C591" i="3"/>
  <c r="C592" i="3"/>
  <c r="C593" i="3"/>
  <c r="C594" i="3"/>
  <c r="C595" i="3"/>
  <c r="C596" i="3"/>
  <c r="C597" i="3"/>
  <c r="C598" i="3"/>
  <c r="C599" i="3"/>
  <c r="C600" i="3"/>
  <c r="C601" i="3"/>
  <c r="C602" i="3"/>
  <c r="C603" i="3"/>
  <c r="C604" i="3"/>
  <c r="C605" i="3"/>
  <c r="C606" i="3"/>
  <c r="C607" i="3"/>
  <c r="C608" i="3"/>
  <c r="C609" i="3"/>
  <c r="C610" i="3"/>
  <c r="C611" i="3"/>
  <c r="C612" i="3"/>
  <c r="C613" i="3"/>
  <c r="C614" i="3"/>
  <c r="C615" i="3"/>
  <c r="C616" i="3"/>
  <c r="C617" i="3"/>
  <c r="C618" i="3"/>
  <c r="C619" i="3"/>
  <c r="C620" i="3"/>
  <c r="C621" i="3"/>
  <c r="C622" i="3"/>
  <c r="C623" i="3"/>
  <c r="C624" i="3"/>
  <c r="C625" i="3"/>
  <c r="C626" i="3"/>
  <c r="C627" i="3"/>
  <c r="C628" i="3"/>
  <c r="C629" i="3"/>
  <c r="C630" i="3"/>
  <c r="C631" i="3"/>
  <c r="C632" i="3"/>
  <c r="C633" i="3"/>
  <c r="C634" i="3"/>
  <c r="C635" i="3"/>
  <c r="C636" i="3"/>
  <c r="C637" i="3"/>
  <c r="C638" i="3"/>
  <c r="C639" i="3"/>
  <c r="C640" i="3"/>
  <c r="C641" i="3"/>
  <c r="C642" i="3"/>
  <c r="C643" i="3"/>
  <c r="C644" i="3"/>
  <c r="C645" i="3"/>
  <c r="C646" i="3"/>
  <c r="C647" i="3"/>
  <c r="C648" i="3"/>
  <c r="C649" i="3"/>
  <c r="C650" i="3"/>
  <c r="C651" i="3"/>
  <c r="C652" i="3"/>
  <c r="C653" i="3"/>
  <c r="C654" i="3"/>
  <c r="C655" i="3"/>
  <c r="C656" i="3"/>
  <c r="C657" i="3"/>
  <c r="C658" i="3"/>
  <c r="C659" i="3"/>
  <c r="C660" i="3"/>
  <c r="C661" i="3"/>
  <c r="C662" i="3"/>
  <c r="C663" i="3"/>
  <c r="C664" i="3"/>
  <c r="C665" i="3"/>
  <c r="C666" i="3"/>
  <c r="C667" i="3"/>
  <c r="C668" i="3"/>
  <c r="C669" i="3"/>
  <c r="C670" i="3"/>
  <c r="C671" i="3"/>
  <c r="C672" i="3"/>
  <c r="C673" i="3"/>
  <c r="C674" i="3"/>
  <c r="C675" i="3"/>
  <c r="C676" i="3"/>
  <c r="C677" i="3"/>
  <c r="C678" i="3"/>
  <c r="C679" i="3"/>
  <c r="C680" i="3"/>
  <c r="C681" i="3"/>
  <c r="C682" i="3"/>
  <c r="C683" i="3"/>
  <c r="C684" i="3"/>
  <c r="C685" i="3"/>
  <c r="C686" i="3"/>
  <c r="C687" i="3"/>
  <c r="C688" i="3"/>
  <c r="C689" i="3"/>
  <c r="C690" i="3"/>
  <c r="C691" i="3"/>
  <c r="C692" i="3"/>
  <c r="C693" i="3"/>
  <c r="C694" i="3"/>
  <c r="C695" i="3"/>
  <c r="C696" i="3"/>
  <c r="C697" i="3"/>
  <c r="C698" i="3"/>
  <c r="C699" i="3"/>
  <c r="C700" i="3"/>
  <c r="C701" i="3"/>
  <c r="C702" i="3"/>
  <c r="C703" i="3"/>
  <c r="C704" i="3"/>
  <c r="C705" i="3"/>
  <c r="C706" i="3"/>
  <c r="C707" i="3"/>
  <c r="C708" i="3"/>
  <c r="C709" i="3"/>
  <c r="C710" i="3"/>
  <c r="C711" i="3"/>
  <c r="C712" i="3"/>
  <c r="C713" i="3"/>
  <c r="C714" i="3"/>
  <c r="C715" i="3"/>
  <c r="C716" i="3"/>
  <c r="C717" i="3"/>
  <c r="C718" i="3"/>
  <c r="C719" i="3"/>
  <c r="C720" i="3"/>
  <c r="C721" i="3"/>
  <c r="C722" i="3"/>
  <c r="C723" i="3"/>
  <c r="C724" i="3"/>
  <c r="C725" i="3"/>
  <c r="C726" i="3"/>
  <c r="C727" i="3"/>
  <c r="C728" i="3"/>
  <c r="C729" i="3"/>
  <c r="C730" i="3"/>
  <c r="C731" i="3"/>
  <c r="C732" i="3"/>
  <c r="C733" i="3"/>
  <c r="C734" i="3"/>
  <c r="C735" i="3"/>
  <c r="C736" i="3"/>
  <c r="C737" i="3"/>
  <c r="C738" i="3"/>
  <c r="C739" i="3"/>
  <c r="C740" i="3"/>
  <c r="C741" i="3"/>
  <c r="C742" i="3"/>
  <c r="C743" i="3"/>
  <c r="C744" i="3"/>
  <c r="C745" i="3"/>
  <c r="C746" i="3"/>
  <c r="C747" i="3"/>
  <c r="C748" i="3"/>
  <c r="C749" i="3"/>
  <c r="C750" i="3"/>
  <c r="C751" i="3"/>
  <c r="C752" i="3"/>
  <c r="C753" i="3"/>
  <c r="C754" i="3"/>
  <c r="C755" i="3"/>
  <c r="C756" i="3"/>
  <c r="C757" i="3"/>
  <c r="C758" i="3"/>
  <c r="C759" i="3"/>
  <c r="C760" i="3"/>
  <c r="C761" i="3"/>
  <c r="C762" i="3"/>
  <c r="C763" i="3"/>
  <c r="C764" i="3"/>
  <c r="C765" i="3"/>
  <c r="C766" i="3"/>
  <c r="C767" i="3"/>
  <c r="C768" i="3"/>
  <c r="C769" i="3"/>
  <c r="C770" i="3"/>
  <c r="C771" i="3"/>
  <c r="C772" i="3"/>
  <c r="C773" i="3"/>
  <c r="C774" i="3"/>
  <c r="C775" i="3"/>
  <c r="C776" i="3"/>
  <c r="C777" i="3"/>
  <c r="C778" i="3"/>
  <c r="C779" i="3"/>
  <c r="C780" i="3"/>
  <c r="C781" i="3"/>
  <c r="C782" i="3"/>
  <c r="C783" i="3"/>
  <c r="C784" i="3"/>
  <c r="C785" i="3"/>
  <c r="C786" i="3"/>
  <c r="C787" i="3"/>
  <c r="C788" i="3"/>
  <c r="C789" i="3"/>
  <c r="C790" i="3"/>
  <c r="C791" i="3"/>
  <c r="C792" i="3"/>
  <c r="C793" i="3"/>
  <c r="C794" i="3"/>
  <c r="C795" i="3"/>
  <c r="C796" i="3"/>
  <c r="C797" i="3"/>
  <c r="C798" i="3"/>
  <c r="C799" i="3"/>
  <c r="C800" i="3"/>
  <c r="C801" i="3"/>
  <c r="C802" i="3"/>
  <c r="C803" i="3"/>
  <c r="C804" i="3"/>
  <c r="C805" i="3"/>
  <c r="C806" i="3"/>
  <c r="C807" i="3"/>
  <c r="C808" i="3"/>
  <c r="C809" i="3"/>
  <c r="C810" i="3"/>
  <c r="C811" i="3"/>
  <c r="C812" i="3"/>
  <c r="C813" i="3"/>
  <c r="C814" i="3"/>
  <c r="C815" i="3"/>
  <c r="C816" i="3"/>
  <c r="C817" i="3"/>
  <c r="C818" i="3"/>
  <c r="C819" i="3"/>
  <c r="C820" i="3"/>
  <c r="C821" i="3"/>
  <c r="C822" i="3"/>
  <c r="C823" i="3"/>
  <c r="C824" i="3"/>
  <c r="C825" i="3"/>
  <c r="C826" i="3"/>
  <c r="C827" i="3"/>
  <c r="C828" i="3"/>
  <c r="C829" i="3"/>
  <c r="C830" i="3"/>
  <c r="C831" i="3"/>
  <c r="C832" i="3"/>
  <c r="C833" i="3"/>
  <c r="C834" i="3"/>
  <c r="C835" i="3"/>
  <c r="C836" i="3"/>
  <c r="C837" i="3"/>
  <c r="C838" i="3"/>
  <c r="C839" i="3"/>
  <c r="C840" i="3"/>
  <c r="C841" i="3"/>
  <c r="C842" i="3"/>
  <c r="C843" i="3"/>
  <c r="C844" i="3"/>
  <c r="C845" i="3"/>
  <c r="C846" i="3"/>
  <c r="C847" i="3"/>
  <c r="C848" i="3"/>
  <c r="C849" i="3"/>
  <c r="C850" i="3"/>
  <c r="C851" i="3"/>
  <c r="C852" i="3"/>
  <c r="C853" i="3"/>
  <c r="C854" i="3"/>
  <c r="C855" i="3"/>
  <c r="C856" i="3"/>
  <c r="C857" i="3"/>
  <c r="C858" i="3"/>
  <c r="C859" i="3"/>
  <c r="C860" i="3"/>
  <c r="C861" i="3"/>
  <c r="C862" i="3"/>
  <c r="C863" i="3"/>
  <c r="C864" i="3"/>
  <c r="C865" i="3"/>
  <c r="C866" i="3"/>
  <c r="C867" i="3"/>
  <c r="C868" i="3"/>
  <c r="C869" i="3"/>
  <c r="C870" i="3"/>
  <c r="C871" i="3"/>
  <c r="C872" i="3"/>
  <c r="C873" i="3"/>
  <c r="C874" i="3"/>
  <c r="C875" i="3"/>
  <c r="C876" i="3"/>
  <c r="C877" i="3"/>
  <c r="C878" i="3"/>
  <c r="C879" i="3"/>
  <c r="C880" i="3"/>
  <c r="C881" i="3"/>
  <c r="C882" i="3"/>
  <c r="C883" i="3"/>
  <c r="C884" i="3"/>
  <c r="C885" i="3"/>
  <c r="C886" i="3"/>
  <c r="C887" i="3"/>
  <c r="C888" i="3"/>
  <c r="C889" i="3"/>
  <c r="C890" i="3"/>
  <c r="C891" i="3"/>
  <c r="C892" i="3"/>
  <c r="C893" i="3"/>
  <c r="C894" i="3"/>
  <c r="C895" i="3"/>
  <c r="C896" i="3"/>
  <c r="C897" i="3"/>
  <c r="C898" i="3"/>
  <c r="C899" i="3"/>
  <c r="C900" i="3"/>
  <c r="C901" i="3"/>
  <c r="C902" i="3"/>
  <c r="C903" i="3"/>
  <c r="C904" i="3"/>
  <c r="C905" i="3"/>
  <c r="C906" i="3"/>
  <c r="C907" i="3"/>
  <c r="C908" i="3"/>
  <c r="C909" i="3"/>
  <c r="C910" i="3"/>
  <c r="C911" i="3"/>
  <c r="C912" i="3"/>
  <c r="C913" i="3"/>
  <c r="C914" i="3"/>
  <c r="C915" i="3"/>
  <c r="C916" i="3"/>
  <c r="C917" i="3"/>
  <c r="C918" i="3"/>
  <c r="C919" i="3"/>
  <c r="C920" i="3"/>
  <c r="C921" i="3"/>
  <c r="C922" i="3"/>
  <c r="C923" i="3"/>
  <c r="C924" i="3"/>
  <c r="C925" i="3"/>
  <c r="C926" i="3"/>
  <c r="C927" i="3"/>
  <c r="C928" i="3"/>
  <c r="C929" i="3"/>
  <c r="C930" i="3"/>
  <c r="C931" i="3"/>
  <c r="C932" i="3"/>
  <c r="C933" i="3"/>
  <c r="C934" i="3"/>
  <c r="C935" i="3"/>
  <c r="C936" i="3"/>
  <c r="C937" i="3"/>
  <c r="C938" i="3"/>
  <c r="C939" i="3"/>
  <c r="C940" i="3"/>
  <c r="C941" i="3"/>
  <c r="C942" i="3"/>
  <c r="C943" i="3"/>
  <c r="C944" i="3"/>
  <c r="C945" i="3"/>
  <c r="C946" i="3"/>
  <c r="C947" i="3"/>
  <c r="C948" i="3"/>
  <c r="C949" i="3"/>
  <c r="C950" i="3"/>
  <c r="C951" i="3"/>
  <c r="C952" i="3"/>
  <c r="C953" i="3"/>
  <c r="C954" i="3"/>
  <c r="C955" i="3"/>
  <c r="C956" i="3"/>
  <c r="C957" i="3"/>
  <c r="C958" i="3"/>
  <c r="C959" i="3"/>
  <c r="C960" i="3"/>
  <c r="C961" i="3"/>
  <c r="C962" i="3"/>
  <c r="C963" i="3"/>
  <c r="C964" i="3"/>
  <c r="C965" i="3"/>
  <c r="C966" i="3"/>
  <c r="C967" i="3"/>
  <c r="C968" i="3"/>
  <c r="C969" i="3"/>
  <c r="C970" i="3"/>
  <c r="C971" i="3"/>
  <c r="C972" i="3"/>
  <c r="C973" i="3"/>
  <c r="C974" i="3"/>
  <c r="C975" i="3"/>
  <c r="C976" i="3"/>
  <c r="C977" i="3"/>
  <c r="C978" i="3"/>
  <c r="C979" i="3"/>
  <c r="C980" i="3"/>
  <c r="C981" i="3"/>
  <c r="C982" i="3"/>
  <c r="C983" i="3"/>
  <c r="C984" i="3"/>
  <c r="C985" i="3"/>
  <c r="C986" i="3"/>
  <c r="C987" i="3"/>
  <c r="C988" i="3"/>
  <c r="C989" i="3"/>
  <c r="C990" i="3"/>
  <c r="C991" i="3"/>
  <c r="C992" i="3"/>
  <c r="C993" i="3"/>
  <c r="C994" i="3"/>
  <c r="C995" i="3"/>
  <c r="C996" i="3"/>
  <c r="C997" i="3"/>
  <c r="C998" i="3"/>
  <c r="C999" i="3"/>
  <c r="C1000" i="3"/>
  <c r="C1001" i="3"/>
  <c r="C1002" i="3"/>
  <c r="C1003" i="3"/>
  <c r="C1004" i="3"/>
  <c r="C1005" i="3"/>
  <c r="C1006" i="3"/>
  <c r="C1007" i="3"/>
  <c r="C1008" i="3"/>
  <c r="C1009" i="3"/>
  <c r="C1010" i="3"/>
  <c r="C1011" i="3"/>
  <c r="C1012" i="3"/>
  <c r="C1013" i="3"/>
  <c r="C1014" i="3"/>
  <c r="C1015" i="3"/>
  <c r="C1016" i="3"/>
  <c r="C1017" i="3"/>
  <c r="C1018" i="3"/>
  <c r="C1019" i="3"/>
  <c r="C1020" i="3"/>
  <c r="C1021" i="3"/>
  <c r="C1022" i="3"/>
  <c r="C1023" i="3"/>
  <c r="C1024" i="3"/>
  <c r="C1025" i="3"/>
  <c r="C1026" i="3"/>
  <c r="C1027" i="3"/>
  <c r="C1028" i="3"/>
  <c r="C1029" i="3"/>
  <c r="C1030" i="3"/>
  <c r="C1031" i="3"/>
  <c r="C1032" i="3"/>
  <c r="C1033" i="3"/>
  <c r="C1034" i="3"/>
  <c r="C1035" i="3"/>
  <c r="C1036" i="3"/>
  <c r="C1037" i="3"/>
  <c r="C1038" i="3"/>
  <c r="C1039" i="3"/>
  <c r="C1040" i="3"/>
  <c r="C1041" i="3"/>
  <c r="C1042" i="3"/>
  <c r="C1043" i="3"/>
  <c r="C1044" i="3"/>
  <c r="C1045" i="3"/>
  <c r="C1046" i="3"/>
  <c r="C1047" i="3"/>
  <c r="C1048" i="3"/>
  <c r="C1049" i="3"/>
  <c r="C1050" i="3"/>
  <c r="C1051" i="3"/>
  <c r="C1052" i="3"/>
  <c r="C1053" i="3"/>
  <c r="C1054" i="3"/>
  <c r="C1055" i="3"/>
  <c r="C1056" i="3"/>
  <c r="C1057" i="3"/>
  <c r="C1058" i="3"/>
  <c r="C1059" i="3"/>
  <c r="C1060" i="3"/>
  <c r="C1061" i="3"/>
  <c r="C1062" i="3"/>
  <c r="C1063" i="3"/>
  <c r="C1064" i="3"/>
  <c r="C1065" i="3"/>
  <c r="C1066" i="3"/>
  <c r="C1067" i="3"/>
  <c r="C1068" i="3"/>
  <c r="C1069" i="3"/>
  <c r="C1070" i="3"/>
  <c r="C1071" i="3"/>
  <c r="C1072" i="3"/>
  <c r="C1073" i="3"/>
  <c r="C1074" i="3"/>
  <c r="C1075" i="3"/>
  <c r="C1076" i="3"/>
  <c r="C1077" i="3"/>
  <c r="C1078" i="3"/>
  <c r="C1079" i="3"/>
  <c r="C1080" i="3"/>
  <c r="C1081" i="3"/>
  <c r="C1082" i="3"/>
  <c r="C1083" i="3"/>
  <c r="C1084" i="3"/>
  <c r="C1085" i="3"/>
  <c r="C1086" i="3"/>
  <c r="C1087" i="3"/>
  <c r="C1088" i="3"/>
  <c r="C1089" i="3"/>
  <c r="C1090" i="3"/>
  <c r="C1091" i="3"/>
  <c r="C1092" i="3"/>
  <c r="C1093" i="3"/>
  <c r="C1094" i="3"/>
  <c r="C1095" i="3"/>
  <c r="C1096" i="3"/>
  <c r="C1097" i="3"/>
  <c r="C1098" i="3"/>
  <c r="C1099" i="3"/>
  <c r="C1100" i="3"/>
  <c r="C1101" i="3"/>
  <c r="C1102" i="3"/>
  <c r="C1103" i="3"/>
  <c r="C1104" i="3"/>
  <c r="C1105" i="3"/>
  <c r="C1106" i="3"/>
  <c r="C1107" i="3"/>
  <c r="C1108" i="3"/>
  <c r="C1109" i="3"/>
  <c r="C1110" i="3"/>
  <c r="C1111" i="3"/>
  <c r="C1112" i="3"/>
  <c r="C1113" i="3"/>
  <c r="C1114" i="3"/>
  <c r="C1115" i="3"/>
  <c r="C1116" i="3"/>
  <c r="C1117" i="3"/>
  <c r="C1118" i="3"/>
  <c r="C1119" i="3"/>
  <c r="C1120" i="3"/>
  <c r="C1121" i="3"/>
  <c r="C1122" i="3"/>
  <c r="C1123" i="3"/>
  <c r="C1124" i="3"/>
  <c r="C1125" i="3"/>
  <c r="C1126" i="3"/>
  <c r="C1127" i="3"/>
  <c r="C1128" i="3"/>
  <c r="C1129" i="3"/>
  <c r="C1130" i="3"/>
  <c r="C1131" i="3"/>
  <c r="C1132" i="3"/>
  <c r="C1133" i="3"/>
  <c r="C1134" i="3"/>
  <c r="C1135" i="3"/>
  <c r="C1136" i="3"/>
  <c r="C1137" i="3"/>
  <c r="C1138" i="3"/>
  <c r="C1139" i="3"/>
  <c r="C1140" i="3"/>
  <c r="C1141" i="3"/>
  <c r="C1142" i="3"/>
  <c r="C1143" i="3"/>
  <c r="C1144" i="3"/>
  <c r="C1145" i="3"/>
  <c r="C1146" i="3"/>
  <c r="C1147" i="3"/>
  <c r="C1148" i="3"/>
  <c r="C1149" i="3"/>
  <c r="C1150" i="3"/>
  <c r="C1151" i="3"/>
  <c r="C1152" i="3"/>
  <c r="C1153" i="3"/>
  <c r="C1154" i="3"/>
  <c r="C1155" i="3"/>
  <c r="C1156" i="3"/>
  <c r="C1157" i="3"/>
  <c r="C1158" i="3"/>
  <c r="C1159" i="3"/>
  <c r="C1160" i="3"/>
  <c r="C1161" i="3"/>
  <c r="C1162" i="3"/>
  <c r="C1163" i="3"/>
  <c r="C1164" i="3"/>
  <c r="C1165" i="3"/>
  <c r="C1166" i="3"/>
  <c r="C1167" i="3"/>
  <c r="C1168" i="3"/>
  <c r="C1169" i="3"/>
  <c r="C1170" i="3"/>
  <c r="C1171" i="3"/>
  <c r="C1172" i="3"/>
  <c r="C1173" i="3"/>
  <c r="C1174" i="3"/>
  <c r="C1175" i="3"/>
  <c r="C1176" i="3"/>
  <c r="C1177" i="3"/>
  <c r="C1178" i="3"/>
  <c r="C1179" i="3"/>
  <c r="C1180" i="3"/>
  <c r="C1181" i="3"/>
  <c r="C1182" i="3"/>
  <c r="C1183" i="3"/>
  <c r="C1184" i="3"/>
  <c r="C1185" i="3"/>
  <c r="C1186" i="3"/>
  <c r="C1187" i="3"/>
  <c r="C1188" i="3"/>
  <c r="C1189" i="3"/>
  <c r="C1190" i="3"/>
  <c r="C1191" i="3"/>
  <c r="C1192" i="3"/>
  <c r="C1193" i="3"/>
  <c r="C1194" i="3"/>
  <c r="C1195" i="3"/>
  <c r="C1196" i="3"/>
  <c r="C1197" i="3"/>
  <c r="C1198" i="3"/>
  <c r="C1199" i="3"/>
  <c r="C1200" i="3"/>
  <c r="C1201" i="3"/>
  <c r="C1202" i="3"/>
  <c r="C1203" i="3"/>
  <c r="C1204" i="3"/>
  <c r="C1205" i="3"/>
  <c r="C1206" i="3"/>
  <c r="C1207" i="3"/>
  <c r="C1208" i="3"/>
  <c r="C1209" i="3"/>
  <c r="C1210" i="3"/>
  <c r="C1211" i="3"/>
  <c r="C1212" i="3"/>
  <c r="C1213" i="3"/>
  <c r="C1214" i="3"/>
  <c r="C1215" i="3"/>
  <c r="C1216" i="3"/>
  <c r="C1217" i="3"/>
  <c r="C1218" i="3"/>
  <c r="C1219" i="3"/>
  <c r="C1220" i="3"/>
  <c r="C1221" i="3"/>
  <c r="C1222" i="3"/>
  <c r="C1223" i="3"/>
  <c r="C1224" i="3"/>
  <c r="C1225" i="3"/>
  <c r="C1226" i="3"/>
  <c r="C1227" i="3"/>
  <c r="C1228" i="3"/>
  <c r="C1229" i="3"/>
  <c r="C1230" i="3"/>
  <c r="C1231" i="3"/>
  <c r="C1232" i="3"/>
  <c r="C1233" i="3"/>
  <c r="C1234" i="3"/>
  <c r="C1235" i="3"/>
  <c r="C1236" i="3"/>
  <c r="C1237" i="3"/>
  <c r="C1238" i="3"/>
  <c r="C1239" i="3"/>
  <c r="C1240" i="3"/>
  <c r="C1241" i="3"/>
  <c r="C1242" i="3"/>
  <c r="C1243" i="3"/>
  <c r="C1244" i="3"/>
  <c r="C1245" i="3"/>
  <c r="C1246" i="3"/>
  <c r="C1247" i="3"/>
  <c r="C1248" i="3"/>
  <c r="C1249" i="3"/>
  <c r="C1250" i="3"/>
  <c r="C1251" i="3"/>
  <c r="C1252" i="3"/>
  <c r="C1253" i="3"/>
  <c r="C1254" i="3"/>
  <c r="C1255" i="3"/>
  <c r="C1256" i="3"/>
  <c r="C1257" i="3"/>
  <c r="C1258" i="3"/>
  <c r="C1259" i="3"/>
  <c r="C1260" i="3"/>
  <c r="C1261" i="3"/>
  <c r="C1262" i="3"/>
  <c r="C1263" i="3"/>
  <c r="C1264" i="3"/>
  <c r="C1265" i="3"/>
  <c r="C1266" i="3"/>
  <c r="C1267" i="3"/>
  <c r="C1268" i="3"/>
  <c r="C1269" i="3"/>
  <c r="C1270" i="3"/>
  <c r="C1271" i="3"/>
  <c r="C1272" i="3"/>
  <c r="C1273" i="3"/>
  <c r="C1274" i="3"/>
  <c r="C1275" i="3"/>
  <c r="C1276" i="3"/>
  <c r="C1277" i="3"/>
  <c r="C1278" i="3"/>
  <c r="C1279" i="3"/>
  <c r="C1280" i="3"/>
  <c r="C1281" i="3"/>
  <c r="C1282" i="3"/>
  <c r="C1283" i="3"/>
  <c r="C1284" i="3"/>
  <c r="C1285" i="3"/>
  <c r="C1286" i="3"/>
  <c r="C1287" i="3"/>
  <c r="C1288" i="3"/>
  <c r="C1289" i="3"/>
  <c r="C1290" i="3"/>
  <c r="C1291" i="3"/>
  <c r="C1292" i="3"/>
  <c r="C1293" i="3"/>
  <c r="C1294" i="3"/>
  <c r="C1295" i="3"/>
  <c r="C1296" i="3"/>
  <c r="C1297" i="3"/>
  <c r="C1298" i="3"/>
  <c r="C1299" i="3"/>
  <c r="C1300" i="3"/>
  <c r="C1301" i="3"/>
  <c r="C1302" i="3"/>
  <c r="C1303" i="3"/>
  <c r="C1304" i="3"/>
  <c r="C1305" i="3"/>
  <c r="C1306" i="3"/>
  <c r="C1307" i="3"/>
  <c r="C1308" i="3"/>
  <c r="C1309" i="3"/>
  <c r="C1310" i="3"/>
  <c r="C1311" i="3"/>
  <c r="C1312" i="3"/>
  <c r="C1313" i="3"/>
  <c r="C1314" i="3"/>
  <c r="C1315" i="3"/>
  <c r="C1316" i="3"/>
  <c r="C1317" i="3"/>
  <c r="C1318" i="3"/>
  <c r="C1319" i="3"/>
  <c r="C1320" i="3"/>
  <c r="C1321" i="3"/>
  <c r="C1322" i="3"/>
  <c r="C1323" i="3"/>
  <c r="C1324" i="3"/>
  <c r="C1325" i="3"/>
  <c r="C1326" i="3"/>
  <c r="C1327" i="3"/>
  <c r="C1328" i="3"/>
  <c r="C1329" i="3"/>
  <c r="C1330" i="3"/>
  <c r="C1331" i="3"/>
  <c r="C1332" i="3"/>
  <c r="C1333" i="3"/>
  <c r="C1334" i="3"/>
  <c r="C1335" i="3"/>
  <c r="C1336" i="3"/>
  <c r="C1337" i="3"/>
  <c r="C1338" i="3"/>
  <c r="C1339" i="3"/>
  <c r="C1340" i="3"/>
  <c r="C1341" i="3"/>
  <c r="C1342" i="3"/>
  <c r="C1343" i="3"/>
  <c r="C1344" i="3"/>
  <c r="C1345" i="3"/>
  <c r="C1346" i="3"/>
  <c r="C1347" i="3"/>
  <c r="C1348" i="3"/>
  <c r="C1349" i="3"/>
  <c r="C1350" i="3"/>
  <c r="C1351" i="3"/>
  <c r="C1352" i="3"/>
  <c r="C1353" i="3"/>
  <c r="C1354" i="3"/>
  <c r="C1355" i="3"/>
  <c r="C1356" i="3"/>
  <c r="C1357" i="3"/>
  <c r="C1358" i="3"/>
  <c r="C1359" i="3"/>
  <c r="C1360" i="3"/>
  <c r="C1361" i="3"/>
  <c r="C1362" i="3"/>
  <c r="C1363" i="3"/>
  <c r="C1364" i="3"/>
  <c r="C1365" i="3"/>
  <c r="C1366" i="3"/>
  <c r="C1367" i="3"/>
  <c r="C1368" i="3"/>
  <c r="C1369" i="3"/>
  <c r="C1370" i="3"/>
  <c r="C1371" i="3"/>
  <c r="C1372" i="3"/>
  <c r="C1373" i="3"/>
  <c r="C1374" i="3"/>
  <c r="C1375" i="3"/>
  <c r="C1376" i="3"/>
  <c r="C1377" i="3"/>
  <c r="C1378" i="3"/>
  <c r="C1379" i="3"/>
  <c r="C1380" i="3"/>
  <c r="C1381" i="3"/>
  <c r="C1382" i="3"/>
  <c r="C1383" i="3"/>
  <c r="C1384" i="3"/>
  <c r="C1385" i="3"/>
  <c r="C1386" i="3"/>
  <c r="C1387" i="3"/>
  <c r="C1388" i="3"/>
  <c r="C1389" i="3"/>
  <c r="C1390" i="3"/>
  <c r="C1391" i="3"/>
  <c r="C1392" i="3"/>
  <c r="C1393" i="3"/>
  <c r="C1394" i="3"/>
  <c r="C1395" i="3"/>
  <c r="C1396" i="3"/>
  <c r="C1397" i="3"/>
  <c r="C1398" i="3"/>
  <c r="C1399" i="3"/>
  <c r="C1400" i="3"/>
  <c r="C1401" i="3"/>
  <c r="C1402" i="3"/>
  <c r="C1403" i="3"/>
  <c r="C1404" i="3"/>
  <c r="C1405" i="3"/>
  <c r="C1406" i="3"/>
  <c r="C1407" i="3"/>
  <c r="C1408" i="3"/>
  <c r="C1409" i="3"/>
  <c r="C1410" i="3"/>
  <c r="C1411" i="3"/>
  <c r="C1412" i="3"/>
  <c r="C1413" i="3"/>
  <c r="C1414" i="3"/>
  <c r="C1415" i="3"/>
  <c r="C1416" i="3"/>
  <c r="C1417" i="3"/>
  <c r="C1418" i="3"/>
  <c r="C1419" i="3"/>
  <c r="C1420" i="3"/>
  <c r="C1421" i="3"/>
  <c r="C1422" i="3"/>
  <c r="C1423" i="3"/>
  <c r="C1424" i="3"/>
  <c r="C1425" i="3"/>
  <c r="C1426" i="3"/>
  <c r="C1427" i="3"/>
  <c r="C1428" i="3"/>
  <c r="C1429" i="3"/>
  <c r="C1430" i="3"/>
  <c r="C1431" i="3"/>
  <c r="C1432" i="3"/>
  <c r="C1433" i="3"/>
  <c r="C1434" i="3"/>
  <c r="C1435" i="3"/>
  <c r="C1436" i="3"/>
  <c r="C1437" i="3"/>
  <c r="C1438" i="3"/>
  <c r="C1439" i="3"/>
  <c r="C1440" i="3"/>
  <c r="C1441" i="3"/>
  <c r="C1442" i="3"/>
  <c r="C1443" i="3"/>
  <c r="C1444" i="3"/>
  <c r="C1445" i="3"/>
  <c r="C1446" i="3"/>
  <c r="C1447" i="3"/>
  <c r="C1448" i="3"/>
  <c r="C1449" i="3"/>
  <c r="C1450" i="3"/>
  <c r="C1451" i="3"/>
  <c r="C1452" i="3"/>
  <c r="C1453" i="3"/>
  <c r="C1454" i="3"/>
  <c r="C1455" i="3"/>
  <c r="C1456" i="3"/>
  <c r="C1457" i="3"/>
  <c r="C1458" i="3"/>
  <c r="C1459" i="3"/>
  <c r="C1460" i="3"/>
  <c r="C1461" i="3"/>
  <c r="C1462" i="3"/>
  <c r="C1463" i="3"/>
  <c r="C1464" i="3"/>
  <c r="C1465" i="3"/>
  <c r="C1466" i="3"/>
  <c r="C1467" i="3"/>
  <c r="C1468" i="3"/>
  <c r="C1469" i="3"/>
  <c r="C1470" i="3"/>
  <c r="C1471" i="3"/>
  <c r="C1472" i="3"/>
  <c r="C1473" i="3"/>
  <c r="C1474" i="3"/>
  <c r="C1475" i="3"/>
  <c r="C1476" i="3"/>
  <c r="C1477" i="3"/>
  <c r="C1478" i="3"/>
  <c r="C1479" i="3"/>
  <c r="C1480" i="3"/>
  <c r="C1481" i="3"/>
  <c r="C1482" i="3"/>
  <c r="C1483" i="3"/>
  <c r="C1484" i="3"/>
  <c r="C1485" i="3"/>
  <c r="C1486" i="3"/>
  <c r="C1487" i="3"/>
  <c r="C1488" i="3"/>
  <c r="C1489" i="3"/>
  <c r="C1490" i="3"/>
  <c r="C1491" i="3"/>
  <c r="C1492" i="3"/>
  <c r="C1493" i="3"/>
  <c r="C1494" i="3"/>
  <c r="C1495" i="3"/>
  <c r="C1496" i="3"/>
  <c r="C1497" i="3"/>
  <c r="C1498" i="3"/>
  <c r="C1499" i="3"/>
  <c r="C1500" i="3"/>
  <c r="C1501" i="3"/>
  <c r="C1502" i="3"/>
  <c r="C1503" i="3"/>
  <c r="C1504" i="3"/>
  <c r="C1505" i="3"/>
  <c r="C1506" i="3"/>
  <c r="C1507" i="3"/>
  <c r="C1508" i="3"/>
  <c r="C1509" i="3"/>
  <c r="C1510" i="3"/>
  <c r="C1511" i="3"/>
  <c r="C1512" i="3"/>
  <c r="C1513" i="3"/>
  <c r="C1514" i="3"/>
  <c r="C1515" i="3"/>
  <c r="C1516" i="3"/>
  <c r="C1517" i="3"/>
  <c r="C1518" i="3"/>
  <c r="C1519" i="3"/>
  <c r="C1520" i="3"/>
  <c r="C1521" i="3"/>
  <c r="C1522" i="3"/>
  <c r="C1523" i="3"/>
  <c r="C1524" i="3"/>
  <c r="C1525" i="3"/>
  <c r="C1526" i="3"/>
  <c r="C1527" i="3"/>
  <c r="C1528" i="3"/>
  <c r="C1529" i="3"/>
  <c r="C1530" i="3"/>
  <c r="C1531" i="3"/>
  <c r="C1532" i="3"/>
  <c r="C1533" i="3"/>
  <c r="C1534" i="3"/>
  <c r="C1535" i="3"/>
  <c r="C1536" i="3"/>
  <c r="C1537" i="3"/>
  <c r="C1538" i="3"/>
  <c r="C1539" i="3"/>
  <c r="C1540" i="3"/>
  <c r="C1541" i="3"/>
  <c r="C1542" i="3"/>
  <c r="C1543" i="3"/>
  <c r="C1544" i="3"/>
  <c r="C1545" i="3"/>
  <c r="C1546" i="3"/>
  <c r="C1547" i="3"/>
  <c r="C1548" i="3"/>
  <c r="C1549" i="3"/>
  <c r="C1550" i="3"/>
  <c r="C1551" i="3"/>
  <c r="C1552" i="3"/>
  <c r="C1553" i="3"/>
  <c r="C1554" i="3"/>
  <c r="C1555" i="3"/>
  <c r="C1556" i="3"/>
  <c r="C9" i="3"/>
  <c r="B10" i="3"/>
  <c r="B11" i="3"/>
  <c r="B12" i="3"/>
  <c r="B13" i="3"/>
  <c r="B14" i="3"/>
  <c r="B15" i="3"/>
  <c r="B16" i="3"/>
  <c r="B17" i="3"/>
  <c r="B18" i="3"/>
  <c r="B19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B732" i="3"/>
  <c r="B733" i="3"/>
  <c r="B734" i="3"/>
  <c r="B735" i="3"/>
  <c r="B736" i="3"/>
  <c r="B737" i="3"/>
  <c r="B738" i="3"/>
  <c r="B739" i="3"/>
  <c r="B740" i="3"/>
  <c r="B741" i="3"/>
  <c r="B742" i="3"/>
  <c r="B743" i="3"/>
  <c r="B744" i="3"/>
  <c r="B745" i="3"/>
  <c r="B746" i="3"/>
  <c r="B747" i="3"/>
  <c r="B748" i="3"/>
  <c r="B749" i="3"/>
  <c r="B750" i="3"/>
  <c r="B751" i="3"/>
  <c r="B752" i="3"/>
  <c r="B753" i="3"/>
  <c r="B754" i="3"/>
  <c r="B755" i="3"/>
  <c r="B756" i="3"/>
  <c r="B757" i="3"/>
  <c r="B758" i="3"/>
  <c r="B759" i="3"/>
  <c r="B760" i="3"/>
  <c r="B761" i="3"/>
  <c r="B762" i="3"/>
  <c r="B763" i="3"/>
  <c r="B764" i="3"/>
  <c r="B765" i="3"/>
  <c r="B766" i="3"/>
  <c r="B767" i="3"/>
  <c r="B768" i="3"/>
  <c r="B769" i="3"/>
  <c r="B770" i="3"/>
  <c r="B771" i="3"/>
  <c r="B772" i="3"/>
  <c r="B773" i="3"/>
  <c r="B774" i="3"/>
  <c r="B775" i="3"/>
  <c r="B776" i="3"/>
  <c r="B777" i="3"/>
  <c r="B778" i="3"/>
  <c r="B779" i="3"/>
  <c r="B780" i="3"/>
  <c r="B781" i="3"/>
  <c r="B782" i="3"/>
  <c r="B783" i="3"/>
  <c r="B784" i="3"/>
  <c r="B785" i="3"/>
  <c r="B786" i="3"/>
  <c r="B787" i="3"/>
  <c r="B788" i="3"/>
  <c r="B789" i="3"/>
  <c r="B790" i="3"/>
  <c r="B791" i="3"/>
  <c r="B792" i="3"/>
  <c r="B793" i="3"/>
  <c r="B794" i="3"/>
  <c r="B795" i="3"/>
  <c r="B796" i="3"/>
  <c r="B797" i="3"/>
  <c r="B798" i="3"/>
  <c r="B799" i="3"/>
  <c r="B800" i="3"/>
  <c r="B801" i="3"/>
  <c r="B802" i="3"/>
  <c r="B803" i="3"/>
  <c r="B804" i="3"/>
  <c r="B805" i="3"/>
  <c r="B806" i="3"/>
  <c r="B807" i="3"/>
  <c r="B808" i="3"/>
  <c r="B809" i="3"/>
  <c r="B810" i="3"/>
  <c r="B811" i="3"/>
  <c r="B812" i="3"/>
  <c r="B813" i="3"/>
  <c r="B814" i="3"/>
  <c r="B815" i="3"/>
  <c r="B816" i="3"/>
  <c r="B817" i="3"/>
  <c r="B818" i="3"/>
  <c r="B819" i="3"/>
  <c r="B820" i="3"/>
  <c r="B821" i="3"/>
  <c r="B822" i="3"/>
  <c r="B823" i="3"/>
  <c r="B824" i="3"/>
  <c r="B825" i="3"/>
  <c r="B826" i="3"/>
  <c r="B827" i="3"/>
  <c r="B828" i="3"/>
  <c r="B829" i="3"/>
  <c r="B830" i="3"/>
  <c r="B831" i="3"/>
  <c r="B832" i="3"/>
  <c r="B833" i="3"/>
  <c r="B834" i="3"/>
  <c r="B835" i="3"/>
  <c r="B836" i="3"/>
  <c r="B837" i="3"/>
  <c r="B838" i="3"/>
  <c r="B839" i="3"/>
  <c r="B840" i="3"/>
  <c r="B841" i="3"/>
  <c r="B842" i="3"/>
  <c r="B843" i="3"/>
  <c r="B844" i="3"/>
  <c r="B845" i="3"/>
  <c r="B846" i="3"/>
  <c r="B847" i="3"/>
  <c r="B848" i="3"/>
  <c r="B849" i="3"/>
  <c r="B850" i="3"/>
  <c r="B851" i="3"/>
  <c r="B852" i="3"/>
  <c r="B853" i="3"/>
  <c r="B854" i="3"/>
  <c r="B855" i="3"/>
  <c r="B856" i="3"/>
  <c r="B857" i="3"/>
  <c r="B858" i="3"/>
  <c r="B859" i="3"/>
  <c r="B860" i="3"/>
  <c r="B861" i="3"/>
  <c r="B862" i="3"/>
  <c r="B863" i="3"/>
  <c r="B864" i="3"/>
  <c r="B865" i="3"/>
  <c r="B866" i="3"/>
  <c r="B867" i="3"/>
  <c r="B868" i="3"/>
  <c r="B869" i="3"/>
  <c r="B870" i="3"/>
  <c r="B871" i="3"/>
  <c r="B872" i="3"/>
  <c r="B873" i="3"/>
  <c r="B874" i="3"/>
  <c r="B875" i="3"/>
  <c r="B876" i="3"/>
  <c r="B877" i="3"/>
  <c r="B878" i="3"/>
  <c r="B879" i="3"/>
  <c r="B880" i="3"/>
  <c r="B881" i="3"/>
  <c r="B882" i="3"/>
  <c r="B883" i="3"/>
  <c r="B884" i="3"/>
  <c r="B885" i="3"/>
  <c r="B886" i="3"/>
  <c r="B887" i="3"/>
  <c r="B888" i="3"/>
  <c r="B889" i="3"/>
  <c r="B890" i="3"/>
  <c r="B891" i="3"/>
  <c r="B892" i="3"/>
  <c r="B893" i="3"/>
  <c r="B894" i="3"/>
  <c r="B895" i="3"/>
  <c r="B896" i="3"/>
  <c r="B897" i="3"/>
  <c r="B898" i="3"/>
  <c r="B899" i="3"/>
  <c r="B900" i="3"/>
  <c r="B901" i="3"/>
  <c r="B902" i="3"/>
  <c r="B903" i="3"/>
  <c r="B904" i="3"/>
  <c r="B905" i="3"/>
  <c r="B906" i="3"/>
  <c r="B907" i="3"/>
  <c r="B908" i="3"/>
  <c r="B909" i="3"/>
  <c r="B910" i="3"/>
  <c r="B911" i="3"/>
  <c r="B912" i="3"/>
  <c r="B913" i="3"/>
  <c r="B914" i="3"/>
  <c r="B915" i="3"/>
  <c r="B916" i="3"/>
  <c r="B917" i="3"/>
  <c r="B918" i="3"/>
  <c r="B919" i="3"/>
  <c r="B920" i="3"/>
  <c r="B921" i="3"/>
  <c r="B922" i="3"/>
  <c r="B923" i="3"/>
  <c r="B924" i="3"/>
  <c r="B925" i="3"/>
  <c r="B926" i="3"/>
  <c r="B927" i="3"/>
  <c r="B928" i="3"/>
  <c r="B929" i="3"/>
  <c r="B930" i="3"/>
  <c r="B931" i="3"/>
  <c r="B932" i="3"/>
  <c r="B933" i="3"/>
  <c r="B934" i="3"/>
  <c r="B935" i="3"/>
  <c r="B936" i="3"/>
  <c r="B937" i="3"/>
  <c r="B938" i="3"/>
  <c r="B939" i="3"/>
  <c r="B940" i="3"/>
  <c r="B941" i="3"/>
  <c r="B942" i="3"/>
  <c r="B943" i="3"/>
  <c r="B944" i="3"/>
  <c r="B945" i="3"/>
  <c r="B946" i="3"/>
  <c r="B947" i="3"/>
  <c r="B948" i="3"/>
  <c r="B949" i="3"/>
  <c r="B950" i="3"/>
  <c r="B951" i="3"/>
  <c r="B952" i="3"/>
  <c r="B953" i="3"/>
  <c r="B954" i="3"/>
  <c r="B955" i="3"/>
  <c r="B956" i="3"/>
  <c r="B957" i="3"/>
  <c r="B958" i="3"/>
  <c r="B959" i="3"/>
  <c r="B960" i="3"/>
  <c r="B961" i="3"/>
  <c r="B962" i="3"/>
  <c r="B963" i="3"/>
  <c r="B964" i="3"/>
  <c r="B965" i="3"/>
  <c r="B966" i="3"/>
  <c r="B967" i="3"/>
  <c r="B968" i="3"/>
  <c r="B969" i="3"/>
  <c r="B970" i="3"/>
  <c r="B971" i="3"/>
  <c r="B972" i="3"/>
  <c r="B973" i="3"/>
  <c r="B974" i="3"/>
  <c r="B975" i="3"/>
  <c r="B976" i="3"/>
  <c r="B977" i="3"/>
  <c r="B978" i="3"/>
  <c r="B979" i="3"/>
  <c r="B980" i="3"/>
  <c r="B981" i="3"/>
  <c r="B982" i="3"/>
  <c r="B983" i="3"/>
  <c r="B984" i="3"/>
  <c r="B985" i="3"/>
  <c r="B986" i="3"/>
  <c r="B987" i="3"/>
  <c r="B988" i="3"/>
  <c r="B989" i="3"/>
  <c r="B990" i="3"/>
  <c r="B991" i="3"/>
  <c r="B992" i="3"/>
  <c r="B993" i="3"/>
  <c r="B994" i="3"/>
  <c r="B995" i="3"/>
  <c r="B996" i="3"/>
  <c r="B997" i="3"/>
  <c r="B998" i="3"/>
  <c r="B999" i="3"/>
  <c r="B1000" i="3"/>
  <c r="B1001" i="3"/>
  <c r="B1002" i="3"/>
  <c r="B1003" i="3"/>
  <c r="B1004" i="3"/>
  <c r="B1005" i="3"/>
  <c r="B1006" i="3"/>
  <c r="B1007" i="3"/>
  <c r="B1008" i="3"/>
  <c r="B1009" i="3"/>
  <c r="B1010" i="3"/>
  <c r="B1011" i="3"/>
  <c r="B1012" i="3"/>
  <c r="B1013" i="3"/>
  <c r="B1014" i="3"/>
  <c r="B1015" i="3"/>
  <c r="B1016" i="3"/>
  <c r="B1017" i="3"/>
  <c r="B1018" i="3"/>
  <c r="B1019" i="3"/>
  <c r="B1020" i="3"/>
  <c r="B1021" i="3"/>
  <c r="B1022" i="3"/>
  <c r="B1023" i="3"/>
  <c r="B1024" i="3"/>
  <c r="B1025" i="3"/>
  <c r="B1026" i="3"/>
  <c r="B1027" i="3"/>
  <c r="B1028" i="3"/>
  <c r="B1029" i="3"/>
  <c r="B1030" i="3"/>
  <c r="B1031" i="3"/>
  <c r="B1032" i="3"/>
  <c r="B1033" i="3"/>
  <c r="B1034" i="3"/>
  <c r="B1035" i="3"/>
  <c r="B1036" i="3"/>
  <c r="B1037" i="3"/>
  <c r="B1038" i="3"/>
  <c r="B1039" i="3"/>
  <c r="B1040" i="3"/>
  <c r="B1041" i="3"/>
  <c r="B1042" i="3"/>
  <c r="B1043" i="3"/>
  <c r="B1044" i="3"/>
  <c r="B1045" i="3"/>
  <c r="B1046" i="3"/>
  <c r="B1047" i="3"/>
  <c r="B1048" i="3"/>
  <c r="B1049" i="3"/>
  <c r="B1050" i="3"/>
  <c r="B1051" i="3"/>
  <c r="B1052" i="3"/>
  <c r="B1053" i="3"/>
  <c r="B1054" i="3"/>
  <c r="B1055" i="3"/>
  <c r="B1056" i="3"/>
  <c r="B1057" i="3"/>
  <c r="B1058" i="3"/>
  <c r="B1059" i="3"/>
  <c r="B1060" i="3"/>
  <c r="B1061" i="3"/>
  <c r="B1062" i="3"/>
  <c r="B1063" i="3"/>
  <c r="B1064" i="3"/>
  <c r="B1065" i="3"/>
  <c r="B1066" i="3"/>
  <c r="B1067" i="3"/>
  <c r="B1068" i="3"/>
  <c r="B1069" i="3"/>
  <c r="B1070" i="3"/>
  <c r="B1071" i="3"/>
  <c r="B1072" i="3"/>
  <c r="B1073" i="3"/>
  <c r="B1074" i="3"/>
  <c r="B1075" i="3"/>
  <c r="B1076" i="3"/>
  <c r="B1077" i="3"/>
  <c r="B1078" i="3"/>
  <c r="B1079" i="3"/>
  <c r="B1080" i="3"/>
  <c r="B1081" i="3"/>
  <c r="B1082" i="3"/>
  <c r="B1083" i="3"/>
  <c r="B1084" i="3"/>
  <c r="B1085" i="3"/>
  <c r="B1086" i="3"/>
  <c r="B1087" i="3"/>
  <c r="B1088" i="3"/>
  <c r="B1089" i="3"/>
  <c r="B1090" i="3"/>
  <c r="B1091" i="3"/>
  <c r="B1092" i="3"/>
  <c r="B1093" i="3"/>
  <c r="B1094" i="3"/>
  <c r="B1095" i="3"/>
  <c r="B1096" i="3"/>
  <c r="B1097" i="3"/>
  <c r="B1098" i="3"/>
  <c r="B1099" i="3"/>
  <c r="B1100" i="3"/>
  <c r="B1101" i="3"/>
  <c r="B1102" i="3"/>
  <c r="B1103" i="3"/>
  <c r="B1104" i="3"/>
  <c r="B1105" i="3"/>
  <c r="B1106" i="3"/>
  <c r="B1107" i="3"/>
  <c r="B1108" i="3"/>
  <c r="B1109" i="3"/>
  <c r="B1110" i="3"/>
  <c r="B1111" i="3"/>
  <c r="B1112" i="3"/>
  <c r="B1113" i="3"/>
  <c r="B1114" i="3"/>
  <c r="B1115" i="3"/>
  <c r="B1116" i="3"/>
  <c r="B1117" i="3"/>
  <c r="B1118" i="3"/>
  <c r="B1119" i="3"/>
  <c r="B1120" i="3"/>
  <c r="B1121" i="3"/>
  <c r="B1122" i="3"/>
  <c r="B1123" i="3"/>
  <c r="B1124" i="3"/>
  <c r="B1125" i="3"/>
  <c r="B1126" i="3"/>
  <c r="B1127" i="3"/>
  <c r="B1128" i="3"/>
  <c r="B1129" i="3"/>
  <c r="B1130" i="3"/>
  <c r="B1131" i="3"/>
  <c r="B1132" i="3"/>
  <c r="B1133" i="3"/>
  <c r="B1134" i="3"/>
  <c r="B1135" i="3"/>
  <c r="B1136" i="3"/>
  <c r="B1137" i="3"/>
  <c r="B1138" i="3"/>
  <c r="B1139" i="3"/>
  <c r="B1140" i="3"/>
  <c r="B1141" i="3"/>
  <c r="B1142" i="3"/>
  <c r="B1143" i="3"/>
  <c r="B1144" i="3"/>
  <c r="B1145" i="3"/>
  <c r="B1146" i="3"/>
  <c r="B1147" i="3"/>
  <c r="B1148" i="3"/>
  <c r="B1149" i="3"/>
  <c r="B1150" i="3"/>
  <c r="B1151" i="3"/>
  <c r="B1152" i="3"/>
  <c r="B1153" i="3"/>
  <c r="B1154" i="3"/>
  <c r="B1155" i="3"/>
  <c r="B1156" i="3"/>
  <c r="B1157" i="3"/>
  <c r="B1158" i="3"/>
  <c r="B1159" i="3"/>
  <c r="B1160" i="3"/>
  <c r="B1161" i="3"/>
  <c r="B1162" i="3"/>
  <c r="B1163" i="3"/>
  <c r="B1164" i="3"/>
  <c r="B1165" i="3"/>
  <c r="B1166" i="3"/>
  <c r="B1167" i="3"/>
  <c r="B1168" i="3"/>
  <c r="B1169" i="3"/>
  <c r="B1170" i="3"/>
  <c r="B1171" i="3"/>
  <c r="B1172" i="3"/>
  <c r="B1173" i="3"/>
  <c r="B1174" i="3"/>
  <c r="B1175" i="3"/>
  <c r="B1176" i="3"/>
  <c r="B1177" i="3"/>
  <c r="B1178" i="3"/>
  <c r="B1179" i="3"/>
  <c r="B1180" i="3"/>
  <c r="B1181" i="3"/>
  <c r="B1182" i="3"/>
  <c r="B1183" i="3"/>
  <c r="B1184" i="3"/>
  <c r="B1185" i="3"/>
  <c r="B1186" i="3"/>
  <c r="B1187" i="3"/>
  <c r="B1188" i="3"/>
  <c r="B1189" i="3"/>
  <c r="B1190" i="3"/>
  <c r="B1191" i="3"/>
  <c r="B1192" i="3"/>
  <c r="B1193" i="3"/>
  <c r="B1194" i="3"/>
  <c r="B1195" i="3"/>
  <c r="B1196" i="3"/>
  <c r="B1197" i="3"/>
  <c r="B1198" i="3"/>
  <c r="B1199" i="3"/>
  <c r="B1200" i="3"/>
  <c r="B1201" i="3"/>
  <c r="B1202" i="3"/>
  <c r="B1203" i="3"/>
  <c r="B1204" i="3"/>
  <c r="B1205" i="3"/>
  <c r="B1206" i="3"/>
  <c r="B1207" i="3"/>
  <c r="B1208" i="3"/>
  <c r="B1209" i="3"/>
  <c r="B1210" i="3"/>
  <c r="B1211" i="3"/>
  <c r="B1212" i="3"/>
  <c r="B1213" i="3"/>
  <c r="B1214" i="3"/>
  <c r="B1215" i="3"/>
  <c r="B1216" i="3"/>
  <c r="B1217" i="3"/>
  <c r="B1218" i="3"/>
  <c r="B1219" i="3"/>
  <c r="B1220" i="3"/>
  <c r="B1221" i="3"/>
  <c r="B1222" i="3"/>
  <c r="B1223" i="3"/>
  <c r="B1224" i="3"/>
  <c r="B1225" i="3"/>
  <c r="B1226" i="3"/>
  <c r="B1227" i="3"/>
  <c r="B1228" i="3"/>
  <c r="B1229" i="3"/>
  <c r="B1230" i="3"/>
  <c r="B1231" i="3"/>
  <c r="B1232" i="3"/>
  <c r="B1233" i="3"/>
  <c r="B1234" i="3"/>
  <c r="B1235" i="3"/>
  <c r="B1236" i="3"/>
  <c r="B1237" i="3"/>
  <c r="B1238" i="3"/>
  <c r="B1239" i="3"/>
  <c r="B1240" i="3"/>
  <c r="B1241" i="3"/>
  <c r="B1242" i="3"/>
  <c r="B1243" i="3"/>
  <c r="B1244" i="3"/>
  <c r="B1245" i="3"/>
  <c r="B1246" i="3"/>
  <c r="B1247" i="3"/>
  <c r="B1248" i="3"/>
  <c r="B1249" i="3"/>
  <c r="B1250" i="3"/>
  <c r="B1251" i="3"/>
  <c r="B1252" i="3"/>
  <c r="B1253" i="3"/>
  <c r="B1254" i="3"/>
  <c r="B1255" i="3"/>
  <c r="B1256" i="3"/>
  <c r="B1257" i="3"/>
  <c r="B1258" i="3"/>
  <c r="B1259" i="3"/>
  <c r="B1260" i="3"/>
  <c r="B1261" i="3"/>
  <c r="B1262" i="3"/>
  <c r="B1263" i="3"/>
  <c r="B1264" i="3"/>
  <c r="B1265" i="3"/>
  <c r="B1266" i="3"/>
  <c r="B1267" i="3"/>
  <c r="B1268" i="3"/>
  <c r="B1269" i="3"/>
  <c r="B1270" i="3"/>
  <c r="B1271" i="3"/>
  <c r="B1272" i="3"/>
  <c r="B1273" i="3"/>
  <c r="B1274" i="3"/>
  <c r="B1275" i="3"/>
  <c r="B1276" i="3"/>
  <c r="B1277" i="3"/>
  <c r="B1278" i="3"/>
  <c r="B1279" i="3"/>
  <c r="B1280" i="3"/>
  <c r="B1281" i="3"/>
  <c r="B1282" i="3"/>
  <c r="B1283" i="3"/>
  <c r="B1284" i="3"/>
  <c r="B1285" i="3"/>
  <c r="B1286" i="3"/>
  <c r="B1287" i="3"/>
  <c r="B1288" i="3"/>
  <c r="B1289" i="3"/>
  <c r="B1290" i="3"/>
  <c r="B1291" i="3"/>
  <c r="B1292" i="3"/>
  <c r="B1293" i="3"/>
  <c r="B1294" i="3"/>
  <c r="B1295" i="3"/>
  <c r="B1296" i="3"/>
  <c r="B1297" i="3"/>
  <c r="B1298" i="3"/>
  <c r="B1299" i="3"/>
  <c r="B1300" i="3"/>
  <c r="B1301" i="3"/>
  <c r="B1302" i="3"/>
  <c r="B1303" i="3"/>
  <c r="B1304" i="3"/>
  <c r="B1305" i="3"/>
  <c r="B1306" i="3"/>
  <c r="B1307" i="3"/>
  <c r="B1308" i="3"/>
  <c r="B1309" i="3"/>
  <c r="B1310" i="3"/>
  <c r="B1311" i="3"/>
  <c r="B1312" i="3"/>
  <c r="B1313" i="3"/>
  <c r="B1314" i="3"/>
  <c r="B1315" i="3"/>
  <c r="B1316" i="3"/>
  <c r="B1317" i="3"/>
  <c r="B1318" i="3"/>
  <c r="B1319" i="3"/>
  <c r="B1320" i="3"/>
  <c r="B1321" i="3"/>
  <c r="B1322" i="3"/>
  <c r="B1323" i="3"/>
  <c r="B1324" i="3"/>
  <c r="B1325" i="3"/>
  <c r="B1326" i="3"/>
  <c r="B1327" i="3"/>
  <c r="B1328" i="3"/>
  <c r="B1329" i="3"/>
  <c r="B1330" i="3"/>
  <c r="B1331" i="3"/>
  <c r="B1332" i="3"/>
  <c r="B1333" i="3"/>
  <c r="B1334" i="3"/>
  <c r="B1335" i="3"/>
  <c r="B1336" i="3"/>
  <c r="B1337" i="3"/>
  <c r="B1338" i="3"/>
  <c r="B1339" i="3"/>
  <c r="B1340" i="3"/>
  <c r="B1341" i="3"/>
  <c r="B1342" i="3"/>
  <c r="B1343" i="3"/>
  <c r="B1344" i="3"/>
  <c r="B1345" i="3"/>
  <c r="B1346" i="3"/>
  <c r="B1347" i="3"/>
  <c r="B1348" i="3"/>
  <c r="B1349" i="3"/>
  <c r="B1350" i="3"/>
  <c r="B1351" i="3"/>
  <c r="B1352" i="3"/>
  <c r="B1353" i="3"/>
  <c r="B1354" i="3"/>
  <c r="B1355" i="3"/>
  <c r="B1356" i="3"/>
  <c r="B1357" i="3"/>
  <c r="B1358" i="3"/>
  <c r="B1359" i="3"/>
  <c r="B1360" i="3"/>
  <c r="B1361" i="3"/>
  <c r="B1362" i="3"/>
  <c r="B1363" i="3"/>
  <c r="B1364" i="3"/>
  <c r="B1365" i="3"/>
  <c r="B1366" i="3"/>
  <c r="B1367" i="3"/>
  <c r="B1368" i="3"/>
  <c r="B1369" i="3"/>
  <c r="B1370" i="3"/>
  <c r="B1371" i="3"/>
  <c r="B1372" i="3"/>
  <c r="B1373" i="3"/>
  <c r="B1374" i="3"/>
  <c r="B1375" i="3"/>
  <c r="B1376" i="3"/>
  <c r="B1377" i="3"/>
  <c r="B1378" i="3"/>
  <c r="B1379" i="3"/>
  <c r="B1380" i="3"/>
  <c r="B1381" i="3"/>
  <c r="B1382" i="3"/>
  <c r="B1383" i="3"/>
  <c r="B1384" i="3"/>
  <c r="B1385" i="3"/>
  <c r="B1386" i="3"/>
  <c r="B1387" i="3"/>
  <c r="B1388" i="3"/>
  <c r="B1389" i="3"/>
  <c r="B1390" i="3"/>
  <c r="B1391" i="3"/>
  <c r="B1392" i="3"/>
  <c r="B1393" i="3"/>
  <c r="B1394" i="3"/>
  <c r="B1395" i="3"/>
  <c r="B1396" i="3"/>
  <c r="B1397" i="3"/>
  <c r="B1398" i="3"/>
  <c r="B1399" i="3"/>
  <c r="B1400" i="3"/>
  <c r="B1401" i="3"/>
  <c r="B1402" i="3"/>
  <c r="B1403" i="3"/>
  <c r="B1404" i="3"/>
  <c r="B1405" i="3"/>
  <c r="B1406" i="3"/>
  <c r="B1407" i="3"/>
  <c r="B1408" i="3"/>
  <c r="B1409" i="3"/>
  <c r="B1410" i="3"/>
  <c r="B1411" i="3"/>
  <c r="B1412" i="3"/>
  <c r="B1413" i="3"/>
  <c r="B1414" i="3"/>
  <c r="B1415" i="3"/>
  <c r="B1416" i="3"/>
  <c r="B1417" i="3"/>
  <c r="B1418" i="3"/>
  <c r="B1419" i="3"/>
  <c r="B1420" i="3"/>
  <c r="B1421" i="3"/>
  <c r="B1422" i="3"/>
  <c r="B1423" i="3"/>
  <c r="B1424" i="3"/>
  <c r="B1425" i="3"/>
  <c r="B1426" i="3"/>
  <c r="B1427" i="3"/>
  <c r="B1428" i="3"/>
  <c r="B1429" i="3"/>
  <c r="B1430" i="3"/>
  <c r="B1431" i="3"/>
  <c r="B1432" i="3"/>
  <c r="B1433" i="3"/>
  <c r="B1434" i="3"/>
  <c r="B1435" i="3"/>
  <c r="B1436" i="3"/>
  <c r="B1437" i="3"/>
  <c r="B1438" i="3"/>
  <c r="B1439" i="3"/>
  <c r="B1440" i="3"/>
  <c r="B1441" i="3"/>
  <c r="B1442" i="3"/>
  <c r="B1443" i="3"/>
  <c r="B1444" i="3"/>
  <c r="B1445" i="3"/>
  <c r="B1446" i="3"/>
  <c r="B1447" i="3"/>
  <c r="B1448" i="3"/>
  <c r="B1449" i="3"/>
  <c r="B1450" i="3"/>
  <c r="B1451" i="3"/>
  <c r="B1452" i="3"/>
  <c r="B1453" i="3"/>
  <c r="B1454" i="3"/>
  <c r="B1455" i="3"/>
  <c r="B1456" i="3"/>
  <c r="B1457" i="3"/>
  <c r="B1458" i="3"/>
  <c r="B1459" i="3"/>
  <c r="B1460" i="3"/>
  <c r="B1461" i="3"/>
  <c r="B1462" i="3"/>
  <c r="B1463" i="3"/>
  <c r="B1464" i="3"/>
  <c r="B1465" i="3"/>
  <c r="B1466" i="3"/>
  <c r="B1467" i="3"/>
  <c r="B1468" i="3"/>
  <c r="B1469" i="3"/>
  <c r="B1470" i="3"/>
  <c r="B1471" i="3"/>
  <c r="B1472" i="3"/>
  <c r="B1473" i="3"/>
  <c r="B1474" i="3"/>
  <c r="B1475" i="3"/>
  <c r="B1476" i="3"/>
  <c r="B1477" i="3"/>
  <c r="B1478" i="3"/>
  <c r="B1479" i="3"/>
  <c r="B1480" i="3"/>
  <c r="B1481" i="3"/>
  <c r="B1482" i="3"/>
  <c r="B1483" i="3"/>
  <c r="B1484" i="3"/>
  <c r="B1485" i="3"/>
  <c r="B1486" i="3"/>
  <c r="B1487" i="3"/>
  <c r="B1488" i="3"/>
  <c r="B1489" i="3"/>
  <c r="B1490" i="3"/>
  <c r="B1491" i="3"/>
  <c r="B1492" i="3"/>
  <c r="B1493" i="3"/>
  <c r="B1494" i="3"/>
  <c r="B1495" i="3"/>
  <c r="B1496" i="3"/>
  <c r="B1497" i="3"/>
  <c r="B1498" i="3"/>
  <c r="B1499" i="3"/>
  <c r="B1500" i="3"/>
  <c r="B1501" i="3"/>
  <c r="B1502" i="3"/>
  <c r="B1503" i="3"/>
  <c r="B1504" i="3"/>
  <c r="B1505" i="3"/>
  <c r="B1506" i="3"/>
  <c r="B1507" i="3"/>
  <c r="B1508" i="3"/>
  <c r="B1509" i="3"/>
  <c r="B1510" i="3"/>
  <c r="B1511" i="3"/>
  <c r="B1512" i="3"/>
  <c r="B1513" i="3"/>
  <c r="B1514" i="3"/>
  <c r="B1515" i="3"/>
  <c r="B1516" i="3"/>
  <c r="B1517" i="3"/>
  <c r="B1518" i="3"/>
  <c r="B1519" i="3"/>
  <c r="B1520" i="3"/>
  <c r="B1521" i="3"/>
  <c r="B1522" i="3"/>
  <c r="B1523" i="3"/>
  <c r="B1524" i="3"/>
  <c r="B1525" i="3"/>
  <c r="B1526" i="3"/>
  <c r="B1527" i="3"/>
  <c r="B1528" i="3"/>
  <c r="B1529" i="3"/>
  <c r="B1530" i="3"/>
  <c r="B1531" i="3"/>
  <c r="B1532" i="3"/>
  <c r="B1533" i="3"/>
  <c r="B1534" i="3"/>
  <c r="B1535" i="3"/>
  <c r="B1536" i="3"/>
  <c r="B1537" i="3"/>
  <c r="B1538" i="3"/>
  <c r="B1539" i="3"/>
  <c r="B1540" i="3"/>
  <c r="B1541" i="3"/>
  <c r="B1542" i="3"/>
  <c r="B1543" i="3"/>
  <c r="B1544" i="3"/>
  <c r="B1545" i="3"/>
  <c r="B1546" i="3"/>
  <c r="B1547" i="3"/>
  <c r="B1548" i="3"/>
  <c r="B1549" i="3"/>
  <c r="B1550" i="3"/>
  <c r="B1551" i="3"/>
  <c r="B1552" i="3"/>
  <c r="B1553" i="3"/>
  <c r="B1554" i="3"/>
  <c r="B1555" i="3"/>
  <c r="B1556" i="3"/>
  <c r="S14" i="4" l="1"/>
  <c r="R14" i="4"/>
  <c r="S12" i="4"/>
  <c r="R12" i="4"/>
  <c r="S13" i="4"/>
  <c r="R13" i="4"/>
  <c r="S15" i="4"/>
  <c r="R15" i="4"/>
  <c r="AE22" i="3"/>
  <c r="AF22" i="3"/>
  <c r="Q13" i="4"/>
  <c r="Q12" i="4"/>
  <c r="Q14" i="4"/>
  <c r="Q15" i="4"/>
  <c r="AF19" i="3"/>
  <c r="AF15" i="3"/>
  <c r="AF11" i="3"/>
  <c r="AE14" i="3"/>
  <c r="AE21" i="3"/>
  <c r="AF21" i="3"/>
  <c r="AF17" i="3"/>
  <c r="AF13" i="3"/>
  <c r="AE15" i="3"/>
  <c r="AE17" i="3"/>
  <c r="AE20" i="3"/>
  <c r="AE19" i="3"/>
  <c r="AF14" i="3"/>
  <c r="AE18" i="3"/>
  <c r="AE13" i="3"/>
  <c r="AF20" i="3"/>
  <c r="AF16" i="3"/>
  <c r="AF12" i="3"/>
  <c r="AE16" i="3"/>
  <c r="AF18" i="3"/>
  <c r="AE12" i="3"/>
  <c r="AE11" i="3"/>
  <c r="AD22" i="3"/>
  <c r="AD18" i="3"/>
  <c r="AD14" i="3"/>
  <c r="AD21" i="3"/>
  <c r="AD17" i="3"/>
  <c r="AD13" i="3"/>
  <c r="AD20" i="3"/>
  <c r="AD16" i="3"/>
  <c r="AD12" i="3"/>
  <c r="AD19" i="3"/>
  <c r="AD15" i="3"/>
  <c r="AD11" i="3"/>
  <c r="AG16" i="3" l="1"/>
  <c r="AI16" i="3"/>
  <c r="AH16" i="3"/>
  <c r="AH15" i="3"/>
  <c r="AI15" i="3"/>
  <c r="AI14" i="3"/>
  <c r="AH14" i="3"/>
  <c r="AI11" i="3"/>
  <c r="AH11" i="3"/>
  <c r="AI19" i="3"/>
  <c r="AH19" i="3"/>
  <c r="AG13" i="3"/>
  <c r="AI13" i="3"/>
  <c r="AH13" i="3"/>
  <c r="AI18" i="3"/>
  <c r="AH18" i="3"/>
  <c r="AI21" i="3"/>
  <c r="AH21" i="3"/>
  <c r="AI20" i="3"/>
  <c r="AH20" i="3"/>
  <c r="AI12" i="3"/>
  <c r="AH12" i="3"/>
  <c r="AI17" i="3"/>
  <c r="AH17" i="3"/>
  <c r="AI22" i="3"/>
  <c r="AH22" i="3"/>
  <c r="AG15" i="3"/>
  <c r="AG11" i="3"/>
  <c r="AG21" i="3"/>
  <c r="AG19" i="3"/>
  <c r="AG17" i="3"/>
  <c r="AG22" i="3"/>
  <c r="AG18" i="3"/>
  <c r="AG14" i="3"/>
  <c r="AG20" i="3"/>
  <c r="AG12" i="3"/>
</calcChain>
</file>

<file path=xl/sharedStrings.xml><?xml version="1.0" encoding="utf-8"?>
<sst xmlns="http://schemas.openxmlformats.org/spreadsheetml/2006/main" count="2429" uniqueCount="1518">
  <si>
    <t>ADRESSE</t>
  </si>
  <si>
    <t>I F</t>
  </si>
  <si>
    <t>T.P</t>
  </si>
  <si>
    <t>RC</t>
  </si>
  <si>
    <t>CNSS</t>
  </si>
  <si>
    <t>ICE</t>
  </si>
  <si>
    <t>Activité</t>
  </si>
  <si>
    <t xml:space="preserve">ALTO WORKS </t>
  </si>
  <si>
    <t>IMM 15 MASSIRA I "B" 4° ETAGE MARRAKECH</t>
  </si>
  <si>
    <t>06528924</t>
  </si>
  <si>
    <t>000074129000015</t>
  </si>
  <si>
    <t>Entrepreneur de travaux divers et construction -- Import et Export</t>
  </si>
  <si>
    <t>ENTREPRENEUR DE TRAVAUX DIVERS OU 
CONSTRUCTION</t>
  </si>
  <si>
    <t>2K PHONE CALL CENTER</t>
  </si>
  <si>
    <t>3A ALLUMINUM</t>
  </si>
  <si>
    <t>N°13 HAY IGOUDAR AIT OURIR MARRAKECH</t>
  </si>
  <si>
    <t>15295175</t>
  </si>
  <si>
    <t>000319726000010</t>
  </si>
  <si>
    <t>ENT DE MENUISERIE (ALLUMINUIM,INOXE ET VERRE)</t>
  </si>
  <si>
    <t xml:space="preserve">A2E SYNERGIES </t>
  </si>
  <si>
    <t xml:space="preserve">N° 387 HAY TACHFINE AZLI MARRAKECH </t>
  </si>
  <si>
    <t>06523933</t>
  </si>
  <si>
    <t>000201558000022</t>
  </si>
  <si>
    <t>ENTREPRENEUR DE L'ENTRETIEN D'APPAREILS, MATERIELS INSTALLATIONS</t>
  </si>
  <si>
    <t>ABI LOGISTIC CARS</t>
  </si>
  <si>
    <t>6994610</t>
  </si>
  <si>
    <t>001648376000067</t>
  </si>
  <si>
    <t>LOUEUR DE VEHICULES AUTOMOBILES  SANS CHAUFFEUR</t>
  </si>
  <si>
    <t>N° 534 BIS LOT AZLI SUD MARRAKECH</t>
  </si>
  <si>
    <t>001554460000025</t>
  </si>
  <si>
    <t>Ent de transport de marchandise</t>
  </si>
  <si>
    <t>AGHIGHA TRAVAUX</t>
  </si>
  <si>
    <t xml:space="preserve">ENTREPRENEUR DE TRAVAUX DIVERS  </t>
  </si>
  <si>
    <t>AICHA BENZANGUE</t>
  </si>
  <si>
    <t xml:space="preserve">MASSIRA 3 C N°422 MARRAKECH </t>
  </si>
  <si>
    <t xml:space="preserve"> 000554960000058</t>
  </si>
  <si>
    <t xml:space="preserve">Libraire non editeur- MD materiel informatique </t>
  </si>
  <si>
    <t>MAG S N° 1541 SOCOMA 1</t>
  </si>
  <si>
    <t>001161670000054</t>
  </si>
  <si>
    <t>PROMOTEUR A LA CONSTRUCTION 
 D'IMMEUBLES</t>
  </si>
  <si>
    <t xml:space="preserve">ENTREPRENEUR DE TRAVAUX DIVERS OU CONSTRUCTION </t>
  </si>
  <si>
    <t>ALWAN PRINTING UNIVERSAL</t>
  </si>
  <si>
    <t>NAKHIL 4 VILLA N°46 TAMANSOURTE - MARRAKECH</t>
  </si>
  <si>
    <t>000346678000097</t>
  </si>
  <si>
    <t>DESIGNER, IMPRIMEUR, ENTREPRENEUR A LA GESTION D'EXPLOITATION DE SERVICES (LOCATION MATERIELS ET EQUIPEMENT DES CONFERENCES)</t>
  </si>
  <si>
    <t xml:space="preserve">N° 32 LOT AZLI MARRAKECH </t>
  </si>
  <si>
    <t>69733854</t>
  </si>
  <si>
    <t>46206375
46200725</t>
  </si>
  <si>
    <t>46000</t>
  </si>
  <si>
    <t>001547331000060</t>
  </si>
  <si>
    <t>MD ACCESOIRES DE CYCLES
TNT PARC DE GARDINAGE</t>
  </si>
  <si>
    <t xml:space="preserve">MAG N° 333 LOT BERRADI 3 SOCOMA </t>
  </si>
  <si>
    <t>000086877000072</t>
  </si>
  <si>
    <t>LOCATION DES VIHICULES 
AUTOMOBILES</t>
  </si>
  <si>
    <t>000071924000089</t>
  </si>
  <si>
    <t>06528327</t>
  </si>
  <si>
    <t>9642556</t>
  </si>
  <si>
    <t>000202085000052</t>
  </si>
  <si>
    <t>ENTREPRENEUR DE LA GESTION
 D'EXPLOIATION INDUSTRIEL</t>
  </si>
  <si>
    <t>ATLANTIC MEDICAL</t>
  </si>
  <si>
    <t>MASSIRA 2 A N° 829</t>
  </si>
  <si>
    <t>000100306000075</t>
  </si>
  <si>
    <t>MARCHAND IMPORTEUR VENDANT 
EN DEMI GROS</t>
  </si>
  <si>
    <t>ATLAS VERT CONSTRUCTION</t>
  </si>
  <si>
    <t>BOULANGERIE ET PATISSERIE</t>
  </si>
  <si>
    <t>15186309</t>
  </si>
  <si>
    <t>67395827</t>
  </si>
  <si>
    <t>001546959000016</t>
  </si>
  <si>
    <t>¡</t>
  </si>
  <si>
    <t>BATIMAY</t>
  </si>
  <si>
    <t>N°823 MASSIRA 1 A APPT N°4 MARRAKECH</t>
  </si>
  <si>
    <t>000073459000063</t>
  </si>
  <si>
    <t>ENT DE TRAVAUX DIVERS
 OU CONSTRUCTION</t>
  </si>
  <si>
    <t>BCG</t>
  </si>
  <si>
    <t>N° 403 APPT N°5, 3ème ETAGE MASSIRA 1-A 
MARRAKECH</t>
  </si>
  <si>
    <t>000071935000083</t>
  </si>
  <si>
    <t>ENTREPRENEUR DE TRAVAUX DE
 COMPTABILITE</t>
  </si>
  <si>
    <t xml:space="preserve">BE MARRAKECH </t>
  </si>
  <si>
    <t>DERB SIDI LAHCEN OUALI N°23 BAB DOUKKALA MARRAKECH</t>
  </si>
  <si>
    <t>001580118000033</t>
  </si>
  <si>
    <t>Exploitant de maison d'hotes ou riad</t>
  </si>
  <si>
    <t xml:space="preserve">N°294 AL MASSAR ROUTE DE SAFI MARRAKCH </t>
  </si>
  <si>
    <t>06590440</t>
  </si>
  <si>
    <t>64011223
64010225</t>
  </si>
  <si>
    <t>001547259000064</t>
  </si>
  <si>
    <t>ENT DE TRAVAUX DIVERS OU 
CONSTRUCTION</t>
  </si>
  <si>
    <t>000504312000048</t>
  </si>
  <si>
    <t>N°401 BIS LOT MASSIRA "B" MARRAKECH</t>
  </si>
  <si>
    <t>06507474</t>
  </si>
  <si>
    <t>46295118</t>
  </si>
  <si>
    <t>19097</t>
  </si>
  <si>
    <t>6882866</t>
  </si>
  <si>
    <t>001457415000076</t>
  </si>
  <si>
    <t xml:space="preserve">BM ASSURANCE </t>
  </si>
  <si>
    <t xml:space="preserve">REZ DE CHAUSSE N°952 Q I AL MASSAR ROUTE DE SAFI </t>
  </si>
  <si>
    <t xml:space="preserve">000212294000083 </t>
  </si>
  <si>
    <t>COURTIER D'ASSURANCES</t>
  </si>
  <si>
    <t>INARA BLOC D7 N° 466 BIS ANNEXE 
ADMINISTRATIVE INARA</t>
  </si>
  <si>
    <t>001545876000060</t>
  </si>
  <si>
    <t>MARCHAND D'INSTRUMENT DE 
MEDECINE DE CHIRURGIE 
VENTE DE MATERIEL MEDICAL TECHNIQUE 
ET HOSPIALIER ET DIVERS FOURNITURES</t>
  </si>
  <si>
    <t xml:space="preserve">CAFE SNACK DAR AL FADL </t>
  </si>
  <si>
    <t>64094148</t>
  </si>
  <si>
    <t>000054325000059</t>
  </si>
  <si>
    <t>EXPLOITANT UN MILK BAR (CAFE ÉT SNACK )</t>
  </si>
  <si>
    <t>LOT 36 QUARTIER INDUSTRIEL SIDI GHANEM MARRAKECH</t>
  </si>
  <si>
    <t>CENTRE ANAMAA</t>
  </si>
  <si>
    <t>CHARJAMI DE TRANSPORT</t>
  </si>
  <si>
    <t>397 DR BERRADA MARRAKECH</t>
  </si>
  <si>
    <t>000086693000093</t>
  </si>
  <si>
    <t>TRANSPORT DE MARCHANDISES</t>
  </si>
  <si>
    <t>CHOUALA SERVICES</t>
  </si>
  <si>
    <t>CIB INVEST</t>
  </si>
  <si>
    <t>N°2138 ACHKAJOUR SOCOMA</t>
  </si>
  <si>
    <t>000071818000041</t>
  </si>
  <si>
    <t>PROMOTEUR A LA CONSTRUCTION 
D'IMMEUBLE</t>
  </si>
  <si>
    <t>ENTREPRENEUR DE TRAVAUX DIVERS 
OU CONSTRUCTION</t>
  </si>
  <si>
    <t>COMPANY KEYOF SUCCESS</t>
  </si>
  <si>
    <t>TAMANSOURTE TRANCHE 6 G N° 70 
MARRAKECH</t>
  </si>
  <si>
    <t>000227949000027</t>
  </si>
  <si>
    <t>MARCHAND DE MATERIAUX DE CONSTRUCTION
ENTREPRENEUR DE TRAVAUX DIVERS OU CONSTRUCTION</t>
  </si>
  <si>
    <t>RES BAB DOUKALA IMM D1 APT 11 ETAGE 3 
MY MOULAY ABDELLAH MARRAKECH</t>
  </si>
  <si>
    <t>001546081000054</t>
  </si>
  <si>
    <t xml:space="preserve">ENTREPRENEUR DE LA GESTION 
D'EXPLOITATION DE SERVICES </t>
  </si>
  <si>
    <t xml:space="preserve">CONSTRUCTION ET PATRIMOINE </t>
  </si>
  <si>
    <t>N°403,APPT N°5, 3eme ETAGE MASSIRA 1"A"</t>
  </si>
  <si>
    <t>18777344</t>
  </si>
  <si>
    <t>001611905000040</t>
  </si>
  <si>
    <t xml:space="preserve">ENTR DES TRAVAUX DIVERS </t>
  </si>
  <si>
    <t>COSMOS TECHNOLOGIE</t>
  </si>
  <si>
    <t>MAG 77 RES NASSIM 4 MASSIRA 1 -A-</t>
  </si>
  <si>
    <t>001458467000093</t>
  </si>
  <si>
    <t>NEGOCIANT/IMPORT EXPORT REPARATION ET MAINTENANCE DE MATERIEL INFORMATIQUE</t>
  </si>
  <si>
    <t>001458980000016</t>
  </si>
  <si>
    <t xml:space="preserve">DARMOUCH </t>
  </si>
  <si>
    <t>HAY LAFNADEQ AIT OURIR MARRAKECH</t>
  </si>
  <si>
    <t xml:space="preserve">001160384000050 </t>
  </si>
  <si>
    <t>MECANICIEN /Marchand des pieces detachees pour voitures automobiles</t>
  </si>
  <si>
    <t>DECOUSTA</t>
  </si>
  <si>
    <t>001547297000008</t>
  </si>
  <si>
    <t xml:space="preserve">DILIBER </t>
  </si>
  <si>
    <t>MAG N°3 MHAMID 5 N° 143</t>
  </si>
  <si>
    <t>15228779</t>
  </si>
  <si>
    <t>001635531000010</t>
  </si>
  <si>
    <t>DEVELOPPEMENT INFORMATIQUE - EVENEMENTIEL - TENANT UNE AGENCE DE PUBLICITE COMMUNICATION</t>
  </si>
  <si>
    <t>DIMAG</t>
  </si>
  <si>
    <t>000019146000068</t>
  </si>
  <si>
    <t>DIROSA</t>
  </si>
  <si>
    <t>DR TAZALT QUIADAT TLET NYACOUB ASNI
MARRAKECH</t>
  </si>
  <si>
    <t>000031266000009</t>
  </si>
  <si>
    <t>MD DE PRODUITS CHIMIQUES 
NEGOCIANT
TNT MAGAZIN D'ALIMENTATION GENERALE</t>
  </si>
  <si>
    <t xml:space="preserve">Dr ABDELOUAHED BERDI </t>
  </si>
  <si>
    <t>CENTRE LOUDAYA N° 103 KM 22 RTE AGADIR
MARRAKECH</t>
  </si>
  <si>
    <t>------</t>
  </si>
  <si>
    <t>001638828000037</t>
  </si>
  <si>
    <t>VETERINAIRE</t>
  </si>
  <si>
    <t>DR AHMAM LAHCEN</t>
  </si>
  <si>
    <t>70741440</t>
  </si>
  <si>
    <t>47902685</t>
  </si>
  <si>
    <t>001638832000026</t>
  </si>
  <si>
    <t>MEDECIN SPECIALISTE</t>
  </si>
  <si>
    <t>001638836000015</t>
  </si>
  <si>
    <t>DR OUADFEL NAILA</t>
  </si>
  <si>
    <t>RUE EL BAKKAL ANGLE AV MED V RES BATOUL GUELIZ</t>
  </si>
  <si>
    <t>-</t>
  </si>
  <si>
    <t>001638843000020</t>
  </si>
  <si>
    <t>CHIRURGIEN DENTISTE</t>
  </si>
  <si>
    <t>DR RAMZI NAJIB</t>
  </si>
  <si>
    <t>D2 APPT 2 RES BAB DOUKKALA GUELIZ MARRAKECH</t>
  </si>
  <si>
    <t xml:space="preserve">001654939000085 </t>
  </si>
  <si>
    <t>EB SERVICE</t>
  </si>
  <si>
    <t>1ER ETAGE N° 117 LOT I OPERATION 6TAMNSOURTE MARRAKECH</t>
  </si>
  <si>
    <t>18798308</t>
  </si>
  <si>
    <t>001648432000010</t>
  </si>
  <si>
    <t>ENT DE GESTION DE SERVICES ENT TRAVAUX DIVERS OU CONSTRUCTION</t>
  </si>
  <si>
    <t>ECOLE AL ITQANE 2</t>
  </si>
  <si>
    <t>ASKAJOUR LOT MAATALLAH N°1816 LAMHAMID</t>
  </si>
  <si>
    <t>001580168000041</t>
  </si>
  <si>
    <t>ECOLE D'ENSEIGNEMENT PRIVE</t>
  </si>
  <si>
    <t xml:space="preserve">N°74 LOTISSEMENT  SAADA ROUTE MENARA MARRAKECH </t>
  </si>
  <si>
    <t>46201236</t>
  </si>
  <si>
    <t>000071250000051</t>
  </si>
  <si>
    <t xml:space="preserve">TENANT UNE ECOLE 
POUR PREPARATION AUX EXMANS </t>
  </si>
  <si>
    <t>EL AABIDI LAHCEN</t>
  </si>
  <si>
    <t xml:space="preserve">TENANT TELEBOUTIQUE MD PIECES AUTO ET ACCESSOIRES </t>
  </si>
  <si>
    <t>70723090</t>
  </si>
  <si>
    <t>47929352</t>
  </si>
  <si>
    <t>001635560000003</t>
  </si>
  <si>
    <t>1086 SOCOMA</t>
  </si>
  <si>
    <t>PROMOTEUR IMMOBILIER</t>
  </si>
  <si>
    <t>ELECTRICITE YAHYA</t>
  </si>
  <si>
    <t xml:space="preserve">EMAK DISTRIBUTION </t>
  </si>
  <si>
    <t xml:space="preserve">N°686 C MASSIRA III MAG N°35 MARRAKECH </t>
  </si>
  <si>
    <t>06525325</t>
  </si>
  <si>
    <t xml:space="preserve"> 000073085000073</t>
  </si>
  <si>
    <t>MD DROGUISTE (ET VENTE MATERIAUX DE CONSTRUCTION )</t>
  </si>
  <si>
    <t>000202063000064</t>
  </si>
  <si>
    <t xml:space="preserve">ESPACE BEN ALI </t>
  </si>
  <si>
    <t xml:space="preserve">MASSIRA 2 A N°411 MARRAKECH </t>
  </si>
  <si>
    <t>06526192</t>
  </si>
  <si>
    <t>000073347000080</t>
  </si>
  <si>
    <t xml:space="preserve">ENTREPRENEUR A LA GESTION D'EXPLOITATION DE SERVICES/MD MATERIEL INFORMATIQUE </t>
  </si>
  <si>
    <t>LOT AZZOUZIA 2EME TRANCHE LOT N° G13 MARRAKECH</t>
  </si>
  <si>
    <t>001633003000075</t>
  </si>
  <si>
    <t>TENENT UNE  ECOLE</t>
  </si>
  <si>
    <t>EXCELLENCE SYSTÈME</t>
  </si>
  <si>
    <t xml:space="preserve"> LOT EL HOUSNA 2 N°1057 ASKEJOUR M’HAMID - MARRAKECH</t>
  </si>
  <si>
    <t xml:space="preserve">000250801000040
001638939000047 </t>
  </si>
  <si>
    <t>FAOUZI HOTEL</t>
  </si>
  <si>
    <t>N°67 DERB SIDI BOULAOUKATE BAB AGNAOU MARRAKECH</t>
  </si>
  <si>
    <t>06508784</t>
  </si>
  <si>
    <t>001545734000014</t>
  </si>
  <si>
    <t>MAITRE D'HOTEL</t>
  </si>
  <si>
    <t>FAYAD LILFILAHA</t>
  </si>
  <si>
    <t>DOUAR AIT SRAKH COMMUNE OULAD HASSOUNE SIDI YOUSSEF BEN ALI MARRAKECH</t>
  </si>
  <si>
    <t>06509958</t>
  </si>
  <si>
    <t>000071138000068</t>
  </si>
  <si>
    <t>ENTREPRENEUR D'EXPLOITATION AGRICOLE</t>
  </si>
  <si>
    <t xml:space="preserve">GADIN  </t>
  </si>
  <si>
    <t xml:space="preserve">REZ DE CHAUSSEE N°117 LOT I OPERATION 6 TAMANSOURTE MARRAKECH </t>
  </si>
  <si>
    <t>000196847000052</t>
  </si>
  <si>
    <t>ENTREPRENEUR DE LA GESTION DES SERVICES /DE TRAVAUX DIVERS</t>
  </si>
  <si>
    <t>GEP TRAVAUX</t>
  </si>
  <si>
    <t>TAMANSOURTE TRANCHE 6 G N° 70 BIS
MARRAKECH</t>
  </si>
  <si>
    <t>000057562000057</t>
  </si>
  <si>
    <t>GLOBAL TRAINING TECHNOLOGIES</t>
  </si>
  <si>
    <t>FORMATION PROFESSIONNELLE 
MARCHAND EFFECTUANT IMPORT-EXPORT</t>
  </si>
  <si>
    <t>N°897 LOT. NAHDA MARRAKECH</t>
  </si>
  <si>
    <t>GRAMTA HOUSE</t>
  </si>
  <si>
    <t>VILLA N°22 OPERATION BANAFSAJ MARRAKECH</t>
  </si>
  <si>
    <t>000100840000013</t>
  </si>
  <si>
    <t>H2M TADING COMPANY</t>
  </si>
  <si>
    <t>N°62 HAY AIT CHEIKH IGOUDAR AIT 
OURIR MARRAKECH</t>
  </si>
  <si>
    <t>000201729000061</t>
  </si>
  <si>
    <t>NEGOCIANT;
 IMPORT EXPORT</t>
  </si>
  <si>
    <t>HAFIL IMMOBILIER</t>
  </si>
  <si>
    <t>000072790000084</t>
  </si>
  <si>
    <t>PROMOTEUR IMMOBILIER  DE TRAVAUX
DIVERS ET CONSTRUCTION</t>
  </si>
  <si>
    <t>DR BELAATAR SIDI DAOUD AIT FASKA AIT OURIR - MARRAKECH</t>
  </si>
  <si>
    <t>TRANSPORT DE MARCHANDISE PR AUTRUI
MARCHAND DE GAZ LIQUEFIES</t>
  </si>
  <si>
    <t>HOTEL SOLEIL IMLIL</t>
  </si>
  <si>
    <t>HYDROLEADER</t>
  </si>
  <si>
    <t>000016285000006</t>
  </si>
  <si>
    <t>TENANT UN BUREAU D'ETUDES</t>
  </si>
  <si>
    <t xml:space="preserve">IBTISSAM CAR </t>
  </si>
  <si>
    <t>111 RUE YOUGOSLAVIE APPT N°2 1ere ETAGE MARRAKECH</t>
  </si>
  <si>
    <t>001546526000067</t>
  </si>
  <si>
    <t xml:space="preserve">LOCATION  DE VOITURE </t>
  </si>
  <si>
    <t xml:space="preserve">IGHIL ELECTRICITE </t>
  </si>
  <si>
    <t>15237291</t>
  </si>
  <si>
    <t>001635869000002</t>
  </si>
  <si>
    <t>ELECTRICITE TRANSPORT DE MARCHANDISES</t>
  </si>
  <si>
    <t>INASOUH 62</t>
  </si>
  <si>
    <t>MARCHAND EFFECTUANT IMPORT-EXPORT</t>
  </si>
  <si>
    <t>001664899000049</t>
  </si>
  <si>
    <t>APPT N°21 IMM GH 4 EME ETAGE PORTES DE MARRAKECH</t>
  </si>
  <si>
    <t xml:space="preserve">MAGAZIN N°15 HAY IGOUDAR AIT OURIR MARRAKECH </t>
  </si>
  <si>
    <t>15237166</t>
  </si>
  <si>
    <t>001636954000001</t>
  </si>
  <si>
    <t>PARAPHARMACIE / PRESTATION DES SERVICES(FORMATION,CONSEIL)/ IMPORT-EXPORT</t>
  </si>
  <si>
    <t>JACARANDA CAR</t>
  </si>
  <si>
    <t>JINANE CARS</t>
  </si>
  <si>
    <t>LOT SAKAR MOSQUEE ARIHA MAGASIN N°7 HAY EL MOHAMADI DAOUDIAT MARRAKECH</t>
  </si>
  <si>
    <t>001642972000087</t>
  </si>
  <si>
    <t>LOUEUR DE VEHICULES SANS CHAUFFEUR</t>
  </si>
  <si>
    <t>JIRANI HAFIDA</t>
  </si>
  <si>
    <t>DR LAGOUASSEM TASSELTANT MARRAKECH</t>
  </si>
  <si>
    <t>71202705</t>
  </si>
  <si>
    <t>001635651000068</t>
  </si>
  <si>
    <t>ENT DE GESTION D'EXPLOITATION COMMERCIALE MAISON D'HOTES</t>
  </si>
  <si>
    <t>K.A.O TOURS</t>
  </si>
  <si>
    <t xml:space="preserve">RESIDENCE ERRAHMA, 16 BD ABDELKRIM EL KHATTABI 2EME ETAGE APPT N°8 GUELIZ MARRAKECH </t>
  </si>
  <si>
    <t>06520494</t>
  </si>
  <si>
    <t>001545589000049</t>
  </si>
  <si>
    <t>LOUEUR DE VEHICULES AUTOMOBILES (SANS CHAUFFEUR)</t>
  </si>
  <si>
    <t>KABBAJ MOHAMED CHAIKH</t>
  </si>
  <si>
    <t>MAG 3 IMM 8 TRANCHE 6 OP AL FADL</t>
  </si>
  <si>
    <t>14478710</t>
  </si>
  <si>
    <t>001636987000080</t>
  </si>
  <si>
    <t>EXPLOITANT DE BLANCHISSERIE</t>
  </si>
  <si>
    <t>KECH MARA TOURS</t>
  </si>
  <si>
    <t xml:space="preserve">KINGPHAR </t>
  </si>
  <si>
    <t>N°20 BLOC A COMPLEXE IBN TACHFINE AV PRINCE MY ABDELLAH MARRAKECH</t>
  </si>
  <si>
    <t>06506497</t>
  </si>
  <si>
    <t>000070399000039</t>
  </si>
  <si>
    <t>MD D'instruments de medecine - import /export</t>
  </si>
  <si>
    <t>LA PAUSE TARGA</t>
  </si>
  <si>
    <t xml:space="preserve">RES BAHIA MAG N°1 SOFIA TARGA MARRAKECH </t>
  </si>
  <si>
    <t>000201768000075</t>
  </si>
  <si>
    <t>SNACK CAFE</t>
  </si>
  <si>
    <t xml:space="preserve">LA PIATZA </t>
  </si>
  <si>
    <t>MAG N° 33 IMM1 BD DE LA RESISTANCE RESID 
OUKAIMDEN GUELIZ</t>
  </si>
  <si>
    <t>001580843000052</t>
  </si>
  <si>
    <t>EXPLOITANT UN CAFE (MILK BAR)</t>
  </si>
  <si>
    <t>LAMHADDAR MUSTAPHA</t>
  </si>
  <si>
    <t>001683969000035</t>
  </si>
  <si>
    <t xml:space="preserve">LC CARS </t>
  </si>
  <si>
    <t>LOUEUR DE VEHICULES AUTOMOBILES</t>
  </si>
  <si>
    <t>45324178</t>
  </si>
  <si>
    <t>000100730000073</t>
  </si>
  <si>
    <t>001580602000060</t>
  </si>
  <si>
    <t>LE PREMIER METAL</t>
  </si>
  <si>
    <t>47514248</t>
  </si>
  <si>
    <t>001640460000011</t>
  </si>
  <si>
    <t xml:space="preserve">MARDESIGN </t>
  </si>
  <si>
    <t>001639037000020</t>
  </si>
  <si>
    <t>MARIGHA CONSTRUCTION</t>
  </si>
  <si>
    <t>N°13 MARIGHA ASNI MARRAKECH</t>
  </si>
  <si>
    <t>000072588000009</t>
  </si>
  <si>
    <t>ENTREPRENEUR DE TRAVAUX DIVERS OU CONSTRUCTION-</t>
  </si>
  <si>
    <t>MEDICALOGIC</t>
  </si>
  <si>
    <t>001636032000063</t>
  </si>
  <si>
    <t>LOT MASSIRA 3 N° 522 C MARRAKECH</t>
  </si>
  <si>
    <t>001624391000090</t>
  </si>
  <si>
    <t xml:space="preserve">ENTREPRENEUR DE GESTION SERVICE </t>
  </si>
  <si>
    <t>MIZMIZI TRAVAUX</t>
  </si>
  <si>
    <t>N°1932 LOT AZZOUZIA MARRAKECH</t>
  </si>
  <si>
    <t>06506589</t>
  </si>
  <si>
    <t>001545830000041</t>
  </si>
  <si>
    <t>MASSIRA 1 A N° 646 MARRAKECH</t>
  </si>
  <si>
    <t>000227506000057</t>
  </si>
  <si>
    <t>MARCHAND EFFECTUANT L'IMPORT-EXPORT
REPRESENTATION DE COMMERCE 
NEGOCIANT</t>
  </si>
  <si>
    <t>MOUZINE CAR</t>
  </si>
  <si>
    <t>001545810000096</t>
  </si>
  <si>
    <t>LOUEUR DE VOITURES SANS CHAUFFEUR</t>
  </si>
  <si>
    <t>N°1 BLOC B MABROUKA RESIDENCE
 AL AMANE MARRAKECH</t>
  </si>
  <si>
    <t>06520491</t>
  </si>
  <si>
    <t>001547126000066</t>
  </si>
  <si>
    <t>EXPLOITANT DE CAFE (-ILK -BAR)</t>
  </si>
  <si>
    <t>NASSIRA ECHARITI</t>
  </si>
  <si>
    <t>N°121 lots sofia et warda Marrakech</t>
  </si>
  <si>
    <t>15295170</t>
  </si>
  <si>
    <t>000341160000091</t>
  </si>
  <si>
    <t>Marchand des articles et objets d'artisanat</t>
  </si>
  <si>
    <t>DR GZOULA SIDI  M'BAREK ALOUIDAN MARRAKECH</t>
  </si>
  <si>
    <t xml:space="preserve"> '001617997000068</t>
  </si>
  <si>
    <t>ENT TRAVAUX DIVERS CONSTRUCTION /MARCHAND MATERIAUX DE CONSTRUCTION</t>
  </si>
  <si>
    <t>NONA CARS</t>
  </si>
  <si>
    <t xml:space="preserve">LOT ALI OUAHMED N°11 RUE MY ABDELLAH 2°ETAGE  40000 MARRAKECH </t>
  </si>
  <si>
    <t>000227394000074</t>
  </si>
  <si>
    <t>LOUEUR DE VEHICULES AUTOMOBILES (SANS CHAUFFEUR )</t>
  </si>
  <si>
    <t>OBLIT TRAVAUX</t>
  </si>
  <si>
    <t>DR LAGHCHIOUA AIT OUAZOU HARBIL MARRAKECH</t>
  </si>
  <si>
    <t>14460783</t>
  </si>
  <si>
    <t>000209193000002</t>
  </si>
  <si>
    <t>TRAVAUX DIVERS CONSTRUCTION</t>
  </si>
  <si>
    <t>OMAPI</t>
  </si>
  <si>
    <t>MASSIRA 1 B N° 816</t>
  </si>
  <si>
    <t>001435364000067</t>
  </si>
  <si>
    <t xml:space="preserve">PROMOTEUR A LA CONSTRUCTION
 D'IMMEUBLES </t>
  </si>
  <si>
    <t>OUBENALI PRO</t>
  </si>
  <si>
    <t>LABORATOIRE DE PROTHESES DENTAIRES</t>
  </si>
  <si>
    <t>OUHBAL CONFISSERIE</t>
  </si>
  <si>
    <t>SOCOMA 1 N°357</t>
  </si>
  <si>
    <t>001547737000059</t>
  </si>
  <si>
    <t>PHARMACIEN</t>
  </si>
  <si>
    <t>OUMGHAR KHALID</t>
  </si>
  <si>
    <t>11 IMM 6 COMPLEXE DES HABOUS AV ALLAL EL FASSI MARRAKECH</t>
  </si>
  <si>
    <t>69710515</t>
  </si>
  <si>
    <t>TENANT LABORATOIRE D'ANALYSES MEDICALES</t>
  </si>
  <si>
    <t>001640474000021</t>
  </si>
  <si>
    <t>PARADIS GALERIE</t>
  </si>
  <si>
    <t>TENANT FAST-FOOD SNACK EXPLOITANT DE RESTAURANT</t>
  </si>
  <si>
    <t>001607005000032</t>
  </si>
  <si>
    <t xml:space="preserve">MAG N°14 IMM 5 OPERATION BAB MARRAKECH EL AZZOUZIA MARRAKECH </t>
  </si>
  <si>
    <t>PHARMACIENNE</t>
  </si>
  <si>
    <t>001547042000006</t>
  </si>
  <si>
    <t>PHARMACIE MENDELEEV</t>
  </si>
  <si>
    <t>001580371000089</t>
  </si>
  <si>
    <t>PNUEMATIQUE AZIZI</t>
  </si>
  <si>
    <t>N°987 LOT EL MASSAR ZONE INDUSTRIEL</t>
  </si>
  <si>
    <t>6527280</t>
  </si>
  <si>
    <t xml:space="preserve"> 000227979000090</t>
  </si>
  <si>
    <t>MARCHAND DE PNEUMATIQUE -MECANICIEN PREPARATEUR</t>
  </si>
  <si>
    <t>QUAZAR CONSULTING</t>
  </si>
  <si>
    <t>001542514000042</t>
  </si>
  <si>
    <t>BUREAU N°1 IMMEUBLE DABIB AVENUE
 KHALID BNOU LWALID GUELIZ MARRAKECH</t>
  </si>
  <si>
    <t>06525931</t>
  </si>
  <si>
    <t>001547323000082</t>
  </si>
  <si>
    <t>RABIA EDIFICE</t>
  </si>
  <si>
    <t>N° B 3/4 RESID BAHIA HAY SOFIA</t>
  </si>
  <si>
    <t>001546092000048</t>
  </si>
  <si>
    <t>VILLA N° 2 ROUTE  NATIONALE N° 8 CHICHAOUA</t>
  </si>
  <si>
    <t>000527663000071</t>
  </si>
  <si>
    <t>EXPLOITATION D'UNE ECOLE PRIVE</t>
  </si>
  <si>
    <t>RILYA</t>
  </si>
  <si>
    <t>RIM OPTIQUE</t>
  </si>
  <si>
    <t xml:space="preserve">41 BOUSTANE 2 AV ALLAL ALFASSI </t>
  </si>
  <si>
    <t>* Marchand lunetier 
* Opticien</t>
  </si>
  <si>
    <t>RYNZ CAR</t>
  </si>
  <si>
    <t>AL ANBAR 2 IMM 45 MASSIRA 2</t>
  </si>
  <si>
    <t>001517090000021</t>
  </si>
  <si>
    <t>SANTE BIO ENERGIE</t>
  </si>
  <si>
    <t>CONCEPTION, ELABORATION ET COMMERCIALISATION DE COMPLEMENTS ALIMENTAIRES</t>
  </si>
  <si>
    <t>001636510000058</t>
  </si>
  <si>
    <t>GEOMETRE-EXPERT OU TOPOGRAPHE</t>
  </si>
  <si>
    <t>SIROIA GAZ</t>
  </si>
  <si>
    <t>COMMUNE MESFUOIA
 DR SIDI ABD ELLEH GHIAT AIT OURIR</t>
  </si>
  <si>
    <t>000072181000037</t>
  </si>
  <si>
    <t>MARCHAND DE GAZ</t>
  </si>
  <si>
    <t>06523594</t>
  </si>
  <si>
    <t>000201517000062</t>
  </si>
  <si>
    <t>INGENIEUR TOPOGRAPHE</t>
  </si>
  <si>
    <t xml:space="preserve">SKILS PARA </t>
  </si>
  <si>
    <t xml:space="preserve">MAG REZ DE CHAUSSE N°96 OPERATION REDOUANE 3 ANGLE BVD DRISS 1ER RUE TABIT IBNOU KOURRA CASABLANCA </t>
  </si>
  <si>
    <t>06526625</t>
  </si>
  <si>
    <t>001579597000035</t>
  </si>
  <si>
    <t>MD D'instruments de medecine, de chirurgie (paramedicale )</t>
  </si>
  <si>
    <t xml:space="preserve">5 IMM A OPERATION ENNOUJOUM HAY AMERCHICH </t>
  </si>
  <si>
    <t xml:space="preserve">001547771000014 </t>
  </si>
  <si>
    <t>ENTREPRENEUR DE DIVERS TRAVAUX OU CONSTRUCTION</t>
  </si>
  <si>
    <t>STE MAROCAINE D'IRRIGATION
 ET D'AMENAGEMENT AGRICOLE "SMI2A"</t>
  </si>
  <si>
    <t xml:space="preserve">N°72 OPERATION ANBAR I HAY AL MASSIRA II
 MARRAKECH </t>
  </si>
  <si>
    <t>001458900000042</t>
  </si>
  <si>
    <t>NEGOCIANT (MATERIEL ET PRODUIT
 D'IRRIGATION...)</t>
  </si>
  <si>
    <t>STE MINIERE GRAND SUD
 "SMGS"</t>
  </si>
  <si>
    <t>APPT N° 4 LOT AL HIZAM AV MY ABDELLAH N° 66 - OUARZAZATE</t>
  </si>
  <si>
    <t>000202431000022</t>
  </si>
  <si>
    <t>EXPLOITANT DES MINES, TRANSPORT DE MARCHANDISES NATIONAL, IMPORT, EXPORT</t>
  </si>
  <si>
    <t>MASSIRA 3 C N° 568</t>
  </si>
  <si>
    <t>001161178000049</t>
  </si>
  <si>
    <t>PROMOTEUR A LA CONSTRUCTION
 D'IMMEBLES</t>
  </si>
  <si>
    <t>SUPER WORKS TRAVAUX</t>
  </si>
  <si>
    <t>N°15, 4ème ETAGE MASSIRA 1-B- DISTRICT HAY HASSANI</t>
  </si>
  <si>
    <t>000026525000073</t>
  </si>
  <si>
    <t>ENTREPRENEUR DE TRAVAUX DIVERS DU CONSTRUCTION, LOUEUR DE MATERIEL INDUSTRIEL</t>
  </si>
  <si>
    <t xml:space="preserve">RUE DE LA SAGUIA DOUAR LASKAR </t>
  </si>
  <si>
    <t>001547745000037</t>
  </si>
  <si>
    <t xml:space="preserve">PHARMACIEN( MEDICAMENTS ACCESSOIRES ET PRODUITS PARAPHARMACEUTIQUE) </t>
  </si>
  <si>
    <t>TATOU MERIEME
MAISON D'OPTIQUE</t>
  </si>
  <si>
    <t>MAG. N°92 IMM FIRDAOUS 2 MASSIRA 1-C
MARRAKECH</t>
  </si>
  <si>
    <t>70790183</t>
  </si>
  <si>
    <t>8310378</t>
  </si>
  <si>
    <t>001590411000027</t>
  </si>
  <si>
    <t>MD LUNETIER OPTICIEN VENDANT ENDT</t>
  </si>
  <si>
    <t>TEKALL</t>
  </si>
  <si>
    <t>MAGASIN N°21 HAY IGOUDAR AIT OURIR - MARRAKECH</t>
  </si>
  <si>
    <t>NEGOCIANT
MARCHANS EFFECTUANT IMPORT-EXPORT
TRAVAUX D'ALUMINIUM</t>
  </si>
  <si>
    <t xml:space="preserve">TOUFITRA </t>
  </si>
  <si>
    <t xml:space="preserve">MAG 2031 DR NZALA TASSELTANTE MARRAKECH </t>
  </si>
  <si>
    <t>001580234000005</t>
  </si>
  <si>
    <t xml:space="preserve">MATERIAUX DE CONSTRUCTION </t>
  </si>
  <si>
    <t xml:space="preserve">TRAM WORK </t>
  </si>
  <si>
    <t>N°403 ETAGE 3 APPT 5 MASSIRA 1 A MARRAKECH,</t>
  </si>
  <si>
    <t>18809614</t>
  </si>
  <si>
    <t>001735310000055</t>
  </si>
  <si>
    <t>ENTREPRENEUR DE BATIMENT / MD DE FOURNITURES BUREAUTIQUE</t>
  </si>
  <si>
    <t xml:space="preserve">TRAVAUX NOUFLA </t>
  </si>
  <si>
    <t xml:space="preserve">N°248 DOUAR SALTAN COMMUNE TASSELTANTE MARRAKECH </t>
  </si>
  <si>
    <t>06523902</t>
  </si>
  <si>
    <t xml:space="preserve"> 001545729000052</t>
  </si>
  <si>
    <t>TSC D'AMEUBLEMENT</t>
  </si>
  <si>
    <t>N°210 LOT SOFIA EL OUARDA MARRAKECH</t>
  </si>
  <si>
    <t>000074071000029</t>
  </si>
  <si>
    <t>MARCHAND DE TISSUS- MARCHAND EFFECTUANT L'IMPORT ET L'EXPORT</t>
  </si>
  <si>
    <t>001545844000051</t>
  </si>
  <si>
    <t>ENTREPRENEUR DE TRAVAUX DIVERS
MARCHAND DROGUEST EN DETAITL
MARCHAND DE MATERIAUX DE 
CONSTRUCTION</t>
  </si>
  <si>
    <t>APPT N°1 N°823 MASSIRA 1 A</t>
  </si>
  <si>
    <t>000191994000036</t>
  </si>
  <si>
    <t>TRAVAUX DE COMPTABILITE CONSEIL
JURIDIQUE ET FISCAL</t>
  </si>
  <si>
    <t xml:space="preserve">WISE CAM  </t>
  </si>
  <si>
    <t xml:space="preserve">MAGAZIN LOT° SOFIA EL WARDA N°281 TARGA MARRAKECH </t>
  </si>
  <si>
    <t>06528404</t>
  </si>
  <si>
    <t xml:space="preserve"> 000073988000039</t>
  </si>
  <si>
    <t>ENTREPRENEUR D'INSTALLATIONS ELECTRIQUES  MD MATERIEL INFORMATIQUE</t>
  </si>
  <si>
    <t>YAPI TOPOGRAPHY</t>
  </si>
  <si>
    <t>N°249 IZIKI JDID MARRAKECH</t>
  </si>
  <si>
    <t>18758880</t>
  </si>
  <si>
    <t>001579013000089</t>
  </si>
  <si>
    <t>INGENIEURE TOPOGRAPHE</t>
  </si>
  <si>
    <t>N°8 IMM 145 E M'HAMID 9 MARRAKECH</t>
  </si>
  <si>
    <t>15219270</t>
  </si>
  <si>
    <t>67112458</t>
  </si>
  <si>
    <t>001748009000077</t>
  </si>
  <si>
    <t>FAST FOOD SNACK</t>
  </si>
  <si>
    <t xml:space="preserve">Code </t>
  </si>
  <si>
    <t xml:space="preserve">Entreprise </t>
  </si>
  <si>
    <t>PP/PM</t>
  </si>
  <si>
    <t>Debut Activité</t>
  </si>
  <si>
    <t xml:space="preserve">Code client </t>
  </si>
  <si>
    <t>Nom/ Raison sociale</t>
  </si>
  <si>
    <t xml:space="preserve">Collaborateur </t>
  </si>
  <si>
    <t xml:space="preserve">Janvier </t>
  </si>
  <si>
    <t>Date de dépôt</t>
  </si>
  <si>
    <t>Numéro de Dépôt</t>
  </si>
  <si>
    <t>Février</t>
  </si>
  <si>
    <t>Mars</t>
  </si>
  <si>
    <t>Avril</t>
  </si>
  <si>
    <t>Mai</t>
  </si>
  <si>
    <t>Juin</t>
  </si>
  <si>
    <t>Juillet</t>
  </si>
  <si>
    <t>Août</t>
  </si>
  <si>
    <t>Septembre</t>
  </si>
  <si>
    <t>Octobre</t>
  </si>
  <si>
    <t>Novembre</t>
  </si>
  <si>
    <t>Décembre</t>
  </si>
  <si>
    <t>P. Morale</t>
  </si>
  <si>
    <t xml:space="preserve">1er Trimestre Janvier-&gt; Mars </t>
  </si>
  <si>
    <t>3ème trimestre Juillet-&gt; Septembre</t>
  </si>
  <si>
    <t>2ème Trimestre Avril-&gt; Juin</t>
  </si>
  <si>
    <t>4ème Trimestre Octobre-&gt;Decembre</t>
  </si>
  <si>
    <t>Nom/ Désignation</t>
  </si>
  <si>
    <t>NAJAT SAOUD</t>
  </si>
  <si>
    <t>AM DROGUERIE</t>
  </si>
  <si>
    <t>SOUIHLA PNEUMATIQUE</t>
  </si>
  <si>
    <t>001516345000057</t>
  </si>
  <si>
    <t>47632689</t>
  </si>
  <si>
    <t>o</t>
  </si>
  <si>
    <t xml:space="preserve">AL IZDIHAR RESIDENCE AL FADL
 IMM 2 MAG N°1 MARRAKECH </t>
  </si>
  <si>
    <t>MAG N°202 LOT AL MASSAR RUE ASFI</t>
  </si>
  <si>
    <t>CHEF D'INSTITUTION</t>
  </si>
  <si>
    <t>TVA mensuelle</t>
  </si>
  <si>
    <t xml:space="preserve">Délai interne </t>
  </si>
  <si>
    <t xml:space="preserve">Février </t>
  </si>
  <si>
    <t>TVA Trimestrielle</t>
  </si>
  <si>
    <t>1er trimestre</t>
  </si>
  <si>
    <t xml:space="preserve">2eme trimestre </t>
  </si>
  <si>
    <t>3eme trimestre</t>
  </si>
  <si>
    <t>4eme trimestre</t>
  </si>
  <si>
    <t>ETAT 9421</t>
  </si>
  <si>
    <t>Bilan PM</t>
  </si>
  <si>
    <t>Bilan PP</t>
  </si>
  <si>
    <t>IR</t>
  </si>
  <si>
    <t>Taxe professionnelle</t>
  </si>
  <si>
    <t>Régularisation</t>
  </si>
  <si>
    <t>Cotisation minimale</t>
  </si>
  <si>
    <t>Droit de timbre</t>
  </si>
  <si>
    <t>DECLARATIONS MENSUELLES</t>
  </si>
  <si>
    <t>DECLARATIONS TRIMESTRIELLES</t>
  </si>
  <si>
    <t>ACOMPTES d'IS</t>
  </si>
  <si>
    <t>DECLARATIONS ANNUELLES</t>
  </si>
  <si>
    <t>KHAMISSA HDIMANE</t>
  </si>
  <si>
    <t>DAOUD ISSKELA</t>
  </si>
  <si>
    <t>305 AV LAAYOUNE APPT 1  HAY IZIKI MARRAKECH</t>
  </si>
  <si>
    <t>ELHADI HENNABOU</t>
  </si>
  <si>
    <t>MOHAMED LAHJAB</t>
  </si>
  <si>
    <t>GMARK GROUPE</t>
  </si>
  <si>
    <t>MJSR</t>
  </si>
  <si>
    <t>SANICLAIR</t>
  </si>
  <si>
    <t>FOX TRANSPORT COMPANY</t>
  </si>
  <si>
    <t>FATIMA EZZAHRA JAIZI</t>
  </si>
  <si>
    <t>MOSAB ALI TRANS</t>
  </si>
  <si>
    <t>I.H.B</t>
  </si>
  <si>
    <t xml:space="preserve">HIMICHE CAR </t>
  </si>
  <si>
    <t>YAPI RENT CAR</t>
  </si>
  <si>
    <t>OUVRAGE D'ATLAS</t>
  </si>
  <si>
    <t>YOUNCE CAR</t>
  </si>
  <si>
    <t>GARAGE REZ CHAUSSE VILLA N°61 AL IZDIHAR ROUTE DE SAFI MARRAKECH</t>
  </si>
  <si>
    <t>20748578</t>
  </si>
  <si>
    <t>001886886000030</t>
  </si>
  <si>
    <t>TRAVAUX DIVERS OU CONSTRUCTION</t>
  </si>
  <si>
    <t>1ER ETAGE DOUAR AMZOUGH ELKABLI LALLA TAKARKOUST AMAZMIZ EL HAOUZ</t>
  </si>
  <si>
    <t>18800562</t>
  </si>
  <si>
    <t>001657766000095</t>
  </si>
  <si>
    <t>MARCHAND DE MATERIAUX DE CONSTRUCTION-ENTR DE LA GESTION D'EXPLOITATION DE SERVICES-LOUEUR DE MATERIEL INDUSTRIEL OU DE MACHINES-OUTILS (ENGINS)</t>
  </si>
  <si>
    <t xml:space="preserve">MAG N°1 N°249 MASSIRA 2 B MARRAKECH </t>
  </si>
  <si>
    <t>24856142</t>
  </si>
  <si>
    <t>001972495000097</t>
  </si>
  <si>
    <t>ABDELAZIZ CHAABI</t>
  </si>
  <si>
    <t>KELTOUM OUMGHAR</t>
  </si>
  <si>
    <t>VICINATO</t>
  </si>
  <si>
    <t>2 B BATIMENT</t>
  </si>
  <si>
    <t>FILACOP</t>
  </si>
  <si>
    <t>MAG N°23 HAY IGOUDAR AIT OURIR
MARRAKECH</t>
  </si>
  <si>
    <t>001635360000068</t>
  </si>
  <si>
    <t>ZINEB ELKHOUDARI</t>
  </si>
  <si>
    <t>MILOUD KAROUALI</t>
  </si>
  <si>
    <t>ZAKIA BOUKACHABINE</t>
  </si>
  <si>
    <t>YOUSSEF YASSINE</t>
  </si>
  <si>
    <t>ESSAOUI YOUSSEF</t>
  </si>
  <si>
    <t>SOFIA GROUPE INFORMATIQUE</t>
  </si>
  <si>
    <t>SOFIANE ET SES FRERES</t>
  </si>
  <si>
    <t>PHARMACIE FEKHARA</t>
  </si>
  <si>
    <t>EURO STAR CARS</t>
  </si>
  <si>
    <t>LES QUADS D'ATLAS</t>
  </si>
  <si>
    <t>MONTAIN PARADISE</t>
  </si>
  <si>
    <t>THE NAKED LUNCH</t>
  </si>
  <si>
    <t>Med EGHIZ</t>
  </si>
  <si>
    <t xml:space="preserve">IN STYLE TRAVEL &amp; EVENTS </t>
  </si>
  <si>
    <t>TALLAL SALMA</t>
  </si>
  <si>
    <t>6522164</t>
  </si>
  <si>
    <t>6522018</t>
  </si>
  <si>
    <t>MASSIRA 2 OPERATION TAFILALET 4 N°23 MARRAKECH</t>
  </si>
  <si>
    <t>4757409</t>
  </si>
  <si>
    <t>18748021</t>
  </si>
  <si>
    <t>001551859000024</t>
  </si>
  <si>
    <t xml:space="preserve">ENTREPRENEUR DE LA GESTION DE SERVICES PRESTATION DE SERVICES TOURISTIQUE </t>
  </si>
  <si>
    <t>FATIMA EZZAHRA AIT AHMED</t>
  </si>
  <si>
    <t>ID LAHCEN BRAHIM</t>
  </si>
  <si>
    <t>AEROPORTO CAFE</t>
  </si>
  <si>
    <t>RIAD ASSELDA</t>
  </si>
  <si>
    <t>MOHAMED ESSAID</t>
  </si>
  <si>
    <t>MOHAMED EL BACHIR EL MEZOUARI</t>
  </si>
  <si>
    <t>HOMYWAY</t>
  </si>
  <si>
    <t>DAR LAHJAB</t>
  </si>
  <si>
    <t>AUTO BOOK</t>
  </si>
  <si>
    <t>LOVELY CAR</t>
  </si>
  <si>
    <t>SPECTACLE COFEE</t>
  </si>
  <si>
    <t>CONNECT TRAVAUX</t>
  </si>
  <si>
    <t>SABRITEC</t>
  </si>
  <si>
    <t>H.M BATIMENT</t>
  </si>
  <si>
    <t>N°528 MASMOUDI,MARRAKECH</t>
  </si>
  <si>
    <t>MAG 634 HAY TARGA MARRAKECH</t>
  </si>
  <si>
    <t>HALIMA OUIJANE</t>
  </si>
  <si>
    <t xml:space="preserve">RACHID NAAIMI </t>
  </si>
  <si>
    <t>Janvier</t>
  </si>
  <si>
    <t>Nbre de clients</t>
  </si>
  <si>
    <t xml:space="preserve"> Mois </t>
  </si>
  <si>
    <t xml:space="preserve">Mars </t>
  </si>
  <si>
    <t>Choisir Collaborateur</t>
  </si>
  <si>
    <t>HDF</t>
  </si>
  <si>
    <t>DI respecté</t>
  </si>
  <si>
    <t>DF respecté</t>
  </si>
  <si>
    <t xml:space="preserve">Trimestre </t>
  </si>
  <si>
    <t xml:space="preserve">1er Trimestre </t>
  </si>
  <si>
    <t xml:space="preserve">2ème Trimestre </t>
  </si>
  <si>
    <t>3ème trimestre</t>
  </si>
  <si>
    <t>4ème trimestre</t>
  </si>
  <si>
    <t>Choisir collaborateur</t>
  </si>
  <si>
    <t>P. Physique</t>
  </si>
  <si>
    <t>P.Morale</t>
  </si>
  <si>
    <t xml:space="preserve">Total </t>
  </si>
  <si>
    <t>Taux RDI</t>
  </si>
  <si>
    <t xml:space="preserve">Régularisation </t>
  </si>
  <si>
    <t>Montant</t>
  </si>
  <si>
    <t>IR PROF AGRICOLE</t>
  </si>
  <si>
    <t xml:space="preserve">ENTRER CODE CLIENT </t>
  </si>
  <si>
    <t>RAISON SOCIALE/NOM</t>
  </si>
  <si>
    <t>IF</t>
  </si>
  <si>
    <t>TP</t>
  </si>
  <si>
    <t>DEBUT ACTIVITE</t>
  </si>
  <si>
    <t>ACTIVITE</t>
  </si>
  <si>
    <t>TVA Mensuelle</t>
  </si>
  <si>
    <t>COLLABORATEUR</t>
  </si>
  <si>
    <t>Date dépôt</t>
  </si>
  <si>
    <t>N° dépôt</t>
  </si>
  <si>
    <t>N° de dépôt</t>
  </si>
  <si>
    <t xml:space="preserve">Bilan </t>
  </si>
  <si>
    <t>TAUX GLOBAL</t>
  </si>
  <si>
    <t>Taux du Respect du Délai Interne</t>
  </si>
  <si>
    <t>Taux RDF</t>
  </si>
  <si>
    <t>Taux de RDF</t>
  </si>
  <si>
    <t>Taux de RDI</t>
  </si>
  <si>
    <t>Taux global</t>
  </si>
  <si>
    <t>Taux de respect du Délai fiscale</t>
  </si>
  <si>
    <t xml:space="preserve">Taux de respect du Délai interne </t>
  </si>
  <si>
    <t xml:space="preserve">BILAN </t>
  </si>
  <si>
    <t>Personne morale</t>
  </si>
  <si>
    <t>Personne physique</t>
  </si>
  <si>
    <t>Délai fiscal</t>
  </si>
  <si>
    <t>Taux de Respect du Délai Fiscal</t>
  </si>
  <si>
    <t>Taux de respect du Délai fiscal</t>
  </si>
  <si>
    <t>PV de l'AGO</t>
  </si>
  <si>
    <t>IR GLOBAL</t>
  </si>
  <si>
    <t>ABOU YAHYA TRANSPORT</t>
  </si>
  <si>
    <t>HAKKOU KARIMA</t>
  </si>
  <si>
    <t>NAKCI AUTO</t>
  </si>
  <si>
    <t>TREVIVERT+</t>
  </si>
  <si>
    <t>AIT YOUSSEF RACHID ET CONSORT</t>
  </si>
  <si>
    <t>AZAGHAR AL AQSA</t>
  </si>
  <si>
    <t>ZAKARIA LAKTIB</t>
  </si>
  <si>
    <t>MOSTAPHA OUMGHAR</t>
  </si>
  <si>
    <t>KHALID BOUKACHABINE</t>
  </si>
  <si>
    <t>PHARMACIE AZOUKENI</t>
  </si>
  <si>
    <t>DECO PLATRE JABOUR</t>
  </si>
  <si>
    <t>OUAZZANI PRESTIGE</t>
  </si>
  <si>
    <t xml:space="preserve">MDZ SYSTÈME </t>
  </si>
  <si>
    <t>ZA TECHNOLOGY</t>
  </si>
  <si>
    <t xml:space="preserve">BLANCHISSERIE YASSIN </t>
  </si>
  <si>
    <t xml:space="preserve">LUNA PARA </t>
  </si>
  <si>
    <t xml:space="preserve">GEOP CARS </t>
  </si>
  <si>
    <t xml:space="preserve">HASSI AICHA </t>
  </si>
  <si>
    <t xml:space="preserve">HAMMOU FATIMA </t>
  </si>
  <si>
    <t xml:space="preserve">K.M.N SARL </t>
  </si>
  <si>
    <t xml:space="preserve">CHEZ LE K </t>
  </si>
  <si>
    <t xml:space="preserve">TIM REA </t>
  </si>
  <si>
    <t xml:space="preserve">RADOUNAE BOUSSLIK </t>
  </si>
  <si>
    <t xml:space="preserve">COMPTOIRE AGRICOLE 
ET INDUSTRIEL DU SUD CAGIS </t>
  </si>
  <si>
    <t xml:space="preserve">SALIM BRAHIM </t>
  </si>
  <si>
    <t xml:space="preserve">SINDY CONFECTION </t>
  </si>
  <si>
    <t xml:space="preserve">AZTAT TREX </t>
  </si>
  <si>
    <t xml:space="preserve">VITO'S LOCOS </t>
  </si>
  <si>
    <t xml:space="preserve">INTERNATIOANL MARIMA SERVICE </t>
  </si>
  <si>
    <t xml:space="preserve">ABDELGHANI OUHMANI </t>
  </si>
  <si>
    <t xml:space="preserve">ABDELJALIL TALBI </t>
  </si>
  <si>
    <t>STAR WORKS SARL</t>
  </si>
  <si>
    <t>STE HANA TRANS</t>
  </si>
  <si>
    <t>ETABLISSEMENT ATTOLAB  2 PRIVE SARL</t>
  </si>
  <si>
    <t>STE NAWADAY TRAVAUX SARL</t>
  </si>
  <si>
    <t xml:space="preserve">PESCARITA SARL </t>
  </si>
  <si>
    <t xml:space="preserve">SABAH JABIR </t>
  </si>
  <si>
    <t xml:space="preserve">ATLAS OUKAIMDEN CONS </t>
  </si>
  <si>
    <t>FESTIMA</t>
  </si>
  <si>
    <r>
      <t xml:space="preserve">GOVERNAL                        </t>
    </r>
    <r>
      <rPr>
        <b/>
        <sz val="8"/>
        <color theme="1"/>
        <rFont val="Calibri"/>
        <family val="2"/>
        <scheme val="minor"/>
      </rPr>
      <t>(INSTITUT TECHNOLOGIE)</t>
    </r>
  </si>
  <si>
    <t>MILANOMAR</t>
  </si>
  <si>
    <t xml:space="preserve">R BACK </t>
  </si>
  <si>
    <t>PERFECT SCHOOL</t>
  </si>
  <si>
    <t>VITAL TRAVAUX SARL</t>
  </si>
  <si>
    <t xml:space="preserve"> STE AMZOUG TRAVAUX</t>
  </si>
  <si>
    <t>BOB SERVICE MEDICALE</t>
  </si>
  <si>
    <t>LAHOUCINE AIT SI AHMED</t>
  </si>
  <si>
    <t xml:space="preserve">LARBI STIKA </t>
  </si>
  <si>
    <t>ECOLE RIHAB EL KHAIR PRIVE</t>
  </si>
  <si>
    <t>STE MOBIDAR SARL AU</t>
  </si>
  <si>
    <t xml:space="preserve">STE AMS TOURS SARL </t>
  </si>
  <si>
    <t>STE COMPETENCE CONSEILS</t>
  </si>
  <si>
    <t xml:space="preserve">OURZAZI ASSURANCES </t>
  </si>
  <si>
    <t xml:space="preserve">HASSANE SALAMI </t>
  </si>
  <si>
    <t xml:space="preserve">STE LHAM TRAVAUX </t>
  </si>
  <si>
    <t xml:space="preserve">IKRAM ET ANASS CONSTRUCTION </t>
  </si>
  <si>
    <t xml:space="preserve">MALAYA GESTION </t>
  </si>
  <si>
    <t xml:space="preserve">ENTREPRISE GHRAR BRAHIM DE FORAGE </t>
  </si>
  <si>
    <t>STE TCM2I</t>
  </si>
  <si>
    <t>HENNABOU ET AIT LMOUDDAN</t>
  </si>
  <si>
    <t>SIMPLICITY CAR</t>
  </si>
  <si>
    <t>AMAQRAN NACEUR</t>
  </si>
  <si>
    <t xml:space="preserve">TOUILEB FATIMA </t>
  </si>
  <si>
    <t xml:space="preserve">A+BETON </t>
  </si>
  <si>
    <t>STE AMCHIOUAR TRAVAUX</t>
  </si>
  <si>
    <t xml:space="preserve">ENNOUZHA CAR </t>
  </si>
  <si>
    <t xml:space="preserve">MAAFFAR CAR RENTAL </t>
  </si>
  <si>
    <t>LOGICOM PRIVE</t>
  </si>
  <si>
    <t xml:space="preserve">BIANCHI DISTRIBUTION </t>
  </si>
  <si>
    <t xml:space="preserve">HYGIENE DE SUD </t>
  </si>
  <si>
    <t>STE OMBLMA TRAVAUX</t>
  </si>
  <si>
    <t xml:space="preserve">AZAZI TRAVAUX </t>
  </si>
  <si>
    <t>TAZALT TARVAUX</t>
  </si>
  <si>
    <t>ENTREPRISE DE TARVAUX ET DE MARBRE</t>
  </si>
  <si>
    <t>STE WAY CONSEIL</t>
  </si>
  <si>
    <t>KABBADJE JINANE</t>
  </si>
  <si>
    <t>STE DE SUD POUR
 L'INGENIERIE 
TOPOGRAPHIQUE</t>
  </si>
  <si>
    <t xml:space="preserve"> STE MUSEEMAR</t>
  </si>
  <si>
    <t>FATIHA EL BASRI</t>
  </si>
  <si>
    <t>STE BUREAU D ETUDE
 MANAGEMENT ET
 COMMUNICATION</t>
  </si>
  <si>
    <t>STE R2N CARS SARL</t>
  </si>
  <si>
    <t>BRAHIM AMANAY</t>
  </si>
  <si>
    <t xml:space="preserve">ATELIERS DE LART GRAPHIC </t>
  </si>
  <si>
    <t>ENVI PRO</t>
  </si>
  <si>
    <t>VELO TAXI  MARRAKECH 
&amp; AGADIR</t>
  </si>
  <si>
    <t xml:space="preserve"> AHMID ZIADI</t>
  </si>
  <si>
    <t xml:space="preserve">STE B.F.Z SARL </t>
  </si>
  <si>
    <t>EL HAMMOUCHI MOHAMED</t>
  </si>
  <si>
    <t>ALLOOS ASSISTANCE</t>
  </si>
  <si>
    <t>STE ZEGATRA SARL</t>
  </si>
  <si>
    <t>ECOLE WAHAT AL ATFAL
 PRIVEE</t>
  </si>
  <si>
    <t>RESEAU MEDITERANEEN DES
 ENTREPRISES</t>
  </si>
  <si>
    <t>SOCIETE DE L'EXPERTISE FONCIERE ET TRAVAUX TOPOGRAPHIQUE</t>
  </si>
  <si>
    <t>SEBABIL FOOD PROCESSING
 Y PACKAGING</t>
  </si>
  <si>
    <t>ECOLE AL ITQUANE PRIVE</t>
  </si>
  <si>
    <t>NAKHIL IAMAR</t>
  </si>
  <si>
    <t>OKLM INVESTISSEMNT</t>
  </si>
  <si>
    <t>PHARMACIE ZOHOUR</t>
  </si>
  <si>
    <t>STE ENVITRA</t>
  </si>
  <si>
    <t>D,M,A,R GESTION</t>
  </si>
  <si>
    <t>STE GOUNDA PROPRE</t>
  </si>
  <si>
    <t>STE MAROC EN LIBERTE</t>
  </si>
  <si>
    <t>POLY FORAGE SARLAU</t>
  </si>
  <si>
    <t>TERRES D'AVENIR</t>
  </si>
  <si>
    <t>IMTA SPORTS CENTER GMBH</t>
  </si>
  <si>
    <t xml:space="preserve">GALEQUA </t>
  </si>
  <si>
    <t xml:space="preserve">LE COMPTOIR ORIENTAL </t>
  </si>
  <si>
    <t>CMVAS</t>
  </si>
  <si>
    <t xml:space="preserve">RESSOURE EN EAU SUD </t>
  </si>
  <si>
    <t xml:space="preserve">AKB </t>
  </si>
  <si>
    <t xml:space="preserve">AHR COMPAGNIE </t>
  </si>
  <si>
    <t>PRO-NATURA</t>
  </si>
  <si>
    <t>METAR MMEDIA</t>
  </si>
  <si>
    <t xml:space="preserve">DTA CONCEPTION </t>
  </si>
  <si>
    <t>MOYOU TRS</t>
  </si>
  <si>
    <t>ABDELLAH AGHAOUS</t>
  </si>
  <si>
    <t>LAHCEN AL MUSTAFI</t>
  </si>
  <si>
    <t>MOURAD BOUAOU</t>
  </si>
  <si>
    <t>MORROCO CASHEW</t>
  </si>
  <si>
    <t xml:space="preserve">DR,EL MOUHDAB </t>
  </si>
  <si>
    <t>CONSTRUCTION ARCHITETURE</t>
  </si>
  <si>
    <t>BEN KHATTAB TOURIA</t>
  </si>
  <si>
    <t xml:space="preserve">OULAHYANE BOIS </t>
  </si>
  <si>
    <t xml:space="preserve">NAIT TAZARINE BOIS </t>
  </si>
  <si>
    <t>APPT 16 RESIDENCE DAR EL HNA MASSIRA 1D - MARRAKECH</t>
  </si>
  <si>
    <t>002101836000084</t>
  </si>
  <si>
    <t xml:space="preserve">  /</t>
  </si>
  <si>
    <t>/</t>
  </si>
  <si>
    <t>MEDECIN OU CHIRURGIEN OCCUPANT UN OU DEUX INFIRMIERS OU INFIRMIERES OU AIDES</t>
  </si>
  <si>
    <t>AVENUE CHBANI N°6 ROUTE DE L'AEROPORT - MARRAKECH</t>
  </si>
  <si>
    <t>001982537000078</t>
  </si>
  <si>
    <t>DECORATION DESIGN AMEUBLEMENT</t>
  </si>
  <si>
    <t>N 709 LOT BERRADI II MHAMID MARRAKECH</t>
  </si>
  <si>
    <t>AV BIR ANZARAN CITE DE RESISTANCE OUARZAZATE</t>
  </si>
  <si>
    <t>001545746000078</t>
  </si>
  <si>
    <t>000504321000096</t>
  </si>
  <si>
    <t>MAG 14 BD GUEMASSA RES AL BASATINE MARRAKECH</t>
  </si>
  <si>
    <t>40179027</t>
  </si>
  <si>
    <t>001775513000004</t>
  </si>
  <si>
    <t>MARCHAND D'ACCESSOIRES OU DE PIECES DETACHEES POUR VOITURE</t>
  </si>
  <si>
    <t>VILLA BLED EL BARAKE 1 CERCLE EL BOUR OLD HASSOUN MARRAKECH</t>
  </si>
  <si>
    <t>31881367</t>
  </si>
  <si>
    <t>002187123000018</t>
  </si>
  <si>
    <t>MAISON D'HOTES OU RIAD</t>
  </si>
  <si>
    <t>MAG N°59 IMM 9 JNANE AOUARAD ROUTE NATIONAL N°9 GUELIZ - MARRAKECH</t>
  </si>
  <si>
    <t>31879733</t>
  </si>
  <si>
    <t>002222802000089</t>
  </si>
  <si>
    <t>LOCATION DE VOITURE</t>
  </si>
  <si>
    <t>M'HAMID LOT NAHDA N°433 - MARRAKECH</t>
  </si>
  <si>
    <t>31880557</t>
  </si>
  <si>
    <t>002185195000082</t>
  </si>
  <si>
    <t>LOCATION DE VOITURE SANS CHAUFFRUE</t>
  </si>
  <si>
    <t>MAG N°02GH2 RDC IMM N°176 PORTE DE MARRAKECH TARGA - MARRAKECH</t>
  </si>
  <si>
    <t>33607632</t>
  </si>
  <si>
    <t>002180745000049</t>
  </si>
  <si>
    <t>RESTAURANT/CAFEE</t>
  </si>
  <si>
    <t>N°7 KAAT BENAHID MARRAKECH</t>
  </si>
  <si>
    <t>20731179</t>
  </si>
  <si>
    <t>001523520000041</t>
  </si>
  <si>
    <t>SNACK</t>
  </si>
  <si>
    <t>LOT MHAMID 5 N°94 - I - MARRAKECH</t>
  </si>
  <si>
    <t>33662049</t>
  </si>
  <si>
    <t>002233285000094</t>
  </si>
  <si>
    <t>LOCAL DENNOME OUM EL HAJJAR SOUK TLET CR / AIT OURIR EL HAOUZ</t>
  </si>
  <si>
    <t>001636124000004</t>
  </si>
  <si>
    <t xml:space="preserve">PHARMACIEN </t>
  </si>
  <si>
    <t>N°941 MHAMID 5 MARRAKECH</t>
  </si>
  <si>
    <t>20751940</t>
  </si>
  <si>
    <t>001859109000005</t>
  </si>
  <si>
    <t>PROMOTEUR IMMOBILIER, ENT TRAVAUX DIVERS OU CONSTRUCTION</t>
  </si>
  <si>
    <t>N°526 BLOC A DOUAR OLD BERRAHMOUNE - MARRAKECH</t>
  </si>
  <si>
    <t>25114322</t>
  </si>
  <si>
    <t>002054483000058</t>
  </si>
  <si>
    <t>INSTALLATIONS ELECTRIQUES</t>
  </si>
  <si>
    <t>N°111 ESPACE VILLA T 1 DOUAR AAZIB KANDAFI EL AZZOUZIA MARRAKECH</t>
  </si>
  <si>
    <t>20799111</t>
  </si>
  <si>
    <t>001950035000073</t>
  </si>
  <si>
    <t>ENT TRAVAUX DIVERS, ASSAINISSEMENT ET VRD TRAVAUX DE JARDINAGE</t>
  </si>
  <si>
    <t xml:space="preserve"> N°495 SOCOMA ASKEJOUR  - MARRAKECH</t>
  </si>
  <si>
    <t>40291623</t>
  </si>
  <si>
    <t>000816861000031</t>
  </si>
  <si>
    <t>HAY OUARIZDEG  - DEMNATE</t>
  </si>
  <si>
    <t>33643374</t>
  </si>
  <si>
    <t>002211909000096</t>
  </si>
  <si>
    <t>MAGASIN DOUAR LAATTAOUNA  PROVINCE TAMASLOHTE  - MARRAKECH</t>
  </si>
  <si>
    <t>37536359</t>
  </si>
  <si>
    <t>002238522000024</t>
  </si>
  <si>
    <t>TRAVAUX DE CONSTRUCTION PLATRE</t>
  </si>
  <si>
    <t>IMM DRARGA AV YACOUB EL MANSOUR ETG 4 N°61 - MARRAKECH</t>
  </si>
  <si>
    <t>25229532</t>
  </si>
  <si>
    <t>002072082000088</t>
  </si>
  <si>
    <t>TRANSPORT TOURISTIQUE</t>
  </si>
  <si>
    <t xml:space="preserve">001638950000041 </t>
  </si>
  <si>
    <t>001157161000062</t>
  </si>
  <si>
    <t xml:space="preserve">APPT N°25 GH 39 IMM 198 LES PORTES DE MARRAKECH </t>
  </si>
  <si>
    <t xml:space="preserve">DR AL KAID RTE DE SAFI KM 12 </t>
  </si>
  <si>
    <t>001938265000091</t>
  </si>
  <si>
    <t xml:space="preserve">ENT DE TRAVAUX D'ALUMINIUM </t>
  </si>
  <si>
    <t xml:space="preserve">N°952 APT N5 2EME ETAGE QI AL MASSAR RTE DE SAFI </t>
  </si>
  <si>
    <t>001897761000024</t>
  </si>
  <si>
    <t>MARCHAND DE MATERIEL INFORMATIQUE</t>
  </si>
  <si>
    <t xml:space="preserve">MAG 3 IMM 8 TRANCHE 6 OP AL FADL MARRAKECH </t>
  </si>
  <si>
    <t>001957310000073</t>
  </si>
  <si>
    <t xml:space="preserve">BLANCHISSERIE </t>
  </si>
  <si>
    <t xml:space="preserve">MAG 7 IMM 24 RDC AV ALLAL EL FASSI ET MANSOUR MARRAKECH </t>
  </si>
  <si>
    <t>001956401000075</t>
  </si>
  <si>
    <t xml:space="preserve">PRODUITS CHIMIQUES MARCHAND EN DETAIL </t>
  </si>
  <si>
    <t xml:space="preserve">MASSIRA 2 ANBAR 2 N°45 MARRAKECH </t>
  </si>
  <si>
    <t>001938327000066</t>
  </si>
  <si>
    <t xml:space="preserve">N°381 1ER ETAGE SAADA 6 MHAMID </t>
  </si>
  <si>
    <t>001897988000006</t>
  </si>
  <si>
    <t xml:space="preserve">DENTISTE </t>
  </si>
  <si>
    <t xml:space="preserve">180 AV ABDELK KHATABI ROKIA A N7 MARRAKECH </t>
  </si>
  <si>
    <t>001941952000064</t>
  </si>
  <si>
    <t xml:space="preserve">MEDECIN EN RADIOLOGIE </t>
  </si>
  <si>
    <t xml:space="preserve">APP 1 BIS IMM B RES CHAIMA ANG RUE RIF ET IBN TOUFAIL MARRAKECH </t>
  </si>
  <si>
    <t>002043586000076</t>
  </si>
  <si>
    <t xml:space="preserve">RES SALAMA BLOC GH 14 IMM 1 N°5 ASKJOUR MARRAKECH </t>
  </si>
  <si>
    <t>001872498000021</t>
  </si>
  <si>
    <t xml:space="preserve">MARCHAND DE VETEMENTS EN DETAIL </t>
  </si>
  <si>
    <t xml:space="preserve">RDC LOT BOUZGRANE II MAG 1-4 BOUGNVILLIER 
GUELIZ MARRAKECH </t>
  </si>
  <si>
    <t>002056533000095</t>
  </si>
  <si>
    <t xml:space="preserve">MILK-BAR </t>
  </si>
  <si>
    <t xml:space="preserve">BUR SIS APT 2EME ETAGE N 403 MASSIRA
 1A MARRAKECH </t>
  </si>
  <si>
    <t>002070772000053</t>
  </si>
  <si>
    <t xml:space="preserve">CHAMBRE OU APPARTEMENT </t>
  </si>
  <si>
    <t xml:space="preserve">N°3 &amp; N°4 LOTISSEMENT SOCOMA 1 N°1514 </t>
  </si>
  <si>
    <t>001159618000071</t>
  </si>
  <si>
    <t xml:space="preserve">TRANSPORT ET DISTRUBITION DES PRODUITES ALIMENTAIRES </t>
  </si>
  <si>
    <t>000070145000010</t>
  </si>
  <si>
    <t xml:space="preserve">MARCHAND </t>
  </si>
  <si>
    <t xml:space="preserve"> 56 SIDI BOULOUKAT MARRAKECH </t>
  </si>
  <si>
    <t>002346760000014</t>
  </si>
  <si>
    <t xml:space="preserve">MAITRE D HOTEL GARNI </t>
  </si>
  <si>
    <t>IZIKI 3 N°3 QUARTIER INDUSTRIEL</t>
  </si>
  <si>
    <t>001989532000072</t>
  </si>
  <si>
    <t xml:space="preserve">CONFECTION TEXTIL </t>
  </si>
  <si>
    <t xml:space="preserve">CENTRE IMLIL ASNI MARRAKECH </t>
  </si>
  <si>
    <t>001665023000096</t>
  </si>
  <si>
    <t xml:space="preserve">AUBERGISTE 
MAISON D'HOTES </t>
  </si>
  <si>
    <t xml:space="preserve">AV ABDEKARIM EL KHATTABI RES JAWAD IMM 109 
APPT N43 ETAGE 3 MARRAKECH </t>
  </si>
  <si>
    <t>002055804000087</t>
  </si>
  <si>
    <t xml:space="preserve">RESTAURANT </t>
  </si>
  <si>
    <t>DOUAR TIGANZIOUINE 42103 AMIZMIZ, MARRAKECH</t>
  </si>
  <si>
    <t xml:space="preserve">N°342  EL WAHDA 4 EL HAY MOHAMMADI DAOUDIATE MARRAKECH </t>
  </si>
  <si>
    <t>002114609000048</t>
  </si>
  <si>
    <t>MD D'ARTICLES DE SPORT, EVENEMENTIEL, MD EFFECTUANT IMPORT, EXPORT</t>
  </si>
  <si>
    <t>RIAD ZETOUN EL KADIM DERB SID BOULOUKATE MARRAKECH</t>
  </si>
  <si>
    <t>000510652000073</t>
  </si>
  <si>
    <t>MAITRE HOTEL GARNI</t>
  </si>
  <si>
    <t>RIAD ZETOUNE LAKDIM MARRAKECH</t>
  </si>
  <si>
    <t>724 LOT CHARAF AL MANAR II</t>
  </si>
  <si>
    <t xml:space="preserve">001635927000085 </t>
  </si>
  <si>
    <t>IMMEUBLES, PROMOTEUR IMMOBILIER</t>
  </si>
  <si>
    <t>1635833000004</t>
  </si>
  <si>
    <t>001638826000091</t>
  </si>
  <si>
    <t>N°190 RIAD EL MANAR MAG N°1</t>
  </si>
  <si>
    <t>001755208000092</t>
  </si>
  <si>
    <t>MARCHAND EN DETAIL MATERIAUX CONSTRUCTION</t>
  </si>
  <si>
    <t xml:space="preserve">CENTRE ASNI HAOUZ MARRAKECH </t>
  </si>
  <si>
    <t>001546640000093</t>
  </si>
  <si>
    <t>ENTREPRENEUR DE BATIMENTS</t>
  </si>
  <si>
    <t>6527717</t>
  </si>
  <si>
    <t>HAY IGOUDAR ET BACHAOUIA AIT OURIR</t>
  </si>
  <si>
    <t>40140852</t>
  </si>
  <si>
    <t>000018978000045</t>
  </si>
  <si>
    <t>DIRECTEUR DE SPECTACLES (EVENEMENTIEL)</t>
  </si>
  <si>
    <t>6502767</t>
  </si>
  <si>
    <t xml:space="preserve">N°66 DR AIN MAZOUAR ALANNAB MARRAKECH </t>
  </si>
  <si>
    <t>6521232</t>
  </si>
  <si>
    <t>001546707000030</t>
  </si>
  <si>
    <t xml:space="preserve">ENT DE TRAVAUX DIVERS OU CONSTRUCTION </t>
  </si>
  <si>
    <t>MAG N°45 HAY IGOUDAR BALADIAT ET BACHAOUIYA MUNICIPALITE AIT OURIR AL HAOUZ</t>
  </si>
  <si>
    <t>6524715</t>
  </si>
  <si>
    <t>000100773000076</t>
  </si>
  <si>
    <t>NEGOCIANT-VENTE DISTRIBUTION DES PRODUITS ALIMENTAIRES/MARCHAND EFFECTUANT L'IMPORT-EXPORT/TRANSPORT DE MARCHANDISES</t>
  </si>
  <si>
    <t>6528694</t>
  </si>
  <si>
    <t>N° Q TRANCHE 1 ZONE HARBIL MARRAKECH</t>
  </si>
  <si>
    <t>6526558</t>
  </si>
  <si>
    <t>001700913000096</t>
  </si>
  <si>
    <t>TENANT UNE ECOLE</t>
  </si>
  <si>
    <t>6524148</t>
  </si>
  <si>
    <t>MAG 2 AFAQ 1 N°1352 SAADA MARRAKECH</t>
  </si>
  <si>
    <t>6504386</t>
  </si>
  <si>
    <t>MAG Z 48 CENTRE COMMERCIAL IMM N°407 LOT M'HAMID 3 MARRAKECH</t>
  </si>
  <si>
    <t xml:space="preserve">N°406 B MASSIRA 2 </t>
  </si>
  <si>
    <t>15203537</t>
  </si>
  <si>
    <t>MARCHAND D'APPAREILS DE RADIOLOGIE</t>
  </si>
  <si>
    <t>BUREAU N°5 BORJ TOUBKAL M'HAMID 9</t>
  </si>
  <si>
    <t>34399565</t>
  </si>
  <si>
    <t>002205724000057</t>
  </si>
  <si>
    <t>LOUEUR DE VEHICULE SANS CHAUFFEUR</t>
  </si>
  <si>
    <t xml:space="preserve">N°2 IMM DAHIR FATIMA DB MAKINA DR LAASKAR </t>
  </si>
  <si>
    <t>40273525</t>
  </si>
  <si>
    <t>001547041000033</t>
  </si>
  <si>
    <t xml:space="preserve">MAG N°03 IMM EL KHOUDA ARST SINKO </t>
  </si>
  <si>
    <t>34419371</t>
  </si>
  <si>
    <t>002222249000082</t>
  </si>
  <si>
    <t xml:space="preserve">MAG 1 N°1606 RDC ASKEJOUR SOCOMA
ADMINISTARTIVE ASKJOUR </t>
  </si>
  <si>
    <t>MAG 1 N°448 LOT BERRADI 2 M'HAMID</t>
  </si>
  <si>
    <t xml:space="preserve">APPT N° 2 LOT AYOUR  N° 253 </t>
  </si>
  <si>
    <t>ü</t>
  </si>
  <si>
    <t>LOT  EL AMAL NR 892, ATTAOUIA KELAA DES SRAGHNA</t>
  </si>
  <si>
    <t>001387625000084</t>
  </si>
  <si>
    <t>AGENT D'ASSURANCES</t>
  </si>
  <si>
    <t>MEDECIN DENTISTE</t>
  </si>
  <si>
    <t xml:space="preserve">MAG N23 ET 24 SOUK LAKHMIS BOULMANE DADES </t>
  </si>
  <si>
    <t>001163653000057</t>
  </si>
  <si>
    <t xml:space="preserve">EXPLOITANT UN MIK BAR </t>
  </si>
  <si>
    <t xml:space="preserve">MAG N 2 DOUAR ASSELDA COMMUNE RURALE 
ASNI PROVINCE EL HAOUZ MARRAKECH </t>
  </si>
  <si>
    <t>002048098000084</t>
  </si>
  <si>
    <t xml:space="preserve">TRAVAUX DIVERS OU CONSTRUCTION </t>
  </si>
  <si>
    <t xml:space="preserve">N 495 MAG N 8 LOT ASKJOUR SOCOMA MARRAKECH </t>
  </si>
  <si>
    <t>002119564000026</t>
  </si>
  <si>
    <t xml:space="preserve">IMMEUBLES OU AUTRES OPERATION IMMOBILIERS </t>
  </si>
  <si>
    <t xml:space="preserve">AV ABDELKARIM EL KHATTABI RES JAWAD IMM 109 N43 MARRAKECH </t>
  </si>
  <si>
    <t>002214433000042</t>
  </si>
  <si>
    <t xml:space="preserve">LOCATION DES APPARTEMENTS MEUBLES </t>
  </si>
  <si>
    <t xml:space="preserve">N°36 QUARTIER INDUSTRIEL SIDI GHANEM MARRAKECH </t>
  </si>
  <si>
    <t>001447401000018</t>
  </si>
  <si>
    <t xml:space="preserve">FOREUR DE PUITS </t>
  </si>
  <si>
    <t>AV ABDELKERIM EL KHATTABI RES JAWAD 109 3 ETAGE APT 43 MARRAKECH</t>
  </si>
  <si>
    <t>ENT GEST SERVICES (FORMATION EN ELECTRO-MECANIQUE)</t>
  </si>
  <si>
    <t>DEPOT  N°61 LOT AMANE ASKEJOUR MARRAKECH</t>
  </si>
  <si>
    <t xml:space="preserve">ALIMENTATION GENERAL (TENANT UN MAGASIN D') IMPORTATION </t>
  </si>
  <si>
    <t>N°305 APPT N°2 2EME ETAGE AV,LAAYOUNE HAY IZIKI MARRAKECH</t>
  </si>
  <si>
    <t>SOCOMA ASKJOUR N°1968 MARRAKECH</t>
  </si>
  <si>
    <t xml:space="preserve">IMMEUBLES ,PROMOTEUR IMMOBILIER </t>
  </si>
  <si>
    <t>LOT ZARKTOUNI BLOC GHRNATA IMM K,N°431/432,MARRAKECH</t>
  </si>
  <si>
    <t>CAFE-SNACK</t>
  </si>
  <si>
    <t>OP AL ANBAR 2 N°106 MASSIRA 2</t>
  </si>
  <si>
    <t>AUTOMOBILES,LOUEUR DE VEHICULES</t>
  </si>
  <si>
    <t>CENTRE LOUDAYA DOUAR OULED BEN SBAA</t>
  </si>
  <si>
    <t>ENTR DE TRAVAUX DIVERS OU CONSTRUCTIONS</t>
  </si>
  <si>
    <t>MAG 1753 LOT MAATALLAH ASKJOUR MARRAKECH</t>
  </si>
  <si>
    <t>EXPLOITANT UN MILK-BAR</t>
  </si>
  <si>
    <t>N°306 BIS UNITE 4 CITE MOHAMMADIA-MARRAKECH</t>
  </si>
  <si>
    <t>1640381000010</t>
  </si>
  <si>
    <t>APPAREILS DE RADIO ET TELEVISION ET ACCESSOIRES POUR LE SON ET L'image (vendeur )</t>
  </si>
  <si>
    <t>N°101 LOTS MHAMID 5 MARRAKECH</t>
  </si>
  <si>
    <t>2136482000013</t>
  </si>
  <si>
    <t xml:space="preserve">IMMEUBLES OU AUTRES OPERATIONS IMM (EFFECTUANT ACHAT ET VENTE </t>
  </si>
  <si>
    <t>CHEZ AMDEM-AV,ABDELKRIM EL KHATTABI RUE HASSAN BEN M'BAREK RES EL KHATTAI IMM,B APP,3 ETAGE 1 MARRAKECH</t>
  </si>
  <si>
    <t>1547367000058</t>
  </si>
  <si>
    <t>BUREAU D'ETUDE INGENIEUR ETUDE CONSEIL</t>
  </si>
  <si>
    <t>LOT AS NI N°14 ASNI MARRAKECH</t>
  </si>
  <si>
    <t>ENTREP DE TRVX DIV OU CONSTRUCTION</t>
  </si>
  <si>
    <t>MAG N° 16 AIT CHEIKH IGOUDAR AIT OURIR</t>
  </si>
  <si>
    <t>LAMHAMID BORJ ZAITOUNE IMM,29 APPT N°10</t>
  </si>
  <si>
    <t>ADMINISTRATION DE BIENS IMMOBILIERS</t>
  </si>
  <si>
    <t>RESIDENCE JAWAHIR, RDC N°19 BD ALLAL EL FASSI BAB DOUKALA, MARRAKECH</t>
  </si>
  <si>
    <t>1 ETG RUE MOHAMED V KELAA M'GOUNA TINGHIR</t>
  </si>
  <si>
    <t>6525270</t>
  </si>
  <si>
    <t>47633613</t>
  </si>
  <si>
    <t>000227758000043</t>
  </si>
  <si>
    <t>LOUEUR DE VEHICULES AUTOMOBILES SANS CHAUFFEUR</t>
  </si>
  <si>
    <t>MAG N°771 LOT AL HOUSSNA 2 ASKJOUR MARRAKECH</t>
  </si>
  <si>
    <t>64659647</t>
  </si>
  <si>
    <t>#1547040000060</t>
  </si>
  <si>
    <t>N°262 M'HAMID 5 MARRAKECH</t>
  </si>
  <si>
    <t>201903000019</t>
  </si>
  <si>
    <t>N° 735 QUARTIER SOCOMA II SOUDRI MARRAKECH</t>
  </si>
  <si>
    <t>1546584000053</t>
  </si>
  <si>
    <t>GESTION DISTRIBUTION AUTOMATIQUE DE CAF2</t>
  </si>
  <si>
    <t>355 LOT ZAKARIA MHAMID MARRAKECH</t>
  </si>
  <si>
    <t>1546777000080</t>
  </si>
  <si>
    <t>DESINFECTANT-NATTOYAGE-MARCHAND PRODUITS D'ENTRETIEN</t>
  </si>
  <si>
    <t>N2005 SOCOMA LANNEXE ADMINISTRATIVE ASKJOUR MARRAKECH</t>
  </si>
  <si>
    <t>ENTR DE TRAVAUX DIVERS LOUEUR MACHINES INDUSTR</t>
  </si>
  <si>
    <t>MAG N°22 HAY IGOUDAR AIT OURIR</t>
  </si>
  <si>
    <t>227720000002</t>
  </si>
  <si>
    <t xml:space="preserve">ENTREPRENEUR DE TRAVAUX DIVERS ET CONSTRUCTION  </t>
  </si>
  <si>
    <t xml:space="preserve">DOUAR TAZALT TALAT N’YAAQOUB MARRAKECH  </t>
  </si>
  <si>
    <t>*000072744000065</t>
  </si>
  <si>
    <t>DOUAR ADRIE EL HIMER LAMNABHA EL BOUR MARRAKECH</t>
  </si>
  <si>
    <t>1590539000063</t>
  </si>
  <si>
    <t>MAG N°2019 MAATALLAH M'HAMID</t>
  </si>
  <si>
    <t>228192000062</t>
  </si>
  <si>
    <t>DR ASSELDA CR ASNI HAOUZ,MARRAKECH</t>
  </si>
  <si>
    <t>MAISON D'HOTES</t>
  </si>
  <si>
    <t>LOUEUR D'APPARTEMENT MEUBLE (ET VILLAS)</t>
  </si>
  <si>
    <t>N°1197 LOT ZERKTOUNI BOUAAKAZ 
MHAMID MARRAKECH</t>
  </si>
  <si>
    <t>RES SANAA  APPT N°24 ETAGE 4 ASSIF MARRAKECH</t>
  </si>
  <si>
    <t>MAG DOUAR ZIAYNA SOUIHLA MARRAKECH</t>
  </si>
  <si>
    <t>001880167000053</t>
  </si>
  <si>
    <t>MECANICIEN REPARATEUR</t>
  </si>
  <si>
    <t>N°2 IMM AL MANAR X RUE IBN BATOUTA
Q. IND MARRAKECH</t>
  </si>
  <si>
    <t>46212358
46212341</t>
  </si>
  <si>
    <t>EXPLOITANT UN ETABLISSEMENT
INDUSTRIEL POUR LA FABRICATION DE PANNEAUX  PUBLICITAIRES
MD EFFECTUANT IMPORT EXPORT</t>
  </si>
  <si>
    <t>45125115</t>
  </si>
  <si>
    <t>LOCATION DE VEHICULE SANS CHAUFFEUR</t>
  </si>
  <si>
    <t>IBUREAU N°1 IMM AL MANAR 10 RUE IBN BATTOUTA  Q.IND MARRAKECH</t>
  </si>
  <si>
    <t>ROUTE N°9 CHOUITRE OULAD
 HASSOUN RTE OUARZAZATE</t>
  </si>
  <si>
    <t>15226572</t>
  </si>
  <si>
    <t>530</t>
  </si>
  <si>
    <t>4312261</t>
  </si>
  <si>
    <t>66733</t>
  </si>
  <si>
    <t>N°1259 LOT MAATALLAH MHAMID II  
MARRAKECH</t>
  </si>
  <si>
    <t>06521840</t>
  </si>
  <si>
    <t>67190353</t>
  </si>
  <si>
    <t>000071708000004</t>
  </si>
  <si>
    <t>7651468</t>
  </si>
  <si>
    <t>30877</t>
  </si>
  <si>
    <t>ENTREPRENEUR  DE TRAVAUX DIVERS
 OU CONSTRUCTION</t>
  </si>
  <si>
    <t>MAG N°17 HAY IGOUDAR AIT OURIR MARRAKECH</t>
  </si>
  <si>
    <t>06527065</t>
  </si>
  <si>
    <t>47514187</t>
  </si>
  <si>
    <t>000100887000005</t>
  </si>
  <si>
    <t>9241382</t>
  </si>
  <si>
    <t>53471</t>
  </si>
  <si>
    <t>LOUEUR DE CYCLES ET MOTOCYCLES</t>
  </si>
  <si>
    <t>PROMOTEUR A LA 
CONSTRUCTION D'ILLEUBLES</t>
  </si>
  <si>
    <t>N°457 MASSIRA 1 C MARRAKECH</t>
  </si>
  <si>
    <t>40282469</t>
  </si>
  <si>
    <t>92155073</t>
  </si>
  <si>
    <t>001896100000057</t>
  </si>
  <si>
    <t>8020571</t>
  </si>
  <si>
    <t>107554</t>
  </si>
  <si>
    <t xml:space="preserve">APPT N°298 ETAGE 1 IMM 
R HUMMAH INDUSTRIEL RUE 46 </t>
  </si>
  <si>
    <t>25026527</t>
  </si>
  <si>
    <t>46200500</t>
  </si>
  <si>
    <t>002030947000083</t>
  </si>
  <si>
    <t>5794905</t>
  </si>
  <si>
    <t>86129</t>
  </si>
  <si>
    <t>AMBULANCE(EXPLOITANT D')</t>
  </si>
  <si>
    <t>N°7 IMM 4 ZHOUR AL ATLAS 
M'HAMID 9 MARRAKECH</t>
  </si>
  <si>
    <t>40154904</t>
  </si>
  <si>
    <t>64653261</t>
  </si>
  <si>
    <t>001547474000079</t>
  </si>
  <si>
    <t>8109440</t>
  </si>
  <si>
    <t>31413</t>
  </si>
  <si>
    <t>MAG N° 10 HAY IGOUDAR AIT 
OURIR MARRAKECH</t>
  </si>
  <si>
    <t>24849957</t>
  </si>
  <si>
    <t>47500078</t>
  </si>
  <si>
    <t>001969936000029</t>
  </si>
  <si>
    <t>5369865</t>
  </si>
  <si>
    <t>TRAVAUX DIVERS OU 
CONSTRUCTION</t>
  </si>
  <si>
    <t>AIT KASSI OU ALI KELAA M'GOUNA 
TINGHIR</t>
  </si>
  <si>
    <t>MASSIRA 1 D N°494 1ER ETAGE APPT N°1 MARRAKECH</t>
  </si>
  <si>
    <t>92155130</t>
  </si>
  <si>
    <t>000205612000057</t>
  </si>
  <si>
    <t>64000381</t>
  </si>
  <si>
    <t>002033091000007</t>
  </si>
  <si>
    <t>FABRICANT DES ADDITIFS 
DE LA FARINE</t>
  </si>
  <si>
    <t>MAATALLAH N°1258 ET 1259 MHAMID MENARA MARRAKECH</t>
  </si>
  <si>
    <t>67190380</t>
  </si>
  <si>
    <t>000071893000053</t>
  </si>
  <si>
    <t>TENANT ECOLE 
(PRIVE D'ENSEIGNEMENT PRESCOLAIREET PRIMAIRE)</t>
  </si>
  <si>
    <t>MAG SIS A DOUAR KHARDALI SAADA MARRAKECH</t>
  </si>
  <si>
    <t>20680764</t>
  </si>
  <si>
    <t>001761269000084</t>
  </si>
  <si>
    <t>64694066</t>
  </si>
  <si>
    <t>ENTREPRENEUR DE DEVELOPPEMENT INFORMATIQUE</t>
  </si>
  <si>
    <t xml:space="preserve">MAG SIS A SOUIKAR RIJAL AHMAR AGAFAY </t>
  </si>
  <si>
    <t>47980043</t>
  </si>
  <si>
    <t>002229235000028</t>
  </si>
  <si>
    <t>EXPLOITANT DE MAISON DHOTE OU RIAD</t>
  </si>
  <si>
    <t>LOT DAOUI 14 OPERATION 2 ASKEJOUR 
LMHAMIDMARRAKECH</t>
  </si>
  <si>
    <t>*ENT DE TRAVAUX DIVERS OU CONSTRUCTION</t>
  </si>
  <si>
    <t>APPT N°9 BOUIZGARREN II 1ER ETAGE
 BOUGANVILLIER ROUTE DE SAFI</t>
  </si>
  <si>
    <t>La promotion immobilière</t>
  </si>
  <si>
    <t>000227739000071</t>
  </si>
  <si>
    <t>* Marchand de produits chimique (produits de nettoyage)</t>
  </si>
  <si>
    <t>CENTRE IMLIL DOUAE IMLIL CERCLE A SNI 
IMLIL EL HAOUZ</t>
  </si>
  <si>
    <t>000072058000060</t>
  </si>
  <si>
    <t>* ENT. a la gestion d'exploitation comerciales (hotel auberge)
Restaurant</t>
  </si>
  <si>
    <t>MAG VILLA 29 LOT. YASSMINA AIN MEZOUAR</t>
  </si>
  <si>
    <t>000070869000056</t>
  </si>
  <si>
    <t>* Transport touristique</t>
  </si>
  <si>
    <t>DR TIMANOUTINE AIT ADEL ABADOU</t>
  </si>
  <si>
    <t>000201812000051</t>
  </si>
  <si>
    <t>* Foreur ou sondeur de puits avec monteur mechnique
* Entrepreneur de la gestion d'exploitation agricoles
* Negociant(marchand et location equipements de forage</t>
  </si>
  <si>
    <t>355,lot izdihar marrakech</t>
  </si>
  <si>
    <t>001545186000066</t>
  </si>
  <si>
    <t>72553</t>
  </si>
  <si>
    <t>vente d'équipement</t>
  </si>
  <si>
    <t xml:space="preserve">18 RUE SALAH EDDINE EL YACOUBI </t>
  </si>
  <si>
    <t>001527793000003</t>
  </si>
  <si>
    <t>10801</t>
  </si>
  <si>
    <t>vente de matériel electrique</t>
  </si>
  <si>
    <t>403 MASSIRA I A APPT 5 MARRAKECH</t>
  </si>
  <si>
    <t>0018051380000088</t>
  </si>
  <si>
    <t>77851</t>
  </si>
  <si>
    <t>Immeubles,promoteur immobilier
Entrep travaux divers ou construction</t>
  </si>
  <si>
    <t xml:space="preserve">DOUAR CAID EL BOUR HARBIL MARRAKECH </t>
  </si>
  <si>
    <t>001948630000081</t>
  </si>
  <si>
    <t>tenis consulting services coatching flTNESS</t>
  </si>
  <si>
    <t>PROVINCE SIDI DAOUD AIT FASKA AIT OURIR MARRAKECH</t>
  </si>
  <si>
    <t>002018903000030</t>
  </si>
  <si>
    <t xml:space="preserve"> marchand de materiel agricole </t>
  </si>
  <si>
    <t xml:space="preserve">APPT N 19 RES MENARA AV MED VI MARRAKECH </t>
  </si>
  <si>
    <t xml:space="preserve">quartier el ksour dafa ourbaa n:01 propriete dit el alaoui hassani marrakech </t>
  </si>
  <si>
    <t xml:space="preserve"> maison d'hote, promotion immeubliere </t>
  </si>
  <si>
    <t xml:space="preserve">RTA DE SAFI EL MASSAR 1ER ETAGE N°987 MARRAKECH </t>
  </si>
  <si>
    <r>
      <rPr>
        <sz val="9"/>
        <color theme="1"/>
        <rFont val="Calibri"/>
        <family val="2"/>
        <scheme val="minor"/>
      </rPr>
      <t xml:space="preserve">FABRICANT OU MARCHAND DE MAROQUINERIE , </t>
    </r>
    <r>
      <rPr>
        <sz val="11"/>
        <color theme="1"/>
        <rFont val="Calibri"/>
        <family val="2"/>
        <scheme val="minor"/>
      </rPr>
      <t xml:space="preserve">        </t>
    </r>
    <r>
      <rPr>
        <sz val="9"/>
        <color theme="1"/>
        <rFont val="Calibri"/>
        <family val="2"/>
        <scheme val="minor"/>
      </rPr>
      <t xml:space="preserve">MARCHAND EFFECTUANT IMPORT EXPORT </t>
    </r>
  </si>
  <si>
    <t>Q,I SIDI GHANEM LOT 518APT NAJAH8</t>
  </si>
  <si>
    <t>001547049000011</t>
  </si>
  <si>
    <t xml:space="preserve">constructeur de terrasses ,marchand effectuant import-export </t>
  </si>
  <si>
    <t>001635667000024</t>
  </si>
  <si>
    <t>101258</t>
  </si>
  <si>
    <t>* MD.droguiste en detail
* MD.de materiaux de construction 
* MD. Et vente d'immeuble</t>
  </si>
  <si>
    <t>BLAD BARAKA 1 CERCLE EL BOUR OLD HASSOUN</t>
  </si>
  <si>
    <t>001635941000095</t>
  </si>
  <si>
    <t>* Promoteur  à la construction d'immeubles</t>
  </si>
  <si>
    <t xml:space="preserve">N 181 SAADA 4 MHAMID </t>
  </si>
  <si>
    <t>ENTREPRENEUR DE LA GESTION DE SERVICES</t>
  </si>
  <si>
    <t xml:space="preserve">35/36 BD ZERKTOUNI APT N8 MARRAKECH </t>
  </si>
  <si>
    <t>002195409000075</t>
  </si>
  <si>
    <t xml:space="preserve">EXPLOITANT CENTRE D'APPELS </t>
  </si>
  <si>
    <r>
      <rPr>
        <sz val="10"/>
        <color theme="1"/>
        <rFont val="Calibri"/>
        <family val="2"/>
        <scheme val="minor"/>
      </rPr>
      <t>APPT 21 IMM C ANOUAR IZDIHAR MARRAKECH</t>
    </r>
    <r>
      <rPr>
        <sz val="11"/>
        <color theme="1"/>
        <rFont val="Calibri"/>
        <family val="2"/>
        <scheme val="minor"/>
      </rPr>
      <t xml:space="preserve"> </t>
    </r>
  </si>
  <si>
    <t>001604844000082</t>
  </si>
  <si>
    <t xml:space="preserve"> TENANT UN BUREAU D'ETUDES </t>
  </si>
  <si>
    <t xml:space="preserve">N 12 LOT JARDINS TARGA - MARRAKECH </t>
  </si>
  <si>
    <t xml:space="preserve">BUREAU D'ETUDES,                                                       D'ENQUETES ET DE RECHERCHES </t>
  </si>
  <si>
    <t xml:space="preserve">55, BOULEVARD ZARKTOUNI, RESIDENCE TAYEB GUELIZ </t>
  </si>
  <si>
    <t>001456985000046</t>
  </si>
  <si>
    <t xml:space="preserve">ARCHITECTE </t>
  </si>
  <si>
    <t xml:space="preserve">1620 LOT AZZOUZIA BOUTIQUE N° 3 BAB MADINA IMM 11, MARRAKECH </t>
  </si>
  <si>
    <t>001870001000025</t>
  </si>
  <si>
    <t xml:space="preserve">ENTREPRENEUR  DE LA GESTION DE SERVICES  , MATIERE DE TRANSFERTS DE FONDS ET DE SERVICES FINANCIERS </t>
  </si>
  <si>
    <t xml:space="preserve">APPT N°10 BOUIZGARREN II 1 ETAGE BOUGANVILLIER ROUTE DE SAFI, MARRAKECH </t>
  </si>
  <si>
    <t>001838596000083</t>
  </si>
  <si>
    <t>ENT DE GESTION DE SERVICES;L'ACCUEL AU MAROC ET L'ETRANGER DES JEUNES ADOLESCENTS</t>
  </si>
  <si>
    <t>MAG N° 532 LOT AZLI MARRAKECH</t>
  </si>
  <si>
    <t>001635419000027</t>
  </si>
  <si>
    <t>TENANT UNE AUTO ECOLE</t>
  </si>
  <si>
    <t>LOT NAHDA N°586 EL MHAMID MARRAKECH</t>
  </si>
  <si>
    <t>000115945000063</t>
  </si>
  <si>
    <t xml:space="preserve">ELERAGE LED ELECTRICITE TRAV DIVERS </t>
  </si>
  <si>
    <t xml:space="preserve">N°1516 ASKEJOUR SOCOMA MARRAKECH </t>
  </si>
  <si>
    <t>001636838000029</t>
  </si>
  <si>
    <t>PROMOTION IMMOBILIERE</t>
  </si>
  <si>
    <t>N°561 SOCOMA SOUDRI</t>
  </si>
  <si>
    <t>'000100889000048</t>
  </si>
  <si>
    <t xml:space="preserve">TRANSPORT MIXTE </t>
  </si>
  <si>
    <t>78 MASSIRA 1 A MARRAKECH</t>
  </si>
  <si>
    <t>000579373000022</t>
  </si>
  <si>
    <t>OPTICIEN</t>
  </si>
  <si>
    <t>IMM N°78 MASSIRA 1 A (mag)cav</t>
  </si>
  <si>
    <t>001546822000029</t>
  </si>
  <si>
    <t>MARCHENAD ELECTROMRNAGE +ACHAT VENT DES BIENS MEUBLE</t>
  </si>
  <si>
    <t xml:space="preserve">LOT AFAK DR BEN LAHCEN MRABTINE MARRAKEHC </t>
  </si>
  <si>
    <t>000201151000050</t>
  </si>
  <si>
    <t xml:space="preserve">TRAVAUX DE CONSTRUCTION </t>
  </si>
  <si>
    <t>1088 LOT SOCOMA</t>
  </si>
  <si>
    <t>001635368000046</t>
  </si>
  <si>
    <t xml:space="preserve">430 BLOC 14 HAY EL HASSANI </t>
  </si>
  <si>
    <t>001505504000061</t>
  </si>
  <si>
    <t>ZAOUIAT EL ANTRI OLD DLIM</t>
  </si>
  <si>
    <t>000417412000015</t>
  </si>
  <si>
    <t xml:space="preserve">ENTREPRENEUR DE TRSP DE MARCHANDISE </t>
  </si>
  <si>
    <t xml:space="preserve">N°403 APPT N°5,3EME ETAGE MASSIRA 1 A MARRAKECH </t>
  </si>
  <si>
    <t>001990283000068</t>
  </si>
  <si>
    <t xml:space="preserve">ACHAT VENTE COMMERCIAL DES NOIX DE CAJOU </t>
  </si>
  <si>
    <t>AV ABDELEKRIM EL KHATTABI RES JAWAD IMM 109 3 ETAGE APT 43 MARRAKECH</t>
  </si>
  <si>
    <t>002077360000075</t>
  </si>
  <si>
    <t xml:space="preserve">MARCHAND MATERIAUX DE CONSTRUTION-PLOMBERIE -ELECTRUCITE -SANITAIRE </t>
  </si>
  <si>
    <t>IMM FATIMA ZOUHRA N°66 MASSIRA 1 D</t>
  </si>
  <si>
    <t>MAG N° 14 HAY IGOUDARE AIT OURIR, MARRAKECH</t>
  </si>
  <si>
    <t>EXPLOITANT DES MINES</t>
  </si>
  <si>
    <t>APT 5 IMM 24 SAADA AV ALLAL EL FASSI</t>
  </si>
  <si>
    <t>64401691</t>
  </si>
  <si>
    <t>002220461000052</t>
  </si>
  <si>
    <t xml:space="preserve">CONSTRUCTION ARCHTECTURE RESIDENTIEL ET ETUDES TECHNIQUES </t>
  </si>
  <si>
    <t xml:space="preserve">25 OPERATION SOUSS 2 MASSIRA 1 A MARRAKECH </t>
  </si>
  <si>
    <t>MARCHAND EPECERIE EN DETAIL</t>
  </si>
  <si>
    <t xml:space="preserve">DOUAR CHAKOURA COMMUNE SAADA MARRAKECH </t>
  </si>
  <si>
    <t>000072553000081</t>
  </si>
  <si>
    <t>MENUISIER (ENTREPRENEUR )</t>
  </si>
  <si>
    <t xml:space="preserve">N°267 SEMI CAVE BERRADI 2 MHAMID MARRAKECH </t>
  </si>
  <si>
    <t>001691119000015</t>
  </si>
  <si>
    <t xml:space="preserve"> RC</t>
  </si>
  <si>
    <t>6504825</t>
  </si>
  <si>
    <t>MAG 1 TR 8 N 176 TAMENSOURTE</t>
  </si>
  <si>
    <t>70731086</t>
  </si>
  <si>
    <t>001161165000012</t>
  </si>
  <si>
    <t>FRIPIER EN DETAIL</t>
  </si>
  <si>
    <t>20739886</t>
  </si>
  <si>
    <t>001870623000012</t>
  </si>
  <si>
    <t>5502217</t>
  </si>
  <si>
    <t>0012235000025</t>
  </si>
  <si>
    <t>6526184</t>
  </si>
  <si>
    <t>001701354000023</t>
  </si>
  <si>
    <t>6529867</t>
  </si>
  <si>
    <t>001580593000012</t>
  </si>
  <si>
    <t>6990237</t>
  </si>
  <si>
    <t>000085983000057</t>
  </si>
  <si>
    <t>5572707</t>
  </si>
  <si>
    <t>001957337000023</t>
  </si>
  <si>
    <t>24836488</t>
  </si>
  <si>
    <t>37512930</t>
  </si>
  <si>
    <t>002226471000063</t>
  </si>
  <si>
    <t>PM</t>
  </si>
  <si>
    <t>AMINA</t>
  </si>
  <si>
    <t>DR IGHIL OUARZAZATE - AMERZGANE</t>
  </si>
  <si>
    <t>SIR2020V06038499</t>
  </si>
  <si>
    <t>SIR2020V05979201</t>
  </si>
  <si>
    <t>SIR2020V06045818</t>
  </si>
  <si>
    <t>SIS2020V03626212</t>
  </si>
  <si>
    <t>SIS2020V03626226</t>
  </si>
  <si>
    <t>SIS2020V03534945</t>
  </si>
  <si>
    <t>SIS2020V03536728</t>
  </si>
  <si>
    <t>31/02/2020</t>
  </si>
  <si>
    <t>SIR2020V06408410</t>
  </si>
  <si>
    <t>SIR2020V06416666</t>
  </si>
  <si>
    <t>SIR2020V06417008</t>
  </si>
  <si>
    <t>SIR2020V06416757</t>
  </si>
  <si>
    <t>SIR2020V06079165</t>
  </si>
  <si>
    <t>SIR2020V06081338</t>
  </si>
  <si>
    <t>SIR2020V06149908</t>
  </si>
  <si>
    <t>SIR2020V06245106</t>
  </si>
  <si>
    <t>SIR2020V06245439</t>
  </si>
  <si>
    <t>SIR2020V05776870</t>
  </si>
  <si>
    <t>SIR2020V06326345</t>
  </si>
  <si>
    <t>SIR2020V06286244</t>
  </si>
  <si>
    <t>SIR2020V06359800</t>
  </si>
  <si>
    <t>SIR2020V06427747</t>
  </si>
  <si>
    <t>SIR2020V06276561</t>
  </si>
  <si>
    <t>SIR2020V06351667</t>
  </si>
  <si>
    <t>SIR2020V06359914</t>
  </si>
  <si>
    <t>SIR2020V05907741</t>
  </si>
  <si>
    <t>SIR2020V06247005</t>
  </si>
  <si>
    <t>SIR2020V06366420</t>
  </si>
  <si>
    <t>SIR2020V05874094</t>
  </si>
  <si>
    <t>SIR2020V06359367</t>
  </si>
  <si>
    <t>SDT12730132020</t>
  </si>
  <si>
    <t>SDT12455092020</t>
  </si>
  <si>
    <t>SDT12934182020</t>
  </si>
  <si>
    <t>SDT13198562020</t>
  </si>
  <si>
    <t>SDT13295782020</t>
  </si>
  <si>
    <t>SIS2020V03498903</t>
  </si>
  <si>
    <t>SIS2020V03498905</t>
  </si>
  <si>
    <t>SIS2020V03522488</t>
  </si>
  <si>
    <t>SIS2020V03539930</t>
  </si>
  <si>
    <t>SIS2020V03539365</t>
  </si>
  <si>
    <t>SIS2020V03539485</t>
  </si>
  <si>
    <t>SIS2020V03541414</t>
  </si>
  <si>
    <t>SIS2020V03540441</t>
  </si>
  <si>
    <t>SIS2020V03543158</t>
  </si>
  <si>
    <t>SIS2020V03628472</t>
  </si>
  <si>
    <t>SIS2020V03628486</t>
  </si>
  <si>
    <t>SIS2020V03630278</t>
  </si>
  <si>
    <t>SIS2020V03630426</t>
  </si>
  <si>
    <t>SIS2020V03888509</t>
  </si>
  <si>
    <t>SIS2020V03599848</t>
  </si>
  <si>
    <t>SIS2020V03693133</t>
  </si>
  <si>
    <t>SIS2020V03583241</t>
  </si>
  <si>
    <t>SIS2020V03583262</t>
  </si>
  <si>
    <t>SIS2020V04100124</t>
  </si>
  <si>
    <t>SIS2020V03533310</t>
  </si>
  <si>
    <t>2054101947199*</t>
  </si>
  <si>
    <t>2193539850203*</t>
  </si>
  <si>
    <t>SIS2020V04164198</t>
  </si>
  <si>
    <t>SIS2020V04164216</t>
  </si>
  <si>
    <t>SIS2020V04164268</t>
  </si>
  <si>
    <t>SIS2020V03989323</t>
  </si>
  <si>
    <t>SIS2020V04038367</t>
  </si>
  <si>
    <t>SIR2020V06566165</t>
  </si>
  <si>
    <t>SIR2020V06548055</t>
  </si>
  <si>
    <t>SIS2020V03540253</t>
  </si>
  <si>
    <t>SIS2020V04108793</t>
  </si>
  <si>
    <t>SIS2020V03989140</t>
  </si>
  <si>
    <t>SIS2020V03996642</t>
  </si>
  <si>
    <t>SIS2020V03989153</t>
  </si>
  <si>
    <t>SIS2020V03989184</t>
  </si>
  <si>
    <t>SIS2020V03522503</t>
  </si>
  <si>
    <t>SIS2020V03990951</t>
  </si>
  <si>
    <t>CR9 SERVICE</t>
  </si>
  <si>
    <t xml:space="preserve">SARL AU </t>
  </si>
  <si>
    <t xml:space="preserve">MAG N°M55 RDC BLOC G TRANCHE 2 RES ABIR AZLI MARRAKECH </t>
  </si>
  <si>
    <t>39493075</t>
  </si>
  <si>
    <t>002376974000006</t>
  </si>
  <si>
    <t>RESTANRANT/CAFE</t>
  </si>
  <si>
    <t>1017570576209</t>
  </si>
  <si>
    <t>SIR2020V06677176</t>
  </si>
  <si>
    <t>SDT13997952020</t>
  </si>
  <si>
    <t>1017607827205</t>
  </si>
  <si>
    <t>SIR2020V06682504</t>
  </si>
  <si>
    <t>SIR2020V06680978</t>
  </si>
  <si>
    <t>SIR2020V06680997</t>
  </si>
  <si>
    <t>SIR2020V06722232</t>
  </si>
  <si>
    <t>SIR2020V06722246</t>
  </si>
  <si>
    <t>SIR2020V06722157</t>
  </si>
  <si>
    <t>SIR2020V06722304</t>
  </si>
  <si>
    <t>SIS2020V03620595</t>
  </si>
  <si>
    <t>SDT1429631</t>
  </si>
  <si>
    <t>SIR2020V06728900</t>
  </si>
  <si>
    <t>SDT14313992020</t>
  </si>
  <si>
    <t>6993055</t>
  </si>
  <si>
    <t>SIS2020V04037276</t>
  </si>
  <si>
    <t>SIS2020V04037261</t>
  </si>
  <si>
    <t>SIS2020V04037247</t>
  </si>
  <si>
    <t>SIS2020V04205914</t>
  </si>
  <si>
    <t>SIS2020V04206187</t>
  </si>
  <si>
    <t>SIS2020V04206495</t>
  </si>
  <si>
    <t>SIS2020V03836677</t>
  </si>
  <si>
    <t>SIS2020V03836703</t>
  </si>
  <si>
    <t>SIS2020V03836723</t>
  </si>
  <si>
    <t>SDT12525962020</t>
  </si>
  <si>
    <t>SIR2020V05908821</t>
  </si>
  <si>
    <t>SIR2020V06279559</t>
  </si>
  <si>
    <t>SIR2020V06340066</t>
  </si>
  <si>
    <t>SIR2020V06441911</t>
  </si>
  <si>
    <t>SIR2020V06566595</t>
  </si>
  <si>
    <t>SIR2020V06682186</t>
  </si>
  <si>
    <t>SIS2020V04038192</t>
  </si>
  <si>
    <t>SDT12525322020</t>
  </si>
  <si>
    <t>SIS2020V03979707</t>
  </si>
  <si>
    <t>SIS2020V03979748</t>
  </si>
  <si>
    <t>SIS2020V03979775</t>
  </si>
  <si>
    <t>SDT12526622020</t>
  </si>
  <si>
    <t>SIR2020V05909421</t>
  </si>
  <si>
    <t>SIS2020V04038333</t>
  </si>
  <si>
    <t>SIS2020V03553159</t>
  </si>
  <si>
    <t>SIS2020V03553194</t>
  </si>
  <si>
    <t>SDT12525612020</t>
  </si>
  <si>
    <t>SDT13076582020</t>
  </si>
  <si>
    <t>SIS2020V03575314</t>
  </si>
  <si>
    <t>SIS2020V04163542</t>
  </si>
  <si>
    <t>SIS2020V03824274</t>
  </si>
  <si>
    <t>SIS2020V03854731</t>
  </si>
  <si>
    <t>SIS2020V04112751</t>
  </si>
  <si>
    <t>SIS2020V03823601</t>
  </si>
  <si>
    <t>SIS2020V03823627</t>
  </si>
  <si>
    <t>SIS2020V03760827</t>
  </si>
  <si>
    <t>SIS2020V03760810</t>
  </si>
  <si>
    <t>SIS2020V04189626</t>
  </si>
  <si>
    <t>SIS2020V04111448</t>
  </si>
  <si>
    <t>SIS2020V04111820</t>
  </si>
  <si>
    <t>SIS2020V04111869</t>
  </si>
  <si>
    <t>SIS2020V03896112</t>
  </si>
  <si>
    <t>SIS2020V04100526</t>
  </si>
  <si>
    <t>SIS2020V03896128</t>
  </si>
  <si>
    <t>SIS2020V04112142</t>
  </si>
  <si>
    <t>SIS2020V04112302</t>
  </si>
  <si>
    <t>SIS2020V04312228</t>
  </si>
  <si>
    <t>SIS2020V03769840</t>
  </si>
  <si>
    <t>SIS2020V03769833</t>
  </si>
  <si>
    <t>SDT15104212020</t>
  </si>
  <si>
    <t>SIS2020V04343950</t>
  </si>
  <si>
    <t>SIS2020V04346410</t>
  </si>
  <si>
    <t>SIS2020V04346579</t>
  </si>
  <si>
    <t>SIR2020V06832540</t>
  </si>
  <si>
    <t>SIR2020V06834528</t>
  </si>
  <si>
    <t>SIR2020V06834622</t>
  </si>
  <si>
    <t>SIR2020V06845626</t>
  </si>
  <si>
    <t>SIR2020V06842419</t>
  </si>
  <si>
    <t>SIS2020V4367723</t>
  </si>
  <si>
    <t>SIS2020V04294918</t>
  </si>
  <si>
    <t xml:space="preserve">LAHLIB TOUR </t>
  </si>
  <si>
    <t xml:space="preserve">MAG M'HAMID 9 N°617 MENARA MARRAKECH </t>
  </si>
  <si>
    <t>45654888</t>
  </si>
  <si>
    <t>002459337000027</t>
  </si>
  <si>
    <t>SIR2020V06442824</t>
  </si>
  <si>
    <t>SIR2020V06442963</t>
  </si>
  <si>
    <t>SIR2020V06272028</t>
  </si>
  <si>
    <t>SIR2020V06271964</t>
  </si>
  <si>
    <t>,</t>
  </si>
  <si>
    <t>MAISON PRIME ROSE</t>
  </si>
  <si>
    <t>IMM ENNOUR 3 APPART N°1 ENNAKHIL MARRAKECH</t>
  </si>
  <si>
    <t>45974699</t>
  </si>
  <si>
    <t>002601843000064</t>
  </si>
  <si>
    <t>FLEURISTE</t>
  </si>
  <si>
    <t>RIAD PREMIUM</t>
  </si>
  <si>
    <t xml:space="preserve">AV ABDELKRIM EL KHATTABI RES JAWAD IMM 109 APPT N°43 3EME ETAGE MARRAKECH </t>
  </si>
  <si>
    <t>45916746</t>
  </si>
  <si>
    <t>002597821000018</t>
  </si>
  <si>
    <t>LOCATION RIAD ET SOUS LOCATION DES MAISONS D'HOTES</t>
  </si>
  <si>
    <t>SIR2020V06936546</t>
  </si>
  <si>
    <t>SIR2020V06544408</t>
  </si>
  <si>
    <t>MOUNTAINWHEELS</t>
  </si>
  <si>
    <t xml:space="preserve">SARL  </t>
  </si>
  <si>
    <t>39418465</t>
  </si>
  <si>
    <t>002352477000079</t>
  </si>
  <si>
    <t>MOTOCYCLES PIECES DETACHEES ET ACCESSOIRES DE MOTOCYCLES (MARCHAND DE) EN DEMI-GROS OU EN DETAIL  CYCLES (LOUEUR DE)</t>
  </si>
  <si>
    <t>OSSAKA BUILDING SOLUTIONS</t>
  </si>
  <si>
    <t>39419022</t>
  </si>
  <si>
    <t>002346261000004</t>
  </si>
  <si>
    <t xml:space="preserve">MAITRISE D'ŒUVRE-CONSEILS TECHIQUE-RECHERCHE DE SOLUTIONS ET PRODUITS </t>
  </si>
  <si>
    <t>SIS2020V04381117</t>
  </si>
  <si>
    <t>SIR2020V06723723</t>
  </si>
  <si>
    <t>SIS2020V04382413</t>
  </si>
  <si>
    <t>SDT15350012020</t>
  </si>
  <si>
    <t>02/22/2020</t>
  </si>
  <si>
    <t>SDT16988242020</t>
  </si>
  <si>
    <t>20/22/2020</t>
  </si>
  <si>
    <t>SIR2020V06987737</t>
  </si>
  <si>
    <t>SIR2020V06272058</t>
  </si>
  <si>
    <t>SDT13077822020</t>
  </si>
  <si>
    <t>SDT13726032020</t>
  </si>
  <si>
    <t>SDT14199622020</t>
  </si>
  <si>
    <t>SDT17295692020</t>
  </si>
  <si>
    <t>SIS2020D04411587</t>
  </si>
  <si>
    <t>SIS2020D04414787</t>
  </si>
  <si>
    <t>BASMA</t>
  </si>
  <si>
    <t>SIS2020V04506148</t>
  </si>
  <si>
    <t>SIS2020V04506137</t>
  </si>
  <si>
    <t>SIR2021V07454605</t>
  </si>
  <si>
    <t>SIR2021V07454627</t>
  </si>
  <si>
    <t>SIR2021V07454654</t>
  </si>
  <si>
    <t>SIR2021V07454688</t>
  </si>
  <si>
    <t>29/09/20220</t>
  </si>
  <si>
    <t>SIR2020V06851165</t>
  </si>
  <si>
    <t>SIR2021V07454770</t>
  </si>
  <si>
    <t>SIR2021V07454804</t>
  </si>
  <si>
    <t>SIR2020V07066730</t>
  </si>
  <si>
    <t>SIR2021V07358767</t>
  </si>
  <si>
    <t>SDT20106112020</t>
  </si>
  <si>
    <t>SIR2021D07220363</t>
  </si>
  <si>
    <t>SIR2021D07176621</t>
  </si>
  <si>
    <t>SIR2021D07168105</t>
  </si>
  <si>
    <t>SIR2021D07168176</t>
  </si>
  <si>
    <t>SIR2021D07168209</t>
  </si>
  <si>
    <t>SIR2021D07417318</t>
  </si>
  <si>
    <t>SIR2021D07168362</t>
  </si>
  <si>
    <t>SIR2021D07418892</t>
  </si>
  <si>
    <t>SIR2021D07419052</t>
  </si>
  <si>
    <t>SIR2021D07419484</t>
  </si>
  <si>
    <t>SIR2021D07419999</t>
  </si>
  <si>
    <t>SIR2021D07420075</t>
  </si>
  <si>
    <t>SIR2021D07420238</t>
  </si>
  <si>
    <t>SIR2021D07405632</t>
  </si>
  <si>
    <t>SIR2021D07168143</t>
  </si>
  <si>
    <t>SIR2021D07423573</t>
  </si>
  <si>
    <t>SIR2021D07424988</t>
  </si>
  <si>
    <t>SIR2021D07428573</t>
  </si>
  <si>
    <t>SIR2021D07391365</t>
  </si>
  <si>
    <t>SIR2021D07394341</t>
  </si>
  <si>
    <t>SIR2021D07212754</t>
  </si>
  <si>
    <t>SIR2021D07212671</t>
  </si>
  <si>
    <t>SIR2021D07434110</t>
  </si>
  <si>
    <t>SIR2021D07213558</t>
  </si>
  <si>
    <t>SIR2021D07589621</t>
  </si>
  <si>
    <t>SIR2021D07631237</t>
  </si>
  <si>
    <t>SIR2021D07825263</t>
  </si>
  <si>
    <t>SIR2021D07461692</t>
  </si>
  <si>
    <t>SIR2021D07494754</t>
  </si>
  <si>
    <t>SIS2021D04574318</t>
  </si>
  <si>
    <t>SIS2021D04574291</t>
  </si>
  <si>
    <t>SIS2021D04575375</t>
  </si>
  <si>
    <t>SIS2021D04575192</t>
  </si>
  <si>
    <t>SIS2021D04608706</t>
  </si>
  <si>
    <t>SIS2021D04608526</t>
  </si>
  <si>
    <t>SIS2021D04608819</t>
  </si>
  <si>
    <t>SIS2021D04608880</t>
  </si>
  <si>
    <t>SIS2021D04623829</t>
  </si>
  <si>
    <t>SIS2021D04623579</t>
  </si>
  <si>
    <t>SIR2021D07821693</t>
  </si>
  <si>
    <t>SIS2021D04632843</t>
  </si>
  <si>
    <t>SIR2021D07985052</t>
  </si>
  <si>
    <t>SIS2021D04630702</t>
  </si>
  <si>
    <t>SIS2021D04630568</t>
  </si>
  <si>
    <t>SIS2021D04633032</t>
  </si>
  <si>
    <t>SIS2021D04640206</t>
  </si>
  <si>
    <t>SIS2021D04654134</t>
  </si>
  <si>
    <t>SIS2021D04678093</t>
  </si>
  <si>
    <t>SIS2021D04678683</t>
  </si>
  <si>
    <t>SIS2021D04669755</t>
  </si>
  <si>
    <t>SIS2021D04743634</t>
  </si>
  <si>
    <t>M08</t>
  </si>
  <si>
    <t>SIS2021D04766517</t>
  </si>
  <si>
    <t>SIS2021D04817309</t>
  </si>
  <si>
    <t>SIS2021D05153628</t>
  </si>
  <si>
    <t>SIS2021D05274607</t>
  </si>
  <si>
    <t>SIR2021D08588232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</si>
</sst>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3" formatCode="_-* #,##0.00\ _€_-;\-* #,##0.00\ _€_-;_-* &quot;-&quot;??\ _€_-;_-@_-"/>
  </numFmts>
  <fonts count="36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u/>
      <sz val="16"/>
      <color theme="1"/>
      <name val="Calibri"/>
      <family val="2"/>
      <scheme val="minor"/>
    </font>
    <font>
      <b/>
      <i/>
      <u/>
      <sz val="15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1.5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rgb="FFC00000"/>
      <name val="Calibri"/>
      <family val="2"/>
      <scheme val="minor"/>
    </font>
    <font>
      <b/>
      <sz val="12"/>
      <color rgb="FFEEC100"/>
      <name val="Calibri"/>
      <family val="2"/>
      <scheme val="minor"/>
    </font>
    <font>
      <sz val="8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0"/>
      <name val="Calibri"/>
      <family val="2"/>
      <scheme val="minor"/>
    </font>
    <font>
      <sz val="11"/>
      <color theme="1"/>
      <name val="Arial"/>
      <family val="2"/>
    </font>
  </fonts>
  <fills count="65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B4C9E2"/>
        <bgColor indexed="64"/>
      </patternFill>
    </fill>
    <fill>
      <patternFill patternType="solid">
        <fgColor rgb="FFCCDAEC"/>
        <bgColor indexed="64"/>
      </patternFill>
    </fill>
    <fill>
      <patternFill patternType="solid">
        <fgColor rgb="FF98B5D8"/>
        <bgColor indexed="64"/>
      </patternFill>
    </fill>
    <fill>
      <patternFill patternType="solid">
        <fgColor rgb="FF7FA3CF"/>
        <bgColor indexed="64"/>
      </patternFill>
    </fill>
    <fill>
      <patternFill patternType="solid">
        <fgColor rgb="FF6893C6"/>
        <bgColor indexed="64"/>
      </patternFill>
    </fill>
    <fill>
      <patternFill patternType="solid">
        <fgColor rgb="FF477BB9"/>
        <bgColor indexed="64"/>
      </patternFill>
    </fill>
    <fill>
      <patternFill patternType="solid">
        <fgColor rgb="FF345A88"/>
        <bgColor indexed="64"/>
      </patternFill>
    </fill>
    <fill>
      <patternFill patternType="solid">
        <fgColor rgb="FF3D6AA1"/>
        <bgColor indexed="64"/>
      </patternFill>
    </fill>
    <fill>
      <patternFill patternType="solid">
        <fgColor rgb="FF29486D"/>
        <bgColor indexed="64"/>
      </patternFill>
    </fill>
    <fill>
      <patternFill patternType="solid">
        <fgColor rgb="FF1E344E"/>
        <bgColor indexed="64"/>
      </patternFill>
    </fill>
    <fill>
      <patternFill patternType="solid">
        <fgColor rgb="FF101C2A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BA434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81FF8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lightDown"/>
    </fill>
    <fill>
      <patternFill patternType="solid">
        <fgColor theme="6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CCFF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BFF9B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E885"/>
        <bgColor indexed="64"/>
      </patternFill>
    </fill>
    <fill>
      <patternFill patternType="solid">
        <fgColor rgb="FFFFDF57"/>
        <bgColor indexed="64"/>
      </patternFill>
    </fill>
    <fill>
      <patternFill patternType="solid">
        <fgColor rgb="FFFFD833"/>
        <bgColor indexed="64"/>
      </patternFill>
    </fill>
    <fill>
      <patternFill patternType="solid">
        <fgColor rgb="FFEEC1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893BC3"/>
        <bgColor indexed="64"/>
      </patternFill>
    </fill>
    <fill>
      <patternFill patternType="solid">
        <fgColor rgb="FF7099CA"/>
        <bgColor indexed="64"/>
      </patternFill>
    </fill>
    <fill>
      <patternFill patternType="solid">
        <fgColor rgb="FF6ABAD0"/>
        <bgColor indexed="64"/>
      </patternFill>
    </fill>
    <fill>
      <patternFill patternType="solid">
        <fgColor rgb="FF2DFF2D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A3FFA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lightDown">
        <bgColor theme="0" tint="-0.14999847407452621"/>
      </patternFill>
    </fill>
    <fill>
      <patternFill patternType="solid">
        <fgColor theme="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00B050"/>
        <bgColor indexed="64"/>
      </patternFill>
    </fill>
  </fills>
  <borders count="235">
    <border>
      <left/>
      <right/>
      <top/>
      <bottom/>
      <diagonal/>
    </border>
    <border>
      <left style="thin">
        <color theme="3"/>
      </left>
      <right style="thin">
        <color theme="3"/>
      </right>
      <top style="thin">
        <color theme="3"/>
      </top>
      <bottom style="thin">
        <color theme="3"/>
      </bottom>
      <diagonal/>
    </border>
    <border>
      <left style="thin">
        <color theme="3" tint="0.39997558519241921"/>
      </left>
      <right style="thin">
        <color theme="3" tint="0.39997558519241921"/>
      </right>
      <top style="thin">
        <color theme="3" tint="0.39997558519241921"/>
      </top>
      <bottom style="thin">
        <color theme="3" tint="0.39997558519241921"/>
      </bottom>
      <diagonal/>
    </border>
    <border>
      <left style="thin">
        <color theme="3" tint="0.39997558519241921"/>
      </left>
      <right/>
      <top style="thin">
        <color theme="3" tint="0.39997558519241921"/>
      </top>
      <bottom style="thin">
        <color theme="3" tint="0.39997558519241921"/>
      </bottom>
      <diagonal/>
    </border>
    <border>
      <left/>
      <right style="thin">
        <color theme="3" tint="0.39997558519241921"/>
      </right>
      <top style="thin">
        <color theme="3" tint="0.39997558519241921"/>
      </top>
      <bottom style="thin">
        <color theme="3" tint="0.39997558519241921"/>
      </bottom>
      <diagonal/>
    </border>
    <border>
      <left style="double">
        <color theme="3" tint="0.39994506668294322"/>
      </left>
      <right style="thin">
        <color theme="3" tint="0.39997558519241921"/>
      </right>
      <top style="thin">
        <color theme="3" tint="0.39997558519241921"/>
      </top>
      <bottom style="thin">
        <color theme="3" tint="0.39997558519241921"/>
      </bottom>
      <diagonal/>
    </border>
    <border>
      <left style="thin">
        <color theme="3" tint="0.39997558519241921"/>
      </left>
      <right style="double">
        <color theme="3" tint="0.39994506668294322"/>
      </right>
      <top style="thin">
        <color theme="3" tint="0.39997558519241921"/>
      </top>
      <bottom style="thin">
        <color theme="3" tint="0.39997558519241921"/>
      </bottom>
      <diagonal/>
    </border>
    <border>
      <left style="thin">
        <color theme="3" tint="0.39997558519241921"/>
      </left>
      <right style="double">
        <color theme="3" tint="0.39991454817346722"/>
      </right>
      <top style="thin">
        <color theme="3" tint="0.39997558519241921"/>
      </top>
      <bottom style="thin">
        <color theme="3" tint="0.39997558519241921"/>
      </bottom>
      <diagonal/>
    </border>
    <border>
      <left style="double">
        <color theme="3" tint="0.39994506668294322"/>
      </left>
      <right style="thin">
        <color theme="3" tint="0.39997558519241921"/>
      </right>
      <top/>
      <bottom style="thin">
        <color theme="3" tint="0.39997558519241921"/>
      </bottom>
      <diagonal/>
    </border>
    <border>
      <left style="thin">
        <color theme="3" tint="0.39997558519241921"/>
      </left>
      <right style="double">
        <color theme="3" tint="0.39994506668294322"/>
      </right>
      <top/>
      <bottom style="thin">
        <color theme="3" tint="0.39997558519241921"/>
      </bottom>
      <diagonal/>
    </border>
    <border>
      <left/>
      <right style="thin">
        <color theme="3" tint="0.39997558519241921"/>
      </right>
      <top/>
      <bottom style="thin">
        <color theme="3" tint="0.39997558519241921"/>
      </bottom>
      <diagonal/>
    </border>
    <border>
      <left style="thin">
        <color theme="3" tint="0.39997558519241921"/>
      </left>
      <right/>
      <top/>
      <bottom style="thin">
        <color theme="3" tint="0.39997558519241921"/>
      </bottom>
      <diagonal/>
    </border>
    <border>
      <left style="thin">
        <color theme="3" tint="0.39997558519241921"/>
      </left>
      <right style="double">
        <color theme="3" tint="0.39991454817346722"/>
      </right>
      <top/>
      <bottom style="thin">
        <color theme="3" tint="0.39997558519241921"/>
      </bottom>
      <diagonal/>
    </border>
    <border>
      <left style="double">
        <color theme="3" tint="0.39994506668294322"/>
      </left>
      <right/>
      <top style="double">
        <color theme="3" tint="0.39991454817346722"/>
      </top>
      <bottom/>
      <diagonal/>
    </border>
    <border>
      <left/>
      <right style="double">
        <color theme="3" tint="0.39994506668294322"/>
      </right>
      <top style="double">
        <color theme="3" tint="0.39991454817346722"/>
      </top>
      <bottom/>
      <diagonal/>
    </border>
    <border>
      <left/>
      <right/>
      <top style="double">
        <color theme="3" tint="0.39991454817346722"/>
      </top>
      <bottom/>
      <diagonal/>
    </border>
    <border>
      <left/>
      <right style="double">
        <color theme="3" tint="0.39991454817346722"/>
      </right>
      <top style="double">
        <color theme="3" tint="0.39991454817346722"/>
      </top>
      <bottom/>
      <diagonal/>
    </border>
    <border>
      <left style="double">
        <color theme="3" tint="0.39994506668294322"/>
      </left>
      <right style="thin">
        <color theme="3" tint="0.39997558519241921"/>
      </right>
      <top style="thin">
        <color theme="3" tint="0.39997558519241921"/>
      </top>
      <bottom style="double">
        <color theme="3" tint="0.39991454817346722"/>
      </bottom>
      <diagonal/>
    </border>
    <border>
      <left style="thin">
        <color theme="3" tint="0.39997558519241921"/>
      </left>
      <right style="double">
        <color theme="3" tint="0.39994506668294322"/>
      </right>
      <top style="thin">
        <color theme="3" tint="0.39997558519241921"/>
      </top>
      <bottom style="double">
        <color theme="3" tint="0.39991454817346722"/>
      </bottom>
      <diagonal/>
    </border>
    <border>
      <left/>
      <right style="thin">
        <color theme="3" tint="0.39997558519241921"/>
      </right>
      <top style="thin">
        <color theme="3" tint="0.39997558519241921"/>
      </top>
      <bottom style="double">
        <color theme="3" tint="0.39991454817346722"/>
      </bottom>
      <diagonal/>
    </border>
    <border>
      <left style="thin">
        <color theme="3" tint="0.39997558519241921"/>
      </left>
      <right/>
      <top style="thin">
        <color theme="3" tint="0.39997558519241921"/>
      </top>
      <bottom style="double">
        <color theme="3" tint="0.39991454817346722"/>
      </bottom>
      <diagonal/>
    </border>
    <border>
      <left style="thin">
        <color theme="3" tint="0.39997558519241921"/>
      </left>
      <right style="double">
        <color theme="3" tint="0.39991454817346722"/>
      </right>
      <top style="thin">
        <color theme="3" tint="0.39997558519241921"/>
      </top>
      <bottom style="double">
        <color theme="3" tint="0.39991454817346722"/>
      </bottom>
      <diagonal/>
    </border>
    <border>
      <left style="thin">
        <color theme="5" tint="0.39994506668294322"/>
      </left>
      <right style="thin">
        <color theme="5" tint="0.39994506668294322"/>
      </right>
      <top style="double">
        <color theme="5" tint="0.39994506668294322"/>
      </top>
      <bottom style="thin">
        <color theme="5" tint="0.39994506668294322"/>
      </bottom>
      <diagonal/>
    </border>
    <border>
      <left style="thin">
        <color theme="5" tint="0.39994506668294322"/>
      </left>
      <right style="double">
        <color theme="5" tint="0.39994506668294322"/>
      </right>
      <top style="double">
        <color theme="5" tint="0.39994506668294322"/>
      </top>
      <bottom style="thin">
        <color theme="5" tint="0.39994506668294322"/>
      </bottom>
      <diagonal/>
    </border>
    <border>
      <left style="thin">
        <color theme="5" tint="0.39994506668294322"/>
      </left>
      <right style="thin">
        <color theme="5" tint="0.39994506668294322"/>
      </right>
      <top style="thin">
        <color theme="5" tint="0.39994506668294322"/>
      </top>
      <bottom style="thin">
        <color theme="5" tint="0.39994506668294322"/>
      </bottom>
      <diagonal/>
    </border>
    <border>
      <left style="thin">
        <color theme="5" tint="0.39994506668294322"/>
      </left>
      <right style="thin">
        <color theme="5" tint="0.39994506668294322"/>
      </right>
      <top style="thin">
        <color theme="5" tint="0.39994506668294322"/>
      </top>
      <bottom/>
      <diagonal/>
    </border>
    <border>
      <left style="thin">
        <color theme="5" tint="0.39994506668294322"/>
      </left>
      <right style="double">
        <color theme="5" tint="0.39994506668294322"/>
      </right>
      <top style="thin">
        <color theme="5" tint="0.39994506668294322"/>
      </top>
      <bottom/>
      <diagonal/>
    </border>
    <border>
      <left style="thin">
        <color theme="5" tint="0.39994506668294322"/>
      </left>
      <right/>
      <top style="thin">
        <color theme="5" tint="0.39994506668294322"/>
      </top>
      <bottom style="thin">
        <color theme="5" tint="0.39994506668294322"/>
      </bottom>
      <diagonal/>
    </border>
    <border>
      <left/>
      <right style="thin">
        <color theme="5" tint="0.39994506668294322"/>
      </right>
      <top style="double">
        <color theme="5" tint="0.39994506668294322"/>
      </top>
      <bottom style="thin">
        <color theme="5" tint="0.39994506668294322"/>
      </bottom>
      <diagonal/>
    </border>
    <border>
      <left/>
      <right style="thin">
        <color theme="5" tint="0.39994506668294322"/>
      </right>
      <top style="thin">
        <color theme="5" tint="0.39994506668294322"/>
      </top>
      <bottom/>
      <diagonal/>
    </border>
    <border>
      <left/>
      <right style="thin">
        <color theme="5" tint="0.39994506668294322"/>
      </right>
      <top style="thin">
        <color theme="5" tint="0.39994506668294322"/>
      </top>
      <bottom style="thin">
        <color theme="5" tint="0.39994506668294322"/>
      </bottom>
      <diagonal/>
    </border>
    <border>
      <left style="double">
        <color theme="5" tint="0.39991454817346722"/>
      </left>
      <right style="thin">
        <color theme="5" tint="0.39994506668294322"/>
      </right>
      <top style="double">
        <color theme="5" tint="0.39994506668294322"/>
      </top>
      <bottom style="thin">
        <color theme="5" tint="0.39994506668294322"/>
      </bottom>
      <diagonal/>
    </border>
    <border>
      <left style="thin">
        <color theme="5" tint="0.39994506668294322"/>
      </left>
      <right style="double">
        <color theme="5" tint="0.39991454817346722"/>
      </right>
      <top style="double">
        <color theme="5" tint="0.39994506668294322"/>
      </top>
      <bottom style="thin">
        <color theme="5" tint="0.39994506668294322"/>
      </bottom>
      <diagonal/>
    </border>
    <border>
      <left style="double">
        <color theme="5" tint="0.39991454817346722"/>
      </left>
      <right style="thin">
        <color theme="5" tint="0.39994506668294322"/>
      </right>
      <top style="thin">
        <color theme="5" tint="0.39994506668294322"/>
      </top>
      <bottom/>
      <diagonal/>
    </border>
    <border>
      <left style="thin">
        <color theme="5" tint="0.39994506668294322"/>
      </left>
      <right style="double">
        <color theme="5" tint="0.39991454817346722"/>
      </right>
      <top style="thin">
        <color theme="5" tint="0.39994506668294322"/>
      </top>
      <bottom/>
      <diagonal/>
    </border>
    <border>
      <left style="double">
        <color theme="5" tint="0.39991454817346722"/>
      </left>
      <right style="thin">
        <color theme="5" tint="0.39994506668294322"/>
      </right>
      <top style="thin">
        <color theme="5" tint="0.39994506668294322"/>
      </top>
      <bottom style="thin">
        <color theme="5" tint="0.39994506668294322"/>
      </bottom>
      <diagonal/>
    </border>
    <border>
      <left style="thin">
        <color theme="5" tint="0.39994506668294322"/>
      </left>
      <right style="double">
        <color theme="5" tint="0.39991454817346722"/>
      </right>
      <top style="thin">
        <color theme="5" tint="0.39994506668294322"/>
      </top>
      <bottom style="thin">
        <color theme="5" tint="0.39994506668294322"/>
      </bottom>
      <diagonal/>
    </border>
    <border>
      <left style="thin">
        <color theme="5" tint="0.39994506668294322"/>
      </left>
      <right style="thin">
        <color theme="5" tint="0.39994506668294322"/>
      </right>
      <top/>
      <bottom style="thin">
        <color theme="5" tint="0.399945066682943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/>
      <bottom/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/>
      <bottom/>
      <diagonal/>
    </border>
    <border>
      <left/>
      <right style="thin">
        <color theme="4"/>
      </right>
      <top/>
      <bottom/>
      <diagonal/>
    </border>
    <border>
      <left style="thin">
        <color theme="4"/>
      </left>
      <right/>
      <top/>
      <bottom style="thin">
        <color theme="4"/>
      </bottom>
      <diagonal/>
    </border>
    <border>
      <left/>
      <right/>
      <top/>
      <bottom style="thin">
        <color theme="4"/>
      </bottom>
      <diagonal/>
    </border>
    <border>
      <left/>
      <right style="thin">
        <color theme="4"/>
      </right>
      <top/>
      <bottom style="thin">
        <color theme="4"/>
      </bottom>
      <diagonal/>
    </border>
    <border>
      <left style="thin">
        <color rgb="FF92D050"/>
      </left>
      <right/>
      <top/>
      <bottom/>
      <diagonal/>
    </border>
    <border>
      <left style="double">
        <color theme="5" tint="0.39991454817346722"/>
      </left>
      <right style="thin">
        <color theme="5" tint="0.39988402966399123"/>
      </right>
      <top style="thin">
        <color theme="5" tint="0.39994506668294322"/>
      </top>
      <bottom style="thin">
        <color theme="5" tint="0.39988402966399123"/>
      </bottom>
      <diagonal/>
    </border>
    <border>
      <left style="thin">
        <color theme="5" tint="0.39988402966399123"/>
      </left>
      <right style="thin">
        <color theme="5" tint="0.39988402966399123"/>
      </right>
      <top style="thin">
        <color theme="5" tint="0.39994506668294322"/>
      </top>
      <bottom style="thin">
        <color theme="5" tint="0.39988402966399123"/>
      </bottom>
      <diagonal/>
    </border>
    <border>
      <left style="thin">
        <color theme="5" tint="0.39988402966399123"/>
      </left>
      <right style="double">
        <color theme="5" tint="0.39991454817346722"/>
      </right>
      <top style="thin">
        <color theme="5" tint="0.39994506668294322"/>
      </top>
      <bottom style="thin">
        <color theme="5" tint="0.39988402966399123"/>
      </bottom>
      <diagonal/>
    </border>
    <border>
      <left style="double">
        <color theme="5" tint="0.39991454817346722"/>
      </left>
      <right style="thin">
        <color theme="5" tint="0.39988402966399123"/>
      </right>
      <top style="thin">
        <color theme="5" tint="0.39988402966399123"/>
      </top>
      <bottom style="thin">
        <color theme="5" tint="0.39988402966399123"/>
      </bottom>
      <diagonal/>
    </border>
    <border>
      <left style="thin">
        <color theme="5" tint="0.39988402966399123"/>
      </left>
      <right style="thin">
        <color theme="5" tint="0.39988402966399123"/>
      </right>
      <top style="thin">
        <color theme="5" tint="0.39988402966399123"/>
      </top>
      <bottom style="thin">
        <color theme="5" tint="0.39988402966399123"/>
      </bottom>
      <diagonal/>
    </border>
    <border>
      <left style="thin">
        <color theme="5" tint="0.39988402966399123"/>
      </left>
      <right style="double">
        <color theme="5" tint="0.39991454817346722"/>
      </right>
      <top style="thin">
        <color theme="5" tint="0.39988402966399123"/>
      </top>
      <bottom style="thin">
        <color theme="5" tint="0.39988402966399123"/>
      </bottom>
      <diagonal/>
    </border>
    <border>
      <left style="medium">
        <color theme="4" tint="0.79998168889431442"/>
      </left>
      <right style="medium">
        <color theme="4" tint="0.79998168889431442"/>
      </right>
      <top style="medium">
        <color theme="4" tint="0.79998168889431442"/>
      </top>
      <bottom style="medium">
        <color theme="4" tint="0.79998168889431442"/>
      </bottom>
      <diagonal/>
    </border>
    <border>
      <left style="thin">
        <color theme="4" tint="0.59996337778862885"/>
      </left>
      <right style="thin">
        <color theme="4" tint="0.59996337778862885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5" tint="0.59996337778862885"/>
      </left>
      <right style="thin">
        <color theme="5" tint="0.59996337778862885"/>
      </right>
      <top style="thin">
        <color theme="5" tint="0.59996337778862885"/>
      </top>
      <bottom style="thin">
        <color theme="5" tint="0.59996337778862885"/>
      </bottom>
      <diagonal/>
    </border>
    <border>
      <left style="thin">
        <color theme="5" tint="0.79998168889431442"/>
      </left>
      <right style="thin">
        <color theme="5" tint="0.79998168889431442"/>
      </right>
      <top style="thin">
        <color theme="5" tint="0.79998168889431442"/>
      </top>
      <bottom style="thin">
        <color theme="5" tint="0.79998168889431442"/>
      </bottom>
      <diagonal/>
    </border>
    <border>
      <left/>
      <right style="thin">
        <color theme="4" tint="0.59996337778862885"/>
      </right>
      <top/>
      <bottom/>
      <diagonal/>
    </border>
    <border>
      <left style="thin">
        <color theme="5" tint="0.59996337778862885"/>
      </left>
      <right style="thin">
        <color theme="5" tint="0.59996337778862885"/>
      </right>
      <top/>
      <bottom style="thin">
        <color theme="5" tint="0.59996337778862885"/>
      </bottom>
      <diagonal/>
    </border>
    <border>
      <left style="thin">
        <color rgb="FF83E1E1"/>
      </left>
      <right style="thin">
        <color rgb="FF83E1E1"/>
      </right>
      <top style="thin">
        <color rgb="FF83E1E1"/>
      </top>
      <bottom style="thin">
        <color rgb="FF83E1E1"/>
      </bottom>
      <diagonal/>
    </border>
    <border>
      <left style="double">
        <color rgb="FF83E1E1"/>
      </left>
      <right style="double">
        <color rgb="FF83E1E1"/>
      </right>
      <top style="double">
        <color rgb="FF83E1E1"/>
      </top>
      <bottom style="thin">
        <color rgb="FF83E1E1"/>
      </bottom>
      <diagonal/>
    </border>
    <border>
      <left style="thin">
        <color rgb="FF83E1E1"/>
      </left>
      <right/>
      <top style="thin">
        <color rgb="FF83E1E1"/>
      </top>
      <bottom style="thin">
        <color rgb="FF83E1E1"/>
      </bottom>
      <diagonal/>
    </border>
    <border>
      <left style="double">
        <color rgb="FF83E1E1"/>
      </left>
      <right style="double">
        <color rgb="FF83E1E1"/>
      </right>
      <top style="thin">
        <color rgb="FF83E1E1"/>
      </top>
      <bottom style="thin">
        <color rgb="FF83E1E1"/>
      </bottom>
      <diagonal/>
    </border>
    <border>
      <left style="double">
        <color rgb="FF83E1E1"/>
      </left>
      <right/>
      <top style="double">
        <color rgb="FF83E1E1"/>
      </top>
      <bottom style="thin">
        <color rgb="FF83E1E1"/>
      </bottom>
      <diagonal/>
    </border>
    <border>
      <left style="double">
        <color rgb="FF83E1E1"/>
      </left>
      <right/>
      <top style="thin">
        <color rgb="FF83E1E1"/>
      </top>
      <bottom style="thin">
        <color rgb="FF83E1E1"/>
      </bottom>
      <diagonal/>
    </border>
    <border>
      <left style="thin">
        <color theme="7" tint="0.39994506668294322"/>
      </left>
      <right style="thin">
        <color theme="7" tint="0.39994506668294322"/>
      </right>
      <top style="thin">
        <color theme="7" tint="0.39994506668294322"/>
      </top>
      <bottom style="thin">
        <color theme="7" tint="0.39994506668294322"/>
      </bottom>
      <diagonal/>
    </border>
    <border>
      <left style="thin">
        <color theme="7" tint="0.39994506668294322"/>
      </left>
      <right/>
      <top style="thin">
        <color theme="7" tint="0.39994506668294322"/>
      </top>
      <bottom style="thin">
        <color theme="7" tint="0.39994506668294322"/>
      </bottom>
      <diagonal/>
    </border>
    <border>
      <left style="double">
        <color theme="7" tint="0.39994506668294322"/>
      </left>
      <right style="thin">
        <color theme="7" tint="0.39994506668294322"/>
      </right>
      <top style="double">
        <color theme="7" tint="0.39994506668294322"/>
      </top>
      <bottom style="thin">
        <color theme="7" tint="0.39994506668294322"/>
      </bottom>
      <diagonal/>
    </border>
    <border>
      <left style="thin">
        <color theme="7" tint="0.39994506668294322"/>
      </left>
      <right style="thin">
        <color theme="7" tint="0.39994506668294322"/>
      </right>
      <top style="double">
        <color theme="7" tint="0.39994506668294322"/>
      </top>
      <bottom style="thin">
        <color theme="7" tint="0.39994506668294322"/>
      </bottom>
      <diagonal/>
    </border>
    <border>
      <left style="thin">
        <color theme="7" tint="0.39994506668294322"/>
      </left>
      <right style="double">
        <color theme="7" tint="0.39994506668294322"/>
      </right>
      <top style="double">
        <color theme="7" tint="0.39994506668294322"/>
      </top>
      <bottom style="thin">
        <color theme="7" tint="0.39994506668294322"/>
      </bottom>
      <diagonal/>
    </border>
    <border>
      <left style="double">
        <color theme="7" tint="0.39994506668294322"/>
      </left>
      <right style="thin">
        <color theme="7" tint="0.39994506668294322"/>
      </right>
      <top style="thin">
        <color theme="7" tint="0.39994506668294322"/>
      </top>
      <bottom style="double">
        <color theme="7" tint="0.39994506668294322"/>
      </bottom>
      <diagonal/>
    </border>
    <border>
      <left style="thin">
        <color theme="7" tint="0.39994506668294322"/>
      </left>
      <right style="thin">
        <color theme="7" tint="0.39994506668294322"/>
      </right>
      <top style="thin">
        <color theme="7" tint="0.39994506668294322"/>
      </top>
      <bottom style="double">
        <color theme="7" tint="0.39994506668294322"/>
      </bottom>
      <diagonal/>
    </border>
    <border>
      <left style="thin">
        <color theme="7" tint="0.39994506668294322"/>
      </left>
      <right style="double">
        <color theme="7" tint="0.39994506668294322"/>
      </right>
      <top style="thin">
        <color theme="7" tint="0.39994506668294322"/>
      </top>
      <bottom style="double">
        <color theme="7" tint="0.39994506668294322"/>
      </bottom>
      <diagonal/>
    </border>
    <border>
      <left style="thin">
        <color theme="7" tint="0.39994506668294322"/>
      </left>
      <right/>
      <top style="double">
        <color theme="7" tint="0.39994506668294322"/>
      </top>
      <bottom style="thin">
        <color theme="7" tint="0.39994506668294322"/>
      </bottom>
      <diagonal/>
    </border>
    <border>
      <left style="thin">
        <color theme="7" tint="0.39994506668294322"/>
      </left>
      <right/>
      <top style="thin">
        <color theme="7" tint="0.39994506668294322"/>
      </top>
      <bottom style="double">
        <color theme="7" tint="0.39994506668294322"/>
      </bottom>
      <diagonal/>
    </border>
    <border>
      <left/>
      <right style="thin">
        <color theme="7" tint="0.39994506668294322"/>
      </right>
      <top style="double">
        <color theme="7" tint="0.39994506668294322"/>
      </top>
      <bottom style="thin">
        <color theme="7" tint="0.39994506668294322"/>
      </bottom>
      <diagonal/>
    </border>
    <border>
      <left/>
      <right style="thin">
        <color theme="7" tint="0.39994506668294322"/>
      </right>
      <top style="thin">
        <color theme="7" tint="0.39994506668294322"/>
      </top>
      <bottom style="double">
        <color theme="7" tint="0.39994506668294322"/>
      </bottom>
      <diagonal/>
    </border>
    <border>
      <left style="double">
        <color theme="7" tint="0.39991454817346722"/>
      </left>
      <right style="thin">
        <color theme="7" tint="0.39994506668294322"/>
      </right>
      <top style="double">
        <color theme="7" tint="0.39994506668294322"/>
      </top>
      <bottom style="thin">
        <color theme="7" tint="0.39994506668294322"/>
      </bottom>
      <diagonal/>
    </border>
    <border>
      <left style="thin">
        <color theme="7" tint="0.39994506668294322"/>
      </left>
      <right style="double">
        <color theme="7" tint="0.39991454817346722"/>
      </right>
      <top style="double">
        <color theme="7" tint="0.39994506668294322"/>
      </top>
      <bottom style="thin">
        <color theme="7" tint="0.39994506668294322"/>
      </bottom>
      <diagonal/>
    </border>
    <border>
      <left style="double">
        <color theme="7" tint="0.39991454817346722"/>
      </left>
      <right style="thin">
        <color theme="7" tint="0.39994506668294322"/>
      </right>
      <top style="thin">
        <color theme="7" tint="0.39994506668294322"/>
      </top>
      <bottom style="double">
        <color theme="7" tint="0.39994506668294322"/>
      </bottom>
      <diagonal/>
    </border>
    <border>
      <left style="thin">
        <color theme="7" tint="0.39994506668294322"/>
      </left>
      <right style="double">
        <color theme="7" tint="0.39991454817346722"/>
      </right>
      <top style="thin">
        <color theme="7" tint="0.39994506668294322"/>
      </top>
      <bottom style="double">
        <color theme="7" tint="0.39994506668294322"/>
      </bottom>
      <diagonal/>
    </border>
    <border>
      <left style="double">
        <color theme="7" tint="0.39991454817346722"/>
      </left>
      <right style="thin">
        <color theme="7" tint="0.39991454817346722"/>
      </right>
      <top style="thin">
        <color theme="7" tint="0.39991454817346722"/>
      </top>
      <bottom style="thin">
        <color theme="7" tint="0.39991454817346722"/>
      </bottom>
      <diagonal/>
    </border>
    <border>
      <left style="thin">
        <color theme="7" tint="0.39991454817346722"/>
      </left>
      <right style="double">
        <color theme="7" tint="0.39994506668294322"/>
      </right>
      <top style="thin">
        <color theme="7" tint="0.39991454817346722"/>
      </top>
      <bottom style="thin">
        <color theme="7" tint="0.39991454817346722"/>
      </bottom>
      <diagonal/>
    </border>
    <border>
      <left style="double">
        <color theme="7" tint="0.39991454817346722"/>
      </left>
      <right style="thin">
        <color theme="7" tint="0.39991454817346722"/>
      </right>
      <top style="thin">
        <color theme="7" tint="0.39991454817346722"/>
      </top>
      <bottom/>
      <diagonal/>
    </border>
    <border>
      <left style="thin">
        <color theme="7" tint="0.39991454817346722"/>
      </left>
      <right style="double">
        <color theme="7" tint="0.39994506668294322"/>
      </right>
      <top style="thin">
        <color theme="7" tint="0.39991454817346722"/>
      </top>
      <bottom/>
      <diagonal/>
    </border>
    <border>
      <left style="double">
        <color theme="7" tint="0.39994506668294322"/>
      </left>
      <right style="thin">
        <color theme="7" tint="0.39991454817346722"/>
      </right>
      <top style="thin">
        <color theme="7" tint="0.39994506668294322"/>
      </top>
      <bottom style="thin">
        <color theme="7" tint="0.39994506668294322"/>
      </bottom>
      <diagonal/>
    </border>
    <border>
      <left style="thin">
        <color theme="7" tint="0.39991454817346722"/>
      </left>
      <right style="double">
        <color theme="7" tint="0.39991454817346722"/>
      </right>
      <top style="thin">
        <color theme="7" tint="0.39994506668294322"/>
      </top>
      <bottom style="thin">
        <color theme="7" tint="0.39994506668294322"/>
      </bottom>
      <diagonal/>
    </border>
    <border>
      <left style="double">
        <color theme="7" tint="0.39991454817346722"/>
      </left>
      <right style="thin">
        <color theme="7" tint="0.39988402966399123"/>
      </right>
      <top style="thin">
        <color theme="7" tint="0.39994506668294322"/>
      </top>
      <bottom style="thin">
        <color theme="7" tint="0.39994506668294322"/>
      </bottom>
      <diagonal/>
    </border>
    <border>
      <left style="thin">
        <color theme="7" tint="0.39988402966399123"/>
      </left>
      <right style="double">
        <color theme="7" tint="0.39988402966399123"/>
      </right>
      <top style="thin">
        <color theme="7" tint="0.39994506668294322"/>
      </top>
      <bottom style="thin">
        <color theme="7" tint="0.39994506668294322"/>
      </bottom>
      <diagonal/>
    </border>
    <border>
      <left style="double">
        <color theme="7" tint="0.39988402966399123"/>
      </left>
      <right style="thin">
        <color theme="7" tint="0.39985351115451523"/>
      </right>
      <top style="thin">
        <color theme="7" tint="0.39994506668294322"/>
      </top>
      <bottom style="thin">
        <color theme="7" tint="0.39994506668294322"/>
      </bottom>
      <diagonal/>
    </border>
    <border>
      <left style="thin">
        <color theme="7" tint="0.39985351115451523"/>
      </left>
      <right style="double">
        <color theme="7" tint="0.39985351115451523"/>
      </right>
      <top style="thin">
        <color theme="7" tint="0.39994506668294322"/>
      </top>
      <bottom style="thin">
        <color theme="7" tint="0.39994506668294322"/>
      </bottom>
      <diagonal/>
    </border>
    <border>
      <left style="double">
        <color theme="7" tint="0.39985351115451523"/>
      </left>
      <right style="thin">
        <color theme="7" tint="0.39982299264503923"/>
      </right>
      <top style="thin">
        <color theme="7" tint="0.39994506668294322"/>
      </top>
      <bottom style="thin">
        <color theme="7" tint="0.39994506668294322"/>
      </bottom>
      <diagonal/>
    </border>
    <border>
      <left style="thin">
        <color theme="7" tint="0.39982299264503923"/>
      </left>
      <right style="double">
        <color theme="7" tint="0.39982299264503923"/>
      </right>
      <top style="thin">
        <color theme="7" tint="0.39994506668294322"/>
      </top>
      <bottom style="thin">
        <color theme="7" tint="0.39994506668294322"/>
      </bottom>
      <diagonal/>
    </border>
    <border>
      <left style="double">
        <color theme="7" tint="0.39982299264503923"/>
      </left>
      <right style="thin">
        <color theme="7" tint="0.39979247413556324"/>
      </right>
      <top style="thin">
        <color theme="7" tint="0.39994506668294322"/>
      </top>
      <bottom style="thin">
        <color theme="7" tint="0.39994506668294322"/>
      </bottom>
      <diagonal/>
    </border>
    <border>
      <left style="thin">
        <color theme="7" tint="0.39979247413556324"/>
      </left>
      <right style="double">
        <color theme="7" tint="0.39979247413556324"/>
      </right>
      <top style="thin">
        <color theme="7" tint="0.39994506668294322"/>
      </top>
      <bottom style="thin">
        <color theme="7" tint="0.39994506668294322"/>
      </bottom>
      <diagonal/>
    </border>
    <border>
      <left style="double">
        <color theme="7" tint="0.39979247413556324"/>
      </left>
      <right style="thin">
        <color theme="7" tint="0.39976195562608724"/>
      </right>
      <top style="thin">
        <color theme="7" tint="0.39994506668294322"/>
      </top>
      <bottom style="thin">
        <color theme="7" tint="0.39994506668294322"/>
      </bottom>
      <diagonal/>
    </border>
    <border>
      <left style="thin">
        <color theme="7" tint="0.39976195562608724"/>
      </left>
      <right style="double">
        <color theme="7" tint="0.39976195562608724"/>
      </right>
      <top style="thin">
        <color theme="7" tint="0.39994506668294322"/>
      </top>
      <bottom style="thin">
        <color theme="7" tint="0.39994506668294322"/>
      </bottom>
      <diagonal/>
    </border>
    <border>
      <left style="double">
        <color theme="7" tint="0.39976195562608724"/>
      </left>
      <right style="thin">
        <color theme="7" tint="0.39973143711661124"/>
      </right>
      <top style="thin">
        <color theme="7" tint="0.39994506668294322"/>
      </top>
      <bottom style="thin">
        <color theme="7" tint="0.39994506668294322"/>
      </bottom>
      <diagonal/>
    </border>
    <border>
      <left style="thin">
        <color theme="7" tint="0.39973143711661124"/>
      </left>
      <right style="double">
        <color theme="7" tint="0.39973143711661124"/>
      </right>
      <top style="thin">
        <color theme="7" tint="0.39994506668294322"/>
      </top>
      <bottom style="thin">
        <color theme="7" tint="0.39994506668294322"/>
      </bottom>
      <diagonal/>
    </border>
    <border>
      <left style="double">
        <color theme="7" tint="0.39973143711661124"/>
      </left>
      <right style="thin">
        <color theme="7" tint="0.39970091860713525"/>
      </right>
      <top style="thin">
        <color theme="7" tint="0.39994506668294322"/>
      </top>
      <bottom style="thin">
        <color theme="7" tint="0.39994506668294322"/>
      </bottom>
      <diagonal/>
    </border>
    <border>
      <left style="thin">
        <color theme="7" tint="0.39970091860713525"/>
      </left>
      <right style="double">
        <color theme="7" tint="0.39970091860713525"/>
      </right>
      <top style="thin">
        <color theme="7" tint="0.39994506668294322"/>
      </top>
      <bottom style="thin">
        <color theme="7" tint="0.39994506668294322"/>
      </bottom>
      <diagonal/>
    </border>
    <border>
      <left style="double">
        <color theme="7" tint="0.39970091860713525"/>
      </left>
      <right style="thin">
        <color theme="7" tint="0.39967040009765925"/>
      </right>
      <top style="thin">
        <color theme="7" tint="0.39994506668294322"/>
      </top>
      <bottom style="thin">
        <color theme="7" tint="0.39994506668294322"/>
      </bottom>
      <diagonal/>
    </border>
    <border>
      <left style="thin">
        <color theme="7" tint="0.39967040009765925"/>
      </left>
      <right style="double">
        <color theme="7" tint="0.39967040009765925"/>
      </right>
      <top style="thin">
        <color theme="7" tint="0.39994506668294322"/>
      </top>
      <bottom style="thin">
        <color theme="7" tint="0.39994506668294322"/>
      </bottom>
      <diagonal/>
    </border>
    <border>
      <left style="double">
        <color theme="7" tint="0.39967040009765925"/>
      </left>
      <right style="thin">
        <color theme="7" tint="0.39963988158818325"/>
      </right>
      <top style="thin">
        <color theme="7" tint="0.39994506668294322"/>
      </top>
      <bottom style="thin">
        <color theme="7" tint="0.39994506668294322"/>
      </bottom>
      <diagonal/>
    </border>
    <border>
      <left style="thin">
        <color theme="7" tint="0.39963988158818325"/>
      </left>
      <right style="double">
        <color theme="7" tint="0.39963988158818325"/>
      </right>
      <top style="thin">
        <color theme="7" tint="0.39994506668294322"/>
      </top>
      <bottom style="thin">
        <color theme="7" tint="0.39994506668294322"/>
      </bottom>
      <diagonal/>
    </border>
    <border>
      <left style="double">
        <color theme="7" tint="0.39963988158818325"/>
      </left>
      <right style="thin">
        <color theme="7" tint="0.39960936307870726"/>
      </right>
      <top style="thin">
        <color theme="7" tint="0.39994506668294322"/>
      </top>
      <bottom style="thin">
        <color theme="7" tint="0.39994506668294322"/>
      </bottom>
      <diagonal/>
    </border>
    <border>
      <left style="thin">
        <color theme="7" tint="0.39960936307870726"/>
      </left>
      <right style="double">
        <color theme="7" tint="0.39960936307870726"/>
      </right>
      <top style="thin">
        <color theme="7" tint="0.39994506668294322"/>
      </top>
      <bottom style="thin">
        <color theme="7" tint="0.39994506668294322"/>
      </bottom>
      <diagonal/>
    </border>
    <border>
      <left style="thin">
        <color theme="7" tint="0.59996337778862885"/>
      </left>
      <right style="thin">
        <color theme="7" tint="0.59996337778862885"/>
      </right>
      <top style="thin">
        <color theme="7" tint="0.59996337778862885"/>
      </top>
      <bottom style="thin">
        <color theme="7" tint="0.59996337778862885"/>
      </bottom>
      <diagonal/>
    </border>
    <border>
      <left style="double">
        <color rgb="FF92D050"/>
      </left>
      <right style="thin">
        <color rgb="FF92D050"/>
      </right>
      <top style="double">
        <color rgb="FF92D050"/>
      </top>
      <bottom style="thin">
        <color rgb="FF92D050"/>
      </bottom>
      <diagonal/>
    </border>
    <border>
      <left style="thin">
        <color rgb="FF92D050"/>
      </left>
      <right style="double">
        <color rgb="FF92D050"/>
      </right>
      <top style="double">
        <color rgb="FF92D050"/>
      </top>
      <bottom style="thin">
        <color rgb="FF92D050"/>
      </bottom>
      <diagonal/>
    </border>
    <border>
      <left style="double">
        <color rgb="FF92D050"/>
      </left>
      <right style="thin">
        <color rgb="FF92D050"/>
      </right>
      <top style="thin">
        <color rgb="FF92D050"/>
      </top>
      <bottom style="double">
        <color rgb="FF92D050"/>
      </bottom>
      <diagonal/>
    </border>
    <border>
      <left style="thin">
        <color rgb="FF92D050"/>
      </left>
      <right style="double">
        <color rgb="FF92D050"/>
      </right>
      <top style="thin">
        <color rgb="FF92D050"/>
      </top>
      <bottom style="double">
        <color rgb="FF92D050"/>
      </bottom>
      <diagonal/>
    </border>
    <border>
      <left style="double">
        <color rgb="FF92D050"/>
      </left>
      <right style="thin">
        <color rgb="FF92D050"/>
      </right>
      <top style="thin">
        <color rgb="FF92D050"/>
      </top>
      <bottom style="thin">
        <color rgb="FF92D050"/>
      </bottom>
      <diagonal/>
    </border>
    <border>
      <left style="thin">
        <color rgb="FF92D050"/>
      </left>
      <right style="double">
        <color rgb="FF92D050"/>
      </right>
      <top style="thin">
        <color rgb="FF92D050"/>
      </top>
      <bottom style="thin">
        <color rgb="FF92D050"/>
      </bottom>
      <diagonal/>
    </border>
    <border>
      <left style="thin">
        <color rgb="FF92D050"/>
      </left>
      <right style="double">
        <color rgb="FF92D050"/>
      </right>
      <top style="thin">
        <color rgb="FF92D050"/>
      </top>
      <bottom/>
      <diagonal/>
    </border>
    <border>
      <left style="thin">
        <color rgb="FF00FF00"/>
      </left>
      <right style="thin">
        <color rgb="FF00FF00"/>
      </right>
      <top style="thin">
        <color rgb="FF00FF00"/>
      </top>
      <bottom style="thin">
        <color rgb="FF00FF00"/>
      </bottom>
      <diagonal/>
    </border>
    <border>
      <left style="thin">
        <color rgb="FFE87275"/>
      </left>
      <right style="thin">
        <color rgb="FFE87275"/>
      </right>
      <top style="thin">
        <color rgb="FFE87275"/>
      </top>
      <bottom style="thin">
        <color rgb="FFE87275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double">
        <color rgb="FFFFCC00"/>
      </left>
      <right style="thin">
        <color rgb="FFFFCC00"/>
      </right>
      <top style="thin">
        <color rgb="FFFFCC00"/>
      </top>
      <bottom style="thin">
        <color rgb="FFFFCC00"/>
      </bottom>
      <diagonal/>
    </border>
    <border>
      <left style="thin">
        <color rgb="FFFFCC00"/>
      </left>
      <right style="thin">
        <color rgb="FFFFCC00"/>
      </right>
      <top style="thin">
        <color rgb="FFFFCC00"/>
      </top>
      <bottom style="thin">
        <color rgb="FFFFCC00"/>
      </bottom>
      <diagonal/>
    </border>
    <border>
      <left style="thin">
        <color rgb="FFFFCC00"/>
      </left>
      <right/>
      <top style="thin">
        <color rgb="FFFFCC00"/>
      </top>
      <bottom style="thin">
        <color rgb="FFFFCC00"/>
      </bottom>
      <diagonal/>
    </border>
    <border>
      <left style="double">
        <color rgb="FFFFC000"/>
      </left>
      <right style="thin">
        <color rgb="FFFFC000"/>
      </right>
      <top style="double">
        <color rgb="FFFFC000"/>
      </top>
      <bottom style="thin">
        <color rgb="FFFFC000"/>
      </bottom>
      <diagonal/>
    </border>
    <border>
      <left style="thin">
        <color rgb="FFFFC000"/>
      </left>
      <right style="double">
        <color rgb="FFFFC000"/>
      </right>
      <top style="double">
        <color rgb="FFFFC000"/>
      </top>
      <bottom style="thin">
        <color rgb="FFFFC000"/>
      </bottom>
      <diagonal/>
    </border>
    <border>
      <left style="double">
        <color rgb="FFFFC000"/>
      </left>
      <right style="thin">
        <color rgb="FFFFC000"/>
      </right>
      <top style="thin">
        <color rgb="FFFFC000"/>
      </top>
      <bottom style="thin">
        <color rgb="FFFFC000"/>
      </bottom>
      <diagonal/>
    </border>
    <border>
      <left style="thin">
        <color rgb="FFFFC000"/>
      </left>
      <right style="double">
        <color rgb="FFFFC000"/>
      </right>
      <top style="thin">
        <color rgb="FFFFC000"/>
      </top>
      <bottom style="thin">
        <color rgb="FFFFC000"/>
      </bottom>
      <diagonal/>
    </border>
    <border>
      <left style="thin">
        <color rgb="FFEEC100"/>
      </left>
      <right style="thin">
        <color rgb="FFEEC100"/>
      </right>
      <top style="thin">
        <color rgb="FFEEC100"/>
      </top>
      <bottom style="thin">
        <color rgb="FFEEC100"/>
      </bottom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  <border>
      <left/>
      <right/>
      <top style="thin">
        <color theme="6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9" tint="0.39994506668294322"/>
      </left>
      <right style="thin">
        <color theme="9" tint="0.39994506668294322"/>
      </right>
      <top style="thin">
        <color theme="9" tint="0.39994506668294322"/>
      </top>
      <bottom style="thin">
        <color theme="9" tint="0.39994506668294322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double">
        <color theme="0" tint="-0.34998626667073579"/>
      </left>
      <right style="thin">
        <color theme="0" tint="-0.34998626667073579"/>
      </right>
      <top style="double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double">
        <color theme="0" tint="-0.34998626667073579"/>
      </right>
      <top style="double">
        <color theme="0" tint="-0.34998626667073579"/>
      </top>
      <bottom style="thin">
        <color theme="0" tint="-0.34998626667073579"/>
      </bottom>
      <diagonal/>
    </border>
    <border>
      <left style="double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double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double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double">
        <color theme="0" tint="-0.34998626667073579"/>
      </bottom>
      <diagonal/>
    </border>
    <border>
      <left style="thin">
        <color theme="0" tint="-0.34998626667073579"/>
      </left>
      <right style="double">
        <color theme="0" tint="-0.34998626667073579"/>
      </right>
      <top style="thin">
        <color theme="0" tint="-0.34998626667073579"/>
      </top>
      <bottom style="double">
        <color theme="0" tint="-0.34998626667073579"/>
      </bottom>
      <diagonal/>
    </border>
    <border>
      <left style="double">
        <color theme="0" tint="-0.34998626667073579"/>
      </left>
      <right style="double">
        <color theme="0" tint="-0.34998626667073579"/>
      </right>
      <top style="double">
        <color theme="0" tint="-0.34998626667073579"/>
      </top>
      <bottom style="thin">
        <color theme="0" tint="-0.34998626667073579"/>
      </bottom>
      <diagonal/>
    </border>
    <border>
      <left style="double">
        <color theme="0" tint="-0.34998626667073579"/>
      </left>
      <right style="double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double">
        <color theme="0" tint="-0.34998626667073579"/>
      </left>
      <right style="double">
        <color theme="0" tint="-0.34998626667073579"/>
      </right>
      <top style="thin">
        <color theme="0" tint="-0.34998626667073579"/>
      </top>
      <bottom style="double">
        <color theme="0" tint="-0.34998626667073579"/>
      </bottom>
      <diagonal/>
    </border>
    <border>
      <left style="medium">
        <color theme="1" tint="0.34998626667073579"/>
      </left>
      <right style="thin">
        <color theme="1" tint="0.34998626667073579"/>
      </right>
      <top style="medium">
        <color theme="1" tint="0.34998626667073579"/>
      </top>
      <bottom style="thin">
        <color theme="1" tint="0.34998626667073579"/>
      </bottom>
      <diagonal/>
    </border>
    <border>
      <left style="medium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medium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medium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 style="medium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 style="medium">
        <color theme="1" tint="0.34998626667073579"/>
      </right>
      <top style="medium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 style="medium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medium">
        <color theme="1" tint="0.34998626667073579"/>
      </bottom>
      <diagonal/>
    </border>
    <border>
      <left style="thin">
        <color theme="1" tint="0.34998626667073579"/>
      </left>
      <right/>
      <top/>
      <bottom style="medium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/>
      <diagonal/>
    </border>
    <border>
      <left style="thin">
        <color theme="1" tint="0.34998626667073579"/>
      </left>
      <right style="medium">
        <color theme="1" tint="0.34998626667073579"/>
      </right>
      <top/>
      <bottom style="medium">
        <color theme="1" tint="0.34998626667073579"/>
      </bottom>
      <diagonal/>
    </border>
    <border>
      <left style="thin">
        <color theme="1" tint="0.34998626667073579"/>
      </left>
      <right style="medium">
        <color theme="1" tint="0.34998626667073579"/>
      </right>
      <top style="thin">
        <color theme="1" tint="0.34998626667073579"/>
      </top>
      <bottom/>
      <diagonal/>
    </border>
    <border>
      <left style="medium">
        <color theme="0" tint="-0.34998626667073579"/>
      </left>
      <right style="medium">
        <color theme="0" tint="-0.34998626667073579"/>
      </right>
      <top style="medium">
        <color theme="0" tint="-0.34998626667073579"/>
      </top>
      <bottom style="medium">
        <color theme="0" tint="-0.34998626667073579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double">
        <color theme="0" tint="-0.24994659260841701"/>
      </left>
      <right style="thin">
        <color theme="0" tint="-0.24994659260841701"/>
      </right>
      <top style="double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theme="0" tint="-0.24994659260841701"/>
      </right>
      <top style="double">
        <color theme="0" tint="-0.24994659260841701"/>
      </top>
      <bottom style="thin">
        <color theme="0" tint="-0.24994659260841701"/>
      </bottom>
      <diagonal/>
    </border>
    <border>
      <left style="double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double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double">
        <color theme="0" tint="-0.24994659260841701"/>
      </bottom>
      <diagonal/>
    </border>
    <border>
      <left style="thin">
        <color theme="0" tint="-0.24994659260841701"/>
      </left>
      <right style="double">
        <color theme="0" tint="-0.24994659260841701"/>
      </right>
      <top style="thin">
        <color theme="0" tint="-0.24994659260841701"/>
      </top>
      <bottom style="double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theme="0" tint="-0.24994659260841701"/>
      </right>
      <top/>
      <bottom style="thin">
        <color theme="0" tint="-0.24994659260841701"/>
      </bottom>
      <diagonal/>
    </border>
    <border>
      <left style="double">
        <color theme="0" tint="-0.24994659260841701"/>
      </left>
      <right/>
      <top style="double">
        <color theme="0" tint="-0.24994659260841701"/>
      </top>
      <bottom style="thin">
        <color theme="0" tint="-0.24994659260841701"/>
      </bottom>
      <diagonal/>
    </border>
    <border>
      <left style="double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double">
        <color theme="0" tint="-0.24994659260841701"/>
      </left>
      <right/>
      <top style="thin">
        <color theme="0" tint="-0.24994659260841701"/>
      </top>
      <bottom style="double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double">
        <color theme="0" tint="-0.24994659260841701"/>
      </bottom>
      <diagonal/>
    </border>
    <border>
      <left style="double">
        <color theme="0" tint="-0.24994659260841701"/>
      </left>
      <right style="double">
        <color theme="0" tint="-0.24994659260841701"/>
      </right>
      <top style="double">
        <color theme="0" tint="-0.24994659260841701"/>
      </top>
      <bottom style="thin">
        <color theme="0" tint="-0.24994659260841701"/>
      </bottom>
      <diagonal/>
    </border>
    <border>
      <left style="double">
        <color theme="0" tint="-0.24994659260841701"/>
      </left>
      <right style="double">
        <color theme="0" tint="-0.24994659260841701"/>
      </right>
      <top style="thin">
        <color theme="0" tint="-0.24994659260841701"/>
      </top>
      <bottom style="double">
        <color theme="0" tint="-0.24994659260841701"/>
      </bottom>
      <diagonal/>
    </border>
    <border>
      <left style="double">
        <color theme="0" tint="-0.24994659260841701"/>
      </left>
      <right style="double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double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double">
        <color theme="0" tint="-0.24994659260841701"/>
      </bottom>
      <diagonal/>
    </border>
    <border>
      <left/>
      <right style="double">
        <color theme="0" tint="-0.24994659260841701"/>
      </right>
      <top style="double">
        <color theme="0" tint="-0.24994659260841701"/>
      </top>
      <bottom style="thin">
        <color theme="0" tint="-0.24994659260841701"/>
      </bottom>
      <diagonal/>
    </border>
    <border>
      <left/>
      <right style="double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double">
        <color theme="0" tint="-0.24994659260841701"/>
      </right>
      <top style="thin">
        <color theme="0" tint="-0.24994659260841701"/>
      </top>
      <bottom style="double">
        <color theme="0" tint="-0.24994659260841701"/>
      </bottom>
      <diagonal/>
    </border>
    <border>
      <left style="double">
        <color theme="0" tint="-0.34998626667073579"/>
      </left>
      <right/>
      <top style="double">
        <color theme="0" tint="-0.34998626667073579"/>
      </top>
      <bottom style="thin">
        <color theme="0" tint="-0.34998626667073579"/>
      </bottom>
      <diagonal/>
    </border>
    <border>
      <left/>
      <right style="double">
        <color theme="0" tint="-0.34998626667073579"/>
      </right>
      <top style="double">
        <color theme="0" tint="-0.34998626667073579"/>
      </top>
      <bottom style="thin">
        <color theme="0" tint="-0.34998626667073579"/>
      </bottom>
      <diagonal/>
    </border>
    <border>
      <left style="thick">
        <color theme="0" tint="-0.34998626667073579"/>
      </left>
      <right style="thick">
        <color theme="0" tint="-0.34998626667073579"/>
      </right>
      <top style="thick">
        <color theme="0" tint="-0.34998626667073579"/>
      </top>
      <bottom style="thick">
        <color theme="0" tint="-0.34998626667073579"/>
      </bottom>
      <diagonal/>
    </border>
    <border>
      <left style="medium">
        <color theme="0" tint="-0.34998626667073579"/>
      </left>
      <right/>
      <top style="medium">
        <color theme="0" tint="-0.34998626667073579"/>
      </top>
      <bottom style="medium">
        <color theme="0" tint="-0.34998626667073579"/>
      </bottom>
      <diagonal/>
    </border>
    <border>
      <left style="double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double">
        <color theme="0" tint="-0.34998626667073579"/>
      </right>
      <top style="thin">
        <color theme="0" tint="-0.34998626667073579"/>
      </top>
      <bottom/>
      <diagonal/>
    </border>
    <border>
      <left style="thick">
        <color theme="0" tint="-0.34998626667073579"/>
      </left>
      <right style="double">
        <color theme="0" tint="-0.34998626667073579"/>
      </right>
      <top style="thick">
        <color theme="0" tint="-0.34998626667073579"/>
      </top>
      <bottom style="thick">
        <color theme="0" tint="-0.34998626667073579"/>
      </bottom>
      <diagonal/>
    </border>
    <border>
      <left/>
      <right style="thick">
        <color theme="0" tint="-0.34998626667073579"/>
      </right>
      <top style="thick">
        <color theme="0" tint="-0.34998626667073579"/>
      </top>
      <bottom style="thick">
        <color theme="0" tint="-0.34998626667073579"/>
      </bottom>
      <diagonal/>
    </border>
    <border>
      <left style="thin">
        <color theme="4" tint="0.59996337778862885"/>
      </left>
      <right style="thin">
        <color theme="4" tint="0.59996337778862885"/>
      </right>
      <top/>
      <bottom/>
      <diagonal/>
    </border>
    <border>
      <left style="thin">
        <color rgb="FF00FF00"/>
      </left>
      <right/>
      <top/>
      <bottom/>
      <diagonal/>
    </border>
    <border>
      <left style="thin">
        <color rgb="FF00FF00"/>
      </left>
      <right style="thin">
        <color rgb="FF00FF00"/>
      </right>
      <top style="thin">
        <color rgb="FF00FF00"/>
      </top>
      <bottom/>
      <diagonal/>
    </border>
    <border>
      <left style="double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double">
        <color theme="0" tint="-0.34998626667073579"/>
      </left>
      <right/>
      <top style="thin">
        <color theme="0" tint="-0.34998626667073579"/>
      </top>
      <bottom style="double">
        <color theme="0" tint="-0.34998626667073579"/>
      </bottom>
      <diagonal/>
    </border>
    <border>
      <left style="double">
        <color theme="0" tint="-0.34998626667073579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theme="0" tint="-0.34998626667073579"/>
      </right>
      <top style="thin">
        <color theme="0" tint="-0.24994659260841701"/>
      </top>
      <bottom style="thin">
        <color theme="0" tint="-0.24994659260841701"/>
      </bottom>
      <diagonal/>
    </border>
    <border>
      <left style="double">
        <color theme="0" tint="-0.34998626667073579"/>
      </left>
      <right/>
      <top style="double">
        <color theme="0" tint="-0.34998626667073579"/>
      </top>
      <bottom style="thin">
        <color theme="0" tint="-0.24994659260841701"/>
      </bottom>
      <diagonal/>
    </border>
    <border>
      <left/>
      <right style="double">
        <color theme="0" tint="-0.34998626667073579"/>
      </right>
      <top style="double">
        <color theme="0" tint="-0.34998626667073579"/>
      </top>
      <bottom style="thin">
        <color theme="0" tint="-0.24994659260841701"/>
      </bottom>
      <diagonal/>
    </border>
    <border>
      <left style="double">
        <color theme="0" tint="-0.34998626667073579"/>
      </left>
      <right/>
      <top/>
      <bottom/>
      <diagonal/>
    </border>
    <border>
      <left style="thin">
        <color rgb="FFEEC100"/>
      </left>
      <right style="thin">
        <color rgb="FFEEC100"/>
      </right>
      <top style="thin">
        <color rgb="FFEEC100"/>
      </top>
      <bottom/>
      <diagonal/>
    </border>
    <border>
      <left style="double">
        <color theme="0" tint="-0.34998626667073579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double">
        <color theme="0" tint="-0.34998626667073579"/>
      </right>
      <top style="thin">
        <color theme="0" tint="-0.24994659260841701"/>
      </top>
      <bottom/>
      <diagonal/>
    </border>
    <border>
      <left style="thick">
        <color theme="1" tint="0.34998626667073579"/>
      </left>
      <right/>
      <top style="thick">
        <color theme="1" tint="0.34998626667073579"/>
      </top>
      <bottom style="thick">
        <color theme="1" tint="0.34998626667073579"/>
      </bottom>
      <diagonal/>
    </border>
    <border>
      <left style="double">
        <color theme="1" tint="0.34998626667073579"/>
      </left>
      <right style="thick">
        <color theme="1" tint="0.34998626667073579"/>
      </right>
      <top style="thick">
        <color theme="1" tint="0.34998626667073579"/>
      </top>
      <bottom style="thick">
        <color theme="1" tint="0.34998626667073579"/>
      </bottom>
      <diagonal/>
    </border>
    <border>
      <left style="thick">
        <color theme="1" tint="0.34998626667073579"/>
      </left>
      <right style="double">
        <color theme="1" tint="0.34998626667073579"/>
      </right>
      <top style="thick">
        <color theme="1" tint="0.34998626667073579"/>
      </top>
      <bottom style="thick">
        <color theme="1" tint="0.34998626667073579"/>
      </bottom>
      <diagonal/>
    </border>
    <border>
      <left style="double">
        <color theme="0" tint="-0.34998626667073579"/>
      </left>
      <right style="double">
        <color theme="0" tint="-0.34998626667073579"/>
      </right>
      <top style="double">
        <color theme="0" tint="-0.34998626667073579"/>
      </top>
      <bottom/>
      <diagonal/>
    </border>
    <border>
      <left style="double">
        <color theme="0" tint="-0.34998626667073579"/>
      </left>
      <right style="double">
        <color theme="0" tint="-0.34998626667073579"/>
      </right>
      <top style="thin">
        <color theme="0" tint="-0.14996795556505021"/>
      </top>
      <bottom style="thin">
        <color theme="0" tint="-0.14996795556505021"/>
      </bottom>
      <diagonal/>
    </border>
    <border>
      <left style="double">
        <color theme="0" tint="-0.34998626667073579"/>
      </left>
      <right style="double">
        <color theme="0" tint="-0.34998626667073579"/>
      </right>
      <top style="thin">
        <color theme="0" tint="-0.14996795556505021"/>
      </top>
      <bottom style="double">
        <color theme="0" tint="-0.34998626667073579"/>
      </bottom>
      <diagonal/>
    </border>
    <border>
      <left style="double">
        <color theme="0" tint="-0.499984740745262"/>
      </left>
      <right style="double">
        <color theme="0" tint="-0.499984740745262"/>
      </right>
      <top style="double">
        <color theme="0" tint="-0.499984740745262"/>
      </top>
      <bottom style="thin">
        <color theme="0" tint="-0.14996795556505021"/>
      </bottom>
      <diagonal/>
    </border>
    <border>
      <left style="double">
        <color theme="0" tint="-0.499984740745262"/>
      </left>
      <right style="double">
        <color theme="0" tint="-0.499984740745262"/>
      </right>
      <top/>
      <bottom/>
      <diagonal/>
    </border>
    <border>
      <left style="double">
        <color theme="0" tint="-0.499984740745262"/>
      </left>
      <right style="double">
        <color theme="0" tint="-0.499984740745262"/>
      </right>
      <top/>
      <bottom style="double">
        <color theme="0" tint="-0.499984740745262"/>
      </bottom>
      <diagonal/>
    </border>
    <border>
      <left style="thin">
        <color rgb="FFE87275"/>
      </left>
      <right style="thin">
        <color rgb="FFE87275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 style="double">
        <color theme="0" tint="-0.34998626667073579"/>
      </left>
      <right/>
      <top style="double">
        <color theme="0" tint="-0.34998626667073579"/>
      </top>
      <bottom style="thin">
        <color theme="0" tint="-0.14996795556505021"/>
      </bottom>
      <diagonal/>
    </border>
    <border>
      <left/>
      <right style="double">
        <color theme="0" tint="-0.34998626667073579"/>
      </right>
      <top style="double">
        <color theme="0" tint="-0.34998626667073579"/>
      </top>
      <bottom style="thin">
        <color theme="0" tint="-0.14996795556505021"/>
      </bottom>
      <diagonal/>
    </border>
    <border>
      <left style="thin">
        <color theme="2" tint="-0.499984740745262"/>
      </left>
      <right/>
      <top style="thin">
        <color theme="2" tint="-0.499984740745262"/>
      </top>
      <bottom style="thin">
        <color theme="2" tint="-0.499984740745262"/>
      </bottom>
      <diagonal/>
    </border>
    <border>
      <left style="thin">
        <color theme="9" tint="0.39991454817346722"/>
      </left>
      <right style="thin">
        <color theme="9" tint="0.39991454817346722"/>
      </right>
      <top style="thin">
        <color theme="9" tint="0.39991454817346722"/>
      </top>
      <bottom style="thin">
        <color theme="9" tint="0.39991454817346722"/>
      </bottom>
      <diagonal/>
    </border>
    <border>
      <left style="thin">
        <color theme="6"/>
      </left>
      <right style="thin">
        <color theme="6"/>
      </right>
      <top style="thin">
        <color theme="6"/>
      </top>
      <bottom/>
      <diagonal/>
    </border>
    <border>
      <left style="double">
        <color theme="0" tint="-0.499984740745262"/>
      </left>
      <right style="double">
        <color theme="0" tint="-0.499984740745262"/>
      </right>
      <top style="double">
        <color theme="0" tint="-0.499984740745262"/>
      </top>
      <bottom style="thin">
        <color theme="0" tint="-0.499984740745262"/>
      </bottom>
      <diagonal/>
    </border>
    <border>
      <left style="double">
        <color theme="0" tint="-0.499984740745262"/>
      </left>
      <right style="double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double">
        <color theme="0" tint="-0.499984740745262"/>
      </left>
      <right style="double">
        <color theme="0" tint="-0.499984740745262"/>
      </right>
      <top style="thin">
        <color theme="0" tint="-0.499984740745262"/>
      </top>
      <bottom style="double">
        <color theme="0" tint="-0.499984740745262"/>
      </bottom>
      <diagonal/>
    </border>
    <border>
      <left/>
      <right style="double">
        <color theme="0" tint="-0.499984740745262"/>
      </right>
      <top style="double">
        <color theme="0" tint="-0.499984740745262"/>
      </top>
      <bottom style="thin">
        <color theme="0" tint="-0.499984740745262"/>
      </bottom>
      <diagonal/>
    </border>
    <border>
      <left/>
      <right style="double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double">
        <color theme="0" tint="-0.499984740745262"/>
      </right>
      <top style="thin">
        <color theme="0" tint="-0.499984740745262"/>
      </top>
      <bottom style="double">
        <color theme="0" tint="-0.499984740745262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thin">
        <color theme="3" tint="0.39994506668294322"/>
      </left>
      <right style="thin">
        <color theme="3" tint="0.39994506668294322"/>
      </right>
      <top style="thin">
        <color theme="3" tint="0.39994506668294322"/>
      </top>
      <bottom style="thin">
        <color theme="3" tint="0.39994506668294322"/>
      </bottom>
      <diagonal/>
    </border>
    <border>
      <left/>
      <right style="thin">
        <color rgb="FF92D050"/>
      </right>
      <top style="thin">
        <color rgb="FF92D050"/>
      </top>
      <bottom style="double">
        <color rgb="FF92D050"/>
      </bottom>
      <diagonal/>
    </border>
    <border>
      <left/>
      <right style="thin">
        <color rgb="FF92D050"/>
      </right>
      <top style="double">
        <color rgb="FF92D050"/>
      </top>
      <bottom style="thin">
        <color rgb="FF92D050"/>
      </bottom>
      <diagonal/>
    </border>
    <border>
      <left/>
      <right style="thin">
        <color rgb="FF92D050"/>
      </right>
      <top style="thin">
        <color rgb="FF92D050"/>
      </top>
      <bottom style="thin">
        <color rgb="FF92D050"/>
      </bottom>
      <diagonal/>
    </border>
    <border>
      <left/>
      <right style="thin">
        <color rgb="FF92D050"/>
      </right>
      <top style="thin">
        <color rgb="FF92D050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43" fontId="12" fillId="0" borderId="0" applyFont="0" applyFill="0" applyBorder="0" applyAlignment="0" applyProtection="0"/>
    <xf numFmtId="0" fontId="14" fillId="0" borderId="0"/>
  </cellStyleXfs>
  <cellXfs count="685">
    <xf numFmtId="0" fontId="0" fillId="0" borderId="0" xfId="0"/>
    <xf numFmtId="0" fontId="1" fillId="3" borderId="0" xfId="1" applyFill="1" applyBorder="1"/>
    <xf numFmtId="14" fontId="0" fillId="0" borderId="0" xfId="0" applyNumberFormat="1"/>
    <xf numFmtId="0" fontId="2" fillId="0" borderId="0" xfId="0" applyFont="1"/>
    <xf numFmtId="0" fontId="2" fillId="0" borderId="0" xfId="0" applyFont="1" applyAlignment="1">
      <alignment horizontal="left"/>
    </xf>
    <xf numFmtId="0" fontId="0" fillId="0" borderId="0" xfId="0" applyFont="1"/>
    <xf numFmtId="0" fontId="0" fillId="0" borderId="2" xfId="0" applyBorder="1"/>
    <xf numFmtId="0" fontId="0" fillId="0" borderId="3" xfId="0" applyBorder="1"/>
    <xf numFmtId="0" fontId="2" fillId="5" borderId="17" xfId="0" applyFont="1" applyFill="1" applyBorder="1"/>
    <xf numFmtId="0" fontId="2" fillId="5" borderId="18" xfId="0" applyFont="1" applyFill="1" applyBorder="1"/>
    <xf numFmtId="0" fontId="2" fillId="7" borderId="19" xfId="0" applyFont="1" applyFill="1" applyBorder="1"/>
    <xf numFmtId="0" fontId="2" fillId="7" borderId="20" xfId="0" applyFont="1" applyFill="1" applyBorder="1"/>
    <xf numFmtId="0" fontId="2" fillId="6" borderId="17" xfId="0" applyFont="1" applyFill="1" applyBorder="1"/>
    <xf numFmtId="0" fontId="2" fillId="6" borderId="18" xfId="0" applyFont="1" applyFill="1" applyBorder="1"/>
    <xf numFmtId="0" fontId="2" fillId="8" borderId="19" xfId="0" applyFont="1" applyFill="1" applyBorder="1"/>
    <xf numFmtId="0" fontId="2" fillId="8" borderId="20" xfId="0" applyFont="1" applyFill="1" applyBorder="1"/>
    <xf numFmtId="0" fontId="2" fillId="9" borderId="17" xfId="0" applyFont="1" applyFill="1" applyBorder="1"/>
    <xf numFmtId="0" fontId="2" fillId="9" borderId="18" xfId="0" applyFont="1" applyFill="1" applyBorder="1"/>
    <xf numFmtId="0" fontId="2" fillId="10" borderId="19" xfId="0" applyFont="1" applyFill="1" applyBorder="1"/>
    <xf numFmtId="0" fontId="2" fillId="10" borderId="20" xfId="0" applyFont="1" applyFill="1" applyBorder="1"/>
    <xf numFmtId="0" fontId="9" fillId="11" borderId="17" xfId="0" applyFont="1" applyFill="1" applyBorder="1"/>
    <xf numFmtId="0" fontId="9" fillId="11" borderId="18" xfId="0" applyFont="1" applyFill="1" applyBorder="1"/>
    <xf numFmtId="0" fontId="9" fillId="13" borderId="19" xfId="0" applyFont="1" applyFill="1" applyBorder="1"/>
    <xf numFmtId="0" fontId="9" fillId="13" borderId="20" xfId="0" applyFont="1" applyFill="1" applyBorder="1"/>
    <xf numFmtId="0" fontId="9" fillId="12" borderId="17" xfId="0" applyFont="1" applyFill="1" applyBorder="1"/>
    <xf numFmtId="0" fontId="9" fillId="12" borderId="18" xfId="0" applyFont="1" applyFill="1" applyBorder="1"/>
    <xf numFmtId="0" fontId="9" fillId="14" borderId="19" xfId="0" applyFont="1" applyFill="1" applyBorder="1"/>
    <xf numFmtId="0" fontId="9" fillId="14" borderId="20" xfId="0" applyFont="1" applyFill="1" applyBorder="1"/>
    <xf numFmtId="0" fontId="9" fillId="15" borderId="17" xfId="0" applyFont="1" applyFill="1" applyBorder="1"/>
    <xf numFmtId="0" fontId="9" fillId="15" borderId="18" xfId="0" applyFont="1" applyFill="1" applyBorder="1"/>
    <xf numFmtId="0" fontId="9" fillId="16" borderId="17" xfId="0" applyFont="1" applyFill="1" applyBorder="1"/>
    <xf numFmtId="0" fontId="9" fillId="16" borderId="21" xfId="0" applyFont="1" applyFill="1" applyBorder="1"/>
    <xf numFmtId="0" fontId="2" fillId="4" borderId="2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2" fillId="19" borderId="22" xfId="0" applyFont="1" applyFill="1" applyBorder="1"/>
    <xf numFmtId="0" fontId="2" fillId="20" borderId="22" xfId="0" applyFont="1" applyFill="1" applyBorder="1"/>
    <xf numFmtId="0" fontId="2" fillId="20" borderId="23" xfId="0" applyFont="1" applyFill="1" applyBorder="1"/>
    <xf numFmtId="0" fontId="2" fillId="19" borderId="25" xfId="0" applyFont="1" applyFill="1" applyBorder="1"/>
    <xf numFmtId="0" fontId="2" fillId="20" borderId="25" xfId="0" applyFont="1" applyFill="1" applyBorder="1"/>
    <xf numFmtId="0" fontId="2" fillId="20" borderId="26" xfId="0" applyFont="1" applyFill="1" applyBorder="1"/>
    <xf numFmtId="0" fontId="0" fillId="0" borderId="24" xfId="0" applyBorder="1"/>
    <xf numFmtId="0" fontId="0" fillId="0" borderId="27" xfId="0" applyBorder="1"/>
    <xf numFmtId="0" fontId="2" fillId="19" borderId="28" xfId="0" applyFont="1" applyFill="1" applyBorder="1"/>
    <xf numFmtId="0" fontId="2" fillId="19" borderId="29" xfId="0" applyFont="1" applyFill="1" applyBorder="1"/>
    <xf numFmtId="0" fontId="2" fillId="17" borderId="31" xfId="0" applyFont="1" applyFill="1" applyBorder="1" applyAlignment="1">
      <alignment horizontal="left"/>
    </xf>
    <xf numFmtId="0" fontId="2" fillId="17" borderId="32" xfId="0" applyFont="1" applyFill="1" applyBorder="1"/>
    <xf numFmtId="0" fontId="2" fillId="17" borderId="33" xfId="0" applyFont="1" applyFill="1" applyBorder="1"/>
    <xf numFmtId="0" fontId="2" fillId="17" borderId="34" xfId="0" applyFont="1" applyFill="1" applyBorder="1"/>
    <xf numFmtId="0" fontId="2" fillId="18" borderId="31" xfId="0" applyFont="1" applyFill="1" applyBorder="1" applyAlignment="1">
      <alignment horizontal="left"/>
    </xf>
    <xf numFmtId="0" fontId="2" fillId="18" borderId="32" xfId="0" applyFont="1" applyFill="1" applyBorder="1"/>
    <xf numFmtId="0" fontId="2" fillId="18" borderId="33" xfId="0" applyFont="1" applyFill="1" applyBorder="1"/>
    <xf numFmtId="0" fontId="2" fillId="18" borderId="34" xfId="0" applyFont="1" applyFill="1" applyBorder="1"/>
    <xf numFmtId="0" fontId="9" fillId="20" borderId="24" xfId="0" applyFont="1" applyFill="1" applyBorder="1" applyAlignment="1">
      <alignment horizontal="center"/>
    </xf>
    <xf numFmtId="0" fontId="9" fillId="20" borderId="37" xfId="0" applyFont="1" applyFill="1" applyBorder="1" applyAlignment="1">
      <alignment horizontal="center"/>
    </xf>
    <xf numFmtId="0" fontId="11" fillId="0" borderId="0" xfId="0" applyFont="1"/>
    <xf numFmtId="0" fontId="0" fillId="0" borderId="0" xfId="0"/>
    <xf numFmtId="0" fontId="21" fillId="0" borderId="0" xfId="0" applyFont="1" applyFill="1"/>
    <xf numFmtId="9" fontId="21" fillId="0" borderId="0" xfId="0" applyNumberFormat="1" applyFont="1" applyFill="1"/>
    <xf numFmtId="0" fontId="22" fillId="0" borderId="0" xfId="0" applyFont="1" applyFill="1" applyAlignment="1">
      <alignment horizontal="center"/>
    </xf>
    <xf numFmtId="9" fontId="22" fillId="0" borderId="0" xfId="0" applyNumberFormat="1" applyFont="1" applyFill="1" applyAlignment="1">
      <alignment horizontal="center"/>
    </xf>
    <xf numFmtId="0" fontId="1" fillId="3" borderId="45" xfId="1" applyFill="1" applyBorder="1"/>
    <xf numFmtId="0" fontId="1" fillId="3" borderId="46" xfId="1" applyFill="1" applyBorder="1"/>
    <xf numFmtId="0" fontId="1" fillId="3" borderId="47" xfId="1" applyFill="1" applyBorder="1"/>
    <xf numFmtId="0" fontId="1" fillId="3" borderId="48" xfId="1" applyFill="1" applyBorder="1"/>
    <xf numFmtId="0" fontId="1" fillId="3" borderId="49" xfId="1" applyFill="1" applyBorder="1"/>
    <xf numFmtId="0" fontId="1" fillId="3" borderId="50" xfId="1" applyFill="1" applyBorder="1"/>
    <xf numFmtId="0" fontId="1" fillId="3" borderId="51" xfId="1" applyFill="1" applyBorder="1"/>
    <xf numFmtId="0" fontId="1" fillId="3" borderId="52" xfId="1" applyFill="1" applyBorder="1"/>
    <xf numFmtId="0" fontId="0" fillId="0" borderId="0" xfId="0" applyAlignment="1"/>
    <xf numFmtId="0" fontId="11" fillId="0" borderId="53" xfId="0" applyFont="1" applyBorder="1"/>
    <xf numFmtId="0" fontId="0" fillId="0" borderId="55" xfId="0" applyBorder="1"/>
    <xf numFmtId="0" fontId="0" fillId="0" borderId="58" xfId="0" applyBorder="1"/>
    <xf numFmtId="9" fontId="11" fillId="0" borderId="0" xfId="0" applyNumberFormat="1" applyFont="1"/>
    <xf numFmtId="0" fontId="21" fillId="0" borderId="0" xfId="0" applyFont="1"/>
    <xf numFmtId="9" fontId="21" fillId="0" borderId="0" xfId="0" applyNumberFormat="1" applyFont="1"/>
    <xf numFmtId="0" fontId="5" fillId="35" borderId="60" xfId="0" applyFont="1" applyFill="1" applyBorder="1" applyAlignment="1">
      <alignment horizontal="center" vertical="center" wrapText="1"/>
    </xf>
    <xf numFmtId="0" fontId="9" fillId="0" borderId="0" xfId="0" applyFont="1" applyFill="1" applyBorder="1" applyAlignment="1"/>
    <xf numFmtId="0" fontId="2" fillId="5" borderId="61" xfId="0" applyFont="1" applyFill="1" applyBorder="1"/>
    <xf numFmtId="0" fontId="2" fillId="5" borderId="61" xfId="0" applyFont="1" applyFill="1" applyBorder="1" applyAlignment="1"/>
    <xf numFmtId="0" fontId="2" fillId="5" borderId="61" xfId="0" applyFont="1" applyFill="1" applyBorder="1" applyAlignment="1">
      <alignment wrapText="1"/>
    </xf>
    <xf numFmtId="0" fontId="0" fillId="0" borderId="61" xfId="0" applyBorder="1"/>
    <xf numFmtId="0" fontId="0" fillId="0" borderId="62" xfId="0" applyBorder="1"/>
    <xf numFmtId="0" fontId="0" fillId="0" borderId="65" xfId="0" applyBorder="1"/>
    <xf numFmtId="0" fontId="2" fillId="18" borderId="63" xfId="0" applyFont="1" applyFill="1" applyBorder="1"/>
    <xf numFmtId="0" fontId="2" fillId="18" borderId="63" xfId="0" applyFont="1" applyFill="1" applyBorder="1" applyAlignment="1"/>
    <xf numFmtId="0" fontId="2" fillId="18" borderId="63" xfId="0" applyFont="1" applyFill="1" applyBorder="1" applyAlignment="1">
      <alignment wrapText="1"/>
    </xf>
    <xf numFmtId="0" fontId="0" fillId="37" borderId="44" xfId="0" applyFill="1" applyBorder="1" applyAlignment="1">
      <alignment horizontal="center" wrapText="1"/>
    </xf>
    <xf numFmtId="0" fontId="0" fillId="0" borderId="0" xfId="0" applyProtection="1"/>
    <xf numFmtId="0" fontId="11" fillId="0" borderId="0" xfId="0" applyFont="1" applyProtection="1"/>
    <xf numFmtId="0" fontId="10" fillId="39" borderId="67" xfId="0" applyFont="1" applyFill="1" applyBorder="1" applyAlignment="1" applyProtection="1">
      <alignment horizontal="center"/>
    </xf>
    <xf numFmtId="0" fontId="10" fillId="39" borderId="70" xfId="0" applyFont="1" applyFill="1" applyBorder="1" applyAlignment="1" applyProtection="1">
      <alignment horizontal="center"/>
    </xf>
    <xf numFmtId="0" fontId="10" fillId="39" borderId="69" xfId="0" applyFont="1" applyFill="1" applyBorder="1" applyAlignment="1" applyProtection="1">
      <alignment horizontal="center"/>
    </xf>
    <xf numFmtId="0" fontId="2" fillId="38" borderId="66" xfId="0" applyFont="1" applyFill="1" applyBorder="1" applyAlignment="1" applyProtection="1">
      <alignment horizontal="center"/>
    </xf>
    <xf numFmtId="0" fontId="2" fillId="38" borderId="68" xfId="0" applyFont="1" applyFill="1" applyBorder="1" applyAlignment="1" applyProtection="1">
      <alignment horizontal="center"/>
    </xf>
    <xf numFmtId="0" fontId="10" fillId="39" borderId="71" xfId="0" applyFont="1" applyFill="1" applyBorder="1" applyAlignment="1" applyProtection="1">
      <alignment horizontal="center"/>
    </xf>
    <xf numFmtId="0" fontId="0" fillId="0" borderId="66" xfId="0" applyBorder="1" applyProtection="1">
      <protection locked="0"/>
    </xf>
    <xf numFmtId="14" fontId="0" fillId="0" borderId="69" xfId="0" applyNumberFormat="1" applyBorder="1" applyProtection="1">
      <protection locked="0"/>
    </xf>
    <xf numFmtId="14" fontId="0" fillId="0" borderId="71" xfId="0" applyNumberFormat="1" applyBorder="1" applyProtection="1">
      <protection locked="0"/>
    </xf>
    <xf numFmtId="14" fontId="0" fillId="0" borderId="69" xfId="0" applyNumberFormat="1" applyFill="1" applyBorder="1" applyProtection="1">
      <protection locked="0"/>
    </xf>
    <xf numFmtId="0" fontId="0" fillId="0" borderId="66" xfId="0" applyBorder="1" applyProtection="1"/>
    <xf numFmtId="0" fontId="0" fillId="0" borderId="68" xfId="0" applyBorder="1" applyProtection="1"/>
    <xf numFmtId="0" fontId="2" fillId="40" borderId="72" xfId="0" applyFont="1" applyFill="1" applyBorder="1" applyAlignment="1">
      <alignment horizontal="center"/>
    </xf>
    <xf numFmtId="0" fontId="0" fillId="0" borderId="72" xfId="0" applyBorder="1"/>
    <xf numFmtId="0" fontId="2" fillId="40" borderId="73" xfId="0" applyFont="1" applyFill="1" applyBorder="1" applyAlignment="1">
      <alignment horizontal="center"/>
    </xf>
    <xf numFmtId="0" fontId="2" fillId="40" borderId="77" xfId="0" applyFont="1" applyFill="1" applyBorder="1"/>
    <xf numFmtId="0" fontId="2" fillId="40" borderId="78" xfId="0" applyFont="1" applyFill="1" applyBorder="1"/>
    <xf numFmtId="0" fontId="9" fillId="40" borderId="78" xfId="0" applyFont="1" applyFill="1" applyBorder="1"/>
    <xf numFmtId="0" fontId="9" fillId="40" borderId="79" xfId="0" applyFont="1" applyFill="1" applyBorder="1"/>
    <xf numFmtId="0" fontId="2" fillId="40" borderId="81" xfId="0" applyFont="1" applyFill="1" applyBorder="1"/>
    <xf numFmtId="0" fontId="2" fillId="40" borderId="83" xfId="0" applyFont="1" applyFill="1" applyBorder="1"/>
    <xf numFmtId="0" fontId="2" fillId="40" borderId="86" xfId="0" applyFont="1" applyFill="1" applyBorder="1"/>
    <xf numFmtId="0" fontId="2" fillId="40" borderId="87" xfId="0" applyFont="1" applyFill="1" applyBorder="1"/>
    <xf numFmtId="0" fontId="0" fillId="0" borderId="73" xfId="0" applyBorder="1"/>
    <xf numFmtId="0" fontId="0" fillId="0" borderId="114" xfId="0" applyBorder="1"/>
    <xf numFmtId="0" fontId="2" fillId="41" borderId="117" xfId="0" applyFont="1" applyFill="1" applyBorder="1" applyProtection="1"/>
    <xf numFmtId="0" fontId="2" fillId="41" borderId="118" xfId="0" applyFont="1" applyFill="1" applyBorder="1" applyProtection="1"/>
    <xf numFmtId="0" fontId="2" fillId="41" borderId="119" xfId="0" applyFont="1" applyFill="1" applyBorder="1" applyProtection="1"/>
    <xf numFmtId="0" fontId="2" fillId="41" borderId="120" xfId="0" applyFont="1" applyFill="1" applyBorder="1" applyProtection="1"/>
    <xf numFmtId="0" fontId="10" fillId="41" borderId="119" xfId="0" applyFont="1" applyFill="1" applyBorder="1" applyProtection="1"/>
    <xf numFmtId="0" fontId="10" fillId="41" borderId="120" xfId="0" applyFont="1" applyFill="1" applyBorder="1" applyProtection="1"/>
    <xf numFmtId="0" fontId="5" fillId="35" borderId="60" xfId="0" applyFont="1" applyFill="1" applyBorder="1" applyAlignment="1" applyProtection="1">
      <alignment horizontal="center" vertical="center" wrapText="1"/>
    </xf>
    <xf numFmtId="0" fontId="11" fillId="0" borderId="53" xfId="0" applyFont="1" applyBorder="1" applyProtection="1"/>
    <xf numFmtId="0" fontId="0" fillId="0" borderId="122" xfId="0" applyBorder="1" applyProtection="1"/>
    <xf numFmtId="0" fontId="2" fillId="0" borderId="0" xfId="0" applyFont="1" applyProtection="1"/>
    <xf numFmtId="0" fontId="2" fillId="0" borderId="0" xfId="0" applyFont="1" applyAlignment="1" applyProtection="1">
      <alignment horizontal="left"/>
    </xf>
    <xf numFmtId="0" fontId="0" fillId="0" borderId="0" xfId="0" applyFont="1" applyProtection="1"/>
    <xf numFmtId="14" fontId="0" fillId="0" borderId="0" xfId="0" applyNumberFormat="1" applyProtection="1"/>
    <xf numFmtId="14" fontId="0" fillId="0" borderId="115" xfId="0" applyNumberFormat="1" applyBorder="1" applyProtection="1">
      <protection locked="0"/>
    </xf>
    <xf numFmtId="0" fontId="0" fillId="0" borderId="116" xfId="0" applyBorder="1" applyProtection="1">
      <protection locked="0"/>
    </xf>
    <xf numFmtId="14" fontId="0" fillId="0" borderId="119" xfId="0" applyNumberFormat="1" applyBorder="1" applyProtection="1">
      <protection locked="0"/>
    </xf>
    <xf numFmtId="0" fontId="0" fillId="0" borderId="120" xfId="0" applyBorder="1" applyProtection="1">
      <protection locked="0"/>
    </xf>
    <xf numFmtId="0" fontId="0" fillId="0" borderId="119" xfId="0" applyBorder="1" applyProtection="1">
      <protection locked="0"/>
    </xf>
    <xf numFmtId="14" fontId="0" fillId="0" borderId="119" xfId="0" applyNumberFormat="1" applyFill="1" applyBorder="1" applyProtection="1">
      <protection locked="0"/>
    </xf>
    <xf numFmtId="0" fontId="0" fillId="0" borderId="121" xfId="0" applyBorder="1" applyProtection="1">
      <protection locked="0"/>
    </xf>
    <xf numFmtId="0" fontId="2" fillId="22" borderId="60" xfId="0" applyFont="1" applyFill="1" applyBorder="1" applyAlignment="1" applyProtection="1">
      <alignment horizontal="center" wrapText="1"/>
      <protection locked="0"/>
    </xf>
    <xf numFmtId="0" fontId="9" fillId="32" borderId="0" xfId="0" applyFont="1" applyFill="1" applyBorder="1" applyAlignment="1">
      <alignment horizontal="center" wrapText="1"/>
    </xf>
    <xf numFmtId="0" fontId="0" fillId="0" borderId="123" xfId="0" applyBorder="1"/>
    <xf numFmtId="9" fontId="0" fillId="32" borderId="114" xfId="0" applyNumberFormat="1" applyFill="1" applyBorder="1"/>
    <xf numFmtId="9" fontId="0" fillId="0" borderId="123" xfId="0" applyNumberFormat="1" applyBorder="1"/>
    <xf numFmtId="0" fontId="9" fillId="42" borderId="123" xfId="0" applyFont="1" applyFill="1" applyBorder="1" applyAlignment="1"/>
    <xf numFmtId="0" fontId="9" fillId="42" borderId="123" xfId="0" applyFont="1" applyFill="1" applyBorder="1" applyAlignment="1">
      <alignment wrapText="1"/>
    </xf>
    <xf numFmtId="0" fontId="10" fillId="44" borderId="124" xfId="0" applyFont="1" applyFill="1" applyBorder="1" applyAlignment="1"/>
    <xf numFmtId="0" fontId="10" fillId="44" borderId="124" xfId="0" applyFont="1" applyFill="1" applyBorder="1" applyAlignment="1">
      <alignment wrapText="1"/>
    </xf>
    <xf numFmtId="0" fontId="0" fillId="0" borderId="124" xfId="0" applyBorder="1"/>
    <xf numFmtId="9" fontId="0" fillId="0" borderId="124" xfId="0" applyNumberFormat="1" applyBorder="1"/>
    <xf numFmtId="0" fontId="0" fillId="44" borderId="124" xfId="0" applyFill="1" applyBorder="1"/>
    <xf numFmtId="0" fontId="10" fillId="43" borderId="124" xfId="0" applyFont="1" applyFill="1" applyBorder="1" applyAlignment="1">
      <alignment horizontal="center"/>
    </xf>
    <xf numFmtId="0" fontId="15" fillId="0" borderId="0" xfId="0" applyFont="1"/>
    <xf numFmtId="9" fontId="15" fillId="0" borderId="0" xfId="0" applyNumberFormat="1" applyFont="1"/>
    <xf numFmtId="0" fontId="11" fillId="0" borderId="0" xfId="0" applyFont="1" applyAlignment="1" applyProtection="1"/>
    <xf numFmtId="0" fontId="10" fillId="45" borderId="125" xfId="0" applyFont="1" applyFill="1" applyBorder="1" applyAlignment="1">
      <alignment horizontal="center"/>
    </xf>
    <xf numFmtId="0" fontId="10" fillId="45" borderId="126" xfId="0" applyFont="1" applyFill="1" applyBorder="1" applyAlignment="1">
      <alignment horizontal="center"/>
    </xf>
    <xf numFmtId="0" fontId="0" fillId="0" borderId="126" xfId="0" applyBorder="1"/>
    <xf numFmtId="0" fontId="10" fillId="45" borderId="127" xfId="0" applyFont="1" applyFill="1" applyBorder="1" applyAlignment="1">
      <alignment horizontal="center"/>
    </xf>
    <xf numFmtId="0" fontId="0" fillId="0" borderId="127" xfId="0" applyBorder="1"/>
    <xf numFmtId="0" fontId="2" fillId="46" borderId="128" xfId="0" applyFont="1" applyFill="1" applyBorder="1" applyAlignment="1">
      <alignment horizontal="center" vertical="center"/>
    </xf>
    <xf numFmtId="0" fontId="0" fillId="46" borderId="129" xfId="0" applyFill="1" applyBorder="1" applyAlignment="1">
      <alignment vertical="center"/>
    </xf>
    <xf numFmtId="0" fontId="2" fillId="46" borderId="130" xfId="0" applyFont="1" applyFill="1" applyBorder="1"/>
    <xf numFmtId="0" fontId="2" fillId="46" borderId="131" xfId="0" applyFont="1" applyFill="1" applyBorder="1"/>
    <xf numFmtId="0" fontId="2" fillId="47" borderId="128" xfId="0" applyFont="1" applyFill="1" applyBorder="1" applyAlignment="1">
      <alignment horizontal="left" vertical="center"/>
    </xf>
    <xf numFmtId="0" fontId="2" fillId="47" borderId="129" xfId="0" applyFont="1" applyFill="1" applyBorder="1" applyAlignment="1">
      <alignment vertical="center"/>
    </xf>
    <xf numFmtId="0" fontId="2" fillId="47" borderId="130" xfId="0" applyFont="1" applyFill="1" applyBorder="1"/>
    <xf numFmtId="0" fontId="2" fillId="47" borderId="131" xfId="0" applyFont="1" applyFill="1" applyBorder="1"/>
    <xf numFmtId="0" fontId="2" fillId="48" borderId="128" xfId="0" applyFont="1" applyFill="1" applyBorder="1" applyAlignment="1">
      <alignment horizontal="left" vertical="center"/>
    </xf>
    <xf numFmtId="0" fontId="2" fillId="48" borderId="129" xfId="0" applyFont="1" applyFill="1" applyBorder="1" applyAlignment="1">
      <alignment vertical="center"/>
    </xf>
    <xf numFmtId="0" fontId="2" fillId="48" borderId="130" xfId="0" applyFont="1" applyFill="1" applyBorder="1"/>
    <xf numFmtId="0" fontId="2" fillId="48" borderId="131" xfId="0" applyFont="1" applyFill="1" applyBorder="1"/>
    <xf numFmtId="0" fontId="2" fillId="45" borderId="128" xfId="0" applyFont="1" applyFill="1" applyBorder="1" applyAlignment="1">
      <alignment vertical="center"/>
    </xf>
    <xf numFmtId="0" fontId="2" fillId="45" borderId="129" xfId="0" applyFont="1" applyFill="1" applyBorder="1" applyAlignment="1">
      <alignment vertical="center"/>
    </xf>
    <xf numFmtId="0" fontId="2" fillId="45" borderId="130" xfId="0" applyFont="1" applyFill="1" applyBorder="1"/>
    <xf numFmtId="0" fontId="2" fillId="45" borderId="131" xfId="0" applyFont="1" applyFill="1" applyBorder="1"/>
    <xf numFmtId="0" fontId="2" fillId="49" borderId="128" xfId="0" applyFont="1" applyFill="1" applyBorder="1" applyAlignment="1">
      <alignment vertical="center"/>
    </xf>
    <xf numFmtId="0" fontId="2" fillId="49" borderId="129" xfId="0" applyFont="1" applyFill="1" applyBorder="1" applyAlignment="1">
      <alignment vertical="center"/>
    </xf>
    <xf numFmtId="0" fontId="2" fillId="49" borderId="130" xfId="0" applyFont="1" applyFill="1" applyBorder="1"/>
    <xf numFmtId="0" fontId="2" fillId="49" borderId="131" xfId="0" applyFont="1" applyFill="1" applyBorder="1"/>
    <xf numFmtId="0" fontId="0" fillId="0" borderId="132" xfId="0" applyBorder="1"/>
    <xf numFmtId="0" fontId="10" fillId="50" borderId="133" xfId="0" applyFont="1" applyFill="1" applyBorder="1" applyAlignment="1">
      <alignment horizontal="center"/>
    </xf>
    <xf numFmtId="0" fontId="0" fillId="0" borderId="133" xfId="0" applyBorder="1"/>
    <xf numFmtId="0" fontId="10" fillId="0" borderId="0" xfId="0" applyFont="1" applyFill="1" applyBorder="1" applyAlignment="1"/>
    <xf numFmtId="0" fontId="0" fillId="0" borderId="0" xfId="0" applyFill="1" applyBorder="1"/>
    <xf numFmtId="9" fontId="0" fillId="0" borderId="134" xfId="0" applyNumberFormat="1" applyBorder="1"/>
    <xf numFmtId="0" fontId="0" fillId="0" borderId="0" xfId="0" applyBorder="1"/>
    <xf numFmtId="9" fontId="0" fillId="0" borderId="133" xfId="0" applyNumberFormat="1" applyBorder="1"/>
    <xf numFmtId="0" fontId="10" fillId="33" borderId="133" xfId="0" applyFont="1" applyFill="1" applyBorder="1" applyAlignment="1"/>
    <xf numFmtId="0" fontId="10" fillId="33" borderId="133" xfId="0" applyFont="1" applyFill="1" applyBorder="1" applyAlignment="1">
      <alignment wrapText="1"/>
    </xf>
    <xf numFmtId="0" fontId="10" fillId="35" borderId="39" xfId="0" applyFont="1" applyFill="1" applyBorder="1" applyAlignment="1">
      <alignment horizontal="center"/>
    </xf>
    <xf numFmtId="0" fontId="0" fillId="0" borderId="39" xfId="0" applyBorder="1"/>
    <xf numFmtId="0" fontId="10" fillId="32" borderId="135" xfId="0" applyFont="1" applyFill="1" applyBorder="1" applyAlignment="1"/>
    <xf numFmtId="0" fontId="10" fillId="32" borderId="135" xfId="0" applyFont="1" applyFill="1" applyBorder="1" applyAlignment="1">
      <alignment wrapText="1"/>
    </xf>
    <xf numFmtId="0" fontId="0" fillId="0" borderId="135" xfId="0" applyBorder="1"/>
    <xf numFmtId="9" fontId="0" fillId="0" borderId="135" xfId="0" applyNumberFormat="1" applyBorder="1"/>
    <xf numFmtId="0" fontId="10" fillId="51" borderId="136" xfId="0" applyFont="1" applyFill="1" applyBorder="1" applyAlignment="1">
      <alignment horizontal="center"/>
    </xf>
    <xf numFmtId="0" fontId="0" fillId="0" borderId="136" xfId="0" applyBorder="1"/>
    <xf numFmtId="0" fontId="8" fillId="35" borderId="158" xfId="0" applyFont="1" applyFill="1" applyBorder="1" applyAlignment="1" applyProtection="1">
      <alignment horizontal="right" vertical="center"/>
    </xf>
    <xf numFmtId="0" fontId="7" fillId="37" borderId="183" xfId="0" applyFont="1" applyFill="1" applyBorder="1" applyAlignment="1" applyProtection="1">
      <alignment horizontal="center" vertical="center" wrapText="1"/>
    </xf>
    <xf numFmtId="0" fontId="0" fillId="0" borderId="0" xfId="0" applyAlignment="1" applyProtection="1">
      <alignment horizontal="right"/>
    </xf>
    <xf numFmtId="0" fontId="2" fillId="37" borderId="147" xfId="0" applyFont="1" applyFill="1" applyBorder="1" applyAlignment="1" applyProtection="1">
      <alignment vertical="center"/>
    </xf>
    <xf numFmtId="0" fontId="0" fillId="0" borderId="150" xfId="0" applyBorder="1" applyProtection="1"/>
    <xf numFmtId="0" fontId="2" fillId="37" borderId="150" xfId="0" applyFont="1" applyFill="1" applyBorder="1" applyAlignment="1" applyProtection="1">
      <alignment vertical="center"/>
    </xf>
    <xf numFmtId="0" fontId="0" fillId="0" borderId="150" xfId="0" applyBorder="1" applyAlignment="1" applyProtection="1">
      <alignment horizontal="center" vertical="center"/>
    </xf>
    <xf numFmtId="0" fontId="2" fillId="37" borderId="150" xfId="0" applyFont="1" applyFill="1" applyBorder="1" applyProtection="1"/>
    <xf numFmtId="0" fontId="0" fillId="0" borderId="151" xfId="0" applyBorder="1" applyAlignment="1" applyProtection="1">
      <alignment horizontal="center"/>
    </xf>
    <xf numFmtId="0" fontId="0" fillId="0" borderId="0" xfId="0" applyBorder="1" applyProtection="1"/>
    <xf numFmtId="0" fontId="2" fillId="37" borderId="148" xfId="0" applyFont="1" applyFill="1" applyBorder="1" applyAlignment="1" applyProtection="1">
      <alignment vertical="center"/>
    </xf>
    <xf numFmtId="0" fontId="4" fillId="0" borderId="137" xfId="0" applyFont="1" applyBorder="1" applyProtection="1"/>
    <xf numFmtId="0" fontId="2" fillId="37" borderId="137" xfId="0" applyFont="1" applyFill="1" applyBorder="1" applyAlignment="1" applyProtection="1">
      <alignment vertical="center"/>
    </xf>
    <xf numFmtId="0" fontId="0" fillId="0" borderId="137" xfId="0" applyBorder="1" applyAlignment="1" applyProtection="1">
      <alignment horizontal="center" vertical="center"/>
    </xf>
    <xf numFmtId="0" fontId="2" fillId="37" borderId="137" xfId="0" applyFont="1" applyFill="1" applyBorder="1" applyProtection="1"/>
    <xf numFmtId="14" fontId="0" fillId="0" borderId="152" xfId="0" applyNumberFormat="1" applyBorder="1" applyAlignment="1" applyProtection="1">
      <alignment horizontal="center"/>
    </xf>
    <xf numFmtId="0" fontId="0" fillId="0" borderId="137" xfId="0" applyBorder="1" applyProtection="1"/>
    <xf numFmtId="0" fontId="2" fillId="37" borderId="155" xfId="0" applyFont="1" applyFill="1" applyBorder="1" applyProtection="1"/>
    <xf numFmtId="0" fontId="2" fillId="37" borderId="149" xfId="0" applyFont="1" applyFill="1" applyBorder="1" applyAlignment="1" applyProtection="1">
      <alignment vertical="center"/>
    </xf>
    <xf numFmtId="0" fontId="3" fillId="0" borderId="153" xfId="0" applyFont="1" applyBorder="1" applyAlignment="1" applyProtection="1">
      <alignment vertical="center" wrapText="1"/>
    </xf>
    <xf numFmtId="0" fontId="2" fillId="37" borderId="153" xfId="0" applyFont="1" applyFill="1" applyBorder="1" applyAlignment="1" applyProtection="1">
      <alignment vertical="center"/>
    </xf>
    <xf numFmtId="0" fontId="0" fillId="0" borderId="153" xfId="0" applyBorder="1" applyAlignment="1" applyProtection="1">
      <alignment horizontal="center" vertical="center"/>
    </xf>
    <xf numFmtId="0" fontId="0" fillId="37" borderId="154" xfId="0" applyFill="1" applyBorder="1" applyProtection="1"/>
    <xf numFmtId="0" fontId="16" fillId="54" borderId="138" xfId="0" applyFont="1" applyFill="1" applyBorder="1" applyAlignment="1" applyProtection="1">
      <alignment horizontal="center" vertical="center"/>
    </xf>
    <xf numFmtId="0" fontId="8" fillId="53" borderId="142" xfId="0" applyFont="1" applyFill="1" applyBorder="1" applyAlignment="1" applyProtection="1">
      <alignment horizontal="center" vertical="center"/>
    </xf>
    <xf numFmtId="0" fontId="8" fillId="53" borderId="143" xfId="0" applyFont="1" applyFill="1" applyBorder="1" applyAlignment="1" applyProtection="1">
      <alignment horizontal="center" vertical="center"/>
    </xf>
    <xf numFmtId="0" fontId="8" fillId="52" borderId="142" xfId="0" applyFont="1" applyFill="1" applyBorder="1" applyAlignment="1" applyProtection="1">
      <alignment horizontal="center" vertical="center"/>
    </xf>
    <xf numFmtId="0" fontId="8" fillId="52" borderId="143" xfId="0" applyFont="1" applyFill="1" applyBorder="1" applyAlignment="1" applyProtection="1">
      <alignment horizontal="center" vertical="center"/>
    </xf>
    <xf numFmtId="0" fontId="8" fillId="54" borderId="142" xfId="0" applyFont="1" applyFill="1" applyBorder="1" applyAlignment="1" applyProtection="1">
      <alignment horizontal="center" vertical="center"/>
    </xf>
    <xf numFmtId="0" fontId="8" fillId="55" borderId="142" xfId="0" applyFont="1" applyFill="1" applyBorder="1" applyAlignment="1" applyProtection="1">
      <alignment horizontal="center" vertical="center"/>
    </xf>
    <xf numFmtId="0" fontId="8" fillId="55" borderId="143" xfId="0" applyFont="1" applyFill="1" applyBorder="1" applyAlignment="1" applyProtection="1">
      <alignment horizontal="center" vertical="center"/>
    </xf>
    <xf numFmtId="0" fontId="8" fillId="0" borderId="144" xfId="0" applyFont="1" applyBorder="1" applyProtection="1"/>
    <xf numFmtId="14" fontId="24" fillId="0" borderId="138" xfId="0" applyNumberFormat="1" applyFont="1" applyBorder="1" applyAlignment="1" applyProtection="1">
      <alignment horizontal="center"/>
    </xf>
    <xf numFmtId="0" fontId="23" fillId="0" borderId="139" xfId="0" applyFont="1" applyBorder="1" applyAlignment="1" applyProtection="1">
      <alignment horizontal="center"/>
    </xf>
    <xf numFmtId="14" fontId="0" fillId="0" borderId="138" xfId="0" applyNumberFormat="1" applyBorder="1" applyAlignment="1" applyProtection="1">
      <alignment horizontal="center"/>
    </xf>
    <xf numFmtId="0" fontId="0" fillId="0" borderId="139" xfId="0" applyBorder="1" applyAlignment="1" applyProtection="1">
      <alignment horizontal="center"/>
    </xf>
    <xf numFmtId="0" fontId="8" fillId="0" borderId="145" xfId="0" applyFont="1" applyBorder="1" applyProtection="1"/>
    <xf numFmtId="14" fontId="24" fillId="0" borderId="140" xfId="0" applyNumberFormat="1" applyFont="1" applyBorder="1" applyAlignment="1" applyProtection="1">
      <alignment horizontal="center"/>
    </xf>
    <xf numFmtId="0" fontId="0" fillId="0" borderId="141" xfId="0" applyBorder="1" applyAlignment="1" applyProtection="1">
      <alignment horizontal="center"/>
    </xf>
    <xf numFmtId="14" fontId="0" fillId="0" borderId="140" xfId="0" applyNumberFormat="1" applyBorder="1" applyAlignment="1" applyProtection="1">
      <alignment horizontal="center"/>
    </xf>
    <xf numFmtId="0" fontId="8" fillId="0" borderId="146" xfId="0" applyFont="1" applyBorder="1" applyProtection="1"/>
    <xf numFmtId="14" fontId="24" fillId="0" borderId="142" xfId="0" applyNumberFormat="1" applyFont="1" applyBorder="1" applyAlignment="1" applyProtection="1">
      <alignment horizontal="center"/>
    </xf>
    <xf numFmtId="0" fontId="0" fillId="0" borderId="143" xfId="0" applyBorder="1" applyAlignment="1" applyProtection="1">
      <alignment horizontal="center"/>
    </xf>
    <xf numFmtId="14" fontId="0" fillId="0" borderId="142" xfId="0" applyNumberFormat="1" applyBorder="1" applyAlignment="1" applyProtection="1">
      <alignment horizontal="center"/>
    </xf>
    <xf numFmtId="0" fontId="8" fillId="42" borderId="142" xfId="0" applyFont="1" applyFill="1" applyBorder="1" applyAlignment="1" applyProtection="1">
      <alignment horizontal="center" vertical="center"/>
    </xf>
    <xf numFmtId="0" fontId="8" fillId="42" borderId="143" xfId="0" applyFont="1" applyFill="1" applyBorder="1" applyAlignment="1" applyProtection="1">
      <alignment horizontal="center" vertical="center"/>
    </xf>
    <xf numFmtId="0" fontId="8" fillId="56" borderId="142" xfId="0" applyFont="1" applyFill="1" applyBorder="1" applyAlignment="1" applyProtection="1">
      <alignment horizontal="center" vertical="center"/>
    </xf>
    <xf numFmtId="0" fontId="8" fillId="56" borderId="143" xfId="0" applyFont="1" applyFill="1" applyBorder="1" applyAlignment="1" applyProtection="1">
      <alignment horizontal="center" vertical="center"/>
    </xf>
    <xf numFmtId="0" fontId="8" fillId="0" borderId="168" xfId="0" applyFont="1" applyFill="1" applyBorder="1" applyProtection="1"/>
    <xf numFmtId="14" fontId="0" fillId="0" borderId="160" xfId="0" applyNumberFormat="1" applyFill="1" applyBorder="1" applyAlignment="1" applyProtection="1">
      <alignment horizontal="center"/>
    </xf>
    <xf numFmtId="14" fontId="0" fillId="0" borderId="161" xfId="0" applyNumberFormat="1" applyFill="1" applyBorder="1" applyAlignment="1" applyProtection="1">
      <alignment horizontal="center"/>
    </xf>
    <xf numFmtId="14" fontId="0" fillId="0" borderId="171" xfId="0" applyNumberFormat="1" applyFill="1" applyBorder="1" applyAlignment="1" applyProtection="1">
      <alignment horizontal="center"/>
    </xf>
    <xf numFmtId="14" fontId="0" fillId="0" borderId="167" xfId="0" applyNumberFormat="1" applyFill="1" applyBorder="1" applyAlignment="1" applyProtection="1">
      <alignment horizontal="center"/>
    </xf>
    <xf numFmtId="0" fontId="8" fillId="0" borderId="169" xfId="0" applyFont="1" applyFill="1" applyBorder="1" applyProtection="1"/>
    <xf numFmtId="14" fontId="0" fillId="0" borderId="162" xfId="0" applyNumberFormat="1" applyFill="1" applyBorder="1" applyAlignment="1" applyProtection="1">
      <alignment horizontal="center"/>
    </xf>
    <xf numFmtId="14" fontId="0" fillId="0" borderId="163" xfId="0" applyNumberFormat="1" applyFill="1" applyBorder="1" applyAlignment="1" applyProtection="1">
      <alignment horizontal="center"/>
    </xf>
    <xf numFmtId="14" fontId="0" fillId="0" borderId="159" xfId="0" applyNumberFormat="1" applyFill="1" applyBorder="1" applyAlignment="1" applyProtection="1">
      <alignment horizontal="center"/>
    </xf>
    <xf numFmtId="0" fontId="8" fillId="0" borderId="170" xfId="0" applyFont="1" applyFill="1" applyBorder="1" applyProtection="1"/>
    <xf numFmtId="0" fontId="0" fillId="29" borderId="164" xfId="0" applyFill="1" applyBorder="1" applyProtection="1"/>
    <xf numFmtId="0" fontId="0" fillId="29" borderId="165" xfId="0" applyFill="1" applyBorder="1" applyProtection="1"/>
    <xf numFmtId="14" fontId="0" fillId="0" borderId="172" xfId="0" applyNumberFormat="1" applyFill="1" applyBorder="1" applyAlignment="1" applyProtection="1">
      <alignment horizontal="center"/>
    </xf>
    <xf numFmtId="14" fontId="0" fillId="0" borderId="165" xfId="0" applyNumberFormat="1" applyFill="1" applyBorder="1" applyAlignment="1" applyProtection="1">
      <alignment horizontal="center"/>
    </xf>
    <xf numFmtId="0" fontId="8" fillId="18" borderId="168" xfId="0" applyFont="1" applyFill="1" applyBorder="1" applyAlignment="1" applyProtection="1">
      <alignment horizontal="center" vertical="center"/>
    </xf>
    <xf numFmtId="0" fontId="8" fillId="31" borderId="173" xfId="0" applyFont="1" applyFill="1" applyBorder="1" applyAlignment="1" applyProtection="1">
      <alignment horizontal="center" vertical="center"/>
    </xf>
    <xf numFmtId="0" fontId="8" fillId="32" borderId="176" xfId="0" applyFont="1" applyFill="1" applyBorder="1" applyAlignment="1" applyProtection="1">
      <alignment horizontal="center" vertical="center" wrapText="1"/>
    </xf>
    <xf numFmtId="0" fontId="8" fillId="33" borderId="173" xfId="0" applyFont="1" applyFill="1" applyBorder="1" applyAlignment="1" applyProtection="1">
      <alignment horizontal="center" vertical="center" wrapText="1"/>
    </xf>
    <xf numFmtId="0" fontId="8" fillId="34" borderId="178" xfId="0" applyFont="1" applyFill="1" applyBorder="1" applyAlignment="1" applyProtection="1">
      <alignment horizontal="center" vertical="center" wrapText="1"/>
    </xf>
    <xf numFmtId="14" fontId="0" fillId="0" borderId="169" xfId="0" applyNumberFormat="1" applyFill="1" applyBorder="1" applyAlignment="1" applyProtection="1">
      <alignment horizontal="center"/>
    </xf>
    <xf numFmtId="14" fontId="0" fillId="0" borderId="175" xfId="0" applyNumberFormat="1" applyFill="1" applyBorder="1" applyAlignment="1" applyProtection="1">
      <alignment horizontal="center"/>
    </xf>
    <xf numFmtId="14" fontId="0" fillId="0" borderId="166" xfId="0" applyNumberFormat="1" applyFill="1" applyBorder="1" applyAlignment="1" applyProtection="1">
      <alignment horizontal="center"/>
    </xf>
    <xf numFmtId="14" fontId="0" fillId="0" borderId="179" xfId="0" applyNumberFormat="1" applyFill="1" applyBorder="1" applyAlignment="1" applyProtection="1">
      <alignment horizontal="center"/>
    </xf>
    <xf numFmtId="14" fontId="0" fillId="0" borderId="170" xfId="0" applyNumberFormat="1" applyFill="1" applyBorder="1" applyAlignment="1" applyProtection="1">
      <alignment horizontal="center"/>
    </xf>
    <xf numFmtId="14" fontId="0" fillId="0" borderId="174" xfId="0" applyNumberFormat="1" applyFill="1" applyBorder="1" applyAlignment="1" applyProtection="1">
      <alignment horizontal="center"/>
    </xf>
    <xf numFmtId="14" fontId="0" fillId="0" borderId="177" xfId="0" applyNumberFormat="1" applyFill="1" applyBorder="1" applyAlignment="1" applyProtection="1">
      <alignment horizontal="center"/>
    </xf>
    <xf numFmtId="14" fontId="0" fillId="0" borderId="180" xfId="0" applyNumberFormat="1" applyFill="1" applyBorder="1" applyAlignment="1" applyProtection="1">
      <alignment horizontal="center"/>
    </xf>
    <xf numFmtId="0" fontId="0" fillId="0" borderId="184" xfId="0" applyBorder="1" applyAlignment="1" applyProtection="1">
      <alignment vertical="center"/>
      <protection locked="0"/>
    </xf>
    <xf numFmtId="0" fontId="20" fillId="57" borderId="41" xfId="0" applyFont="1" applyFill="1" applyBorder="1"/>
    <xf numFmtId="0" fontId="2" fillId="5" borderId="140" xfId="0" applyFont="1" applyFill="1" applyBorder="1" applyAlignment="1">
      <alignment horizontal="center" wrapText="1"/>
    </xf>
    <xf numFmtId="0" fontId="2" fillId="5" borderId="141" xfId="0" applyFont="1" applyFill="1" applyBorder="1" applyAlignment="1">
      <alignment horizontal="center" wrapText="1"/>
    </xf>
    <xf numFmtId="0" fontId="2" fillId="58" borderId="140" xfId="0" applyFont="1" applyFill="1" applyBorder="1" applyAlignment="1">
      <alignment horizontal="center" wrapText="1"/>
    </xf>
    <xf numFmtId="0" fontId="2" fillId="58" borderId="141" xfId="0" applyFont="1" applyFill="1" applyBorder="1" applyAlignment="1">
      <alignment horizontal="center" wrapText="1"/>
    </xf>
    <xf numFmtId="0" fontId="2" fillId="25" borderId="140" xfId="0" applyFont="1" applyFill="1" applyBorder="1" applyAlignment="1">
      <alignment horizontal="center" wrapText="1"/>
    </xf>
    <xf numFmtId="0" fontId="2" fillId="25" borderId="141" xfId="0" applyFont="1" applyFill="1" applyBorder="1" applyAlignment="1">
      <alignment horizontal="center" wrapText="1"/>
    </xf>
    <xf numFmtId="0" fontId="2" fillId="59" borderId="140" xfId="0" applyFont="1" applyFill="1" applyBorder="1" applyAlignment="1">
      <alignment horizontal="center" wrapText="1"/>
    </xf>
    <xf numFmtId="0" fontId="2" fillId="59" borderId="141" xfId="0" applyFont="1" applyFill="1" applyBorder="1" applyAlignment="1">
      <alignment horizontal="center" wrapText="1"/>
    </xf>
    <xf numFmtId="0" fontId="7" fillId="60" borderId="41" xfId="0" applyFont="1" applyFill="1" applyBorder="1"/>
    <xf numFmtId="0" fontId="10" fillId="5" borderId="61" xfId="0" applyFont="1" applyFill="1" applyBorder="1" applyAlignment="1"/>
    <xf numFmtId="9" fontId="15" fillId="0" borderId="61" xfId="0" applyNumberFormat="1" applyFont="1" applyBorder="1"/>
    <xf numFmtId="9" fontId="10" fillId="60" borderId="140" xfId="0" applyNumberFormat="1" applyFont="1" applyFill="1" applyBorder="1" applyAlignment="1">
      <alignment horizontal="center"/>
    </xf>
    <xf numFmtId="9" fontId="10" fillId="60" borderId="141" xfId="0" applyNumberFormat="1" applyFont="1" applyFill="1" applyBorder="1" applyAlignment="1">
      <alignment horizontal="center"/>
    </xf>
    <xf numFmtId="9" fontId="2" fillId="0" borderId="140" xfId="0" applyNumberFormat="1" applyFont="1" applyFill="1" applyBorder="1" applyAlignment="1">
      <alignment horizontal="center"/>
    </xf>
    <xf numFmtId="9" fontId="2" fillId="0" borderId="141" xfId="0" applyNumberFormat="1" applyFont="1" applyFill="1" applyBorder="1" applyAlignment="1">
      <alignment horizontal="center"/>
    </xf>
    <xf numFmtId="0" fontId="20" fillId="28" borderId="40" xfId="0" applyFont="1" applyFill="1" applyBorder="1"/>
    <xf numFmtId="9" fontId="2" fillId="0" borderId="185" xfId="0" applyNumberFormat="1" applyFont="1" applyFill="1" applyBorder="1" applyAlignment="1">
      <alignment horizontal="center"/>
    </xf>
    <xf numFmtId="9" fontId="2" fillId="0" borderId="186" xfId="0" applyNumberFormat="1" applyFont="1" applyFill="1" applyBorder="1" applyAlignment="1">
      <alignment horizontal="center"/>
    </xf>
    <xf numFmtId="9" fontId="26" fillId="37" borderId="183" xfId="0" applyNumberFormat="1" applyFont="1" applyFill="1" applyBorder="1" applyAlignment="1">
      <alignment horizontal="center"/>
    </xf>
    <xf numFmtId="9" fontId="25" fillId="37" borderId="187" xfId="0" applyNumberFormat="1" applyFont="1" applyFill="1" applyBorder="1" applyAlignment="1">
      <alignment horizontal="center"/>
    </xf>
    <xf numFmtId="9" fontId="21" fillId="0" borderId="0" xfId="0" applyNumberFormat="1" applyFont="1" applyFill="1" applyAlignment="1">
      <alignment horizontal="center"/>
    </xf>
    <xf numFmtId="9" fontId="25" fillId="37" borderId="188" xfId="0" applyNumberFormat="1" applyFont="1" applyFill="1" applyBorder="1" applyAlignment="1">
      <alignment horizontal="center"/>
    </xf>
    <xf numFmtId="0" fontId="15" fillId="0" borderId="0" xfId="0" applyFont="1" applyProtection="1"/>
    <xf numFmtId="0" fontId="2" fillId="5" borderId="189" xfId="0" applyFont="1" applyFill="1" applyBorder="1" applyAlignment="1"/>
    <xf numFmtId="9" fontId="0" fillId="0" borderId="61" xfId="0" applyNumberFormat="1" applyBorder="1"/>
    <xf numFmtId="0" fontId="2" fillId="5" borderId="61" xfId="0" applyFont="1" applyFill="1" applyBorder="1" applyAlignment="1">
      <alignment horizontal="center" wrapText="1"/>
    </xf>
    <xf numFmtId="9" fontId="15" fillId="57" borderId="114" xfId="0" applyNumberFormat="1" applyFont="1" applyFill="1" applyBorder="1"/>
    <xf numFmtId="9" fontId="15" fillId="32" borderId="122" xfId="0" applyNumberFormat="1" applyFont="1" applyFill="1" applyBorder="1" applyProtection="1"/>
    <xf numFmtId="9" fontId="0" fillId="35" borderId="122" xfId="0" applyNumberFormat="1" applyFill="1" applyBorder="1" applyProtection="1"/>
    <xf numFmtId="0" fontId="7" fillId="37" borderId="181" xfId="0" applyFont="1" applyFill="1" applyBorder="1"/>
    <xf numFmtId="0" fontId="7" fillId="37" borderId="192" xfId="0" applyFont="1" applyFill="1" applyBorder="1"/>
    <xf numFmtId="0" fontId="7" fillId="37" borderId="193" xfId="0" applyFont="1" applyFill="1" applyBorder="1"/>
    <xf numFmtId="0" fontId="10" fillId="18" borderId="64" xfId="0" applyFont="1" applyFill="1" applyBorder="1" applyAlignment="1"/>
    <xf numFmtId="0" fontId="0" fillId="18" borderId="0" xfId="0" applyFill="1"/>
    <xf numFmtId="9" fontId="15" fillId="37" borderId="62" xfId="0" applyNumberFormat="1" applyFont="1" applyFill="1" applyBorder="1"/>
    <xf numFmtId="9" fontId="15" fillId="32" borderId="62" xfId="0" applyNumberFormat="1" applyFont="1" applyFill="1" applyBorder="1"/>
    <xf numFmtId="0" fontId="20" fillId="28" borderId="198" xfId="0" applyFont="1" applyFill="1" applyBorder="1"/>
    <xf numFmtId="0" fontId="7" fillId="35" borderId="192" xfId="0" applyFont="1" applyFill="1" applyBorder="1"/>
    <xf numFmtId="9" fontId="2" fillId="37" borderId="194" xfId="0" applyNumberFormat="1" applyFont="1" applyFill="1" applyBorder="1" applyAlignment="1">
      <alignment horizontal="center"/>
    </xf>
    <xf numFmtId="9" fontId="2" fillId="37" borderId="195" xfId="0" applyNumberFormat="1" applyFont="1" applyFill="1" applyBorder="1" applyAlignment="1">
      <alignment horizontal="center"/>
    </xf>
    <xf numFmtId="9" fontId="2" fillId="0" borderId="194" xfId="0" applyNumberFormat="1" applyFont="1" applyFill="1" applyBorder="1" applyAlignment="1">
      <alignment horizontal="center"/>
    </xf>
    <xf numFmtId="9" fontId="2" fillId="0" borderId="195" xfId="0" applyNumberFormat="1" applyFont="1" applyFill="1" applyBorder="1" applyAlignment="1">
      <alignment horizontal="center"/>
    </xf>
    <xf numFmtId="9" fontId="10" fillId="37" borderId="194" xfId="0" applyNumberFormat="1" applyFont="1" applyFill="1" applyBorder="1" applyAlignment="1">
      <alignment horizontal="center"/>
    </xf>
    <xf numFmtId="9" fontId="10" fillId="37" borderId="195" xfId="0" applyNumberFormat="1" applyFont="1" applyFill="1" applyBorder="1" applyAlignment="1">
      <alignment horizontal="center"/>
    </xf>
    <xf numFmtId="0" fontId="2" fillId="48" borderId="140" xfId="0" applyFont="1" applyFill="1" applyBorder="1" applyAlignment="1">
      <alignment wrapText="1"/>
    </xf>
    <xf numFmtId="0" fontId="10" fillId="17" borderId="194" xfId="0" applyFont="1" applyFill="1" applyBorder="1" applyAlignment="1">
      <alignment wrapText="1"/>
    </xf>
    <xf numFmtId="0" fontId="2" fillId="17" borderId="195" xfId="0" applyFont="1" applyFill="1" applyBorder="1" applyAlignment="1">
      <alignment wrapText="1"/>
    </xf>
    <xf numFmtId="0" fontId="2" fillId="48" borderId="141" xfId="0" applyFont="1" applyFill="1" applyBorder="1" applyAlignment="1">
      <alignment wrapText="1"/>
    </xf>
    <xf numFmtId="0" fontId="2" fillId="21" borderId="199" xfId="0" applyFont="1" applyFill="1" applyBorder="1"/>
    <xf numFmtId="0" fontId="0" fillId="0" borderId="132" xfId="0" applyFill="1" applyBorder="1"/>
    <xf numFmtId="9" fontId="15" fillId="0" borderId="132" xfId="0" applyNumberFormat="1" applyFont="1" applyBorder="1"/>
    <xf numFmtId="9" fontId="0" fillId="0" borderId="132" xfId="0" applyNumberFormat="1" applyBorder="1"/>
    <xf numFmtId="0" fontId="2" fillId="21" borderId="199" xfId="0" applyFont="1" applyFill="1" applyBorder="1" applyAlignment="1">
      <alignment horizontal="center" vertical="center"/>
    </xf>
    <xf numFmtId="0" fontId="2" fillId="21" borderId="199" xfId="0" applyFont="1" applyFill="1" applyBorder="1" applyAlignment="1">
      <alignment horizontal="center" vertical="center" wrapText="1"/>
    </xf>
    <xf numFmtId="0" fontId="10" fillId="21" borderId="132" xfId="0" applyFont="1" applyFill="1" applyBorder="1" applyAlignment="1">
      <alignment horizontal="center" vertical="center"/>
    </xf>
    <xf numFmtId="0" fontId="2" fillId="21" borderId="132" xfId="0" applyFont="1" applyFill="1" applyBorder="1" applyAlignment="1">
      <alignment horizontal="center" vertical="center"/>
    </xf>
    <xf numFmtId="9" fontId="0" fillId="37" borderId="140" xfId="0" applyNumberFormat="1" applyFill="1" applyBorder="1"/>
    <xf numFmtId="9" fontId="0" fillId="0" borderId="140" xfId="0" applyNumberFormat="1" applyFill="1" applyBorder="1"/>
    <xf numFmtId="9" fontId="15" fillId="37" borderId="140" xfId="0" applyNumberFormat="1" applyFont="1" applyFill="1" applyBorder="1"/>
    <xf numFmtId="9" fontId="0" fillId="37" borderId="141" xfId="0" applyNumberFormat="1" applyFill="1" applyBorder="1"/>
    <xf numFmtId="9" fontId="0" fillId="0" borderId="141" xfId="0" applyNumberFormat="1" applyFill="1" applyBorder="1"/>
    <xf numFmtId="9" fontId="15" fillId="37" borderId="141" xfId="0" applyNumberFormat="1" applyFont="1" applyFill="1" applyBorder="1"/>
    <xf numFmtId="9" fontId="0" fillId="0" borderId="0" xfId="0" applyNumberFormat="1"/>
    <xf numFmtId="0" fontId="15" fillId="61" borderId="200" xfId="0" applyFont="1" applyFill="1" applyBorder="1"/>
    <xf numFmtId="0" fontId="15" fillId="61" borderId="201" xfId="0" applyFont="1" applyFill="1" applyBorder="1"/>
    <xf numFmtId="9" fontId="27" fillId="60" borderId="202" xfId="0" applyNumberFormat="1" applyFont="1" applyFill="1" applyBorder="1" applyAlignment="1">
      <alignment horizontal="center"/>
    </xf>
    <xf numFmtId="9" fontId="15" fillId="37" borderId="185" xfId="0" applyNumberFormat="1" applyFont="1" applyFill="1" applyBorder="1"/>
    <xf numFmtId="9" fontId="15" fillId="37" borderId="186" xfId="0" applyNumberFormat="1" applyFont="1" applyFill="1" applyBorder="1"/>
    <xf numFmtId="9" fontId="28" fillId="60" borderId="203" xfId="0" applyNumberFormat="1" applyFont="1" applyFill="1" applyBorder="1" applyAlignment="1">
      <alignment horizontal="center"/>
    </xf>
    <xf numFmtId="9" fontId="28" fillId="60" borderId="204" xfId="0" applyNumberFormat="1" applyFont="1" applyFill="1" applyBorder="1" applyAlignment="1">
      <alignment horizontal="center"/>
    </xf>
    <xf numFmtId="9" fontId="27" fillId="60" borderId="203" xfId="0" applyNumberFormat="1" applyFont="1" applyFill="1" applyBorder="1" applyAlignment="1">
      <alignment horizontal="center"/>
    </xf>
    <xf numFmtId="0" fontId="20" fillId="28" borderId="0" xfId="0" applyFont="1" applyFill="1" applyAlignment="1">
      <alignment wrapText="1"/>
    </xf>
    <xf numFmtId="9" fontId="0" fillId="0" borderId="206" xfId="0" applyNumberFormat="1" applyFill="1" applyBorder="1" applyAlignment="1">
      <alignment horizontal="center" vertical="center"/>
    </xf>
    <xf numFmtId="9" fontId="0" fillId="0" borderId="207" xfId="0" applyNumberFormat="1" applyFill="1" applyBorder="1" applyAlignment="1">
      <alignment horizontal="center" vertical="center"/>
    </xf>
    <xf numFmtId="0" fontId="9" fillId="42" borderId="211" xfId="0" applyFont="1" applyFill="1" applyBorder="1" applyAlignment="1"/>
    <xf numFmtId="0" fontId="10" fillId="32" borderId="212" xfId="0" applyFont="1" applyFill="1" applyBorder="1" applyAlignment="1"/>
    <xf numFmtId="0" fontId="10" fillId="33" borderId="215" xfId="0" applyFont="1" applyFill="1" applyBorder="1" applyAlignment="1"/>
    <xf numFmtId="9" fontId="0" fillId="0" borderId="215" xfId="0" applyNumberFormat="1" applyBorder="1"/>
    <xf numFmtId="9" fontId="0" fillId="0" borderId="0" xfId="0" applyNumberFormat="1" applyBorder="1"/>
    <xf numFmtId="0" fontId="10" fillId="51" borderId="216" xfId="0" applyFont="1" applyFill="1" applyBorder="1" applyAlignment="1"/>
    <xf numFmtId="0" fontId="10" fillId="51" borderId="216" xfId="0" applyFont="1" applyFill="1" applyBorder="1" applyAlignment="1">
      <alignment wrapText="1"/>
    </xf>
    <xf numFmtId="0" fontId="0" fillId="0" borderId="216" xfId="0" applyBorder="1"/>
    <xf numFmtId="9" fontId="0" fillId="0" borderId="216" xfId="0" applyNumberFormat="1" applyBorder="1"/>
    <xf numFmtId="0" fontId="2" fillId="31" borderId="208" xfId="0" applyFont="1" applyFill="1" applyBorder="1" applyAlignment="1">
      <alignment horizontal="center" vertical="center"/>
    </xf>
    <xf numFmtId="0" fontId="2" fillId="31" borderId="209" xfId="0" applyFont="1" applyFill="1" applyBorder="1" applyAlignment="1">
      <alignment horizontal="center" wrapText="1"/>
    </xf>
    <xf numFmtId="0" fontId="2" fillId="42" borderId="205" xfId="0" applyFont="1" applyFill="1" applyBorder="1" applyAlignment="1">
      <alignment horizontal="center" vertical="center"/>
    </xf>
    <xf numFmtId="0" fontId="2" fillId="32" borderId="205" xfId="0" applyFont="1" applyFill="1" applyBorder="1" applyAlignment="1">
      <alignment horizontal="center" vertical="center" wrapText="1"/>
    </xf>
    <xf numFmtId="0" fontId="2" fillId="33" borderId="205" xfId="0" applyFont="1" applyFill="1" applyBorder="1" applyAlignment="1">
      <alignment horizontal="center" vertical="center" wrapText="1"/>
    </xf>
    <xf numFmtId="0" fontId="2" fillId="34" borderId="205" xfId="0" applyFont="1" applyFill="1" applyBorder="1" applyAlignment="1">
      <alignment horizontal="center" vertical="center" wrapText="1"/>
    </xf>
    <xf numFmtId="0" fontId="10" fillId="31" borderId="0" xfId="0" applyFont="1" applyFill="1" applyAlignment="1">
      <alignment wrapText="1"/>
    </xf>
    <xf numFmtId="0" fontId="10" fillId="31" borderId="0" xfId="0" applyFont="1" applyFill="1" applyAlignment="1">
      <alignment vertical="center"/>
    </xf>
    <xf numFmtId="0" fontId="10" fillId="31" borderId="217" xfId="0" applyFont="1" applyFill="1" applyBorder="1" applyAlignment="1">
      <alignment vertical="center" wrapText="1"/>
    </xf>
    <xf numFmtId="0" fontId="10" fillId="31" borderId="217" xfId="0" applyFont="1" applyFill="1" applyBorder="1" applyAlignment="1">
      <alignment vertical="center"/>
    </xf>
    <xf numFmtId="0" fontId="0" fillId="0" borderId="218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1" fontId="0" fillId="0" borderId="219" xfId="0" applyNumberFormat="1" applyFill="1" applyBorder="1" applyAlignment="1">
      <alignment horizontal="center" vertical="center"/>
    </xf>
    <xf numFmtId="0" fontId="2" fillId="37" borderId="210" xfId="0" applyFont="1" applyFill="1" applyBorder="1" applyAlignment="1">
      <alignment horizontal="center" vertical="center"/>
    </xf>
    <xf numFmtId="0" fontId="0" fillId="37" borderId="220" xfId="0" applyFill="1" applyBorder="1" applyAlignment="1">
      <alignment horizontal="center" vertical="center"/>
    </xf>
    <xf numFmtId="9" fontId="2" fillId="0" borderId="221" xfId="0" applyNumberFormat="1" applyFont="1" applyBorder="1" applyAlignment="1">
      <alignment horizontal="center" vertical="center"/>
    </xf>
    <xf numFmtId="9" fontId="2" fillId="0" borderId="222" xfId="0" applyNumberFormat="1" applyFont="1" applyBorder="1" applyAlignment="1">
      <alignment horizontal="center" vertical="center"/>
    </xf>
    <xf numFmtId="9" fontId="2" fillId="37" borderId="223" xfId="0" applyNumberFormat="1" applyFont="1" applyFill="1" applyBorder="1" applyAlignment="1">
      <alignment horizontal="center" vertical="center"/>
    </xf>
    <xf numFmtId="9" fontId="2" fillId="0" borderId="218" xfId="0" applyNumberFormat="1" applyFont="1" applyBorder="1" applyAlignment="1">
      <alignment horizontal="center" vertical="center"/>
    </xf>
    <xf numFmtId="9" fontId="2" fillId="0" borderId="219" xfId="0" applyNumberFormat="1" applyFont="1" applyBorder="1" applyAlignment="1">
      <alignment horizontal="center" vertical="center"/>
    </xf>
    <xf numFmtId="9" fontId="2" fillId="37" borderId="220" xfId="0" applyNumberFormat="1" applyFont="1" applyFill="1" applyBorder="1" applyAlignment="1">
      <alignment horizontal="center" vertical="center"/>
    </xf>
    <xf numFmtId="0" fontId="16" fillId="0" borderId="0" xfId="0" applyFont="1" applyProtection="1"/>
    <xf numFmtId="0" fontId="17" fillId="0" borderId="0" xfId="0" applyFont="1" applyProtection="1"/>
    <xf numFmtId="0" fontId="16" fillId="23" borderId="39" xfId="0" applyFont="1" applyFill="1" applyBorder="1" applyAlignment="1" applyProtection="1"/>
    <xf numFmtId="0" fontId="16" fillId="24" borderId="41" xfId="0" applyFont="1" applyFill="1" applyBorder="1" applyAlignment="1" applyProtection="1"/>
    <xf numFmtId="0" fontId="16" fillId="24" borderId="42" xfId="0" applyFont="1" applyFill="1" applyBorder="1" applyAlignment="1" applyProtection="1"/>
    <xf numFmtId="0" fontId="16" fillId="25" borderId="41" xfId="0" applyFont="1" applyFill="1" applyBorder="1" applyAlignment="1" applyProtection="1"/>
    <xf numFmtId="0" fontId="16" fillId="25" borderId="42" xfId="0" applyFont="1" applyFill="1" applyBorder="1" applyAlignment="1" applyProtection="1"/>
    <xf numFmtId="0" fontId="16" fillId="26" borderId="39" xfId="0" applyFont="1" applyFill="1" applyBorder="1" applyAlignment="1" applyProtection="1"/>
    <xf numFmtId="0" fontId="2" fillId="23" borderId="39" xfId="0" applyFont="1" applyFill="1" applyBorder="1" applyAlignment="1" applyProtection="1">
      <alignment horizontal="center"/>
    </xf>
    <xf numFmtId="0" fontId="2" fillId="24" borderId="39" xfId="0" applyFont="1" applyFill="1" applyBorder="1" applyAlignment="1" applyProtection="1">
      <alignment horizontal="center"/>
    </xf>
    <xf numFmtId="0" fontId="2" fillId="25" borderId="39" xfId="0" applyFont="1" applyFill="1" applyBorder="1" applyAlignment="1" applyProtection="1">
      <alignment horizontal="center"/>
    </xf>
    <xf numFmtId="0" fontId="2" fillId="26" borderId="39" xfId="0" applyFont="1" applyFill="1" applyBorder="1" applyAlignment="1" applyProtection="1">
      <alignment horizontal="center"/>
    </xf>
    <xf numFmtId="0" fontId="20" fillId="28" borderId="39" xfId="0" applyFont="1" applyFill="1" applyBorder="1" applyProtection="1"/>
    <xf numFmtId="14" fontId="0" fillId="23" borderId="39" xfId="0" applyNumberFormat="1" applyFill="1" applyBorder="1" applyProtection="1"/>
    <xf numFmtId="14" fontId="0" fillId="24" borderId="39" xfId="0" applyNumberFormat="1" applyFill="1" applyBorder="1" applyProtection="1"/>
    <xf numFmtId="14" fontId="0" fillId="25" borderId="39" xfId="0" applyNumberFormat="1" applyFill="1" applyBorder="1" applyProtection="1"/>
    <xf numFmtId="14" fontId="0" fillId="26" borderId="39" xfId="0" applyNumberFormat="1" applyFill="1" applyBorder="1" applyProtection="1"/>
    <xf numFmtId="0" fontId="2" fillId="17" borderId="43" xfId="0" applyFont="1" applyFill="1" applyBorder="1" applyProtection="1"/>
    <xf numFmtId="0" fontId="2" fillId="21" borderId="43" xfId="0" applyFont="1" applyFill="1" applyBorder="1" applyProtection="1"/>
    <xf numFmtId="0" fontId="20" fillId="28" borderId="0" xfId="0" applyFont="1" applyFill="1" applyProtection="1"/>
    <xf numFmtId="14" fontId="0" fillId="17" borderId="43" xfId="0" applyNumberFormat="1" applyFill="1" applyBorder="1" applyProtection="1"/>
    <xf numFmtId="14" fontId="0" fillId="21" borderId="43" xfId="0" applyNumberFormat="1" applyFill="1" applyBorder="1" applyProtection="1"/>
    <xf numFmtId="0" fontId="0" fillId="29" borderId="43" xfId="0" applyFill="1" applyBorder="1" applyProtection="1"/>
    <xf numFmtId="0" fontId="0" fillId="0" borderId="0" xfId="0" applyFill="1" applyProtection="1"/>
    <xf numFmtId="0" fontId="0" fillId="18" borderId="44" xfId="0" applyFill="1" applyBorder="1" applyAlignment="1" applyProtection="1">
      <alignment horizontal="center" vertical="center"/>
    </xf>
    <xf numFmtId="0" fontId="0" fillId="30" borderId="44" xfId="0" applyFill="1" applyBorder="1" applyAlignment="1" applyProtection="1">
      <alignment horizontal="center" vertical="center"/>
    </xf>
    <xf numFmtId="0" fontId="0" fillId="31" borderId="44" xfId="0" applyFill="1" applyBorder="1" applyAlignment="1" applyProtection="1">
      <alignment horizontal="center" vertical="center"/>
    </xf>
    <xf numFmtId="0" fontId="0" fillId="32" borderId="44" xfId="0" applyFill="1" applyBorder="1" applyAlignment="1" applyProtection="1">
      <alignment horizontal="center" vertical="center" wrapText="1"/>
    </xf>
    <xf numFmtId="0" fontId="0" fillId="33" borderId="44" xfId="0" applyFill="1" applyBorder="1" applyAlignment="1" applyProtection="1">
      <alignment horizontal="center" vertical="center" wrapText="1"/>
    </xf>
    <xf numFmtId="0" fontId="0" fillId="34" borderId="44" xfId="0" applyFill="1" applyBorder="1" applyAlignment="1" applyProtection="1">
      <alignment horizontal="center" vertical="center" wrapText="1"/>
    </xf>
    <xf numFmtId="14" fontId="0" fillId="18" borderId="44" xfId="0" applyNumberFormat="1" applyFill="1" applyBorder="1" applyProtection="1"/>
    <xf numFmtId="14" fontId="0" fillId="30" borderId="44" xfId="0" applyNumberFormat="1" applyFill="1" applyBorder="1" applyProtection="1"/>
    <xf numFmtId="14" fontId="0" fillId="31" borderId="44" xfId="0" applyNumberFormat="1" applyFill="1" applyBorder="1" applyProtection="1"/>
    <xf numFmtId="14" fontId="0" fillId="32" borderId="44" xfId="0" applyNumberFormat="1" applyFill="1" applyBorder="1" applyProtection="1"/>
    <xf numFmtId="14" fontId="0" fillId="33" borderId="44" xfId="0" applyNumberFormat="1" applyFill="1" applyBorder="1" applyProtection="1"/>
    <xf numFmtId="14" fontId="0" fillId="34" borderId="44" xfId="0" applyNumberFormat="1" applyFill="1" applyBorder="1" applyProtection="1"/>
    <xf numFmtId="0" fontId="7" fillId="4" borderId="1" xfId="0" applyFont="1" applyFill="1" applyBorder="1" applyAlignment="1" applyProtection="1">
      <alignment horizontal="center" vertical="center"/>
    </xf>
    <xf numFmtId="0" fontId="7" fillId="4" borderId="1" xfId="0" applyFont="1" applyFill="1" applyBorder="1" applyAlignment="1" applyProtection="1">
      <alignment horizontal="center"/>
    </xf>
    <xf numFmtId="0" fontId="0" fillId="0" borderId="0" xfId="0" applyProtection="1">
      <protection locked="0"/>
    </xf>
    <xf numFmtId="14" fontId="0" fillId="23" borderId="39" xfId="0" applyNumberFormat="1" applyFill="1" applyBorder="1" applyProtection="1">
      <protection locked="0"/>
    </xf>
    <xf numFmtId="14" fontId="0" fillId="24" borderId="39" xfId="0" applyNumberFormat="1" applyFill="1" applyBorder="1" applyProtection="1">
      <protection locked="0"/>
    </xf>
    <xf numFmtId="14" fontId="0" fillId="25" borderId="39" xfId="0" applyNumberFormat="1" applyFill="1" applyBorder="1" applyProtection="1">
      <protection locked="0"/>
    </xf>
    <xf numFmtId="14" fontId="0" fillId="26" borderId="39" xfId="0" applyNumberFormat="1" applyFill="1" applyBorder="1" applyProtection="1">
      <protection locked="0"/>
    </xf>
    <xf numFmtId="14" fontId="0" fillId="17" borderId="43" xfId="0" applyNumberFormat="1" applyFill="1" applyBorder="1" applyProtection="1">
      <protection locked="0"/>
    </xf>
    <xf numFmtId="14" fontId="0" fillId="21" borderId="43" xfId="0" applyNumberFormat="1" applyFill="1" applyBorder="1" applyProtection="1">
      <protection locked="0"/>
    </xf>
    <xf numFmtId="14" fontId="0" fillId="18" borderId="44" xfId="0" applyNumberFormat="1" applyFill="1" applyBorder="1" applyProtection="1">
      <protection locked="0"/>
    </xf>
    <xf numFmtId="14" fontId="0" fillId="30" borderId="44" xfId="0" applyNumberFormat="1" applyFill="1" applyBorder="1" applyProtection="1">
      <protection locked="0"/>
    </xf>
    <xf numFmtId="14" fontId="0" fillId="31" borderId="44" xfId="0" applyNumberFormat="1" applyFill="1" applyBorder="1" applyProtection="1">
      <protection locked="0"/>
    </xf>
    <xf numFmtId="14" fontId="0" fillId="32" borderId="44" xfId="0" applyNumberFormat="1" applyFill="1" applyBorder="1" applyProtection="1">
      <protection locked="0"/>
    </xf>
    <xf numFmtId="14" fontId="0" fillId="34" borderId="44" xfId="0" applyNumberFormat="1" applyFill="1" applyBorder="1" applyProtection="1">
      <protection locked="0"/>
    </xf>
    <xf numFmtId="0" fontId="2" fillId="0" borderId="1" xfId="0" applyFont="1" applyBorder="1" applyAlignment="1" applyProtection="1">
      <alignment vertical="center"/>
      <protection locked="0"/>
    </xf>
    <xf numFmtId="0" fontId="4" fillId="0" borderId="38" xfId="0" applyFont="1" applyFill="1" applyBorder="1" applyAlignment="1" applyProtection="1">
      <alignment horizontal="center" vertical="center" wrapText="1"/>
      <protection locked="0"/>
    </xf>
    <xf numFmtId="0" fontId="4" fillId="0" borderId="38" xfId="0" applyFont="1" applyFill="1" applyBorder="1" applyAlignment="1" applyProtection="1">
      <alignment horizontal="center" vertical="center"/>
      <protection locked="0"/>
    </xf>
    <xf numFmtId="49" fontId="4" fillId="0" borderId="38" xfId="0" applyNumberFormat="1" applyFont="1" applyFill="1" applyBorder="1" applyAlignment="1" applyProtection="1">
      <alignment horizontal="center" vertical="center"/>
      <protection locked="0"/>
    </xf>
    <xf numFmtId="14" fontId="4" fillId="0" borderId="38" xfId="0" applyNumberFormat="1" applyFont="1" applyFill="1" applyBorder="1" applyAlignment="1" applyProtection="1">
      <alignment horizontal="center" vertical="center"/>
      <protection locked="0"/>
    </xf>
    <xf numFmtId="0" fontId="0" fillId="0" borderId="1" xfId="0" applyFont="1" applyBorder="1" applyProtection="1">
      <protection locked="0"/>
    </xf>
    <xf numFmtId="0" fontId="0" fillId="0" borderId="2" xfId="0" applyBorder="1" applyProtection="1">
      <protection locked="0"/>
    </xf>
    <xf numFmtId="14" fontId="0" fillId="0" borderId="8" xfId="0" applyNumberFormat="1" applyBorder="1" applyProtection="1">
      <protection locked="0"/>
    </xf>
    <xf numFmtId="0" fontId="0" fillId="0" borderId="9" xfId="0" applyBorder="1" applyProtection="1">
      <protection locked="0"/>
    </xf>
    <xf numFmtId="14" fontId="0" fillId="0" borderId="10" xfId="0" applyNumberFormat="1" applyBorder="1" applyProtection="1">
      <protection locked="0"/>
    </xf>
    <xf numFmtId="0" fontId="0" fillId="0" borderId="11" xfId="0" applyBorder="1" applyProtection="1">
      <protection locked="0"/>
    </xf>
    <xf numFmtId="14" fontId="0" fillId="0" borderId="4" xfId="0" applyNumberFormat="1" applyBorder="1" applyProtection="1">
      <protection locked="0"/>
    </xf>
    <xf numFmtId="0" fontId="0" fillId="0" borderId="12" xfId="0" applyBorder="1" applyProtection="1">
      <protection locked="0"/>
    </xf>
    <xf numFmtId="14" fontId="0" fillId="0" borderId="5" xfId="0" applyNumberFormat="1" applyBorder="1" applyProtection="1">
      <protection locked="0"/>
    </xf>
    <xf numFmtId="0" fontId="0" fillId="0" borderId="6" xfId="0" applyBorder="1" applyProtection="1">
      <protection locked="0"/>
    </xf>
    <xf numFmtId="0" fontId="0" fillId="0" borderId="3" xfId="0" applyBorder="1" applyProtection="1">
      <protection locked="0"/>
    </xf>
    <xf numFmtId="0" fontId="0" fillId="0" borderId="7" xfId="0" applyBorder="1" applyProtection="1">
      <protection locked="0"/>
    </xf>
    <xf numFmtId="14" fontId="0" fillId="0" borderId="5" xfId="0" applyNumberFormat="1" applyFill="1" applyBorder="1" applyProtection="1">
      <protection locked="0"/>
    </xf>
    <xf numFmtId="0" fontId="0" fillId="0" borderId="5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24" xfId="0" applyBorder="1" applyProtection="1">
      <protection locked="0"/>
    </xf>
    <xf numFmtId="0" fontId="0" fillId="0" borderId="54" xfId="0" applyBorder="1" applyProtection="1">
      <protection locked="0"/>
    </xf>
    <xf numFmtId="0" fontId="0" fillId="0" borderId="57" xfId="0" applyBorder="1" applyProtection="1">
      <protection locked="0"/>
    </xf>
    <xf numFmtId="14" fontId="0" fillId="0" borderId="35" xfId="0" applyNumberFormat="1" applyBorder="1" applyProtection="1">
      <protection locked="0"/>
    </xf>
    <xf numFmtId="0" fontId="0" fillId="0" borderId="36" xfId="0" applyBorder="1" applyProtection="1">
      <protection locked="0"/>
    </xf>
    <xf numFmtId="14" fontId="0" fillId="0" borderId="30" xfId="0" applyNumberFormat="1" applyBorder="1" applyProtection="1">
      <protection locked="0"/>
    </xf>
    <xf numFmtId="0" fontId="0" fillId="0" borderId="27" xfId="0" applyBorder="1" applyProtection="1">
      <protection locked="0"/>
    </xf>
    <xf numFmtId="0" fontId="0" fillId="0" borderId="35" xfId="0" applyBorder="1" applyProtection="1">
      <protection locked="0"/>
    </xf>
    <xf numFmtId="0" fontId="0" fillId="0" borderId="30" xfId="0" applyBorder="1" applyProtection="1">
      <protection locked="0"/>
    </xf>
    <xf numFmtId="0" fontId="0" fillId="0" borderId="55" xfId="0" applyBorder="1" applyProtection="1">
      <protection locked="0"/>
    </xf>
    <xf numFmtId="0" fontId="0" fillId="0" borderId="56" xfId="0" applyBorder="1" applyProtection="1">
      <protection locked="0"/>
    </xf>
    <xf numFmtId="0" fontId="0" fillId="0" borderId="58" xfId="0" applyBorder="1" applyProtection="1">
      <protection locked="0"/>
    </xf>
    <xf numFmtId="0" fontId="0" fillId="0" borderId="59" xfId="0" applyBorder="1" applyProtection="1">
      <protection locked="0"/>
    </xf>
    <xf numFmtId="0" fontId="2" fillId="36" borderId="44" xfId="0" applyFont="1" applyFill="1" applyBorder="1" applyAlignment="1" applyProtection="1">
      <alignment horizontal="center" wrapText="1"/>
      <protection locked="0"/>
    </xf>
    <xf numFmtId="9" fontId="11" fillId="0" borderId="0" xfId="0" applyNumberFormat="1" applyFont="1" applyProtection="1"/>
    <xf numFmtId="0" fontId="21" fillId="0" borderId="0" xfId="0" applyFont="1" applyProtection="1"/>
    <xf numFmtId="0" fontId="0" fillId="0" borderId="0" xfId="0" applyAlignment="1" applyProtection="1"/>
    <xf numFmtId="0" fontId="11" fillId="0" borderId="0" xfId="0" applyFont="1" applyBorder="1" applyProtection="1"/>
    <xf numFmtId="0" fontId="2" fillId="38" borderId="61" xfId="0" applyFont="1" applyFill="1" applyBorder="1" applyProtection="1"/>
    <xf numFmtId="0" fontId="2" fillId="38" borderId="61" xfId="0" applyFont="1" applyFill="1" applyBorder="1" applyAlignment="1" applyProtection="1">
      <alignment wrapText="1"/>
    </xf>
    <xf numFmtId="0" fontId="2" fillId="38" borderId="61" xfId="0" applyFont="1" applyFill="1" applyBorder="1" applyAlignment="1" applyProtection="1">
      <alignment horizontal="center" wrapText="1"/>
    </xf>
    <xf numFmtId="0" fontId="2" fillId="38" borderId="61" xfId="0" applyFont="1" applyFill="1" applyBorder="1" applyAlignment="1" applyProtection="1"/>
    <xf numFmtId="0" fontId="10" fillId="38" borderId="61" xfId="0" applyFont="1" applyFill="1" applyBorder="1" applyAlignment="1" applyProtection="1"/>
    <xf numFmtId="0" fontId="2" fillId="38" borderId="189" xfId="0" applyFont="1" applyFill="1" applyBorder="1" applyAlignment="1" applyProtection="1"/>
    <xf numFmtId="0" fontId="0" fillId="0" borderId="61" xfId="0" applyBorder="1" applyProtection="1"/>
    <xf numFmtId="9" fontId="15" fillId="0" borderId="61" xfId="0" applyNumberFormat="1" applyFont="1" applyBorder="1" applyProtection="1"/>
    <xf numFmtId="9" fontId="0" fillId="0" borderId="61" xfId="0" applyNumberFormat="1" applyBorder="1" applyProtection="1"/>
    <xf numFmtId="0" fontId="5" fillId="22" borderId="60" xfId="0" applyFont="1" applyFill="1" applyBorder="1" applyAlignment="1" applyProtection="1">
      <alignment horizontal="center" wrapText="1"/>
      <protection locked="0"/>
    </xf>
    <xf numFmtId="0" fontId="29" fillId="0" borderId="0" xfId="0" applyFont="1" applyFill="1"/>
    <xf numFmtId="9" fontId="29" fillId="0" borderId="0" xfId="0" applyNumberFormat="1" applyFont="1" applyFill="1"/>
    <xf numFmtId="0" fontId="30" fillId="0" borderId="0" xfId="0" applyFont="1" applyFill="1"/>
    <xf numFmtId="9" fontId="30" fillId="0" borderId="0" xfId="0" applyNumberFormat="1" applyFont="1" applyFill="1"/>
    <xf numFmtId="9" fontId="29" fillId="0" borderId="0" xfId="0" applyNumberFormat="1" applyFont="1" applyFill="1" applyAlignment="1">
      <alignment horizontal="center"/>
    </xf>
    <xf numFmtId="0" fontId="11" fillId="0" borderId="0" xfId="0" applyFont="1" applyFill="1"/>
    <xf numFmtId="9" fontId="11" fillId="0" borderId="0" xfId="0" applyNumberFormat="1" applyFont="1" applyFill="1"/>
    <xf numFmtId="9" fontId="31" fillId="0" borderId="0" xfId="0" applyNumberFormat="1" applyFont="1" applyFill="1" applyAlignment="1">
      <alignment horizontal="center"/>
    </xf>
    <xf numFmtId="0" fontId="32" fillId="0" borderId="0" xfId="0" applyFont="1" applyFill="1" applyAlignment="1">
      <alignment horizontal="center"/>
    </xf>
    <xf numFmtId="9" fontId="32" fillId="0" borderId="0" xfId="0" applyNumberFormat="1" applyFont="1" applyFill="1" applyAlignment="1">
      <alignment horizontal="center"/>
    </xf>
    <xf numFmtId="0" fontId="31" fillId="0" borderId="0" xfId="0" applyFont="1" applyFill="1" applyAlignment="1">
      <alignment horizontal="center"/>
    </xf>
    <xf numFmtId="0" fontId="9" fillId="0" borderId="0" xfId="0" applyFont="1" applyFill="1" applyAlignment="1">
      <alignment horizontal="center"/>
    </xf>
    <xf numFmtId="9" fontId="9" fillId="0" borderId="0" xfId="0" applyNumberFormat="1" applyFont="1" applyFill="1" applyAlignment="1">
      <alignment horizontal="center"/>
    </xf>
    <xf numFmtId="9" fontId="29" fillId="0" borderId="0" xfId="0" applyNumberFormat="1" applyFont="1"/>
    <xf numFmtId="0" fontId="0" fillId="0" borderId="72" xfId="0" applyBorder="1" applyProtection="1">
      <protection locked="0"/>
    </xf>
    <xf numFmtId="14" fontId="0" fillId="0" borderId="88" xfId="0" applyNumberFormat="1" applyBorder="1" applyProtection="1">
      <protection locked="0"/>
    </xf>
    <xf numFmtId="0" fontId="0" fillId="0" borderId="89" xfId="0" applyBorder="1" applyProtection="1">
      <protection locked="0"/>
    </xf>
    <xf numFmtId="14" fontId="0" fillId="0" borderId="92" xfId="0" applyNumberFormat="1" applyBorder="1" applyProtection="1">
      <protection locked="0"/>
    </xf>
    <xf numFmtId="0" fontId="0" fillId="0" borderId="93" xfId="0" applyBorder="1" applyProtection="1">
      <protection locked="0"/>
    </xf>
    <xf numFmtId="14" fontId="0" fillId="0" borderId="94" xfId="0" applyNumberFormat="1" applyBorder="1" applyProtection="1">
      <protection locked="0"/>
    </xf>
    <xf numFmtId="0" fontId="0" fillId="0" borderId="95" xfId="0" applyBorder="1" applyProtection="1">
      <protection locked="0"/>
    </xf>
    <xf numFmtId="14" fontId="0" fillId="0" borderId="96" xfId="0" applyNumberFormat="1" applyBorder="1" applyProtection="1">
      <protection locked="0"/>
    </xf>
    <xf numFmtId="0" fontId="0" fillId="0" borderId="97" xfId="0" applyBorder="1" applyProtection="1">
      <protection locked="0"/>
    </xf>
    <xf numFmtId="14" fontId="0" fillId="0" borderId="98" xfId="0" applyNumberFormat="1" applyBorder="1" applyProtection="1">
      <protection locked="0"/>
    </xf>
    <xf numFmtId="0" fontId="0" fillId="0" borderId="99" xfId="0" applyBorder="1" applyProtection="1">
      <protection locked="0"/>
    </xf>
    <xf numFmtId="14" fontId="0" fillId="0" borderId="100" xfId="0" applyNumberFormat="1" applyBorder="1" applyProtection="1">
      <protection locked="0"/>
    </xf>
    <xf numFmtId="0" fontId="0" fillId="0" borderId="101" xfId="0" applyBorder="1" applyProtection="1">
      <protection locked="0"/>
    </xf>
    <xf numFmtId="14" fontId="0" fillId="0" borderId="102" xfId="0" applyNumberFormat="1" applyBorder="1" applyProtection="1">
      <protection locked="0"/>
    </xf>
    <xf numFmtId="0" fontId="0" fillId="0" borderId="103" xfId="0" applyBorder="1" applyProtection="1">
      <protection locked="0"/>
    </xf>
    <xf numFmtId="14" fontId="0" fillId="0" borderId="104" xfId="0" applyNumberFormat="1" applyBorder="1" applyProtection="1">
      <protection locked="0"/>
    </xf>
    <xf numFmtId="0" fontId="0" fillId="0" borderId="105" xfId="0" applyBorder="1" applyProtection="1">
      <protection locked="0"/>
    </xf>
    <xf numFmtId="14" fontId="0" fillId="0" borderId="106" xfId="0" applyNumberFormat="1" applyBorder="1" applyProtection="1">
      <protection locked="0"/>
    </xf>
    <xf numFmtId="0" fontId="0" fillId="0" borderId="107" xfId="0" applyBorder="1" applyProtection="1">
      <protection locked="0"/>
    </xf>
    <xf numFmtId="14" fontId="0" fillId="0" borderId="108" xfId="0" applyNumberFormat="1" applyBorder="1" applyProtection="1">
      <protection locked="0"/>
    </xf>
    <xf numFmtId="0" fontId="0" fillId="0" borderId="109" xfId="0" applyBorder="1" applyProtection="1">
      <protection locked="0"/>
    </xf>
    <xf numFmtId="0" fontId="0" fillId="0" borderId="111" xfId="0" applyBorder="1" applyProtection="1">
      <protection locked="0"/>
    </xf>
    <xf numFmtId="0" fontId="0" fillId="0" borderId="112" xfId="0" applyBorder="1" applyProtection="1">
      <protection locked="0"/>
    </xf>
    <xf numFmtId="0" fontId="0" fillId="0" borderId="113" xfId="0" applyBorder="1" applyProtection="1">
      <protection locked="0"/>
    </xf>
    <xf numFmtId="0" fontId="0" fillId="0" borderId="98" xfId="0" applyBorder="1" applyProtection="1">
      <protection locked="0"/>
    </xf>
    <xf numFmtId="0" fontId="0" fillId="0" borderId="100" xfId="0" applyBorder="1" applyProtection="1">
      <protection locked="0"/>
    </xf>
    <xf numFmtId="0" fontId="0" fillId="0" borderId="102" xfId="0" applyBorder="1" applyProtection="1">
      <protection locked="0"/>
    </xf>
    <xf numFmtId="0" fontId="0" fillId="0" borderId="104" xfId="0" applyBorder="1" applyProtection="1">
      <protection locked="0"/>
    </xf>
    <xf numFmtId="0" fontId="0" fillId="0" borderId="106" xfId="0" applyBorder="1" applyProtection="1">
      <protection locked="0"/>
    </xf>
    <xf numFmtId="0" fontId="0" fillId="0" borderId="110" xfId="0" applyBorder="1" applyProtection="1">
      <protection locked="0"/>
    </xf>
    <xf numFmtId="0" fontId="0" fillId="0" borderId="108" xfId="0" applyBorder="1" applyProtection="1">
      <protection locked="0"/>
    </xf>
    <xf numFmtId="0" fontId="0" fillId="0" borderId="92" xfId="0" applyBorder="1" applyProtection="1">
      <protection locked="0"/>
    </xf>
    <xf numFmtId="0" fontId="0" fillId="0" borderId="94" xfId="0" applyBorder="1" applyProtection="1">
      <protection locked="0"/>
    </xf>
    <xf numFmtId="0" fontId="0" fillId="0" borderId="96" xfId="0" applyBorder="1" applyProtection="1">
      <protection locked="0"/>
    </xf>
    <xf numFmtId="0" fontId="0" fillId="0" borderId="88" xfId="0" applyBorder="1" applyProtection="1">
      <protection locked="0"/>
    </xf>
    <xf numFmtId="0" fontId="0" fillId="0" borderId="90" xfId="0" applyBorder="1" applyProtection="1">
      <protection locked="0"/>
    </xf>
    <xf numFmtId="0" fontId="0" fillId="0" borderId="91" xfId="0" applyBorder="1" applyProtection="1">
      <protection locked="0"/>
    </xf>
    <xf numFmtId="0" fontId="29" fillId="0" borderId="0" xfId="0" applyFont="1" applyFill="1" applyProtection="1"/>
    <xf numFmtId="9" fontId="29" fillId="0" borderId="0" xfId="0" applyNumberFormat="1" applyFont="1" applyFill="1" applyProtection="1"/>
    <xf numFmtId="0" fontId="11" fillId="0" borderId="0" xfId="0" applyFont="1" applyFill="1" applyProtection="1"/>
    <xf numFmtId="9" fontId="11" fillId="0" borderId="0" xfId="0" applyNumberFormat="1" applyFont="1" applyFill="1" applyProtection="1"/>
    <xf numFmtId="9" fontId="29" fillId="0" borderId="0" xfId="0" applyNumberFormat="1" applyFont="1" applyFill="1" applyAlignment="1" applyProtection="1">
      <alignment horizontal="center"/>
    </xf>
    <xf numFmtId="0" fontId="21" fillId="0" borderId="0" xfId="0" applyFont="1" applyFill="1" applyProtection="1"/>
    <xf numFmtId="9" fontId="21" fillId="0" borderId="0" xfId="0" applyNumberFormat="1" applyFont="1" applyFill="1" applyProtection="1"/>
    <xf numFmtId="9" fontId="31" fillId="0" borderId="0" xfId="0" applyNumberFormat="1" applyFont="1" applyFill="1" applyAlignment="1" applyProtection="1">
      <alignment horizontal="center"/>
    </xf>
    <xf numFmtId="0" fontId="9" fillId="0" borderId="0" xfId="0" applyFont="1" applyFill="1" applyAlignment="1" applyProtection="1">
      <alignment horizontal="center"/>
    </xf>
    <xf numFmtId="9" fontId="9" fillId="0" borderId="0" xfId="0" applyNumberFormat="1" applyFont="1" applyFill="1" applyAlignment="1" applyProtection="1">
      <alignment horizontal="center"/>
    </xf>
    <xf numFmtId="0" fontId="31" fillId="0" borderId="0" xfId="0" applyFont="1" applyFill="1" applyAlignment="1" applyProtection="1">
      <alignment horizontal="center"/>
    </xf>
    <xf numFmtId="9" fontId="29" fillId="0" borderId="0" xfId="0" applyNumberFormat="1" applyFont="1" applyProtection="1"/>
    <xf numFmtId="0" fontId="22" fillId="0" borderId="0" xfId="0" applyFont="1" applyFill="1" applyAlignment="1" applyProtection="1">
      <alignment horizontal="center"/>
    </xf>
    <xf numFmtId="9" fontId="22" fillId="0" borderId="0" xfId="0" applyNumberFormat="1" applyFont="1" applyFill="1" applyAlignment="1" applyProtection="1">
      <alignment horizontal="center"/>
    </xf>
    <xf numFmtId="14" fontId="0" fillId="0" borderId="24" xfId="0" applyNumberFormat="1" applyBorder="1" applyProtection="1">
      <protection locked="0"/>
    </xf>
    <xf numFmtId="0" fontId="0" fillId="0" borderId="124" xfId="0" applyBorder="1" applyProtection="1">
      <protection locked="0"/>
    </xf>
    <xf numFmtId="14" fontId="0" fillId="0" borderId="124" xfId="0" applyNumberFormat="1" applyBorder="1" applyProtection="1">
      <protection locked="0"/>
    </xf>
    <xf numFmtId="0" fontId="0" fillId="0" borderId="125" xfId="0" applyBorder="1" applyProtection="1">
      <protection locked="0"/>
    </xf>
    <xf numFmtId="14" fontId="0" fillId="0" borderId="130" xfId="0" applyNumberFormat="1" applyBorder="1" applyProtection="1">
      <protection locked="0"/>
    </xf>
    <xf numFmtId="0" fontId="0" fillId="0" borderId="131" xfId="0" applyBorder="1" applyProtection="1">
      <protection locked="0"/>
    </xf>
    <xf numFmtId="0" fontId="0" fillId="0" borderId="130" xfId="0" applyBorder="1" applyProtection="1">
      <protection locked="0"/>
    </xf>
    <xf numFmtId="0" fontId="0" fillId="0" borderId="133" xfId="0" applyBorder="1" applyProtection="1">
      <protection locked="0"/>
    </xf>
    <xf numFmtId="14" fontId="0" fillId="0" borderId="133" xfId="0" applyNumberFormat="1" applyBorder="1" applyProtection="1">
      <protection locked="0"/>
    </xf>
    <xf numFmtId="0" fontId="0" fillId="0" borderId="39" xfId="0" applyBorder="1" applyProtection="1">
      <protection locked="0"/>
    </xf>
    <xf numFmtId="14" fontId="0" fillId="0" borderId="39" xfId="0" applyNumberFormat="1" applyBorder="1" applyProtection="1">
      <protection locked="0"/>
    </xf>
    <xf numFmtId="0" fontId="0" fillId="0" borderId="136" xfId="0" applyBorder="1" applyProtection="1">
      <protection locked="0"/>
    </xf>
    <xf numFmtId="14" fontId="0" fillId="0" borderId="136" xfId="0" applyNumberFormat="1" applyBorder="1" applyProtection="1">
      <protection locked="0"/>
    </xf>
    <xf numFmtId="14" fontId="0" fillId="62" borderId="0" xfId="0" applyNumberFormat="1" applyFill="1" applyProtection="1"/>
    <xf numFmtId="0" fontId="0" fillId="62" borderId="0" xfId="0" applyFill="1" applyAlignment="1" applyProtection="1">
      <alignment vertical="center"/>
    </xf>
    <xf numFmtId="0" fontId="0" fillId="0" borderId="224" xfId="0" applyBorder="1" applyProtection="1">
      <protection locked="0"/>
    </xf>
    <xf numFmtId="14" fontId="0" fillId="0" borderId="224" xfId="0" applyNumberFormat="1" applyBorder="1" applyProtection="1">
      <protection locked="0"/>
    </xf>
    <xf numFmtId="0" fontId="0" fillId="0" borderId="225" xfId="0" applyBorder="1" applyProtection="1"/>
    <xf numFmtId="0" fontId="2" fillId="64" borderId="122" xfId="0" applyFont="1" applyFill="1" applyBorder="1" applyProtection="1"/>
    <xf numFmtId="0" fontId="2" fillId="64" borderId="191" xfId="0" applyFont="1" applyFill="1" applyBorder="1" applyAlignment="1" applyProtection="1"/>
    <xf numFmtId="0" fontId="2" fillId="64" borderId="191" xfId="0" applyFont="1" applyFill="1" applyBorder="1" applyAlignment="1" applyProtection="1">
      <alignment wrapText="1"/>
    </xf>
    <xf numFmtId="0" fontId="10" fillId="64" borderId="0" xfId="0" applyFont="1" applyFill="1" applyBorder="1" applyAlignment="1" applyProtection="1"/>
    <xf numFmtId="0" fontId="2" fillId="64" borderId="190" xfId="0" applyFont="1" applyFill="1" applyBorder="1" applyAlignment="1" applyProtection="1"/>
    <xf numFmtId="0" fontId="4" fillId="0" borderId="0" xfId="0" applyFont="1" applyBorder="1" applyAlignment="1" applyProtection="1">
      <alignment horizontal="left" vertical="top" wrapText="1"/>
    </xf>
    <xf numFmtId="0" fontId="2" fillId="0" borderId="0" xfId="0" applyFont="1" applyFill="1" applyBorder="1" applyAlignment="1" applyProtection="1">
      <alignment vertical="center"/>
    </xf>
    <xf numFmtId="0" fontId="3" fillId="0" borderId="0" xfId="0" applyFont="1" applyFill="1" applyBorder="1" applyAlignment="1" applyProtection="1">
      <alignment vertical="center" wrapText="1"/>
    </xf>
    <xf numFmtId="0" fontId="0" fillId="0" borderId="0" xfId="0" applyFill="1" applyBorder="1" applyAlignment="1" applyProtection="1">
      <alignment horizontal="center" vertical="center"/>
    </xf>
    <xf numFmtId="0" fontId="0" fillId="0" borderId="0" xfId="0" applyFill="1" applyBorder="1" applyProtection="1"/>
    <xf numFmtId="14" fontId="0" fillId="33" borderId="44" xfId="0" applyNumberFormat="1" applyFont="1" applyFill="1" applyBorder="1" applyProtection="1">
      <protection locked="0"/>
    </xf>
    <xf numFmtId="0" fontId="13" fillId="0" borderId="0" xfId="0" applyFont="1" applyProtection="1"/>
    <xf numFmtId="9" fontId="13" fillId="0" borderId="0" xfId="0" applyNumberFormat="1" applyFont="1" applyProtection="1"/>
    <xf numFmtId="0" fontId="25" fillId="0" borderId="0" xfId="0" applyFont="1" applyFill="1" applyBorder="1" applyAlignment="1" applyProtection="1"/>
    <xf numFmtId="9" fontId="9" fillId="0" borderId="0" xfId="0" applyNumberFormat="1" applyFont="1" applyFill="1" applyBorder="1" applyAlignment="1" applyProtection="1"/>
    <xf numFmtId="0" fontId="10" fillId="63" borderId="224" xfId="0" applyFont="1" applyFill="1" applyBorder="1" applyAlignment="1" applyProtection="1">
      <alignment horizontal="center"/>
    </xf>
    <xf numFmtId="0" fontId="9" fillId="32" borderId="0" xfId="0" applyFont="1" applyFill="1" applyBorder="1" applyAlignment="1" applyProtection="1">
      <alignment horizontal="center" wrapText="1"/>
    </xf>
    <xf numFmtId="0" fontId="0" fillId="0" borderId="224" xfId="0" applyBorder="1" applyProtection="1"/>
    <xf numFmtId="0" fontId="10" fillId="63" borderId="225" xfId="0" applyFont="1" applyFill="1" applyBorder="1" applyAlignment="1" applyProtection="1"/>
    <xf numFmtId="0" fontId="10" fillId="63" borderId="225" xfId="0" applyFont="1" applyFill="1" applyBorder="1" applyAlignment="1" applyProtection="1">
      <alignment wrapText="1"/>
    </xf>
    <xf numFmtId="9" fontId="0" fillId="0" borderId="225" xfId="0" applyNumberFormat="1" applyBorder="1" applyProtection="1"/>
    <xf numFmtId="9" fontId="0" fillId="0" borderId="0" xfId="0" applyNumberFormat="1" applyBorder="1" applyProtection="1"/>
    <xf numFmtId="0" fontId="10" fillId="43" borderId="124" xfId="0" applyFont="1" applyFill="1" applyBorder="1" applyAlignment="1" applyProtection="1">
      <alignment horizontal="center"/>
      <protection locked="0"/>
    </xf>
    <xf numFmtId="0" fontId="10" fillId="17" borderId="0" xfId="0" applyFont="1" applyFill="1" applyAlignment="1" applyProtection="1">
      <alignment horizontal="center"/>
    </xf>
    <xf numFmtId="0" fontId="0" fillId="0" borderId="1" xfId="0" applyBorder="1" applyProtection="1">
      <protection locked="0"/>
    </xf>
    <xf numFmtId="0" fontId="2" fillId="41" borderId="226" xfId="0" applyFont="1" applyFill="1" applyBorder="1" applyProtection="1"/>
    <xf numFmtId="14" fontId="0" fillId="0" borderId="227" xfId="0" applyNumberFormat="1" applyBorder="1" applyProtection="1">
      <protection locked="0"/>
    </xf>
    <xf numFmtId="14" fontId="0" fillId="0" borderId="228" xfId="0" applyNumberFormat="1" applyBorder="1" applyProtection="1">
      <protection locked="0"/>
    </xf>
    <xf numFmtId="0" fontId="0" fillId="0" borderId="228" xfId="0" applyBorder="1" applyProtection="1">
      <protection locked="0"/>
    </xf>
    <xf numFmtId="0" fontId="0" fillId="0" borderId="229" xfId="0" applyBorder="1" applyProtection="1">
      <protection locked="0"/>
    </xf>
    <xf numFmtId="0" fontId="0" fillId="0" borderId="124" xfId="0" applyBorder="1" applyProtection="1"/>
    <xf numFmtId="0" fontId="2" fillId="59" borderId="124" xfId="0" applyFont="1" applyFill="1" applyBorder="1" applyAlignment="1" applyProtection="1">
      <alignment horizontal="center"/>
    </xf>
    <xf numFmtId="0" fontId="0" fillId="0" borderId="230" xfId="0" applyBorder="1" applyAlignment="1" applyProtection="1">
      <alignment horizontal="center" vertical="center"/>
      <protection locked="0"/>
    </xf>
    <xf numFmtId="0" fontId="5" fillId="0" borderId="231" xfId="0" applyFont="1" applyFill="1" applyBorder="1" applyAlignment="1" applyProtection="1">
      <alignment horizontal="center" vertical="center"/>
      <protection locked="0"/>
    </xf>
    <xf numFmtId="0" fontId="0" fillId="0" borderId="232" xfId="0" applyBorder="1" applyAlignment="1" applyProtection="1">
      <alignment horizontal="center" vertical="center"/>
      <protection locked="0"/>
    </xf>
    <xf numFmtId="0" fontId="5" fillId="0" borderId="38" xfId="0" applyFont="1" applyFill="1" applyBorder="1" applyAlignment="1" applyProtection="1">
      <alignment horizontal="center" vertical="center"/>
      <protection locked="0"/>
    </xf>
    <xf numFmtId="0" fontId="5" fillId="0" borderId="38" xfId="0" applyFont="1" applyFill="1" applyBorder="1" applyAlignment="1" applyProtection="1">
      <alignment horizontal="center" vertical="center" wrapText="1"/>
      <protection locked="0"/>
    </xf>
    <xf numFmtId="0" fontId="0" fillId="0" borderId="233" xfId="0" applyBorder="1" applyAlignment="1" applyProtection="1">
      <alignment horizontal="center" vertical="center"/>
      <protection locked="0"/>
    </xf>
    <xf numFmtId="0" fontId="5" fillId="0" borderId="234" xfId="0" applyFont="1" applyFill="1" applyBorder="1" applyAlignment="1" applyProtection="1">
      <alignment horizontal="center" vertical="center" wrapText="1"/>
      <protection locked="0"/>
    </xf>
    <xf numFmtId="0" fontId="4" fillId="0" borderId="231" xfId="0" applyFont="1" applyFill="1" applyBorder="1" applyAlignment="1" applyProtection="1">
      <alignment horizontal="center" vertical="center" wrapText="1"/>
      <protection locked="0"/>
    </xf>
    <xf numFmtId="0" fontId="4" fillId="0" borderId="231" xfId="0" applyFont="1" applyFill="1" applyBorder="1" applyAlignment="1" applyProtection="1">
      <alignment horizontal="center" vertical="center"/>
      <protection locked="0"/>
    </xf>
    <xf numFmtId="49" fontId="4" fillId="0" borderId="231" xfId="0" applyNumberFormat="1" applyFont="1" applyFill="1" applyBorder="1" applyAlignment="1" applyProtection="1">
      <alignment horizontal="center" vertical="center"/>
      <protection locked="0"/>
    </xf>
    <xf numFmtId="14" fontId="4" fillId="0" borderId="231" xfId="0" applyNumberFormat="1" applyFont="1" applyFill="1" applyBorder="1" applyAlignment="1" applyProtection="1">
      <alignment horizontal="center" vertical="center"/>
      <protection locked="0"/>
    </xf>
    <xf numFmtId="0" fontId="4" fillId="0" borderId="38" xfId="0" quotePrefix="1" applyFont="1" applyFill="1" applyBorder="1" applyAlignment="1" applyProtection="1">
      <alignment horizontal="center" vertical="center" wrapText="1"/>
      <protection locked="0"/>
    </xf>
    <xf numFmtId="0" fontId="34" fillId="0" borderId="38" xfId="0" applyFont="1" applyFill="1" applyBorder="1" applyAlignment="1" applyProtection="1">
      <alignment horizontal="center" vertical="center" wrapText="1"/>
      <protection locked="0"/>
    </xf>
    <xf numFmtId="14" fontId="34" fillId="0" borderId="38" xfId="0" applyNumberFormat="1" applyFont="1" applyFill="1" applyBorder="1" applyAlignment="1" applyProtection="1">
      <alignment horizontal="center" vertical="center"/>
      <protection locked="0"/>
    </xf>
    <xf numFmtId="4" fontId="4" fillId="0" borderId="38" xfId="0" applyNumberFormat="1" applyFont="1" applyFill="1" applyBorder="1" applyAlignment="1" applyProtection="1">
      <alignment horizontal="center" vertical="center"/>
      <protection locked="0"/>
    </xf>
    <xf numFmtId="49" fontId="4" fillId="0" borderId="38" xfId="0" applyNumberFormat="1" applyFont="1" applyFill="1" applyBorder="1" applyAlignment="1" applyProtection="1">
      <alignment horizontal="center" vertical="center" wrapText="1"/>
      <protection locked="0"/>
    </xf>
    <xf numFmtId="14" fontId="4" fillId="0" borderId="38" xfId="0" applyNumberFormat="1" applyFont="1" applyFill="1" applyBorder="1" applyAlignment="1" applyProtection="1">
      <alignment horizontal="center" vertical="center" wrapText="1"/>
      <protection locked="0"/>
    </xf>
    <xf numFmtId="49" fontId="4" fillId="0" borderId="38" xfId="0" quotePrefix="1" applyNumberFormat="1" applyFont="1" applyFill="1" applyBorder="1" applyAlignment="1" applyProtection="1">
      <alignment horizontal="center" vertical="center" wrapText="1"/>
      <protection locked="0"/>
    </xf>
    <xf numFmtId="0" fontId="4" fillId="0" borderId="234" xfId="0" applyFont="1" applyFill="1" applyBorder="1" applyAlignment="1" applyProtection="1">
      <alignment horizontal="center" vertical="center" wrapText="1"/>
      <protection locked="0"/>
    </xf>
    <xf numFmtId="49" fontId="4" fillId="0" borderId="234" xfId="0" applyNumberFormat="1" applyFont="1" applyFill="1" applyBorder="1" applyAlignment="1" applyProtection="1">
      <alignment horizontal="center" vertical="center" wrapText="1"/>
      <protection locked="0"/>
    </xf>
    <xf numFmtId="49" fontId="4" fillId="0" borderId="234" xfId="0" quotePrefix="1" applyNumberFormat="1" applyFont="1" applyFill="1" applyBorder="1" applyAlignment="1" applyProtection="1">
      <alignment horizontal="center" vertical="center" wrapText="1"/>
      <protection locked="0"/>
    </xf>
    <xf numFmtId="14" fontId="4" fillId="0" borderId="234" xfId="0" applyNumberFormat="1" applyFont="1" applyFill="1" applyBorder="1" applyAlignment="1" applyProtection="1">
      <alignment horizontal="center" vertical="center" wrapText="1"/>
      <protection locked="0"/>
    </xf>
    <xf numFmtId="14" fontId="0" fillId="0" borderId="120" xfId="0" applyNumberFormat="1" applyBorder="1" applyProtection="1">
      <protection locked="0"/>
    </xf>
    <xf numFmtId="14" fontId="0" fillId="0" borderId="131" xfId="0" applyNumberFormat="1" applyBorder="1" applyProtection="1">
      <protection locked="0"/>
    </xf>
    <xf numFmtId="14" fontId="0" fillId="0" borderId="95" xfId="0" applyNumberFormat="1" applyBorder="1" applyProtection="1">
      <protection locked="0"/>
    </xf>
    <xf numFmtId="14" fontId="0" fillId="0" borderId="97" xfId="0" applyNumberFormat="1" applyBorder="1" applyProtection="1">
      <protection locked="0"/>
    </xf>
    <xf numFmtId="14" fontId="0" fillId="0" borderId="55" xfId="0" applyNumberFormat="1" applyBorder="1" applyProtection="1">
      <protection locked="0"/>
    </xf>
    <xf numFmtId="14" fontId="0" fillId="0" borderId="58" xfId="0" applyNumberFormat="1" applyBorder="1" applyProtection="1">
      <protection locked="0"/>
    </xf>
    <xf numFmtId="0" fontId="0" fillId="0" borderId="58" xfId="0" quotePrefix="1" applyBorder="1" applyProtection="1">
      <protection locked="0"/>
    </xf>
    <xf numFmtId="16" fontId="0" fillId="0" borderId="119" xfId="0" applyNumberFormat="1" applyBorder="1" applyProtection="1">
      <protection locked="0"/>
    </xf>
    <xf numFmtId="0" fontId="35" fillId="0" borderId="0" xfId="0" applyFont="1"/>
    <xf numFmtId="14" fontId="0" fillId="0" borderId="112" xfId="0" applyNumberFormat="1" applyBorder="1" applyProtection="1">
      <protection locked="0"/>
    </xf>
    <xf numFmtId="0" fontId="0" fillId="0" borderId="59" xfId="0" quotePrefix="1" applyBorder="1" applyProtection="1">
      <protection locked="0"/>
    </xf>
    <xf numFmtId="17" fontId="0" fillId="0" borderId="35" xfId="0" applyNumberFormat="1" applyBorder="1" applyProtection="1">
      <protection locked="0"/>
    </xf>
    <xf numFmtId="0" fontId="0" fillId="0" borderId="24" xfId="0" quotePrefix="1" applyBorder="1" applyProtection="1">
      <protection locked="0"/>
    </xf>
    <xf numFmtId="0" fontId="0" fillId="0" borderId="36" xfId="0" quotePrefix="1" applyBorder="1" applyProtection="1">
      <protection locked="0"/>
    </xf>
    <xf numFmtId="0" fontId="18" fillId="27" borderId="40" xfId="0" applyFont="1" applyFill="1" applyBorder="1" applyAlignment="1" applyProtection="1">
      <alignment horizontal="center"/>
    </xf>
    <xf numFmtId="0" fontId="18" fillId="27" borderId="0" xfId="0" applyFont="1" applyFill="1" applyBorder="1" applyAlignment="1" applyProtection="1">
      <alignment horizontal="center"/>
    </xf>
    <xf numFmtId="0" fontId="19" fillId="27" borderId="40" xfId="0" applyFont="1" applyFill="1" applyBorder="1" applyAlignment="1" applyProtection="1">
      <alignment horizontal="center"/>
    </xf>
    <xf numFmtId="0" fontId="19" fillId="27" borderId="0" xfId="0" applyFont="1" applyFill="1" applyBorder="1" applyAlignment="1" applyProtection="1">
      <alignment horizontal="center"/>
    </xf>
    <xf numFmtId="0" fontId="0" fillId="0" borderId="0" xfId="0" applyAlignment="1">
      <alignment horizontal="center"/>
    </xf>
    <xf numFmtId="0" fontId="9" fillId="16" borderId="13" xfId="0" applyFont="1" applyFill="1" applyBorder="1" applyAlignment="1">
      <alignment horizontal="center"/>
    </xf>
    <xf numFmtId="0" fontId="9" fillId="16" borderId="16" xfId="0" applyFont="1" applyFill="1" applyBorder="1" applyAlignment="1">
      <alignment horizontal="center"/>
    </xf>
    <xf numFmtId="0" fontId="2" fillId="5" borderId="13" xfId="0" applyFont="1" applyFill="1" applyBorder="1" applyAlignment="1">
      <alignment horizontal="center"/>
    </xf>
    <xf numFmtId="0" fontId="2" fillId="5" borderId="14" xfId="0" applyFont="1" applyFill="1" applyBorder="1" applyAlignment="1">
      <alignment horizontal="center"/>
    </xf>
    <xf numFmtId="0" fontId="2" fillId="7" borderId="15" xfId="0" applyFont="1" applyFill="1" applyBorder="1" applyAlignment="1">
      <alignment horizontal="center"/>
    </xf>
    <xf numFmtId="0" fontId="2" fillId="6" borderId="13" xfId="0" applyFont="1" applyFill="1" applyBorder="1" applyAlignment="1">
      <alignment horizontal="center"/>
    </xf>
    <xf numFmtId="0" fontId="2" fillId="6" borderId="14" xfId="0" applyFont="1" applyFill="1" applyBorder="1" applyAlignment="1">
      <alignment horizontal="center"/>
    </xf>
    <xf numFmtId="0" fontId="2" fillId="8" borderId="15" xfId="0" applyFont="1" applyFill="1" applyBorder="1" applyAlignment="1">
      <alignment horizontal="center"/>
    </xf>
    <xf numFmtId="0" fontId="2" fillId="9" borderId="13" xfId="0" applyFont="1" applyFill="1" applyBorder="1" applyAlignment="1">
      <alignment horizontal="center"/>
    </xf>
    <xf numFmtId="0" fontId="2" fillId="9" borderId="14" xfId="0" applyFont="1" applyFill="1" applyBorder="1" applyAlignment="1">
      <alignment horizontal="center"/>
    </xf>
    <xf numFmtId="0" fontId="2" fillId="10" borderId="15" xfId="0" applyFont="1" applyFill="1" applyBorder="1" applyAlignment="1">
      <alignment horizontal="center"/>
    </xf>
    <xf numFmtId="0" fontId="9" fillId="11" borderId="13" xfId="0" applyFont="1" applyFill="1" applyBorder="1" applyAlignment="1">
      <alignment horizontal="center"/>
    </xf>
    <xf numFmtId="0" fontId="9" fillId="11" borderId="14" xfId="0" applyFont="1" applyFill="1" applyBorder="1" applyAlignment="1">
      <alignment horizontal="center"/>
    </xf>
    <xf numFmtId="0" fontId="9" fillId="13" borderId="15" xfId="0" applyFont="1" applyFill="1" applyBorder="1" applyAlignment="1">
      <alignment horizontal="center"/>
    </xf>
    <xf numFmtId="0" fontId="9" fillId="12" borderId="13" xfId="0" applyFont="1" applyFill="1" applyBorder="1" applyAlignment="1">
      <alignment horizontal="center"/>
    </xf>
    <xf numFmtId="0" fontId="9" fillId="12" borderId="14" xfId="0" applyFont="1" applyFill="1" applyBorder="1" applyAlignment="1">
      <alignment horizontal="center"/>
    </xf>
    <xf numFmtId="0" fontId="9" fillId="14" borderId="15" xfId="0" applyFont="1" applyFill="1" applyBorder="1" applyAlignment="1">
      <alignment horizontal="center"/>
    </xf>
    <xf numFmtId="0" fontId="9" fillId="15" borderId="13" xfId="0" applyFont="1" applyFill="1" applyBorder="1" applyAlignment="1">
      <alignment horizontal="center"/>
    </xf>
    <xf numFmtId="0" fontId="9" fillId="15" borderId="14" xfId="0" applyFont="1" applyFill="1" applyBorder="1" applyAlignment="1">
      <alignment horizontal="center"/>
    </xf>
    <xf numFmtId="0" fontId="0" fillId="0" borderId="0" xfId="0" applyAlignment="1" applyProtection="1">
      <alignment horizontal="center"/>
    </xf>
    <xf numFmtId="0" fontId="9" fillId="40" borderId="75" xfId="0" applyFont="1" applyFill="1" applyBorder="1" applyAlignment="1">
      <alignment horizontal="center"/>
    </xf>
    <xf numFmtId="0" fontId="9" fillId="40" borderId="76" xfId="0" applyFont="1" applyFill="1" applyBorder="1" applyAlignment="1">
      <alignment horizontal="center"/>
    </xf>
    <xf numFmtId="0" fontId="2" fillId="40" borderId="74" xfId="0" applyFont="1" applyFill="1" applyBorder="1" applyAlignment="1">
      <alignment horizontal="center"/>
    </xf>
    <xf numFmtId="0" fontId="2" fillId="40" borderId="80" xfId="0" applyFont="1" applyFill="1" applyBorder="1" applyAlignment="1">
      <alignment horizontal="center"/>
    </xf>
    <xf numFmtId="0" fontId="2" fillId="40" borderId="84" xfId="0" applyFont="1" applyFill="1" applyBorder="1" applyAlignment="1">
      <alignment horizontal="center"/>
    </xf>
    <xf numFmtId="0" fontId="2" fillId="40" borderId="85" xfId="0" applyFont="1" applyFill="1" applyBorder="1" applyAlignment="1">
      <alignment horizontal="center"/>
    </xf>
    <xf numFmtId="0" fontId="2" fillId="40" borderId="82" xfId="0" applyFont="1" applyFill="1" applyBorder="1" applyAlignment="1">
      <alignment horizontal="center"/>
    </xf>
    <xf numFmtId="0" fontId="2" fillId="40" borderId="75" xfId="0" applyFont="1" applyFill="1" applyBorder="1" applyAlignment="1">
      <alignment horizontal="center"/>
    </xf>
    <xf numFmtId="0" fontId="11" fillId="0" borderId="0" xfId="0" applyFont="1" applyAlignment="1" applyProtection="1">
      <alignment horizontal="center"/>
    </xf>
    <xf numFmtId="0" fontId="10" fillId="41" borderId="115" xfId="0" applyFont="1" applyFill="1" applyBorder="1" applyAlignment="1" applyProtection="1">
      <alignment horizontal="center"/>
    </xf>
    <xf numFmtId="0" fontId="10" fillId="41" borderId="116" xfId="0" applyFont="1" applyFill="1" applyBorder="1" applyAlignment="1" applyProtection="1">
      <alignment horizontal="center"/>
    </xf>
    <xf numFmtId="0" fontId="16" fillId="55" borderId="181" xfId="0" applyFont="1" applyFill="1" applyBorder="1" applyAlignment="1" applyProtection="1">
      <alignment horizontal="center" vertical="center"/>
    </xf>
    <xf numFmtId="0" fontId="16" fillId="55" borderId="182" xfId="0" applyFont="1" applyFill="1" applyBorder="1" applyAlignment="1" applyProtection="1">
      <alignment horizontal="center" vertical="center"/>
    </xf>
    <xf numFmtId="0" fontId="4" fillId="0" borderId="157" xfId="0" applyFont="1" applyBorder="1" applyAlignment="1" applyProtection="1">
      <alignment horizontal="left" vertical="top" wrapText="1"/>
    </xf>
    <xf numFmtId="0" fontId="4" fillId="0" borderId="156" xfId="0" applyFont="1" applyBorder="1" applyAlignment="1" applyProtection="1">
      <alignment horizontal="left" vertical="top" wrapText="1"/>
    </xf>
    <xf numFmtId="0" fontId="8" fillId="53" borderId="138" xfId="0" applyFont="1" applyFill="1" applyBorder="1" applyAlignment="1" applyProtection="1">
      <alignment horizontal="center" vertical="center"/>
    </xf>
    <xf numFmtId="0" fontId="8" fillId="53" borderId="139" xfId="0" applyFont="1" applyFill="1" applyBorder="1" applyAlignment="1" applyProtection="1">
      <alignment horizontal="center" vertical="center"/>
    </xf>
    <xf numFmtId="0" fontId="16" fillId="52" borderId="138" xfId="0" applyFont="1" applyFill="1" applyBorder="1" applyAlignment="1" applyProtection="1">
      <alignment horizontal="center" vertical="center"/>
    </xf>
    <xf numFmtId="0" fontId="16" fillId="52" borderId="139" xfId="0" applyFont="1" applyFill="1" applyBorder="1" applyAlignment="1" applyProtection="1">
      <alignment horizontal="center" vertical="center"/>
    </xf>
    <xf numFmtId="0" fontId="8" fillId="56" borderId="138" xfId="0" applyFont="1" applyFill="1" applyBorder="1" applyAlignment="1" applyProtection="1">
      <alignment horizontal="center"/>
    </xf>
    <xf numFmtId="0" fontId="8" fillId="56" borderId="139" xfId="0" applyFont="1" applyFill="1" applyBorder="1" applyAlignment="1" applyProtection="1">
      <alignment horizontal="center"/>
    </xf>
    <xf numFmtId="0" fontId="8" fillId="42" borderId="138" xfId="0" applyFont="1" applyFill="1" applyBorder="1" applyAlignment="1" applyProtection="1">
      <alignment horizontal="center"/>
    </xf>
    <xf numFmtId="0" fontId="8" fillId="42" borderId="139" xfId="0" applyFont="1" applyFill="1" applyBorder="1" applyAlignment="1" applyProtection="1">
      <alignment horizontal="center"/>
    </xf>
    <xf numFmtId="0" fontId="0" fillId="31" borderId="213" xfId="0" applyFill="1" applyBorder="1" applyAlignment="1">
      <alignment horizontal="center"/>
    </xf>
    <xf numFmtId="0" fontId="0" fillId="31" borderId="214" xfId="0" applyFill="1" applyBorder="1" applyAlignment="1">
      <alignment horizontal="center"/>
    </xf>
    <xf numFmtId="0" fontId="8" fillId="59" borderId="138" xfId="0" applyFont="1" applyFill="1" applyBorder="1" applyAlignment="1">
      <alignment horizontal="center"/>
    </xf>
    <xf numFmtId="0" fontId="8" fillId="59" borderId="139" xfId="0" applyFont="1" applyFill="1" applyBorder="1" applyAlignment="1">
      <alignment horizontal="center"/>
    </xf>
    <xf numFmtId="0" fontId="8" fillId="17" borderId="196" xfId="0" applyFont="1" applyFill="1" applyBorder="1" applyAlignment="1">
      <alignment horizontal="center"/>
    </xf>
    <xf numFmtId="0" fontId="8" fillId="17" borderId="197" xfId="0" applyFont="1" applyFill="1" applyBorder="1" applyAlignment="1">
      <alignment horizontal="center"/>
    </xf>
    <xf numFmtId="0" fontId="2" fillId="48" borderId="138" xfId="0" applyFont="1" applyFill="1" applyBorder="1" applyAlignment="1">
      <alignment horizontal="center"/>
    </xf>
    <xf numFmtId="0" fontId="2" fillId="48" borderId="139" xfId="0" applyFont="1" applyFill="1" applyBorder="1" applyAlignment="1">
      <alignment horizontal="center"/>
    </xf>
    <xf numFmtId="0" fontId="8" fillId="5" borderId="138" xfId="0" applyFont="1" applyFill="1" applyBorder="1" applyAlignment="1">
      <alignment horizontal="center"/>
    </xf>
    <xf numFmtId="0" fontId="8" fillId="5" borderId="139" xfId="0" applyFont="1" applyFill="1" applyBorder="1" applyAlignment="1">
      <alignment horizontal="center"/>
    </xf>
    <xf numFmtId="0" fontId="8" fillId="58" borderId="138" xfId="0" applyFont="1" applyFill="1" applyBorder="1" applyAlignment="1">
      <alignment horizontal="center"/>
    </xf>
    <xf numFmtId="0" fontId="8" fillId="58" borderId="139" xfId="0" applyFont="1" applyFill="1" applyBorder="1" applyAlignment="1">
      <alignment horizontal="center"/>
    </xf>
    <xf numFmtId="0" fontId="8" fillId="25" borderId="138" xfId="0" applyFont="1" applyFill="1" applyBorder="1" applyAlignment="1">
      <alignment horizontal="center"/>
    </xf>
    <xf numFmtId="0" fontId="8" fillId="25" borderId="139" xfId="0" applyFont="1" applyFill="1" applyBorder="1" applyAlignment="1">
      <alignment horizontal="center"/>
    </xf>
  </cellXfs>
  <cellStyles count="4">
    <cellStyle name="Insatisfaisant" xfId="1" builtinId="27"/>
    <cellStyle name="Milliers 2" xfId="2"/>
    <cellStyle name="Normal" xfId="0" builtinId="0"/>
    <cellStyle name="Normal 2" xfId="3"/>
  </cellStyles>
  <dxfs count="134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A3FFA3"/>
      <color rgb="FFEEC100"/>
      <color rgb="FFFFD833"/>
      <color rgb="FF43FF43"/>
      <color rgb="FF00FF00"/>
      <color rgb="FF2DFF2D"/>
      <color rgb="FF893BC3"/>
      <color rgb="FF6ABAD0"/>
      <color rgb="FF7099CA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694444444444524"/>
          <c:y val="0"/>
          <c:w val="0.53888888888888964"/>
          <c:h val="0.89814814814814814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rgbClr val="E9252A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AC2-4574-84BC-988AE5434850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EAC2-4574-84BC-988AE5434850}"/>
              </c:ext>
            </c:extLst>
          </c:dPt>
          <c:dPt>
            <c:idx val="2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EAC2-4574-84BC-988AE5434850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AC2-4574-84BC-988AE5434850}"/>
              </c:ext>
            </c:extLst>
          </c:dPt>
          <c:val>
            <c:numRef>
              <c:f>' TVA M'!$A$3:$A$6</c:f>
              <c:numCache>
                <c:formatCode>General</c:formatCode>
                <c:ptCount val="4"/>
                <c:pt idx="0">
                  <c:v>70</c:v>
                </c:pt>
                <c:pt idx="1">
                  <c:v>20</c:v>
                </c:pt>
                <c:pt idx="2">
                  <c:v>10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C2-4574-84BC-988AE54348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  <c:holeSize val="75"/>
      </c:doughnutChart>
      <c:pieChart>
        <c:varyColors val="1"/>
        <c:ser>
          <c:idx val="1"/>
          <c:order val="1"/>
          <c:tx>
            <c:v>Aiguille</c:v>
          </c:tx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EAC2-4574-84BC-988AE5434850}"/>
              </c:ext>
            </c:extLst>
          </c:dPt>
          <c:dPt>
            <c:idx val="1"/>
            <c:bubble3D val="0"/>
            <c:spPr>
              <a:solidFill>
                <a:srgbClr val="101C2A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EAC2-4574-84BC-988AE5434850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7B3-47A1-A9E9-72F0007FEAE1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EAC2-4574-84BC-988AE5434850}"/>
              </c:ext>
            </c:extLst>
          </c:dPt>
          <c:dLbls>
            <c:dLbl>
              <c:idx val="0"/>
              <c:layout>
                <c:manualLayout>
                  <c:x val="0.18218862418555487"/>
                  <c:y val="-9.359420981468524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1265281804889664"/>
                      <c:h val="0.1487292238599803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EAC2-4574-84BC-988AE543485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 TVA M'!$I$3:$I$6</c:f>
              <c:numCache>
                <c:formatCode>0%</c:formatCode>
                <c:ptCount val="4"/>
                <c:pt idx="0">
                  <c:v>0.4</c:v>
                </c:pt>
                <c:pt idx="1">
                  <c:v>0.02</c:v>
                </c:pt>
                <c:pt idx="2">
                  <c:v>0.6</c:v>
                </c:pt>
                <c:pt idx="3">
                  <c:v>1.02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AC2-4574-84BC-988AE54348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000000000001255" l="0.70000000000000062" r="0.70000000000000062" t="0.7500000000000125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730468876575614"/>
          <c:y val="6.1619551654403873E-2"/>
          <c:w val="0.5643995117894216"/>
          <c:h val="0.93838044834559664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rgbClr val="E9252A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9AE-4519-A0CD-237C4E60D30F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9AE-4519-A0CD-237C4E60D30F}"/>
              </c:ext>
            </c:extLst>
          </c:dPt>
          <c:dPt>
            <c:idx val="2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9AE-4519-A0CD-237C4E60D30F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C42-45BD-8886-EE14A3AD4081}"/>
              </c:ext>
            </c:extLst>
          </c:dPt>
          <c:val>
            <c:numRef>
              <c:f>' TVA M'!$A$3:$A$6</c:f>
              <c:numCache>
                <c:formatCode>General</c:formatCode>
                <c:ptCount val="4"/>
                <c:pt idx="0">
                  <c:v>70</c:v>
                </c:pt>
                <c:pt idx="1">
                  <c:v>20</c:v>
                </c:pt>
                <c:pt idx="2">
                  <c:v>10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42-45BD-8886-EE14A3AD40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  <c:holeSize val="75"/>
      </c:doughnutChart>
      <c:pieChart>
        <c:varyColors val="1"/>
        <c:ser>
          <c:idx val="1"/>
          <c:order val="1"/>
          <c:tx>
            <c:v>aiguille+' TVA M'!$D$3:$E$6</c:v>
          </c:tx>
          <c:spPr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AC42-45BD-8886-EE14A3AD4081}"/>
              </c:ext>
            </c:extLst>
          </c:dPt>
          <c:dPt>
            <c:idx val="1"/>
            <c:bubble3D val="0"/>
            <c:spPr>
              <a:solidFill>
                <a:srgbClr val="101C2A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AC42-45BD-8886-EE14A3AD4081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9AE-4519-A0CD-237C4E60D30F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C42-45BD-8886-EE14A3AD4081}"/>
              </c:ext>
            </c:extLst>
          </c:dPt>
          <c:dLbls>
            <c:dLbl>
              <c:idx val="0"/>
              <c:layout>
                <c:manualLayout>
                  <c:x val="0.25924589192887848"/>
                  <c:y val="-9.7259441632744872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5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8648077247224829"/>
                      <c:h val="0.1418300590744889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AC42-45BD-8886-EE14A3AD408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 TVA M'!$E$3:$E$6</c:f>
              <c:numCache>
                <c:formatCode>0%</c:formatCode>
                <c:ptCount val="4"/>
                <c:pt idx="0">
                  <c:v>0.25</c:v>
                </c:pt>
                <c:pt idx="1">
                  <c:v>0.02</c:v>
                </c:pt>
                <c:pt idx="2">
                  <c:v>0.75</c:v>
                </c:pt>
                <c:pt idx="3">
                  <c:v>1.02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C42-45BD-8886-EE14A3AD40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000000000001255" l="0.70000000000000062" r="0.70000000000000062" t="0.7500000000000125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4324296711233282"/>
          <c:y val="0"/>
          <c:w val="0.29427281321379151"/>
          <c:h val="0.88281843964135354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rgbClr val="E9252A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DED-440D-857B-A03F04EC8428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DED-440D-857B-A03F04EC8428}"/>
              </c:ext>
            </c:extLst>
          </c:dPt>
          <c:dPt>
            <c:idx val="2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DED-440D-857B-A03F04EC8428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A4A-4B32-8744-D63D1F90B19E}"/>
              </c:ext>
            </c:extLst>
          </c:dPt>
          <c:val>
            <c:numRef>
              <c:f>' TVA M'!$A$3:$A$6</c:f>
              <c:numCache>
                <c:formatCode>General</c:formatCode>
                <c:ptCount val="4"/>
                <c:pt idx="0">
                  <c:v>70</c:v>
                </c:pt>
                <c:pt idx="1">
                  <c:v>20</c:v>
                </c:pt>
                <c:pt idx="2">
                  <c:v>10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4A-4B32-8744-D63D1F90B1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  <c:holeSize val="75"/>
      </c:doughnutChart>
      <c:pieChart>
        <c:varyColors val="1"/>
        <c:ser>
          <c:idx val="1"/>
          <c:order val="1"/>
          <c:tx>
            <c:v>aiguille</c:v>
          </c:tx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A4A-4B32-8744-D63D1F90B19E}"/>
              </c:ext>
            </c:extLst>
          </c:dPt>
          <c:dPt>
            <c:idx val="1"/>
            <c:bubble3D val="0"/>
            <c:spPr>
              <a:solidFill>
                <a:srgbClr val="101C2A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8A4A-4B32-8744-D63D1F90B19E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A4A-4B32-8744-D63D1F90B19E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8A4A-4B32-8744-D63D1F90B19E}"/>
              </c:ext>
            </c:extLst>
          </c:dPt>
          <c:dLbls>
            <c:dLbl>
              <c:idx val="0"/>
              <c:layout>
                <c:manualLayout>
                  <c:x val="0.14479498787484296"/>
                  <c:y val="-8.264856260735936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5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894924890431459"/>
                      <c:h val="0.2064842756629239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8A4A-4B32-8744-D63D1F90B19E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A4A-4B32-8744-D63D1F90B19E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A4A-4B32-8744-D63D1F90B19E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A4A-4B32-8744-D63D1F90B19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 TVA M'!$G$3:$G$6</c:f>
              <c:numCache>
                <c:formatCode>0%</c:formatCode>
                <c:ptCount val="4"/>
                <c:pt idx="0">
                  <c:v>0.66666666666666663</c:v>
                </c:pt>
                <c:pt idx="1">
                  <c:v>0.02</c:v>
                </c:pt>
                <c:pt idx="2">
                  <c:v>0.33333333333333337</c:v>
                </c:pt>
                <c:pt idx="3">
                  <c:v>1.02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4A-4B32-8744-D63D1F90B1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000000000001255" l="0.70000000000000062" r="0.70000000000000062" t="0.7500000000000125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03808756859938"/>
          <c:y val="4.9861476548538806E-2"/>
          <c:w val="0.56954127893104267"/>
          <c:h val="0.9501385234514631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rgbClr val="E9252A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B1B-446F-9C3D-5651B5322383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B1B-446F-9C3D-5651B5322383}"/>
              </c:ext>
            </c:extLst>
          </c:dPt>
          <c:dPt>
            <c:idx val="2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B1B-446F-9C3D-5651B5322383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9F9-4E0F-A474-D4F10266065D}"/>
              </c:ext>
            </c:extLst>
          </c:dPt>
          <c:val>
            <c:numRef>
              <c:f>' TVA M'!$A$3:$A$6</c:f>
              <c:numCache>
                <c:formatCode>General</c:formatCode>
                <c:ptCount val="4"/>
                <c:pt idx="0">
                  <c:v>70</c:v>
                </c:pt>
                <c:pt idx="1">
                  <c:v>20</c:v>
                </c:pt>
                <c:pt idx="2">
                  <c:v>10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F9-4E0F-A474-D4F1026606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  <c:holeSize val="75"/>
      </c:doughnutChart>
      <c:pieChart>
        <c:varyColors val="1"/>
        <c:ser>
          <c:idx val="1"/>
          <c:order val="1"/>
          <c:tx>
            <c:v>Aiguille</c:v>
          </c:tx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9F9-4E0F-A474-D4F10266065D}"/>
              </c:ext>
            </c:extLst>
          </c:dPt>
          <c:dPt>
            <c:idx val="1"/>
            <c:bubble3D val="0"/>
            <c:spPr>
              <a:solidFill>
                <a:srgbClr val="101C2A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C9F9-4E0F-A474-D4F10266065D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B1B-446F-9C3D-5651B5322383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B1B-446F-9C3D-5651B5322383}"/>
              </c:ext>
            </c:extLst>
          </c:dPt>
          <c:dLbls>
            <c:dLbl>
              <c:idx val="0"/>
              <c:layout>
                <c:manualLayout>
                  <c:x val="0.23560863103740112"/>
                  <c:y val="-9.500500774075072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7050023482939067"/>
                      <c:h val="0.1665976471137189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C9F9-4E0F-A474-D4F10266065D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 TVA M'!$K$3:$K$6</c:f>
              <c:numCache>
                <c:formatCode>0%</c:formatCode>
                <c:ptCount val="4"/>
                <c:pt idx="0">
                  <c:v>0.46666666666666667</c:v>
                </c:pt>
                <c:pt idx="1">
                  <c:v>0.02</c:v>
                </c:pt>
                <c:pt idx="2">
                  <c:v>0.53333333333333333</c:v>
                </c:pt>
                <c:pt idx="3">
                  <c:v>1.02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9F9-4E0F-A474-D4F1026606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000000000001255" l="0.70000000000000062" r="0.70000000000000062" t="0.7500000000000125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9548687664043238"/>
          <c:y val="8.0145995367941744E-2"/>
          <c:w val="0.42013757655293099"/>
          <c:h val="0.91985400463205991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rgbClr val="E9252A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C0B-4DEE-B9D9-59CECB448439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9C0B-4DEE-B9D9-59CECB448439}"/>
              </c:ext>
            </c:extLst>
          </c:dPt>
          <c:dPt>
            <c:idx val="2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C0B-4DEE-B9D9-59CECB448439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9C0B-4DEE-B9D9-59CECB448439}"/>
              </c:ext>
            </c:extLst>
          </c:dPt>
          <c:val>
            <c:numRef>
              <c:f>' TVA M'!$A$3:$A$6</c:f>
              <c:numCache>
                <c:formatCode>General</c:formatCode>
                <c:ptCount val="4"/>
                <c:pt idx="0">
                  <c:v>70</c:v>
                </c:pt>
                <c:pt idx="1">
                  <c:v>20</c:v>
                </c:pt>
                <c:pt idx="2">
                  <c:v>10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0B-4DEE-B9D9-59CECB4484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  <c:holeSize val="75"/>
      </c:doughnutChart>
      <c:pieChart>
        <c:varyColors val="1"/>
        <c:ser>
          <c:idx val="1"/>
          <c:order val="1"/>
          <c:tx>
            <c:v>Aiguille</c:v>
          </c:tx>
          <c:spPr>
            <a:noFill/>
            <a:ln>
              <a:noFill/>
            </a:ln>
          </c:spPr>
          <c:explosion val="3"/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C0B-4DEE-B9D9-59CECB448439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9C0B-4DEE-B9D9-59CECB448439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315-410D-946B-9ABF65D61B69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315-410D-946B-9ABF65D61B69}"/>
              </c:ext>
            </c:extLst>
          </c:dPt>
          <c:dLbls>
            <c:dLbl>
              <c:idx val="0"/>
              <c:layout>
                <c:manualLayout>
                  <c:x val="0.15932631112403844"/>
                  <c:y val="-0.14584743836154768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328049363222737"/>
                      <c:h val="0.1899576332485998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9C0B-4DEE-B9D9-59CECB44843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 TVA M'!$M$3:$M$6</c:f>
              <c:numCache>
                <c:formatCode>0%</c:formatCode>
                <c:ptCount val="4"/>
                <c:pt idx="0">
                  <c:v>0.53333333333333333</c:v>
                </c:pt>
                <c:pt idx="1">
                  <c:v>0.01</c:v>
                </c:pt>
                <c:pt idx="2">
                  <c:v>0.47666666666666668</c:v>
                </c:pt>
                <c:pt idx="3">
                  <c:v>1.02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C0B-4DEE-B9D9-59CECB4484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000000000001255" l="0.70000000000000062" r="0.70000000000000062" t="0.75000000000001255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4153108730109899"/>
          <c:y val="0.11471066116735408"/>
          <c:w val="0.28405012407966473"/>
          <c:h val="0.83089613798275219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rgbClr val="E9252A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2F-4C65-8E43-81A5C763DB47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242F-4C65-8E43-81A5C763DB47}"/>
              </c:ext>
            </c:extLst>
          </c:dPt>
          <c:dPt>
            <c:idx val="2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2F-4C65-8E43-81A5C763DB47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42F-4C65-8E43-81A5C763DB47}"/>
              </c:ext>
            </c:extLst>
          </c:dPt>
          <c:val>
            <c:numRef>
              <c:f>' TVA M'!$A$3:$A$6</c:f>
              <c:numCache>
                <c:formatCode>General</c:formatCode>
                <c:ptCount val="4"/>
                <c:pt idx="0">
                  <c:v>70</c:v>
                </c:pt>
                <c:pt idx="1">
                  <c:v>20</c:v>
                </c:pt>
                <c:pt idx="2">
                  <c:v>10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2F-4C65-8E43-81A5C763DB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  <c:holeSize val="75"/>
      </c:doughnutChart>
      <c:pieChart>
        <c:varyColors val="1"/>
        <c:ser>
          <c:idx val="1"/>
          <c:order val="1"/>
          <c:tx>
            <c:v>Aiguille</c:v>
          </c:tx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2F-4C65-8E43-81A5C763DB47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242F-4C65-8E43-81A5C763DB47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242F-4C65-8E43-81A5C763DB47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2F-4C65-8E43-81A5C763DB47}"/>
              </c:ext>
            </c:extLst>
          </c:dPt>
          <c:dLbls>
            <c:dLbl>
              <c:idx val="0"/>
              <c:layout>
                <c:manualLayout>
                  <c:x val="0.17156466351999491"/>
                  <c:y val="-0.10932037750600326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4299999999999999"/>
                      <c:h val="0.1203011081948089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242F-4C65-8E43-81A5C763DB47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42F-4C65-8E43-81A5C763DB47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42F-4C65-8E43-81A5C763DB47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242F-4C65-8E43-81A5C763DB47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val>
            <c:numRef>
              <c:f>' TVA M'!$O$3:$O$6</c:f>
              <c:numCache>
                <c:formatCode>0%</c:formatCode>
                <c:ptCount val="4"/>
                <c:pt idx="0">
                  <c:v>0.93333333333333335</c:v>
                </c:pt>
                <c:pt idx="1">
                  <c:v>0.01</c:v>
                </c:pt>
                <c:pt idx="2">
                  <c:v>7.6666666666666661E-2</c:v>
                </c:pt>
                <c:pt idx="3">
                  <c:v>1.02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42F-4C65-8E43-81A5C763DB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000000000001255" l="0.70000000000000062" r="0.70000000000000062" t="0.7500000000000125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0038438844990811"/>
          <c:y val="0.13782927886808322"/>
          <c:w val="0.42628059940810981"/>
          <c:h val="0.85463773763745465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E9252A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8EF9-4C0B-A121-F6E0CA870FE4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EF9-4C0B-A121-F6E0CA870FE4}"/>
              </c:ext>
            </c:extLst>
          </c:dPt>
          <c:dPt>
            <c:idx val="2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8EF9-4C0B-A121-F6E0CA870FE4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EF9-4C0B-A121-F6E0CA870FE4}"/>
              </c:ext>
            </c:extLst>
          </c:dPt>
          <c:val>
            <c:numRef>
              <c:f>' TVA M'!$A$3:$A$6</c:f>
              <c:numCache>
                <c:formatCode>General</c:formatCode>
                <c:ptCount val="4"/>
                <c:pt idx="0">
                  <c:v>70</c:v>
                </c:pt>
                <c:pt idx="1">
                  <c:v>20</c:v>
                </c:pt>
                <c:pt idx="2">
                  <c:v>10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F9-4C0B-A121-F6E0CA870F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  <c:holeSize val="75"/>
      </c:doughnutChart>
      <c:pieChart>
        <c:varyColors val="1"/>
        <c:ser>
          <c:idx val="1"/>
          <c:order val="1"/>
          <c:tx>
            <c:v>Aiguille</c:v>
          </c:tx>
          <c:spPr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EF9-4C0B-A121-F6E0CA870FE4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8EF9-4C0B-A121-F6E0CA870FE4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860-4A12-81FF-7D41E2C3067C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8EF9-4C0B-A121-F6E0CA870FE4}"/>
              </c:ext>
            </c:extLst>
          </c:dPt>
          <c:dLbls>
            <c:dLbl>
              <c:idx val="0"/>
              <c:layout>
                <c:manualLayout>
                  <c:x val="0.1465564477387597"/>
                  <c:y val="-0.12708341358445721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031955380577429"/>
                      <c:h val="8.789370078740158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8EF9-4C0B-A121-F6E0CA870FE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 TVA M'!$Q$3:$Q$6</c:f>
              <c:numCache>
                <c:formatCode>0%</c:formatCode>
                <c:ptCount val="4"/>
                <c:pt idx="0">
                  <c:v>0.8571428571428571</c:v>
                </c:pt>
                <c:pt idx="1">
                  <c:v>0.01</c:v>
                </c:pt>
                <c:pt idx="2">
                  <c:v>0.15285714285714291</c:v>
                </c:pt>
                <c:pt idx="3">
                  <c:v>1.02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EF9-4C0B-A121-F6E0CA870F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000000000001255" l="0.70000000000000062" r="0.70000000000000062" t="0.7500000000000125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6250000000000001"/>
          <c:y val="0.22453703703704078"/>
          <c:w val="0.46388888888890289"/>
          <c:h val="0.77314814814816324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rgbClr val="E9252A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92FF-4A81-975E-E575D93794EF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2FF-4A81-975E-E575D93794EF}"/>
              </c:ext>
            </c:extLst>
          </c:dPt>
          <c:dPt>
            <c:idx val="2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92FF-4A81-975E-E575D93794EF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2FF-4A81-975E-E575D93794EF}"/>
              </c:ext>
            </c:extLst>
          </c:dPt>
          <c:val>
            <c:numRef>
              <c:f>' TVA M'!$A$3:$A$6</c:f>
              <c:numCache>
                <c:formatCode>General</c:formatCode>
                <c:ptCount val="4"/>
                <c:pt idx="0">
                  <c:v>70</c:v>
                </c:pt>
                <c:pt idx="1">
                  <c:v>20</c:v>
                </c:pt>
                <c:pt idx="2">
                  <c:v>10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FF-4A81-975E-E575D93794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  <c:holeSize val="75"/>
      </c:doughnutChart>
      <c:pieChart>
        <c:varyColors val="1"/>
        <c:ser>
          <c:idx val="1"/>
          <c:order val="1"/>
          <c:tx>
            <c:v>Aiguille</c:v>
          </c:tx>
          <c:spPr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92FF-4A81-975E-E575D93794EF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2FF-4A81-975E-E575D93794EF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2FF-4A81-975E-E575D93794EF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92FF-4A81-975E-E575D93794EF}"/>
              </c:ext>
            </c:extLst>
          </c:dPt>
          <c:dLbls>
            <c:dLbl>
              <c:idx val="0"/>
              <c:layout>
                <c:manualLayout>
                  <c:x val="0.13055394543056378"/>
                  <c:y val="-7.8148170915754378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65417760279965E-2"/>
                      <c:h val="9.2523330417031202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92FF-4A81-975E-E575D93794E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 TVA M'!$S$3:$S$6</c:f>
              <c:numCache>
                <c:formatCode>0%</c:formatCode>
                <c:ptCount val="4"/>
                <c:pt idx="0">
                  <c:v>0.72727272727272729</c:v>
                </c:pt>
                <c:pt idx="1">
                  <c:v>0.01</c:v>
                </c:pt>
                <c:pt idx="2">
                  <c:v>0.28272727272727272</c:v>
                </c:pt>
                <c:pt idx="3">
                  <c:v>1.02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2FF-4A81-975E-E575D93794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000000000001255" l="0.70000000000000062" r="0.70000000000000062" t="0.7500000000000125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"/>
          <c:y val="0.10185185185185186"/>
          <c:w val="0.53888888888888964"/>
          <c:h val="0.89814814814814814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rgbClr val="E9252A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EFCB-4EF0-83B6-FF6072F91691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FCB-4EF0-83B6-FF6072F91691}"/>
              </c:ext>
            </c:extLst>
          </c:dPt>
          <c:dPt>
            <c:idx val="2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EFCB-4EF0-83B6-FF6072F91691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FCB-4EF0-83B6-FF6072F91691}"/>
              </c:ext>
            </c:extLst>
          </c:dPt>
          <c:val>
            <c:numRef>
              <c:f>' TVA M'!$A$3:$A$6</c:f>
              <c:numCache>
                <c:formatCode>General</c:formatCode>
                <c:ptCount val="4"/>
                <c:pt idx="0">
                  <c:v>70</c:v>
                </c:pt>
                <c:pt idx="1">
                  <c:v>20</c:v>
                </c:pt>
                <c:pt idx="2">
                  <c:v>10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CB-4EF0-83B6-FF6072F91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  <c:holeSize val="75"/>
      </c:doughnutChart>
      <c:pieChart>
        <c:varyColors val="1"/>
        <c:ser>
          <c:idx val="1"/>
          <c:order val="1"/>
          <c:tx>
            <c:v>Aiguille</c:v>
          </c:tx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EFCB-4EF0-83B6-FF6072F91691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EFCB-4EF0-83B6-FF6072F91691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4A3-4FBD-93F2-9BAF4192C80B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4A3-4FBD-93F2-9BAF4192C80B}"/>
              </c:ext>
            </c:extLst>
          </c:dPt>
          <c:dLbls>
            <c:dLbl>
              <c:idx val="0"/>
              <c:layout>
                <c:manualLayout>
                  <c:x val="0.14465203436355967"/>
                  <c:y val="-9.846078142230647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9713816833484283E-2"/>
                      <c:h val="0.1062525341751621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EFCB-4EF0-83B6-FF6072F9169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 TVA M'!$U$3:$U$6</c:f>
              <c:numCache>
                <c:formatCode>0%</c:formatCode>
                <c:ptCount val="4"/>
                <c:pt idx="0">
                  <c:v>0.42857142857142855</c:v>
                </c:pt>
                <c:pt idx="1">
                  <c:v>0.01</c:v>
                </c:pt>
                <c:pt idx="2">
                  <c:v>0.58142857142857141</c:v>
                </c:pt>
                <c:pt idx="3">
                  <c:v>1.02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FCB-4EF0-83B6-FF6072F91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000000000001255" l="0.70000000000000062" r="0.70000000000000062" t="0.75000000000001255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2973253289502596"/>
          <c:y val="6.0215298478903313E-2"/>
          <c:w val="0.53888888888888964"/>
          <c:h val="0.89814814814814814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rgbClr val="E9252A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6732-489E-812C-8608C7B40605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732-489E-812C-8608C7B40605}"/>
              </c:ext>
            </c:extLst>
          </c:dPt>
          <c:dPt>
            <c:idx val="2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732-489E-812C-8608C7B40605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732-489E-812C-8608C7B40605}"/>
              </c:ext>
            </c:extLst>
          </c:dPt>
          <c:cat>
            <c:numRef>
              <c:f>' TVA M'!$A$3:$A$6</c:f>
              <c:numCache>
                <c:formatCode>General</c:formatCode>
                <c:ptCount val="4"/>
                <c:pt idx="0">
                  <c:v>70</c:v>
                </c:pt>
                <c:pt idx="1">
                  <c:v>20</c:v>
                </c:pt>
                <c:pt idx="2">
                  <c:v>10</c:v>
                </c:pt>
                <c:pt idx="3">
                  <c:v>100</c:v>
                </c:pt>
              </c:numCache>
            </c:numRef>
          </c:cat>
          <c:val>
            <c:numRef>
              <c:f>' TVA M'!$A$3:$A$6</c:f>
              <c:numCache>
                <c:formatCode>General</c:formatCode>
                <c:ptCount val="4"/>
                <c:pt idx="0">
                  <c:v>70</c:v>
                </c:pt>
                <c:pt idx="1">
                  <c:v>20</c:v>
                </c:pt>
                <c:pt idx="2">
                  <c:v>10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32-489E-812C-8608C7B406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  <c:holeSize val="75"/>
      </c:doughnutChart>
      <c:pieChart>
        <c:varyColors val="1"/>
        <c:ser>
          <c:idx val="1"/>
          <c:order val="1"/>
          <c:tx>
            <c:v>Aiguille</c:v>
          </c:tx>
          <c:spPr>
            <a:ln>
              <a:noFill/>
            </a:ln>
          </c:spPr>
          <c:explosion val="9"/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732-489E-812C-8608C7B40605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6732-489E-812C-8608C7B40605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6732-489E-812C-8608C7B40605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732-489E-812C-8608C7B40605}"/>
              </c:ext>
            </c:extLst>
          </c:dPt>
          <c:dLbls>
            <c:dLbl>
              <c:idx val="0"/>
              <c:layout>
                <c:manualLayout>
                  <c:x val="0.15225968050831581"/>
                  <c:y val="-9.991334495733071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709733158355206"/>
                      <c:h val="0.143449256342957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6732-489E-812C-8608C7B4060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 TVA M'!$W$3:$W$6</c:f>
              <c:numCache>
                <c:formatCode>0%</c:formatCode>
                <c:ptCount val="4"/>
                <c:pt idx="0">
                  <c:v>0.5</c:v>
                </c:pt>
                <c:pt idx="1">
                  <c:v>0.02</c:v>
                </c:pt>
                <c:pt idx="2">
                  <c:v>0.5</c:v>
                </c:pt>
                <c:pt idx="3">
                  <c:v>1.02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732-489E-812C-8608C7B406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000000000001255" l="0.70000000000000062" r="0.70000000000000062" t="0.7500000000000125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5475203829614543"/>
          <c:y val="0.10716961055543762"/>
          <c:w val="0.2924344115423258"/>
          <c:h val="0.88125629566574459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rgbClr val="E9252A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58F6-4A78-96DE-DC6F7069DF1B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8F6-4A78-96DE-DC6F7069DF1B}"/>
              </c:ext>
            </c:extLst>
          </c:dPt>
          <c:dPt>
            <c:idx val="2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58F6-4A78-96DE-DC6F7069DF1B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8F6-4A78-96DE-DC6F7069DF1B}"/>
              </c:ext>
            </c:extLst>
          </c:dPt>
          <c:val>
            <c:numRef>
              <c:f>' TVA M'!$A$3:$A$6</c:f>
              <c:numCache>
                <c:formatCode>General</c:formatCode>
                <c:ptCount val="4"/>
                <c:pt idx="0">
                  <c:v>70</c:v>
                </c:pt>
                <c:pt idx="1">
                  <c:v>20</c:v>
                </c:pt>
                <c:pt idx="2">
                  <c:v>10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F6-4A78-96DE-DC6F7069DF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  <c:holeSize val="75"/>
      </c:doughnutChart>
      <c:pieChart>
        <c:varyColors val="1"/>
        <c:ser>
          <c:idx val="1"/>
          <c:order val="1"/>
          <c:tx>
            <c:v>Aiguille</c:v>
          </c:tx>
          <c:spPr>
            <a:ln>
              <a:noFill/>
            </a:ln>
          </c:spPr>
          <c:dPt>
            <c:idx val="0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58F6-4A78-96DE-DC6F7069DF1B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58F6-4A78-96DE-DC6F7069DF1B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C96-4A39-8E70-08341154A66B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8F6-4A78-96DE-DC6F7069DF1B}"/>
              </c:ext>
            </c:extLst>
          </c:dPt>
          <c:dLbls>
            <c:dLbl>
              <c:idx val="0"/>
              <c:layout>
                <c:manualLayout>
                  <c:x val="0.13070941839235894"/>
                  <c:y val="-9.302325581395350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3653001443449823E-2"/>
                      <c:h val="0.1360206718346253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58F6-4A78-96DE-DC6F7069DF1B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 TVA M'!$Y$3:$Y$6</c:f>
              <c:numCache>
                <c:formatCode>0%</c:formatCode>
                <c:ptCount val="4"/>
                <c:pt idx="0">
                  <c:v>0.33333333333333331</c:v>
                </c:pt>
                <c:pt idx="1">
                  <c:v>0.01</c:v>
                </c:pt>
                <c:pt idx="2">
                  <c:v>0.66666666666666674</c:v>
                </c:pt>
                <c:pt idx="3">
                  <c:v>1.01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8F6-4A78-96DE-DC6F7069DF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b="1"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1255" l="0.70000000000000062" r="0.70000000000000062" t="0.75000000000001255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4121062616010922"/>
          <c:y val="8.9710599220522727E-2"/>
          <c:w val="0.29371599234418938"/>
          <c:h val="0.89314147077960004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rgbClr val="E9252A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BA09-4413-8854-1A7E74AEC3C3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A09-4413-8854-1A7E74AEC3C3}"/>
              </c:ext>
            </c:extLst>
          </c:dPt>
          <c:dPt>
            <c:idx val="2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BA09-4413-8854-1A7E74AEC3C3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A09-4413-8854-1A7E74AEC3C3}"/>
              </c:ext>
            </c:extLst>
          </c:dPt>
          <c:val>
            <c:numRef>
              <c:f>' TVA M'!$A$3:$A$6</c:f>
              <c:numCache>
                <c:formatCode>General</c:formatCode>
                <c:ptCount val="4"/>
                <c:pt idx="0">
                  <c:v>70</c:v>
                </c:pt>
                <c:pt idx="1">
                  <c:v>20</c:v>
                </c:pt>
                <c:pt idx="2">
                  <c:v>10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A09-4413-8854-1A7E74AEC3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  <c:holeSize val="75"/>
      </c:doughnutChart>
      <c:pieChart>
        <c:varyColors val="1"/>
        <c:ser>
          <c:idx val="1"/>
          <c:order val="1"/>
          <c:tx>
            <c:v>Aiguille</c:v>
          </c:tx>
          <c:spPr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A09-4413-8854-1A7E74AEC3C3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BA09-4413-8854-1A7E74AEC3C3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0263-4D29-BC85-74CC6C2F122C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BA09-4413-8854-1A7E74AEC3C3}"/>
              </c:ext>
            </c:extLst>
          </c:dPt>
          <c:dLbls>
            <c:dLbl>
              <c:idx val="0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7-BA09-4413-8854-1A7E74AEC3C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 TVA M'!$AA$3:$AA$6</c:f>
              <c:numCache>
                <c:formatCode>0%</c:formatCode>
                <c:ptCount val="4"/>
                <c:pt idx="0">
                  <c:v>1</c:v>
                </c:pt>
                <c:pt idx="1">
                  <c:v>0.01</c:v>
                </c:pt>
                <c:pt idx="2">
                  <c:v>1.0000000000000009E-2</c:v>
                </c:pt>
                <c:pt idx="3">
                  <c:v>1.02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09-4413-8854-1A7E74AEC3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000000000001255" l="0.70000000000000062" r="0.70000000000000062" t="0.75000000000001255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4"/>
          <c:order val="0"/>
          <c:tx>
            <c:strRef>
              <c:f>' TVA M'!$AH$10</c:f>
              <c:strCache>
                <c:ptCount val="1"/>
                <c:pt idx="0">
                  <c:v>Taux RDI</c:v>
                </c:pt>
              </c:strCache>
            </c:strRef>
          </c:tx>
          <c:spPr>
            <a:noFill/>
            <a:ln w="9525" cap="flat" cmpd="sng" algn="ctr">
              <a:solidFill>
                <a:schemeClr val="accent3">
                  <a:lumMod val="60000"/>
                </a:schemeClr>
              </a:solidFill>
              <a:miter lim="800000"/>
            </a:ln>
            <a:effectLst>
              <a:glow rad="63500">
                <a:schemeClr val="accent3">
                  <a:lumMod val="60000"/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 TVA M'!$AC$11:$AC$22</c:f>
              <c:strCache>
                <c:ptCount val="1"/>
                <c:pt idx="0">
                  <c:v>Juin</c:v>
                </c:pt>
              </c:strCache>
            </c:strRef>
          </c:cat>
          <c:val>
            <c:numRef>
              <c:f>' TVA M'!$AH$11:$AH$22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B94-495A-8AD2-5BBC14339615}"/>
            </c:ext>
          </c:extLst>
        </c:ser>
        <c:ser>
          <c:idx val="5"/>
          <c:order val="1"/>
          <c:tx>
            <c:strRef>
              <c:f>' TVA M'!$AI$10</c:f>
              <c:strCache>
                <c:ptCount val="1"/>
                <c:pt idx="0">
                  <c:v>Taux RDF</c:v>
                </c:pt>
              </c:strCache>
            </c:strRef>
          </c:tx>
          <c:spPr>
            <a:noFill/>
            <a:ln w="9525" cap="flat" cmpd="sng" algn="ctr">
              <a:solidFill>
                <a:schemeClr val="accent5">
                  <a:lumMod val="60000"/>
                </a:schemeClr>
              </a:solidFill>
              <a:miter lim="800000"/>
            </a:ln>
            <a:effectLst>
              <a:glow rad="63500">
                <a:schemeClr val="accent5">
                  <a:lumMod val="60000"/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 TVA M'!$AC$11:$AC$22</c:f>
              <c:strCache>
                <c:ptCount val="1"/>
                <c:pt idx="0">
                  <c:v>Juin</c:v>
                </c:pt>
              </c:strCache>
            </c:strRef>
          </c:cat>
          <c:val>
            <c:numRef>
              <c:f>' TVA M'!$AI$11:$AI$22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B94-495A-8AD2-5BBC143396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15"/>
        <c:overlap val="-40"/>
        <c:axId val="119164288"/>
        <c:axId val="119170176"/>
      </c:barChart>
      <c:catAx>
        <c:axId val="119164288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9170176"/>
        <c:crosses val="autoZero"/>
        <c:auto val="1"/>
        <c:lblAlgn val="ctr"/>
        <c:lblOffset val="100"/>
        <c:noMultiLvlLbl val="0"/>
      </c:catAx>
      <c:valAx>
        <c:axId val="119170176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9164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000000000001255" l="0.70000000000000062" r="0.70000000000000062" t="0.75000000000001255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6049114407016871"/>
          <c:y val="0.14417577218539843"/>
          <c:w val="0.42645336479915003"/>
          <c:h val="0.84287674684497715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rgbClr val="E9252A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6AE4-4153-A107-B0C58713C9DB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AE4-4153-A107-B0C58713C9DB}"/>
              </c:ext>
            </c:extLst>
          </c:dPt>
          <c:dPt>
            <c:idx val="2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AE4-4153-A107-B0C58713C9DB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AE4-4153-A107-B0C58713C9DB}"/>
              </c:ext>
            </c:extLst>
          </c:dPt>
          <c:val>
            <c:numRef>
              <c:f>'TVA T'!$A$3:$A$6</c:f>
              <c:numCache>
                <c:formatCode>General</c:formatCode>
                <c:ptCount val="4"/>
                <c:pt idx="0">
                  <c:v>70</c:v>
                </c:pt>
                <c:pt idx="1">
                  <c:v>20</c:v>
                </c:pt>
                <c:pt idx="2">
                  <c:v>10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E4-4153-A107-B0C58713C9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  <c:holeSize val="75"/>
      </c:doughnutChart>
      <c:pieChart>
        <c:varyColors val="1"/>
        <c:ser>
          <c:idx val="1"/>
          <c:order val="1"/>
          <c:tx>
            <c:v>Aiguille</c:v>
          </c:tx>
          <c:spPr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AE4-4153-A107-B0C58713C9DB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AE4-4153-A107-B0C58713C9DB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6AE4-4153-A107-B0C58713C9DB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6AE4-4153-A107-B0C58713C9DB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50" b="1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9-6AE4-4153-A107-B0C58713C9DB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AE4-4153-A107-B0C58713C9DB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AE4-4153-A107-B0C58713C9DB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AE4-4153-A107-B0C58713C9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val>
            <c:numRef>
              <c:f>'TVA T'!$E$3:$E$6</c:f>
              <c:numCache>
                <c:formatCode>0%</c:formatCode>
                <c:ptCount val="4"/>
                <c:pt idx="0">
                  <c:v>0.41860465116279072</c:v>
                </c:pt>
                <c:pt idx="1">
                  <c:v>0.01</c:v>
                </c:pt>
                <c:pt idx="2">
                  <c:v>0.59139534883720923</c:v>
                </c:pt>
                <c:pt idx="3">
                  <c:v>1.02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AE4-4153-A107-B0C58713C9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000000000001255" l="0.70000000000000062" r="0.70000000000000062" t="0.75000000000001255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385005699887676"/>
          <c:y val="3.2970217565780918E-2"/>
          <c:w val="0.3496760419275905"/>
          <c:h val="0.93165691312260979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rgbClr val="E9252A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C82C-41FC-A1A0-C32BC0832D47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82C-41FC-A1A0-C32BC0832D47}"/>
              </c:ext>
            </c:extLst>
          </c:dPt>
          <c:dPt>
            <c:idx val="2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C82C-41FC-A1A0-C32BC0832D47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82C-41FC-A1A0-C32BC0832D47}"/>
              </c:ext>
            </c:extLst>
          </c:dPt>
          <c:val>
            <c:numRef>
              <c:f>'TVA T'!$A$3:$A$6</c:f>
              <c:numCache>
                <c:formatCode>General</c:formatCode>
                <c:ptCount val="4"/>
                <c:pt idx="0">
                  <c:v>70</c:v>
                </c:pt>
                <c:pt idx="1">
                  <c:v>20</c:v>
                </c:pt>
                <c:pt idx="2">
                  <c:v>10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2C-41FC-A1A0-C32BC0832D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  <c:holeSize val="75"/>
      </c:doughnutChart>
      <c:pieChart>
        <c:varyColors val="1"/>
        <c:ser>
          <c:idx val="1"/>
          <c:order val="1"/>
          <c:tx>
            <c:v>Aiguille</c:v>
          </c:tx>
          <c:spPr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82C-41FC-A1A0-C32BC0832D47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82C-41FC-A1A0-C32BC0832D47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C82C-41FC-A1A0-C32BC0832D47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C82C-41FC-A1A0-C32BC0832D47}"/>
              </c:ext>
            </c:extLst>
          </c:dPt>
          <c:dLbls>
            <c:dLbl>
              <c:idx val="0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9-C82C-41FC-A1A0-C32BC0832D47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82C-41FC-A1A0-C32BC0832D47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82C-41FC-A1A0-C32BC0832D47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82C-41FC-A1A0-C32BC0832D4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val>
            <c:numRef>
              <c:f>'TVA T'!$G$3:$G$6</c:f>
              <c:numCache>
                <c:formatCode>0%</c:formatCode>
                <c:ptCount val="4"/>
                <c:pt idx="0">
                  <c:v>0.94186046511627908</c:v>
                </c:pt>
                <c:pt idx="1">
                  <c:v>0.01</c:v>
                </c:pt>
                <c:pt idx="2" formatCode="General">
                  <c:v>6.8139534883720931E-2</c:v>
                </c:pt>
                <c:pt idx="3">
                  <c:v>1.02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2C-41FC-A1A0-C32BC0832D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000000000001255" l="0.70000000000000062" r="0.70000000000000062" t="0.75000000000001255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0689610673666495"/>
          <c:y val="6.7805469329412324E-2"/>
          <c:w val="0.36973734109059925"/>
          <c:h val="0.9321941473733697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rgbClr val="E9252A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F892-4127-B32C-36F2E63BFDFE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892-4127-B32C-36F2E63BFDFE}"/>
              </c:ext>
            </c:extLst>
          </c:dPt>
          <c:dPt>
            <c:idx val="2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F892-4127-B32C-36F2E63BFDFE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892-4127-B32C-36F2E63BFDFE}"/>
              </c:ext>
            </c:extLst>
          </c:dPt>
          <c:val>
            <c:numRef>
              <c:f>'TVA T'!$A$3:$A$6</c:f>
              <c:numCache>
                <c:formatCode>General</c:formatCode>
                <c:ptCount val="4"/>
                <c:pt idx="0">
                  <c:v>70</c:v>
                </c:pt>
                <c:pt idx="1">
                  <c:v>20</c:v>
                </c:pt>
                <c:pt idx="2">
                  <c:v>10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92-4127-B32C-36F2E63BF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  <c:holeSize val="75"/>
      </c:doughnutChart>
      <c:pieChart>
        <c:varyColors val="1"/>
        <c:ser>
          <c:idx val="1"/>
          <c:order val="1"/>
          <c:tx>
            <c:v>Aiguile</c:v>
          </c:tx>
          <c:spPr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F892-4127-B32C-36F2E63BFDFE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892-4127-B32C-36F2E63BFDFE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892-4127-B32C-36F2E63BFDFE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F892-4127-B32C-36F2E63BFDFE}"/>
              </c:ext>
            </c:extLst>
          </c:dPt>
          <c:dLbls>
            <c:dLbl>
              <c:idx val="0"/>
              <c:layout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8-F892-4127-B32C-36F2E63BFDF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'TVA T'!$I$3:$I$6</c:f>
              <c:numCache>
                <c:formatCode>0%</c:formatCode>
                <c:ptCount val="4"/>
                <c:pt idx="0">
                  <c:v>0.75</c:v>
                </c:pt>
                <c:pt idx="1">
                  <c:v>0.01</c:v>
                </c:pt>
                <c:pt idx="2" formatCode="General">
                  <c:v>0.26</c:v>
                </c:pt>
                <c:pt idx="3">
                  <c:v>1.02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892-4127-B32C-36F2E63BF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000000000001255" l="0.70000000000000062" r="0.70000000000000062" t="0.75000000000001255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5138888888890004"/>
          <c:y val="0.21527777777777779"/>
          <c:w val="0.46388888888890289"/>
          <c:h val="0.77314814814816324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rgbClr val="E9252A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6434-43C9-9483-4010307B1D22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434-43C9-9483-4010307B1D22}"/>
              </c:ext>
            </c:extLst>
          </c:dPt>
          <c:dPt>
            <c:idx val="2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434-43C9-9483-4010307B1D22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434-43C9-9483-4010307B1D22}"/>
              </c:ext>
            </c:extLst>
          </c:dPt>
          <c:val>
            <c:numRef>
              <c:f>'TVA T'!$A$3:$A$6</c:f>
              <c:numCache>
                <c:formatCode>General</c:formatCode>
                <c:ptCount val="4"/>
                <c:pt idx="0">
                  <c:v>70</c:v>
                </c:pt>
                <c:pt idx="1">
                  <c:v>20</c:v>
                </c:pt>
                <c:pt idx="2">
                  <c:v>10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4-43C9-9483-4010307B1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  <c:holeSize val="75"/>
      </c:doughnutChart>
      <c:pieChart>
        <c:varyColors val="1"/>
        <c:ser>
          <c:idx val="1"/>
          <c:order val="1"/>
          <c:tx>
            <c:v>Aiguille</c:v>
          </c:tx>
          <c:spPr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434-43C9-9483-4010307B1D22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6434-43C9-9483-4010307B1D22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434-43C9-9483-4010307B1D22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6434-43C9-9483-4010307B1D22}"/>
              </c:ext>
            </c:extLst>
          </c:dPt>
          <c:dLbls>
            <c:dLbl>
              <c:idx val="0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7-6434-43C9-9483-4010307B1D22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'TVA T'!$K$3:$K$6</c:f>
              <c:numCache>
                <c:formatCode>0%</c:formatCode>
                <c:ptCount val="4"/>
                <c:pt idx="0">
                  <c:v>0.8</c:v>
                </c:pt>
                <c:pt idx="1">
                  <c:v>0.01</c:v>
                </c:pt>
                <c:pt idx="2">
                  <c:v>0.20999999999999996</c:v>
                </c:pt>
                <c:pt idx="3">
                  <c:v>1.02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4-43C9-9483-4010307B1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000000000001255" l="0.70000000000000062" r="0.70000000000000062" t="0.75000000000001255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8702537182853267E-2"/>
          <c:y val="0.17171296296296706"/>
          <c:w val="0.89662729658792661"/>
          <c:h val="0.56412766112569268"/>
        </c:manualLayout>
      </c:layout>
      <c:barChart>
        <c:barDir val="col"/>
        <c:grouping val="clustered"/>
        <c:varyColors val="0"/>
        <c:ser>
          <c:idx val="4"/>
          <c:order val="0"/>
          <c:tx>
            <c:strRef>
              <c:f>'TVA T'!$R$11</c:f>
              <c:strCache>
                <c:ptCount val="1"/>
                <c:pt idx="0">
                  <c:v>Taux de RDI</c:v>
                </c:pt>
              </c:strCache>
            </c:strRef>
          </c:tx>
          <c:spPr>
            <a:noFill/>
            <a:ln w="9525" cap="flat" cmpd="sng" algn="ctr">
              <a:solidFill>
                <a:schemeClr val="accent5"/>
              </a:solidFill>
              <a:miter lim="800000"/>
            </a:ln>
            <a:effectLst>
              <a:glow rad="63500">
                <a:schemeClr val="accent5"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'TVA T'!$M$12:$M$15</c:f>
              <c:strCache>
                <c:ptCount val="4"/>
                <c:pt idx="0">
                  <c:v>1er Trimestre </c:v>
                </c:pt>
                <c:pt idx="1">
                  <c:v>2ème Trimestre </c:v>
                </c:pt>
                <c:pt idx="2">
                  <c:v>3ème trimestre</c:v>
                </c:pt>
                <c:pt idx="3">
                  <c:v>4ème trimestre</c:v>
                </c:pt>
              </c:strCache>
            </c:strRef>
          </c:cat>
          <c:val>
            <c:numRef>
              <c:f>'TVA T'!$R$12:$R$15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A28-41FB-99CF-A38DD2598E05}"/>
            </c:ext>
          </c:extLst>
        </c:ser>
        <c:ser>
          <c:idx val="5"/>
          <c:order val="1"/>
          <c:tx>
            <c:strRef>
              <c:f>'TVA T'!$S$11</c:f>
              <c:strCache>
                <c:ptCount val="1"/>
                <c:pt idx="0">
                  <c:v>Taux de RDF</c:v>
                </c:pt>
              </c:strCache>
            </c:strRef>
          </c:tx>
          <c:spPr>
            <a:noFill/>
            <a:ln w="9525" cap="flat" cmpd="sng" algn="ctr">
              <a:solidFill>
                <a:schemeClr val="accent6"/>
              </a:solidFill>
              <a:miter lim="800000"/>
            </a:ln>
            <a:effectLst>
              <a:glow rad="63500">
                <a:schemeClr val="accent6"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'TVA T'!$M$12:$M$15</c:f>
              <c:strCache>
                <c:ptCount val="4"/>
                <c:pt idx="0">
                  <c:v>1er Trimestre </c:v>
                </c:pt>
                <c:pt idx="1">
                  <c:v>2ème Trimestre </c:v>
                </c:pt>
                <c:pt idx="2">
                  <c:v>3ème trimestre</c:v>
                </c:pt>
                <c:pt idx="3">
                  <c:v>4ème trimestre</c:v>
                </c:pt>
              </c:strCache>
            </c:strRef>
          </c:cat>
          <c:val>
            <c:numRef>
              <c:f>'TVA T'!$S$12:$S$15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A28-41FB-99CF-A38DD2598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15"/>
        <c:overlap val="-40"/>
        <c:axId val="119652352"/>
        <c:axId val="119653888"/>
      </c:barChart>
      <c:catAx>
        <c:axId val="119652352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9653888"/>
        <c:crosses val="autoZero"/>
        <c:auto val="1"/>
        <c:lblAlgn val="ctr"/>
        <c:lblOffset val="100"/>
        <c:noMultiLvlLbl val="0"/>
      </c:catAx>
      <c:valAx>
        <c:axId val="119653888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9652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000000000001255" l="0.70000000000000062" r="0.70000000000000062" t="0.75000000000001255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26388888888889"/>
          <c:y val="6.9444444444446201E-3"/>
          <c:w val="0.59583333333333333"/>
          <c:h val="0.99305555555555569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rgbClr val="E9252A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72B6-4150-B47A-636AFBDC1295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2B6-4150-B47A-636AFBDC1295}"/>
              </c:ext>
            </c:extLst>
          </c:dPt>
          <c:dPt>
            <c:idx val="2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72B6-4150-B47A-636AFBDC1295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2B6-4150-B47A-636AFBDC1295}"/>
              </c:ext>
            </c:extLst>
          </c:dPt>
          <c:val>
            <c:numRef>
              <c:f>CNSS!$B$7:$B$10</c:f>
              <c:numCache>
                <c:formatCode>General</c:formatCode>
                <c:ptCount val="4"/>
                <c:pt idx="0">
                  <c:v>70</c:v>
                </c:pt>
                <c:pt idx="1">
                  <c:v>20</c:v>
                </c:pt>
                <c:pt idx="2">
                  <c:v>10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B6-4150-B47A-636AFBDC12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  <c:holeSize val="75"/>
      </c:doughnutChart>
      <c:pieChart>
        <c:varyColors val="1"/>
        <c:ser>
          <c:idx val="1"/>
          <c:order val="1"/>
          <c:tx>
            <c:v>Aiguille</c:v>
          </c:tx>
          <c:spPr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2B6-4150-B47A-636AFBDC1295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72B6-4150-B47A-636AFBDC1295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72B6-4150-B47A-636AFBDC1295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2B6-4150-B47A-636AFBDC1295}"/>
              </c:ext>
            </c:extLst>
          </c:dPt>
          <c:dLbls>
            <c:dLbl>
              <c:idx val="0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9-72B6-4150-B47A-636AFBDC129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CNSS!$D$6:$D$9</c:f>
              <c:numCache>
                <c:formatCode>0%</c:formatCode>
                <c:ptCount val="4"/>
                <c:pt idx="0">
                  <c:v>0.98648648648648651</c:v>
                </c:pt>
                <c:pt idx="1">
                  <c:v>0.02</c:v>
                </c:pt>
                <c:pt idx="2">
                  <c:v>1.3513513513513598E-2</c:v>
                </c:pt>
                <c:pt idx="3">
                  <c:v>1.02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2B6-4150-B47A-636AFBDC12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000000000001255" l="0.70000000000000062" r="0.70000000000000062" t="0.75000000000001255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1248045607203025"/>
          <c:y val="2.1848877212255719E-2"/>
          <c:w val="0.46850732368131393"/>
          <c:h val="0.97815147847139905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rgbClr val="E9252A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B2CA-416D-A13F-D3A783F00D16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2CA-416D-A13F-D3A783F00D16}"/>
              </c:ext>
            </c:extLst>
          </c:dPt>
          <c:dPt>
            <c:idx val="2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B2CA-416D-A13F-D3A783F00D16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2CA-416D-A13F-D3A783F00D16}"/>
              </c:ext>
            </c:extLst>
          </c:dPt>
          <c:val>
            <c:numRef>
              <c:f>CNSS!$B$7:$B$10</c:f>
              <c:numCache>
                <c:formatCode>General</c:formatCode>
                <c:ptCount val="4"/>
                <c:pt idx="0">
                  <c:v>70</c:v>
                </c:pt>
                <c:pt idx="1">
                  <c:v>20</c:v>
                </c:pt>
                <c:pt idx="2">
                  <c:v>10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CA-416D-A13F-D3A783F00D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  <c:holeSize val="75"/>
      </c:doughnutChart>
      <c:pieChart>
        <c:varyColors val="1"/>
        <c:ser>
          <c:idx val="1"/>
          <c:order val="1"/>
          <c:tx>
            <c:v>Aiguille</c:v>
          </c:tx>
          <c:spPr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B2CA-416D-A13F-D3A783F00D16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2CA-416D-A13F-D3A783F00D16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2CA-416D-A13F-D3A783F00D16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B2CA-416D-A13F-D3A783F00D16}"/>
              </c:ext>
            </c:extLst>
          </c:dPt>
          <c:dLbls>
            <c:dLbl>
              <c:idx val="0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8-B2CA-416D-A13F-D3A783F00D1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CNSS!$E$6:$E$9</c:f>
              <c:numCache>
                <c:formatCode>0%</c:formatCode>
                <c:ptCount val="4"/>
                <c:pt idx="0">
                  <c:v>0.95774647887323938</c:v>
                </c:pt>
                <c:pt idx="1">
                  <c:v>0.02</c:v>
                </c:pt>
                <c:pt idx="2">
                  <c:v>4.2253521126760618E-2</c:v>
                </c:pt>
                <c:pt idx="3">
                  <c:v>1.02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2CA-416D-A13F-D3A783F00D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000000000001255" l="0.70000000000000062" r="0.70000000000000062" t="0.75000000000001255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8542646235800623"/>
          <c:y val="5.1659782735801296E-2"/>
          <c:w val="0.44471165433651405"/>
          <c:h val="0.9292009262792037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rgbClr val="E9252A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BDAC-449D-84DD-858CC72FF2C5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DAC-449D-84DD-858CC72FF2C5}"/>
              </c:ext>
            </c:extLst>
          </c:dPt>
          <c:dPt>
            <c:idx val="2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BDAC-449D-84DD-858CC72FF2C5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DAC-449D-84DD-858CC72FF2C5}"/>
              </c:ext>
            </c:extLst>
          </c:dPt>
          <c:val>
            <c:numRef>
              <c:f>CNSS!$B$7:$B$10</c:f>
              <c:numCache>
                <c:formatCode>General</c:formatCode>
                <c:ptCount val="4"/>
                <c:pt idx="0">
                  <c:v>70</c:v>
                </c:pt>
                <c:pt idx="1">
                  <c:v>20</c:v>
                </c:pt>
                <c:pt idx="2">
                  <c:v>10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AC-449D-84DD-858CC72FF2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  <c:holeSize val="75"/>
      </c:doughnutChart>
      <c:pieChart>
        <c:varyColors val="1"/>
        <c:ser>
          <c:idx val="1"/>
          <c:order val="1"/>
          <c:tx>
            <c:v>Aiguille</c:v>
          </c:tx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DAC-449D-84DD-858CC72FF2C5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BDAC-449D-84DD-858CC72FF2C5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9E2-44E8-94C9-9FF2A0D0EACC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9E2-44E8-94C9-9FF2A0D0EACC}"/>
              </c:ext>
            </c:extLst>
          </c:dPt>
          <c:dLbls>
            <c:dLbl>
              <c:idx val="0"/>
              <c:layout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7-BDAC-449D-84DD-858CC72FF2C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CNSS!$F$6:$F$9</c:f>
              <c:numCache>
                <c:formatCode>0%</c:formatCode>
                <c:ptCount val="4"/>
                <c:pt idx="0">
                  <c:v>0.95238095238095233</c:v>
                </c:pt>
                <c:pt idx="1">
                  <c:v>0.02</c:v>
                </c:pt>
                <c:pt idx="2">
                  <c:v>4.7619047619047672E-2</c:v>
                </c:pt>
                <c:pt idx="3">
                  <c:v>1.02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DAC-449D-84DD-858CC72FF2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000000000001255" l="0.70000000000000062" r="0.70000000000000062" t="0.75000000000001255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6288597258676188"/>
          <c:y val="9.1666141732284767E-3"/>
          <c:w val="0.45871916010498687"/>
          <c:h val="0.99083338582674407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rgbClr val="E9252A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8F9-4B58-8094-BD7ABD5F9D49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8F9-4B58-8094-BD7ABD5F9D49}"/>
              </c:ext>
            </c:extLst>
          </c:dPt>
          <c:dPt>
            <c:idx val="2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8F9-4B58-8094-BD7ABD5F9D49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8F9-4B58-8094-BD7ABD5F9D49}"/>
              </c:ext>
            </c:extLst>
          </c:dPt>
          <c:val>
            <c:numRef>
              <c:f>CNSS!$B$7:$B$10</c:f>
              <c:numCache>
                <c:formatCode>General</c:formatCode>
                <c:ptCount val="4"/>
                <c:pt idx="0">
                  <c:v>70</c:v>
                </c:pt>
                <c:pt idx="1">
                  <c:v>20</c:v>
                </c:pt>
                <c:pt idx="2">
                  <c:v>10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8F9-4B58-8094-BD7ABD5F9D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  <c:holeSize val="75"/>
      </c:doughnutChart>
      <c:pieChart>
        <c:varyColors val="1"/>
        <c:ser>
          <c:idx val="1"/>
          <c:order val="1"/>
          <c:tx>
            <c:v>Aiguille</c:v>
          </c:tx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8F9-4B58-8094-BD7ABD5F9D49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78F9-4B58-8094-BD7ABD5F9D49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F21-4197-8904-E7C636E0D4B7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3F21-4197-8904-E7C636E0D4B7}"/>
              </c:ext>
            </c:extLst>
          </c:dPt>
          <c:dLbls>
            <c:dLbl>
              <c:idx val="0"/>
              <c:layout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B-78F9-4B58-8094-BD7ABD5F9D4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CNSS!$G$6:$G$9</c:f>
              <c:numCache>
                <c:formatCode>0%</c:formatCode>
                <c:ptCount val="4"/>
                <c:pt idx="0">
                  <c:v>0.66666666666666663</c:v>
                </c:pt>
                <c:pt idx="1">
                  <c:v>0.02</c:v>
                </c:pt>
                <c:pt idx="2">
                  <c:v>0.33333333333333337</c:v>
                </c:pt>
                <c:pt idx="3">
                  <c:v>1.02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8F9-4B58-8094-BD7ABD5F9D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000000000001255" l="0.70000000000000062" r="0.70000000000000062" t="0.75000000000001255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1654248442825861"/>
          <c:y val="0"/>
          <c:w val="0.43695616406158388"/>
          <c:h val="1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rgbClr val="E9252A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5F2-446F-8D29-158CE4C5BBF0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05F2-446F-8D29-158CE4C5BBF0}"/>
              </c:ext>
            </c:extLst>
          </c:dPt>
          <c:dPt>
            <c:idx val="2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5F2-446F-8D29-158CE4C5BBF0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05F2-446F-8D29-158CE4C5BBF0}"/>
              </c:ext>
            </c:extLst>
          </c:dPt>
          <c:val>
            <c:numRef>
              <c:f>CNSS!$B$7:$B$10</c:f>
              <c:numCache>
                <c:formatCode>General</c:formatCode>
                <c:ptCount val="4"/>
                <c:pt idx="0">
                  <c:v>70</c:v>
                </c:pt>
                <c:pt idx="1">
                  <c:v>20</c:v>
                </c:pt>
                <c:pt idx="2">
                  <c:v>10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5F2-446F-8D29-158CE4C5BB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  <c:holeSize val="75"/>
      </c:doughnutChart>
      <c:pieChart>
        <c:varyColors val="1"/>
        <c:ser>
          <c:idx val="1"/>
          <c:order val="1"/>
          <c:tx>
            <c:v>Aiguille</c:v>
          </c:tx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05F2-446F-8D29-158CE4C5BBF0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05F2-446F-8D29-158CE4C5BBF0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66C-4CB3-A75F-37B2EA04E02D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66C-4CB3-A75F-37B2EA04E02D}"/>
              </c:ext>
            </c:extLst>
          </c:dPt>
          <c:dLbls>
            <c:dLbl>
              <c:idx val="0"/>
              <c:layout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B-05F2-446F-8D29-158CE4C5BBF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CNSS!$H$6:$H$9</c:f>
              <c:numCache>
                <c:formatCode>0%</c:formatCode>
                <c:ptCount val="4"/>
                <c:pt idx="0">
                  <c:v>0.79032258064516125</c:v>
                </c:pt>
                <c:pt idx="1">
                  <c:v>0.02</c:v>
                </c:pt>
                <c:pt idx="2">
                  <c:v>0.20967741935483875</c:v>
                </c:pt>
                <c:pt idx="3">
                  <c:v>1.02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5F2-446F-8D29-158CE4C5BB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000000000001255" l="0.70000000000000062" r="0.70000000000000062" t="0.75000000000001255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955572576774208"/>
          <c:y val="3.9107575532923412E-2"/>
          <c:w val="0.46595422653880331"/>
          <c:h val="0.960892424467091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rgbClr val="E9252A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09A-4AF6-9164-AC472F4A19CE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09A-4AF6-9164-AC472F4A19CE}"/>
              </c:ext>
            </c:extLst>
          </c:dPt>
          <c:dPt>
            <c:idx val="2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09A-4AF6-9164-AC472F4A19CE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09A-4AF6-9164-AC472F4A19CE}"/>
              </c:ext>
            </c:extLst>
          </c:dPt>
          <c:val>
            <c:numRef>
              <c:f>CNSS!$B$7:$B$10</c:f>
              <c:numCache>
                <c:formatCode>General</c:formatCode>
                <c:ptCount val="4"/>
                <c:pt idx="0">
                  <c:v>70</c:v>
                </c:pt>
                <c:pt idx="1">
                  <c:v>20</c:v>
                </c:pt>
                <c:pt idx="2">
                  <c:v>10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09A-4AF6-9164-AC472F4A19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  <c:holeSize val="75"/>
      </c:doughnutChart>
      <c:pieChart>
        <c:varyColors val="1"/>
        <c:ser>
          <c:idx val="1"/>
          <c:order val="1"/>
          <c:tx>
            <c:v>Aiguille</c:v>
          </c:tx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09A-4AF6-9164-AC472F4A19CE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509A-4AF6-9164-AC472F4A19CE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E035-47FF-A196-9D850273AEDD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E035-47FF-A196-9D850273AEDD}"/>
              </c:ext>
            </c:extLst>
          </c:dPt>
          <c:dLbls>
            <c:dLbl>
              <c:idx val="0"/>
              <c:layout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B-509A-4AF6-9164-AC472F4A19C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CNSS!$I$6:$I$9</c:f>
              <c:numCache>
                <c:formatCode>0%</c:formatCode>
                <c:ptCount val="4"/>
                <c:pt idx="0">
                  <c:v>0.83333333333333337</c:v>
                </c:pt>
                <c:pt idx="1">
                  <c:v>0.02</c:v>
                </c:pt>
                <c:pt idx="2">
                  <c:v>0.16666666666666663</c:v>
                </c:pt>
                <c:pt idx="3">
                  <c:v>1.02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09A-4AF6-9164-AC472F4A19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000000000001255" l="0.70000000000000062" r="0.70000000000000062" t="0.75000000000001255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9074198489693914"/>
          <c:y val="3.1965673325981603E-2"/>
          <c:w val="0.42306629760017816"/>
          <c:h val="0.94624676223937665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rgbClr val="E9252A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AA6-4BC4-BA41-888A2FF6F9AB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AA6-4BC4-BA41-888A2FF6F9AB}"/>
              </c:ext>
            </c:extLst>
          </c:dPt>
          <c:dPt>
            <c:idx val="2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AA6-4BC4-BA41-888A2FF6F9AB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AA6-4BC4-BA41-888A2FF6F9AB}"/>
              </c:ext>
            </c:extLst>
          </c:dPt>
          <c:val>
            <c:numRef>
              <c:f>CNSS!$B$7:$B$10</c:f>
              <c:numCache>
                <c:formatCode>General</c:formatCode>
                <c:ptCount val="4"/>
                <c:pt idx="0">
                  <c:v>70</c:v>
                </c:pt>
                <c:pt idx="1">
                  <c:v>20</c:v>
                </c:pt>
                <c:pt idx="2">
                  <c:v>10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AA6-4BC4-BA41-888A2FF6F9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  <c:holeSize val="75"/>
      </c:doughnutChart>
      <c:pieChart>
        <c:varyColors val="1"/>
        <c:ser>
          <c:idx val="1"/>
          <c:order val="1"/>
          <c:tx>
            <c:v>Aiguille</c:v>
          </c:tx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AA6-4BC4-BA41-888A2FF6F9AB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8AA6-4BC4-BA41-888A2FF6F9AB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346-4273-8E77-65A39E181A38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346-4273-8E77-65A39E181A38}"/>
              </c:ext>
            </c:extLst>
          </c:dPt>
          <c:dLbls>
            <c:dLbl>
              <c:idx val="0"/>
              <c:layout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B-8AA6-4BC4-BA41-888A2FF6F9AB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CNSS!$J$6:$J$9</c:f>
              <c:numCache>
                <c:formatCode>0%</c:formatCode>
                <c:ptCount val="4"/>
                <c:pt idx="0">
                  <c:v>0.92063492063492058</c:v>
                </c:pt>
                <c:pt idx="1">
                  <c:v>0.02</c:v>
                </c:pt>
                <c:pt idx="2">
                  <c:v>7.9365079365079416E-2</c:v>
                </c:pt>
                <c:pt idx="3">
                  <c:v>1.02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AA6-4BC4-BA41-888A2FF6F9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000000000001255" l="0.70000000000000062" r="0.70000000000000062" t="0.75000000000001255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6741510826771658"/>
          <c:y val="4.1986674742580422E-2"/>
          <c:w val="0.41965920275590546"/>
          <c:h val="0.95801376179328857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rgbClr val="E9252A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C3E-4C41-B9DD-A333A262745C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C3E-4C41-B9DD-A333A262745C}"/>
              </c:ext>
            </c:extLst>
          </c:dPt>
          <c:dPt>
            <c:idx val="2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C3E-4C41-B9DD-A333A262745C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C3E-4C41-B9DD-A333A262745C}"/>
              </c:ext>
            </c:extLst>
          </c:dPt>
          <c:val>
            <c:numRef>
              <c:f>CNSS!$B$7:$B$10</c:f>
              <c:numCache>
                <c:formatCode>General</c:formatCode>
                <c:ptCount val="4"/>
                <c:pt idx="0">
                  <c:v>70</c:v>
                </c:pt>
                <c:pt idx="1">
                  <c:v>20</c:v>
                </c:pt>
                <c:pt idx="2">
                  <c:v>10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C3E-4C41-B9DD-A333A26274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  <c:holeSize val="75"/>
      </c:doughnutChart>
      <c:pieChart>
        <c:varyColors val="1"/>
        <c:ser>
          <c:idx val="1"/>
          <c:order val="1"/>
          <c:tx>
            <c:v>Aiguille</c:v>
          </c:tx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C3E-4C41-B9DD-A333A262745C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5C3E-4C41-B9DD-A333A262745C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90E-4852-AC1C-1A3AFA19A082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90E-4852-AC1C-1A3AFA19A082}"/>
              </c:ext>
            </c:extLst>
          </c:dPt>
          <c:dLbls>
            <c:dLbl>
              <c:idx val="0"/>
              <c:layout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B-5C3E-4C41-B9DD-A333A262745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CNSS!$K$6:$K$9</c:f>
              <c:numCache>
                <c:formatCode>0%</c:formatCode>
                <c:ptCount val="4"/>
                <c:pt idx="0">
                  <c:v>0.77777777777777779</c:v>
                </c:pt>
                <c:pt idx="1">
                  <c:v>0.02</c:v>
                </c:pt>
                <c:pt idx="2">
                  <c:v>0.22222222222222221</c:v>
                </c:pt>
                <c:pt idx="3">
                  <c:v>1.02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C3E-4C41-B9DD-A333A26274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000000000001255" l="0.70000000000000062" r="0.70000000000000062" t="0.75000000000001255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5039290843361561"/>
          <c:y val="2.4130364999339109E-2"/>
          <c:w val="0.4348222754972757"/>
          <c:h val="0.9758699128126227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rgbClr val="E9252A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4AE-429C-8A23-A1DF8F6F7D66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4AE-429C-8A23-A1DF8F6F7D66}"/>
              </c:ext>
            </c:extLst>
          </c:dPt>
          <c:dPt>
            <c:idx val="2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4AE-429C-8A23-A1DF8F6F7D66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4AE-429C-8A23-A1DF8F6F7D66}"/>
              </c:ext>
            </c:extLst>
          </c:dPt>
          <c:val>
            <c:numRef>
              <c:f>CNSS!$B$7:$B$10</c:f>
              <c:numCache>
                <c:formatCode>General</c:formatCode>
                <c:ptCount val="4"/>
                <c:pt idx="0">
                  <c:v>70</c:v>
                </c:pt>
                <c:pt idx="1">
                  <c:v>20</c:v>
                </c:pt>
                <c:pt idx="2">
                  <c:v>10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4AE-429C-8A23-A1DF8F6F7D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  <c:holeSize val="75"/>
      </c:doughnutChart>
      <c:pieChart>
        <c:varyColors val="1"/>
        <c:ser>
          <c:idx val="1"/>
          <c:order val="1"/>
          <c:tx>
            <c:v>aiguille</c:v>
          </c:tx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4AE-429C-8A23-A1DF8F6F7D66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B4AE-429C-8A23-A1DF8F6F7D66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B2EC-47F9-8001-14DCE09CAB44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B2EC-47F9-8001-14DCE09CAB44}"/>
              </c:ext>
            </c:extLst>
          </c:dPt>
          <c:dLbls>
            <c:dLbl>
              <c:idx val="0"/>
              <c:layout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B-B4AE-429C-8A23-A1DF8F6F7D6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CNSS!$L$6:$L$9</c:f>
              <c:numCache>
                <c:formatCode>0%</c:formatCode>
                <c:ptCount val="4"/>
                <c:pt idx="0">
                  <c:v>0.8</c:v>
                </c:pt>
                <c:pt idx="1">
                  <c:v>0.02</c:v>
                </c:pt>
                <c:pt idx="2">
                  <c:v>0.19999999999999996</c:v>
                </c:pt>
                <c:pt idx="3">
                  <c:v>1.02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4AE-429C-8A23-A1DF8F6F7D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000000000001255" l="0.70000000000000062" r="0.70000000000000062" t="0.75000000000001255" header="0.30000000000000032" footer="0.3000000000000003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3757380486458138"/>
          <c:y val="7.4960556371029136E-2"/>
          <c:w val="0.33913773495978683"/>
          <c:h val="0.88746202814821318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rgbClr val="E9252A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52E-445A-A9F0-3DA5DF2EAE33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052E-445A-A9F0-3DA5DF2EAE33}"/>
              </c:ext>
            </c:extLst>
          </c:dPt>
          <c:dPt>
            <c:idx val="2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52E-445A-A9F0-3DA5DF2EAE33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052E-445A-A9F0-3DA5DF2EAE33}"/>
              </c:ext>
            </c:extLst>
          </c:dPt>
          <c:val>
            <c:numRef>
              <c:f>CNSS!$B$7:$B$10</c:f>
              <c:numCache>
                <c:formatCode>General</c:formatCode>
                <c:ptCount val="4"/>
                <c:pt idx="0">
                  <c:v>70</c:v>
                </c:pt>
                <c:pt idx="1">
                  <c:v>20</c:v>
                </c:pt>
                <c:pt idx="2">
                  <c:v>10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52E-445A-A9F0-3DA5DF2EAE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  <c:holeSize val="75"/>
      </c:doughnutChart>
      <c:pieChart>
        <c:varyColors val="1"/>
        <c:ser>
          <c:idx val="1"/>
          <c:order val="1"/>
          <c:tx>
            <c:v>Aiguille</c:v>
          </c:tx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052E-445A-A9F0-3DA5DF2EAE33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052E-445A-A9F0-3DA5DF2EAE33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E3EC-4746-8DEF-C8D0A95433E6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E3EC-4746-8DEF-C8D0A95433E6}"/>
              </c:ext>
            </c:extLst>
          </c:dPt>
          <c:dLbls>
            <c:dLbl>
              <c:idx val="0"/>
              <c:layout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B-052E-445A-A9F0-3DA5DF2EAE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CNSS!$M$6:$M$9</c:f>
              <c:numCache>
                <c:formatCode>0%</c:formatCode>
                <c:ptCount val="4"/>
                <c:pt idx="0">
                  <c:v>0.88888888888888884</c:v>
                </c:pt>
                <c:pt idx="1">
                  <c:v>0.02</c:v>
                </c:pt>
                <c:pt idx="2">
                  <c:v>0.11111111111111116</c:v>
                </c:pt>
                <c:pt idx="3">
                  <c:v>1.02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52E-445A-A9F0-3DA5DF2EAE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000000000001255" l="0.70000000000000062" r="0.70000000000000062" t="0.75000000000001255" header="0.30000000000000032" footer="0.3000000000000003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124280251346056"/>
          <c:y val="0"/>
          <c:w val="0.32511160307497994"/>
          <c:h val="1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rgbClr val="E9252A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FE2-47BC-8C27-413EA5E83362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FE2-47BC-8C27-413EA5E83362}"/>
              </c:ext>
            </c:extLst>
          </c:dPt>
          <c:dPt>
            <c:idx val="2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FE2-47BC-8C27-413EA5E83362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FE2-47BC-8C27-413EA5E83362}"/>
              </c:ext>
            </c:extLst>
          </c:dPt>
          <c:val>
            <c:numRef>
              <c:f>CNSS!$B$7:$B$10</c:f>
              <c:numCache>
                <c:formatCode>General</c:formatCode>
                <c:ptCount val="4"/>
                <c:pt idx="0">
                  <c:v>70</c:v>
                </c:pt>
                <c:pt idx="1">
                  <c:v>20</c:v>
                </c:pt>
                <c:pt idx="2">
                  <c:v>10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FE2-47BC-8C27-413EA5E833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  <c:holeSize val="75"/>
      </c:doughnutChart>
      <c:pieChart>
        <c:varyColors val="1"/>
        <c:ser>
          <c:idx val="1"/>
          <c:order val="1"/>
          <c:tx>
            <c:v>Aiguille</c:v>
          </c:tx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FE2-47BC-8C27-413EA5E83362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8FE2-47BC-8C27-413EA5E83362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375-4BA8-9B4C-15B8C7DBA121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3375-4BA8-9B4C-15B8C7DBA121}"/>
              </c:ext>
            </c:extLst>
          </c:dPt>
          <c:dLbls>
            <c:dLbl>
              <c:idx val="0"/>
              <c:layout>
                <c:manualLayout>
                  <c:x val="9.6658682378520266E-2"/>
                  <c:y val="0.1380952380952432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B-8FE2-47BC-8C27-413EA5E83362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CNSS!$N$6:$N$9</c:f>
              <c:numCache>
                <c:formatCode>0%</c:formatCode>
                <c:ptCount val="4"/>
                <c:pt idx="0">
                  <c:v>1</c:v>
                </c:pt>
                <c:pt idx="1">
                  <c:v>0.02</c:v>
                </c:pt>
                <c:pt idx="2">
                  <c:v>0</c:v>
                </c:pt>
                <c:pt idx="3">
                  <c:v>1.02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FE2-47BC-8C27-413EA5E833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000000000001255" l="0.70000000000000062" r="0.70000000000000062" t="0.75000000000001255" header="0.30000000000000032" footer="0.3000000000000003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5636285813889451"/>
          <c:y val="1.3889263842019743E-2"/>
          <c:w val="0.43720323808387201"/>
          <c:h val="0.97433820772403468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rgbClr val="E9252A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933-481E-8F7B-E9AB16FE2B75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933-481E-8F7B-E9AB16FE2B75}"/>
              </c:ext>
            </c:extLst>
          </c:dPt>
          <c:dPt>
            <c:idx val="2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933-481E-8F7B-E9AB16FE2B75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933-481E-8F7B-E9AB16FE2B75}"/>
              </c:ext>
            </c:extLst>
          </c:dPt>
          <c:val>
            <c:numRef>
              <c:f>CNSS!$B$7:$B$10</c:f>
              <c:numCache>
                <c:formatCode>General</c:formatCode>
                <c:ptCount val="4"/>
                <c:pt idx="0">
                  <c:v>70</c:v>
                </c:pt>
                <c:pt idx="1">
                  <c:v>20</c:v>
                </c:pt>
                <c:pt idx="2">
                  <c:v>10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933-481E-8F7B-E9AB16FE2B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  <c:holeSize val="75"/>
      </c:doughnutChart>
      <c:pieChart>
        <c:varyColors val="1"/>
        <c:ser>
          <c:idx val="1"/>
          <c:order val="1"/>
          <c:tx>
            <c:v>Aiguille</c:v>
          </c:tx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9933-481E-8F7B-E9AB16FE2B75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9933-481E-8F7B-E9AB16FE2B75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72A-45E3-8F77-6C858973BDE9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933-481E-8F7B-E9AB16FE2B75}"/>
              </c:ext>
            </c:extLst>
          </c:dPt>
          <c:dLbls>
            <c:dLbl>
              <c:idx val="0"/>
              <c:layout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C-9933-481E-8F7B-E9AB16FE2B7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CNSS!$O$6:$O$9</c:f>
              <c:numCache>
                <c:formatCode>0%</c:formatCode>
                <c:ptCount val="4"/>
                <c:pt idx="0">
                  <c:v>1</c:v>
                </c:pt>
                <c:pt idx="1">
                  <c:v>0.02</c:v>
                </c:pt>
                <c:pt idx="2">
                  <c:v>0</c:v>
                </c:pt>
                <c:pt idx="3">
                  <c:v>1.02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933-481E-8F7B-E9AB16FE2B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000000000001255" l="0.70000000000000062" r="0.70000000000000062" t="0.75000000000001255" header="0.30000000000000032" footer="0.3000000000000003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4"/>
          <c:order val="0"/>
          <c:tx>
            <c:strRef>
              <c:f>CNSS!$V$11</c:f>
              <c:strCache>
                <c:ptCount val="1"/>
                <c:pt idx="0">
                  <c:v>Taux RDI</c:v>
                </c:pt>
              </c:strCache>
            </c:strRef>
          </c:tx>
          <c:spPr>
            <a:noFill/>
            <a:ln w="9525" cap="flat" cmpd="sng" algn="ctr">
              <a:solidFill>
                <a:schemeClr val="accent5"/>
              </a:solidFill>
              <a:miter lim="800000"/>
            </a:ln>
            <a:effectLst>
              <a:glow rad="63500">
                <a:schemeClr val="accent5"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CNSS!$Q$12:$Q$23</c:f>
              <c:strCache>
                <c:ptCount val="12"/>
                <c:pt idx="0">
                  <c:v>Janvier</c:v>
                </c:pt>
                <c:pt idx="1">
                  <c:v>Février </c:v>
                </c:pt>
                <c:pt idx="2">
                  <c:v>Mars 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CNSS!$V$12:$V$23</c:f>
              <c:numCache>
                <c:formatCode>0%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0.15384615384615385</c:v>
                </c:pt>
                <c:pt idx="4">
                  <c:v>0.41666666666666669</c:v>
                </c:pt>
                <c:pt idx="5">
                  <c:v>1</c:v>
                </c:pt>
                <c:pt idx="6">
                  <c:v>0.84615384615384615</c:v>
                </c:pt>
                <c:pt idx="7">
                  <c:v>0.92307692307692313</c:v>
                </c:pt>
                <c:pt idx="8">
                  <c:v>0.8</c:v>
                </c:pt>
                <c:pt idx="9">
                  <c:v>0.88888888888888884</c:v>
                </c:pt>
                <c:pt idx="10">
                  <c:v>1</c:v>
                </c:pt>
                <c:pt idx="1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715-41E0-ACFF-FF7F49DC679F}"/>
            </c:ext>
          </c:extLst>
        </c:ser>
        <c:ser>
          <c:idx val="5"/>
          <c:order val="1"/>
          <c:tx>
            <c:strRef>
              <c:f>CNSS!$W$11</c:f>
              <c:strCache>
                <c:ptCount val="1"/>
                <c:pt idx="0">
                  <c:v>Taux RDF</c:v>
                </c:pt>
              </c:strCache>
            </c:strRef>
          </c:tx>
          <c:spPr>
            <a:noFill/>
            <a:ln w="9525" cap="flat" cmpd="sng" algn="ctr">
              <a:solidFill>
                <a:schemeClr val="accent6"/>
              </a:solidFill>
              <a:miter lim="800000"/>
            </a:ln>
            <a:effectLst>
              <a:glow rad="63500">
                <a:schemeClr val="accent6"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CNSS!$Q$12:$Q$23</c:f>
              <c:strCache>
                <c:ptCount val="12"/>
                <c:pt idx="0">
                  <c:v>Janvier</c:v>
                </c:pt>
                <c:pt idx="1">
                  <c:v>Février </c:v>
                </c:pt>
                <c:pt idx="2">
                  <c:v>Mars 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CNSS!$W$12:$W$23</c:f>
              <c:numCache>
                <c:formatCode>0%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0.92307692307692313</c:v>
                </c:pt>
                <c:pt idx="7">
                  <c:v>1</c:v>
                </c:pt>
                <c:pt idx="8">
                  <c:v>1</c:v>
                </c:pt>
                <c:pt idx="9">
                  <c:v>0.88888888888888884</c:v>
                </c:pt>
                <c:pt idx="10">
                  <c:v>1</c:v>
                </c:pt>
                <c:pt idx="1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715-41E0-ACFF-FF7F49DC67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15"/>
        <c:overlap val="-40"/>
        <c:axId val="120653312"/>
        <c:axId val="120654848"/>
      </c:barChart>
      <c:catAx>
        <c:axId val="120653312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4848"/>
        <c:crosses val="autoZero"/>
        <c:auto val="1"/>
        <c:lblAlgn val="ctr"/>
        <c:lblOffset val="100"/>
        <c:noMultiLvlLbl val="0"/>
      </c:catAx>
      <c:valAx>
        <c:axId val="120654848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3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000000000001255" l="0.70000000000000062" r="0.70000000000000062" t="0.75000000000001255" header="0.30000000000000032" footer="0.30000000000000032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694444444444524"/>
          <c:y val="0"/>
          <c:w val="0.53888888888888964"/>
          <c:h val="0.89814814814814814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rgbClr val="E9252A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87D-4633-A73E-25989AA77880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87D-4633-A73E-25989AA77880}"/>
              </c:ext>
            </c:extLst>
          </c:dPt>
          <c:dPt>
            <c:idx val="2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87D-4633-A73E-25989AA77880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87D-4633-A73E-25989AA77880}"/>
              </c:ext>
            </c:extLst>
          </c:dPt>
          <c:val>
            <c:numRef>
              <c:f>IR!$A$3:$A$6</c:f>
              <c:numCache>
                <c:formatCode>General</c:formatCode>
                <c:ptCount val="4"/>
                <c:pt idx="0">
                  <c:v>70</c:v>
                </c:pt>
                <c:pt idx="1">
                  <c:v>20</c:v>
                </c:pt>
                <c:pt idx="2">
                  <c:v>10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87D-4633-A73E-25989AA778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  <c:holeSize val="75"/>
      </c:doughnutChart>
      <c:pieChart>
        <c:varyColors val="1"/>
        <c:ser>
          <c:idx val="1"/>
          <c:order val="1"/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787D-4633-A73E-25989AA77880}"/>
              </c:ext>
            </c:extLst>
          </c:dPt>
          <c:dPt>
            <c:idx val="1"/>
            <c:bubble3D val="0"/>
            <c:spPr>
              <a:solidFill>
                <a:srgbClr val="101C2A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787D-4633-A73E-25989AA77880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787D-4633-A73E-25989AA77880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787D-4633-A73E-25989AA77880}"/>
              </c:ext>
            </c:extLst>
          </c:dPt>
          <c:dLbls>
            <c:dLbl>
              <c:idx val="0"/>
              <c:layout>
                <c:manualLayout>
                  <c:x val="0.18218862418555487"/>
                  <c:y val="-9.359420981468524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1265281804889664"/>
                      <c:h val="0.1487292238599803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787D-4633-A73E-25989AA7788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IR!$I$3:$I$6</c:f>
              <c:numCache>
                <c:formatCode>0%</c:formatCode>
                <c:ptCount val="4"/>
                <c:pt idx="0">
                  <c:v>0.22222222222222221</c:v>
                </c:pt>
                <c:pt idx="1">
                  <c:v>0.02</c:v>
                </c:pt>
                <c:pt idx="2">
                  <c:v>0.77777777777777779</c:v>
                </c:pt>
                <c:pt idx="3">
                  <c:v>1.02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87D-4633-A73E-25989AA778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000000000001255" l="0.70000000000000062" r="0.70000000000000062" t="0.75000000000001255" header="0.30000000000000032" footer="0.30000000000000032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4324296711233282"/>
          <c:y val="0"/>
          <c:w val="0.29427281321379151"/>
          <c:h val="0.88281843964135354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rgbClr val="E9252A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781-4A7B-A00B-55D0EF36E65A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781-4A7B-A00B-55D0EF36E65A}"/>
              </c:ext>
            </c:extLst>
          </c:dPt>
          <c:dPt>
            <c:idx val="2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781-4A7B-A00B-55D0EF36E65A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781-4A7B-A00B-55D0EF36E65A}"/>
              </c:ext>
            </c:extLst>
          </c:dPt>
          <c:val>
            <c:numRef>
              <c:f>IR!$A$3:$A$6</c:f>
              <c:numCache>
                <c:formatCode>General</c:formatCode>
                <c:ptCount val="4"/>
                <c:pt idx="0">
                  <c:v>70</c:v>
                </c:pt>
                <c:pt idx="1">
                  <c:v>20</c:v>
                </c:pt>
                <c:pt idx="2">
                  <c:v>10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781-4A7B-A00B-55D0EF36E6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  <c:holeSize val="75"/>
      </c:doughnutChart>
      <c:pieChart>
        <c:varyColors val="1"/>
        <c:ser>
          <c:idx val="1"/>
          <c:order val="1"/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2781-4A7B-A00B-55D0EF36E65A}"/>
              </c:ext>
            </c:extLst>
          </c:dPt>
          <c:dPt>
            <c:idx val="1"/>
            <c:bubble3D val="0"/>
            <c:spPr>
              <a:solidFill>
                <a:srgbClr val="101C2A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2781-4A7B-A00B-55D0EF36E65A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2781-4A7B-A00B-55D0EF36E65A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2781-4A7B-A00B-55D0EF36E65A}"/>
              </c:ext>
            </c:extLst>
          </c:dPt>
          <c:dLbls>
            <c:dLbl>
              <c:idx val="0"/>
              <c:layout>
                <c:manualLayout>
                  <c:x val="0.14479498787484296"/>
                  <c:y val="-8.264856260735936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5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894924890431459"/>
                      <c:h val="0.2064842756629239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2781-4A7B-A00B-55D0EF36E65A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781-4A7B-A00B-55D0EF36E65A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2781-4A7B-A00B-55D0EF36E65A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2781-4A7B-A00B-55D0EF36E65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IR!$G$3:$G$6</c:f>
              <c:numCache>
                <c:formatCode>0%</c:formatCode>
                <c:ptCount val="4"/>
                <c:pt idx="0">
                  <c:v>0.36363636363636365</c:v>
                </c:pt>
                <c:pt idx="1">
                  <c:v>0.02</c:v>
                </c:pt>
                <c:pt idx="2">
                  <c:v>0.63636363636363635</c:v>
                </c:pt>
                <c:pt idx="3">
                  <c:v>1.02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781-4A7B-A00B-55D0EF36E6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000000000001255" l="0.70000000000000062" r="0.70000000000000062" t="0.75000000000001255" header="0.30000000000000032" footer="0.30000000000000032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03808756859938"/>
          <c:y val="4.9861476548538806E-2"/>
          <c:w val="0.56954127893104267"/>
          <c:h val="0.9501385234514631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rgbClr val="E9252A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844-4968-AEE9-63A5F7399910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844-4968-AEE9-63A5F7399910}"/>
              </c:ext>
            </c:extLst>
          </c:dPt>
          <c:dPt>
            <c:idx val="2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844-4968-AEE9-63A5F7399910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844-4968-AEE9-63A5F7399910}"/>
              </c:ext>
            </c:extLst>
          </c:dPt>
          <c:val>
            <c:numRef>
              <c:f>' TVA M'!$A$3:$A$6</c:f>
              <c:numCache>
                <c:formatCode>General</c:formatCode>
                <c:ptCount val="4"/>
                <c:pt idx="0">
                  <c:v>70</c:v>
                </c:pt>
                <c:pt idx="1">
                  <c:v>20</c:v>
                </c:pt>
                <c:pt idx="2">
                  <c:v>10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844-4968-AEE9-63A5F73999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  <c:holeSize val="75"/>
      </c:doughnutChart>
      <c:pieChart>
        <c:varyColors val="1"/>
        <c:ser>
          <c:idx val="1"/>
          <c:order val="1"/>
          <c:tx>
            <c:v>Aiguille</c:v>
          </c:tx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3844-4968-AEE9-63A5F7399910}"/>
              </c:ext>
            </c:extLst>
          </c:dPt>
          <c:dPt>
            <c:idx val="1"/>
            <c:bubble3D val="0"/>
            <c:spPr>
              <a:solidFill>
                <a:srgbClr val="101C2A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3844-4968-AEE9-63A5F7399910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3844-4968-AEE9-63A5F7399910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3844-4968-AEE9-63A5F7399910}"/>
              </c:ext>
            </c:extLst>
          </c:dPt>
          <c:dLbls>
            <c:dLbl>
              <c:idx val="0"/>
              <c:layout>
                <c:manualLayout>
                  <c:x val="0.23560863103740112"/>
                  <c:y val="-9.500500774075072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7050023482939067"/>
                      <c:h val="0.1665976471137189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3844-4968-AEE9-63A5F739991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 TVA M'!$K$3:$K$6</c:f>
              <c:numCache>
                <c:formatCode>0%</c:formatCode>
                <c:ptCount val="4"/>
                <c:pt idx="0">
                  <c:v>0.46666666666666667</c:v>
                </c:pt>
                <c:pt idx="1">
                  <c:v>0.02</c:v>
                </c:pt>
                <c:pt idx="2">
                  <c:v>0.53333333333333333</c:v>
                </c:pt>
                <c:pt idx="3">
                  <c:v>1.02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844-4968-AEE9-63A5F73999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000000000001255" l="0.70000000000000062" r="0.70000000000000062" t="0.75000000000001255" header="0.30000000000000032" footer="0.30000000000000032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9548687664043238"/>
          <c:y val="8.0145995367941744E-2"/>
          <c:w val="0.42013757655293099"/>
          <c:h val="0.91985400463205991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rgbClr val="E9252A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7CF-4221-A153-85468A6E448E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7CF-4221-A153-85468A6E448E}"/>
              </c:ext>
            </c:extLst>
          </c:dPt>
          <c:dPt>
            <c:idx val="2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7CF-4221-A153-85468A6E448E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7CF-4221-A153-85468A6E448E}"/>
              </c:ext>
            </c:extLst>
          </c:dPt>
          <c:val>
            <c:numRef>
              <c:f>IR!$A$3:$A$6</c:f>
              <c:numCache>
                <c:formatCode>General</c:formatCode>
                <c:ptCount val="4"/>
                <c:pt idx="0">
                  <c:v>70</c:v>
                </c:pt>
                <c:pt idx="1">
                  <c:v>20</c:v>
                </c:pt>
                <c:pt idx="2">
                  <c:v>10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7CF-4221-A153-85468A6E4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  <c:holeSize val="75"/>
      </c:doughnutChart>
      <c:pieChart>
        <c:varyColors val="1"/>
        <c:ser>
          <c:idx val="1"/>
          <c:order val="1"/>
          <c:spPr>
            <a:noFill/>
            <a:ln>
              <a:noFill/>
            </a:ln>
          </c:spPr>
          <c:explosion val="3"/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57CF-4221-A153-85468A6E448E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57CF-4221-A153-85468A6E448E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57CF-4221-A153-85468A6E448E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57CF-4221-A153-85468A6E448E}"/>
              </c:ext>
            </c:extLst>
          </c:dPt>
          <c:dLbls>
            <c:dLbl>
              <c:idx val="0"/>
              <c:layout>
                <c:manualLayout>
                  <c:x val="0.15932631112403844"/>
                  <c:y val="-0.14584743836154768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328049363222737"/>
                      <c:h val="0.1899576332485998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57CF-4221-A153-85468A6E448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IR!$M$3:$M$6</c:f>
              <c:numCache>
                <c:formatCode>0%</c:formatCode>
                <c:ptCount val="4"/>
                <c:pt idx="0">
                  <c:v>0.8</c:v>
                </c:pt>
                <c:pt idx="1">
                  <c:v>0.01</c:v>
                </c:pt>
                <c:pt idx="2">
                  <c:v>0.20999999999999996</c:v>
                </c:pt>
                <c:pt idx="3">
                  <c:v>1.02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7CF-4221-A153-85468A6E4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000000000001255" l="0.70000000000000062" r="0.70000000000000062" t="0.75000000000001255" header="0.30000000000000032" footer="0.30000000000000032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4153108730109899"/>
          <c:y val="0.11471066116735408"/>
          <c:w val="0.28405012407966473"/>
          <c:h val="0.83089613798275219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rgbClr val="E9252A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27A-43B9-80B1-7AA2B40C6E90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7A-43B9-80B1-7AA2B40C6E90}"/>
              </c:ext>
            </c:extLst>
          </c:dPt>
          <c:dPt>
            <c:idx val="2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27A-43B9-80B1-7AA2B40C6E90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27A-43B9-80B1-7AA2B40C6E90}"/>
              </c:ext>
            </c:extLst>
          </c:dPt>
          <c:val>
            <c:numRef>
              <c:f>IR!$A$3:$A$6</c:f>
              <c:numCache>
                <c:formatCode>General</c:formatCode>
                <c:ptCount val="4"/>
                <c:pt idx="0">
                  <c:v>70</c:v>
                </c:pt>
                <c:pt idx="1">
                  <c:v>20</c:v>
                </c:pt>
                <c:pt idx="2">
                  <c:v>10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27A-43B9-80B1-7AA2B40C6E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  <c:holeSize val="75"/>
      </c:doughnutChart>
      <c:pieChart>
        <c:varyColors val="1"/>
        <c:ser>
          <c:idx val="1"/>
          <c:order val="1"/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C27A-43B9-80B1-7AA2B40C6E90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C27A-43B9-80B1-7AA2B40C6E90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C27A-43B9-80B1-7AA2B40C6E90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C27A-43B9-80B1-7AA2B40C6E90}"/>
              </c:ext>
            </c:extLst>
          </c:dPt>
          <c:dLbls>
            <c:dLbl>
              <c:idx val="0"/>
              <c:layout>
                <c:manualLayout>
                  <c:x val="0.17156466351999491"/>
                  <c:y val="-0.10932037750600326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4299999999999999"/>
                      <c:h val="0.1203011081948089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C27A-43B9-80B1-7AA2B40C6E90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27A-43B9-80B1-7AA2B40C6E90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C27A-43B9-80B1-7AA2B40C6E90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C27A-43B9-80B1-7AA2B40C6E9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val>
            <c:numRef>
              <c:f>IR!$O$3:$O$6</c:f>
              <c:numCache>
                <c:formatCode>0%</c:formatCode>
                <c:ptCount val="4"/>
                <c:pt idx="0">
                  <c:v>0.83333333333333337</c:v>
                </c:pt>
                <c:pt idx="1">
                  <c:v>0.01</c:v>
                </c:pt>
                <c:pt idx="2">
                  <c:v>0.17666666666666664</c:v>
                </c:pt>
                <c:pt idx="3">
                  <c:v>1.02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27A-43B9-80B1-7AA2B40C6E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000000000001255" l="0.70000000000000062" r="0.70000000000000062" t="0.75000000000001255" header="0.30000000000000032" footer="0.30000000000000032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0038438844990811"/>
          <c:y val="0.13782927886808322"/>
          <c:w val="0.42628059940810981"/>
          <c:h val="0.85463773763745465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E9252A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77F-4D60-8104-4614DE5080BD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77F-4D60-8104-4614DE5080BD}"/>
              </c:ext>
            </c:extLst>
          </c:dPt>
          <c:dPt>
            <c:idx val="2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77F-4D60-8104-4614DE5080BD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77F-4D60-8104-4614DE5080BD}"/>
              </c:ext>
            </c:extLst>
          </c:dPt>
          <c:val>
            <c:numRef>
              <c:f>IR!$A$3:$A$6</c:f>
              <c:numCache>
                <c:formatCode>General</c:formatCode>
                <c:ptCount val="4"/>
                <c:pt idx="0">
                  <c:v>70</c:v>
                </c:pt>
                <c:pt idx="1">
                  <c:v>20</c:v>
                </c:pt>
                <c:pt idx="2">
                  <c:v>10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77F-4D60-8104-4614DE5080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  <c:holeSize val="75"/>
      </c:doughnutChart>
      <c:pieChart>
        <c:varyColors val="1"/>
        <c:ser>
          <c:idx val="1"/>
          <c:order val="1"/>
          <c:spPr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F77F-4D60-8104-4614DE5080BD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F77F-4D60-8104-4614DE5080BD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F77F-4D60-8104-4614DE5080BD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F77F-4D60-8104-4614DE5080BD}"/>
              </c:ext>
            </c:extLst>
          </c:dPt>
          <c:dLbls>
            <c:dLbl>
              <c:idx val="0"/>
              <c:layout>
                <c:manualLayout>
                  <c:x val="0.1465564477387597"/>
                  <c:y val="-0.12708341358445721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031955380577429"/>
                      <c:h val="8.789370078740158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F77F-4D60-8104-4614DE5080BD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IR!$Q$3:$Q$6</c:f>
              <c:numCache>
                <c:formatCode>0%</c:formatCode>
                <c:ptCount val="4"/>
                <c:pt idx="0">
                  <c:v>0.8571428571428571</c:v>
                </c:pt>
                <c:pt idx="1">
                  <c:v>0.01</c:v>
                </c:pt>
                <c:pt idx="2">
                  <c:v>0.15285714285714291</c:v>
                </c:pt>
                <c:pt idx="3">
                  <c:v>1.02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77F-4D60-8104-4614DE5080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000000000001255" l="0.70000000000000062" r="0.70000000000000062" t="0.75000000000001255" header="0.30000000000000032" footer="0.30000000000000032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6250000000000001"/>
          <c:y val="0.22453703703704078"/>
          <c:w val="0.46388888888890289"/>
          <c:h val="0.77314814814816324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rgbClr val="E9252A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C5F-4242-95A2-DB2420BC27B9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C5F-4242-95A2-DB2420BC27B9}"/>
              </c:ext>
            </c:extLst>
          </c:dPt>
          <c:dPt>
            <c:idx val="2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C5F-4242-95A2-DB2420BC27B9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C5F-4242-95A2-DB2420BC27B9}"/>
              </c:ext>
            </c:extLst>
          </c:dPt>
          <c:val>
            <c:numRef>
              <c:f>IR!$A$3:$A$6</c:f>
              <c:numCache>
                <c:formatCode>General</c:formatCode>
                <c:ptCount val="4"/>
                <c:pt idx="0">
                  <c:v>70</c:v>
                </c:pt>
                <c:pt idx="1">
                  <c:v>20</c:v>
                </c:pt>
                <c:pt idx="2">
                  <c:v>10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C5F-4242-95A2-DB2420BC27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  <c:holeSize val="75"/>
      </c:doughnutChart>
      <c:pieChart>
        <c:varyColors val="1"/>
        <c:ser>
          <c:idx val="1"/>
          <c:order val="1"/>
          <c:spPr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DC5F-4242-95A2-DB2420BC27B9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DC5F-4242-95A2-DB2420BC27B9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DC5F-4242-95A2-DB2420BC27B9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DC5F-4242-95A2-DB2420BC27B9}"/>
              </c:ext>
            </c:extLst>
          </c:dPt>
          <c:dLbls>
            <c:dLbl>
              <c:idx val="0"/>
              <c:layout>
                <c:manualLayout>
                  <c:x val="7.8910829306377869E-2"/>
                  <c:y val="0.28350760227979188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5931385016373985E-2"/>
                      <c:h val="0.1186673400460844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DC5F-4242-95A2-DB2420BC27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IR!$S$3:$S$6</c:f>
              <c:numCache>
                <c:formatCode>0%</c:formatCode>
                <c:ptCount val="4"/>
                <c:pt idx="0">
                  <c:v>0.66666666666666663</c:v>
                </c:pt>
                <c:pt idx="1">
                  <c:v>0.01</c:v>
                </c:pt>
                <c:pt idx="2">
                  <c:v>0.34333333333333338</c:v>
                </c:pt>
                <c:pt idx="3">
                  <c:v>1.02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C5F-4242-95A2-DB2420BC27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000000000001255" l="0.70000000000000062" r="0.70000000000000062" t="0.75000000000001255" header="0.30000000000000032" footer="0.30000000000000032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"/>
          <c:y val="0.10185185185185186"/>
          <c:w val="0.53888888888888964"/>
          <c:h val="0.89814814814814814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rgbClr val="E9252A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0EB-4107-AFC2-419AE8BAD2F0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0EB-4107-AFC2-419AE8BAD2F0}"/>
              </c:ext>
            </c:extLst>
          </c:dPt>
          <c:dPt>
            <c:idx val="2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E0EB-4107-AFC2-419AE8BAD2F0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E0EB-4107-AFC2-419AE8BAD2F0}"/>
              </c:ext>
            </c:extLst>
          </c:dPt>
          <c:val>
            <c:numRef>
              <c:f>IR!$A$3:$A$6</c:f>
              <c:numCache>
                <c:formatCode>General</c:formatCode>
                <c:ptCount val="4"/>
                <c:pt idx="0">
                  <c:v>70</c:v>
                </c:pt>
                <c:pt idx="1">
                  <c:v>20</c:v>
                </c:pt>
                <c:pt idx="2">
                  <c:v>10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0EB-4107-AFC2-419AE8BAD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  <c:holeSize val="75"/>
      </c:doughnutChart>
      <c:pieChart>
        <c:varyColors val="1"/>
        <c:ser>
          <c:idx val="1"/>
          <c:order val="1"/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E0EB-4107-AFC2-419AE8BAD2F0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E0EB-4107-AFC2-419AE8BAD2F0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E0EB-4107-AFC2-419AE8BAD2F0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E0EB-4107-AFC2-419AE8BAD2F0}"/>
              </c:ext>
            </c:extLst>
          </c:dPt>
          <c:dLbls>
            <c:dLbl>
              <c:idx val="0"/>
              <c:layout>
                <c:manualLayout>
                  <c:x val="0.14465203436355967"/>
                  <c:y val="-9.846078142230647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9713816833484283E-2"/>
                      <c:h val="0.1062525341751621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E0EB-4107-AFC2-419AE8BAD2F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IR!$U$3:$U$6</c:f>
              <c:numCache>
                <c:formatCode>0%</c:formatCode>
                <c:ptCount val="4"/>
                <c:pt idx="0">
                  <c:v>0.5</c:v>
                </c:pt>
                <c:pt idx="1">
                  <c:v>0.01</c:v>
                </c:pt>
                <c:pt idx="2">
                  <c:v>0.51</c:v>
                </c:pt>
                <c:pt idx="3">
                  <c:v>1.02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E0EB-4107-AFC2-419AE8BAD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000000000001255" l="0.70000000000000062" r="0.70000000000000062" t="0.75000000000001255" header="0.30000000000000032" footer="0.30000000000000032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2973253289502596"/>
          <c:y val="6.0215298478903313E-2"/>
          <c:w val="0.53888888888888964"/>
          <c:h val="0.89814814814814814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rgbClr val="E9252A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80B-4136-B0CB-B037D451DB85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80B-4136-B0CB-B037D451DB85}"/>
              </c:ext>
            </c:extLst>
          </c:dPt>
          <c:dPt>
            <c:idx val="2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80B-4136-B0CB-B037D451DB85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80B-4136-B0CB-B037D451DB85}"/>
              </c:ext>
            </c:extLst>
          </c:dPt>
          <c:val>
            <c:numRef>
              <c:f>IR!$A$3:$A$6</c:f>
              <c:numCache>
                <c:formatCode>General</c:formatCode>
                <c:ptCount val="4"/>
                <c:pt idx="0">
                  <c:v>70</c:v>
                </c:pt>
                <c:pt idx="1">
                  <c:v>20</c:v>
                </c:pt>
                <c:pt idx="2">
                  <c:v>10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80B-4136-B0CB-B037D451DB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  <c:holeSize val="75"/>
      </c:doughnutChart>
      <c:pieChart>
        <c:varyColors val="1"/>
        <c:ser>
          <c:idx val="1"/>
          <c:order val="1"/>
          <c:spPr>
            <a:ln>
              <a:noFill/>
            </a:ln>
          </c:spPr>
          <c:explosion val="9"/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380B-4136-B0CB-B037D451DB85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380B-4136-B0CB-B037D451DB85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380B-4136-B0CB-B037D451DB85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380B-4136-B0CB-B037D451DB85}"/>
              </c:ext>
            </c:extLst>
          </c:dPt>
          <c:dLbls>
            <c:dLbl>
              <c:idx val="0"/>
              <c:layout>
                <c:manualLayout>
                  <c:x val="0.15225968050831581"/>
                  <c:y val="-9.991334495733071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709733158355206"/>
                      <c:h val="0.143449256342957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380B-4136-B0CB-B037D451DB8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IR!$W$3:$W$6</c:f>
              <c:numCache>
                <c:formatCode>0%</c:formatCode>
                <c:ptCount val="4"/>
                <c:pt idx="0">
                  <c:v>0</c:v>
                </c:pt>
                <c:pt idx="1">
                  <c:v>0.02</c:v>
                </c:pt>
                <c:pt idx="2">
                  <c:v>1</c:v>
                </c:pt>
                <c:pt idx="3">
                  <c:v>1.02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80B-4136-B0CB-B037D451DB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000000000001255" l="0.70000000000000062" r="0.70000000000000062" t="0.75000000000001255" header="0.30000000000000032" footer="0.30000000000000032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5475203829614543"/>
          <c:y val="0.10716961055543762"/>
          <c:w val="0.2924344115423258"/>
          <c:h val="0.88125629566574459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rgbClr val="E9252A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4B8-42D7-B59A-5673CA1ADA92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4B8-42D7-B59A-5673CA1ADA92}"/>
              </c:ext>
            </c:extLst>
          </c:dPt>
          <c:dPt>
            <c:idx val="2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4B8-42D7-B59A-5673CA1ADA92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4B8-42D7-B59A-5673CA1ADA92}"/>
              </c:ext>
            </c:extLst>
          </c:dPt>
          <c:val>
            <c:numRef>
              <c:f>IR!$A$3:$A$6</c:f>
              <c:numCache>
                <c:formatCode>General</c:formatCode>
                <c:ptCount val="4"/>
                <c:pt idx="0">
                  <c:v>70</c:v>
                </c:pt>
                <c:pt idx="1">
                  <c:v>20</c:v>
                </c:pt>
                <c:pt idx="2">
                  <c:v>10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4B8-42D7-B59A-5673CA1AD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  <c:holeSize val="75"/>
      </c:doughnutChart>
      <c:pieChart>
        <c:varyColors val="1"/>
        <c:ser>
          <c:idx val="1"/>
          <c:order val="1"/>
          <c:spPr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F4B8-42D7-B59A-5673CA1ADA92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F4B8-42D7-B59A-5673CA1ADA92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F4B8-42D7-B59A-5673CA1ADA92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F4B8-42D7-B59A-5673CA1ADA92}"/>
              </c:ext>
            </c:extLst>
          </c:dPt>
          <c:dLbls>
            <c:dLbl>
              <c:idx val="0"/>
              <c:layout>
                <c:manualLayout>
                  <c:x val="0.13070941839235894"/>
                  <c:y val="-9.302325581395350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3653001443449823E-2"/>
                      <c:h val="0.1360206718346253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F4B8-42D7-B59A-5673CA1ADA92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IR!$Y$3:$Y$6</c:f>
              <c:numCache>
                <c:formatCode>0%</c:formatCode>
                <c:ptCount val="4"/>
                <c:pt idx="0">
                  <c:v>1</c:v>
                </c:pt>
                <c:pt idx="1">
                  <c:v>0.01</c:v>
                </c:pt>
                <c:pt idx="2">
                  <c:v>0</c:v>
                </c:pt>
                <c:pt idx="3">
                  <c:v>1.01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4B8-42D7-B59A-5673CA1AD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000000000001255" l="0.70000000000000062" r="0.70000000000000062" t="0.75000000000001255" header="0.30000000000000032" footer="0.30000000000000032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4121062616010922"/>
          <c:y val="8.9710599220522727E-2"/>
          <c:w val="0.29371599234418938"/>
          <c:h val="0.89314147077960004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rgbClr val="E9252A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161-4013-90CF-AE228DB94845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161-4013-90CF-AE228DB94845}"/>
              </c:ext>
            </c:extLst>
          </c:dPt>
          <c:dPt>
            <c:idx val="2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161-4013-90CF-AE228DB94845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161-4013-90CF-AE228DB94845}"/>
              </c:ext>
            </c:extLst>
          </c:dPt>
          <c:val>
            <c:numRef>
              <c:f>IR!$A$3:$A$6</c:f>
              <c:numCache>
                <c:formatCode>General</c:formatCode>
                <c:ptCount val="4"/>
                <c:pt idx="0">
                  <c:v>70</c:v>
                </c:pt>
                <c:pt idx="1">
                  <c:v>20</c:v>
                </c:pt>
                <c:pt idx="2">
                  <c:v>10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161-4013-90CF-AE228DB948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  <c:holeSize val="75"/>
      </c:doughnutChart>
      <c:pieChart>
        <c:varyColors val="1"/>
        <c:ser>
          <c:idx val="1"/>
          <c:order val="1"/>
          <c:spPr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B161-4013-90CF-AE228DB94845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B161-4013-90CF-AE228DB9484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B161-4013-90CF-AE228DB94845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B161-4013-90CF-AE228DB94845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161-4013-90CF-AE228DB9484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IR!$AA$3:$AA$6</c:f>
              <c:numCache>
                <c:formatCode>0%</c:formatCode>
                <c:ptCount val="4"/>
                <c:pt idx="0">
                  <c:v>0</c:v>
                </c:pt>
                <c:pt idx="1">
                  <c:v>0.01</c:v>
                </c:pt>
                <c:pt idx="2">
                  <c:v>1.01</c:v>
                </c:pt>
                <c:pt idx="3">
                  <c:v>1.02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161-4013-90CF-AE228DB948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000000000001255" l="0.70000000000000062" r="0.70000000000000062" t="0.75000000000001255" header="0.30000000000000032" footer="0.30000000000000032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4324296711233282"/>
          <c:y val="0"/>
          <c:w val="0.29427281321379151"/>
          <c:h val="0.88281843964135354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rgbClr val="E9252A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321-4296-AEA7-0A4ED02A2AE8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321-4296-AEA7-0A4ED02A2AE8}"/>
              </c:ext>
            </c:extLst>
          </c:dPt>
          <c:dPt>
            <c:idx val="2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321-4296-AEA7-0A4ED02A2AE8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321-4296-AEA7-0A4ED02A2AE8}"/>
              </c:ext>
            </c:extLst>
          </c:dPt>
          <c:val>
            <c:numRef>
              <c:f>IR!$A$3:$A$6</c:f>
              <c:numCache>
                <c:formatCode>General</c:formatCode>
                <c:ptCount val="4"/>
                <c:pt idx="0">
                  <c:v>70</c:v>
                </c:pt>
                <c:pt idx="1">
                  <c:v>20</c:v>
                </c:pt>
                <c:pt idx="2">
                  <c:v>10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321-4296-AEA7-0A4ED02A2A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  <c:holeSize val="75"/>
      </c:doughnutChart>
      <c:pieChart>
        <c:varyColors val="1"/>
        <c:ser>
          <c:idx val="1"/>
          <c:order val="1"/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2321-4296-AEA7-0A4ED02A2AE8}"/>
              </c:ext>
            </c:extLst>
          </c:dPt>
          <c:dPt>
            <c:idx val="1"/>
            <c:bubble3D val="0"/>
            <c:spPr>
              <a:solidFill>
                <a:srgbClr val="101C2A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2321-4296-AEA7-0A4ED02A2AE8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2321-4296-AEA7-0A4ED02A2AE8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2321-4296-AEA7-0A4ED02A2AE8}"/>
              </c:ext>
            </c:extLst>
          </c:dPt>
          <c:dLbls>
            <c:dLbl>
              <c:idx val="0"/>
              <c:layout>
                <c:manualLayout>
                  <c:x val="0.14479498787484296"/>
                  <c:y val="-8.264856260735936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5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894924890431459"/>
                      <c:h val="0.2064842756629239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2321-4296-AEA7-0A4ED02A2AE8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321-4296-AEA7-0A4ED02A2AE8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2321-4296-AEA7-0A4ED02A2AE8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2321-4296-AEA7-0A4ED02A2AE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IR!$G$3:$G$6</c:f>
              <c:numCache>
                <c:formatCode>0%</c:formatCode>
                <c:ptCount val="4"/>
                <c:pt idx="0">
                  <c:v>0.36363636363636365</c:v>
                </c:pt>
                <c:pt idx="1">
                  <c:v>0.02</c:v>
                </c:pt>
                <c:pt idx="2">
                  <c:v>0.63636363636363635</c:v>
                </c:pt>
                <c:pt idx="3">
                  <c:v>1.02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321-4296-AEA7-0A4ED02A2A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000000000001255" l="0.70000000000000062" r="0.70000000000000062" t="0.75000000000001255" header="0.30000000000000032" footer="0.30000000000000032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4"/>
          <c:order val="0"/>
          <c:spPr>
            <a:noFill/>
            <a:ln w="9525" cap="flat" cmpd="sng" algn="ctr">
              <a:solidFill>
                <a:schemeClr val="accent5"/>
              </a:solidFill>
              <a:miter lim="800000"/>
            </a:ln>
            <a:effectLst>
              <a:glow rad="63500">
                <a:schemeClr val="accent5">
                  <a:satMod val="175000"/>
                  <a:alpha val="25000"/>
                </a:schemeClr>
              </a:glow>
            </a:effectLst>
          </c:spPr>
          <c:invertIfNegative val="0"/>
          <c:dLbls>
            <c:delete val="1"/>
          </c:dLbls>
          <c:cat>
            <c:strRef>
              <c:f>IR!$AC$9:$AC$17</c:f>
              <c:strCache>
                <c:ptCount val="3"/>
                <c:pt idx="0">
                  <c:v>Avril</c:v>
                </c:pt>
                <c:pt idx="1">
                  <c:v>Mai</c:v>
                </c:pt>
                <c:pt idx="2">
                  <c:v>Juin</c:v>
                </c:pt>
              </c:strCache>
            </c:strRef>
          </c:cat>
          <c:val>
            <c:numRef>
              <c:f>IR!$AH$9:$AH$17</c:f>
              <c:numCache>
                <c:formatCode>0%</c:formatCode>
                <c:ptCount val="3"/>
                <c:pt idx="0">
                  <c:v>0</c:v>
                </c:pt>
                <c:pt idx="1">
                  <c:v>1</c:v>
                </c:pt>
                <c:pt idx="2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IR!#REF!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4-AF89-4BA7-AA55-15FB18CFA1E3}"/>
            </c:ext>
          </c:extLst>
        </c:ser>
        <c:ser>
          <c:idx val="5"/>
          <c:order val="1"/>
          <c:spPr>
            <a:noFill/>
            <a:ln w="9525" cap="flat" cmpd="sng" algn="ctr">
              <a:solidFill>
                <a:schemeClr val="accent6"/>
              </a:solidFill>
              <a:miter lim="800000"/>
            </a:ln>
            <a:effectLst>
              <a:glow rad="63500">
                <a:schemeClr val="accent6">
                  <a:satMod val="175000"/>
                  <a:alpha val="25000"/>
                </a:schemeClr>
              </a:glow>
            </a:effectLst>
          </c:spPr>
          <c:invertIfNegative val="0"/>
          <c:dLbls>
            <c:delete val="1"/>
          </c:dLbls>
          <c:cat>
            <c:strRef>
              <c:f>IR!$AC$9:$AC$17</c:f>
              <c:strCache>
                <c:ptCount val="3"/>
                <c:pt idx="0">
                  <c:v>Avril</c:v>
                </c:pt>
                <c:pt idx="1">
                  <c:v>Mai</c:v>
                </c:pt>
                <c:pt idx="2">
                  <c:v>Juin</c:v>
                </c:pt>
              </c:strCache>
            </c:strRef>
          </c:cat>
          <c:val>
            <c:numRef>
              <c:f>IR!$AI$9:$AI$17</c:f>
              <c:numCache>
                <c:formatCode>0%</c:formatCode>
                <c:ptCount val="3"/>
                <c:pt idx="0">
                  <c:v>0</c:v>
                </c:pt>
                <c:pt idx="1">
                  <c:v>1</c:v>
                </c:pt>
                <c:pt idx="2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IR!#REF!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5-AF89-4BA7-AA55-15FB18CFA1E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315"/>
        <c:overlap val="-40"/>
        <c:axId val="121946112"/>
        <c:axId val="121947648"/>
      </c:barChart>
      <c:catAx>
        <c:axId val="121946112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1947648"/>
        <c:crosses val="autoZero"/>
        <c:auto val="1"/>
        <c:lblAlgn val="ctr"/>
        <c:lblOffset val="100"/>
        <c:noMultiLvlLbl val="0"/>
      </c:catAx>
      <c:valAx>
        <c:axId val="121947648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1946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000000000001255" l="0.70000000000000062" r="0.70000000000000062" t="0.75000000000001255" header="0.30000000000000032" footer="0.30000000000000032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2650264563575713"/>
          <c:y val="0"/>
          <c:w val="0.53888888888888964"/>
          <c:h val="0.89814814814814814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rgbClr val="E9252A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C06-4A0F-9424-C6B03DCFCBB6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C06-4A0F-9424-C6B03DCFCBB6}"/>
              </c:ext>
            </c:extLst>
          </c:dPt>
          <c:dPt>
            <c:idx val="2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C06-4A0F-9424-C6B03DCFCBB6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C06-4A0F-9424-C6B03DCFCBB6}"/>
              </c:ext>
            </c:extLst>
          </c:dPt>
          <c:val>
            <c:numRef>
              <c:f>' Droit de timbre'!$A$3:$A$6</c:f>
              <c:numCache>
                <c:formatCode>General</c:formatCode>
                <c:ptCount val="4"/>
                <c:pt idx="0">
                  <c:v>70</c:v>
                </c:pt>
                <c:pt idx="1">
                  <c:v>20</c:v>
                </c:pt>
                <c:pt idx="2">
                  <c:v>10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C06-4A0F-9424-C6B03DCFCB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  <c:holeSize val="75"/>
      </c:doughnutChart>
      <c:pieChart>
        <c:varyColors val="1"/>
        <c:ser>
          <c:idx val="1"/>
          <c:order val="1"/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DC06-4A0F-9424-C6B03DCFCBB6}"/>
              </c:ext>
            </c:extLst>
          </c:dPt>
          <c:dPt>
            <c:idx val="1"/>
            <c:bubble3D val="0"/>
            <c:spPr>
              <a:solidFill>
                <a:srgbClr val="101C2A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DC06-4A0F-9424-C6B03DCFCBB6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DC06-4A0F-9424-C6B03DCFCBB6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DC06-4A0F-9424-C6B03DCFCBB6}"/>
              </c:ext>
            </c:extLst>
          </c:dPt>
          <c:dLbls>
            <c:dLbl>
              <c:idx val="0"/>
              <c:layout>
                <c:manualLayout>
                  <c:x val="0.18218862418555487"/>
                  <c:y val="-9.359420981468524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1265281804889664"/>
                      <c:h val="0.1487292238599803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DC06-4A0F-9424-C6B03DCFCBB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 Droit de timbre'!$I$3:$I$6</c:f>
              <c:numCache>
                <c:formatCode>0%</c:formatCode>
                <c:ptCount val="4"/>
                <c:pt idx="0">
                  <c:v>0.5</c:v>
                </c:pt>
                <c:pt idx="1">
                  <c:v>0.02</c:v>
                </c:pt>
                <c:pt idx="2">
                  <c:v>0.5</c:v>
                </c:pt>
                <c:pt idx="3">
                  <c:v>1.02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C06-4A0F-9424-C6B03DCFCB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000000000001255" l="0.70000000000000062" r="0.70000000000000062" t="0.75000000000001255" header="0.30000000000000032" footer="0.30000000000000032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9901298096666079"/>
          <c:y val="6.3262402519005494E-3"/>
          <c:w val="0.47766465498795008"/>
          <c:h val="0.99367375974809968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rgbClr val="E9252A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515-4422-BBB4-6C26C66F6A50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515-4422-BBB4-6C26C66F6A50}"/>
              </c:ext>
            </c:extLst>
          </c:dPt>
          <c:dPt>
            <c:idx val="2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515-4422-BBB4-6C26C66F6A50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515-4422-BBB4-6C26C66F6A50}"/>
              </c:ext>
            </c:extLst>
          </c:dPt>
          <c:val>
            <c:numRef>
              <c:f>' Droit de timbre'!$A$3:$A$6</c:f>
              <c:numCache>
                <c:formatCode>General</c:formatCode>
                <c:ptCount val="4"/>
                <c:pt idx="0">
                  <c:v>70</c:v>
                </c:pt>
                <c:pt idx="1">
                  <c:v>20</c:v>
                </c:pt>
                <c:pt idx="2">
                  <c:v>10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515-4422-BBB4-6C26C66F6A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000000000001255" l="0.70000000000000062" r="0.70000000000000062" t="0.75000000000001255" header="0.30000000000000032" footer="0.30000000000000032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3888565942679988"/>
          <c:y val="0"/>
          <c:w val="0.30499627143923358"/>
          <c:h val="1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rgbClr val="E9252A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C1D-42B7-B905-6A4EF8830378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C1D-42B7-B905-6A4EF8830378}"/>
              </c:ext>
            </c:extLst>
          </c:dPt>
          <c:dPt>
            <c:idx val="2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C1D-42B7-B905-6A4EF8830378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C1D-42B7-B905-6A4EF8830378}"/>
              </c:ext>
            </c:extLst>
          </c:dPt>
          <c:val>
            <c:numRef>
              <c:f>' Droit de timbre'!$A$3:$A$6</c:f>
              <c:numCache>
                <c:formatCode>General</c:formatCode>
                <c:ptCount val="4"/>
                <c:pt idx="0">
                  <c:v>70</c:v>
                </c:pt>
                <c:pt idx="1">
                  <c:v>20</c:v>
                </c:pt>
                <c:pt idx="2">
                  <c:v>10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1D-42B7-B905-6A4EF88303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  <c:holeSize val="75"/>
      </c:doughnutChart>
      <c:pieChart>
        <c:varyColors val="1"/>
        <c:ser>
          <c:idx val="1"/>
          <c:order val="1"/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3C1D-42B7-B905-6A4EF8830378}"/>
              </c:ext>
            </c:extLst>
          </c:dPt>
          <c:dPt>
            <c:idx val="1"/>
            <c:bubble3D val="0"/>
            <c:spPr>
              <a:solidFill>
                <a:srgbClr val="101C2A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3C1D-42B7-B905-6A4EF8830378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3C1D-42B7-B905-6A4EF8830378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3C1D-42B7-B905-6A4EF8830378}"/>
              </c:ext>
            </c:extLst>
          </c:dPt>
          <c:dLbls>
            <c:dLbl>
              <c:idx val="0"/>
              <c:layout>
                <c:manualLayout>
                  <c:x val="0.14479498787484296"/>
                  <c:y val="-8.264856260735936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5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894924890431459"/>
                      <c:h val="0.2064842756629239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3C1D-42B7-B905-6A4EF8830378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C1D-42B7-B905-6A4EF8830378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3C1D-42B7-B905-6A4EF8830378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3C1D-42B7-B905-6A4EF88303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 Droit de timbre'!$G$3:$G$6</c:f>
              <c:numCache>
                <c:formatCode>0%</c:formatCode>
                <c:ptCount val="4"/>
                <c:pt idx="0">
                  <c:v>0.33333333333333331</c:v>
                </c:pt>
                <c:pt idx="1">
                  <c:v>0.02</c:v>
                </c:pt>
                <c:pt idx="2">
                  <c:v>0.66666666666666674</c:v>
                </c:pt>
                <c:pt idx="3">
                  <c:v>1.02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C1D-42B7-B905-6A4EF88303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000000000001255" l="0.70000000000000062" r="0.70000000000000062" t="0.75000000000001255" header="0.30000000000000032" footer="0.30000000000000032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03808756859938"/>
          <c:y val="4.9861476548538806E-2"/>
          <c:w val="0.56954127893104267"/>
          <c:h val="0.9501385234514631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rgbClr val="E9252A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124-46E9-9CF5-9416A7B730B2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124-46E9-9CF5-9416A7B730B2}"/>
              </c:ext>
            </c:extLst>
          </c:dPt>
          <c:dPt>
            <c:idx val="2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124-46E9-9CF5-9416A7B730B2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124-46E9-9CF5-9416A7B730B2}"/>
              </c:ext>
            </c:extLst>
          </c:dPt>
          <c:val>
            <c:numRef>
              <c:f>' Droit de timbre'!$A$3:$A$6</c:f>
              <c:numCache>
                <c:formatCode>General</c:formatCode>
                <c:ptCount val="4"/>
                <c:pt idx="0">
                  <c:v>70</c:v>
                </c:pt>
                <c:pt idx="1">
                  <c:v>20</c:v>
                </c:pt>
                <c:pt idx="2">
                  <c:v>10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124-46E9-9CF5-9416A7B730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  <c:holeSize val="75"/>
      </c:doughnutChart>
      <c:pieChart>
        <c:varyColors val="1"/>
        <c:ser>
          <c:idx val="1"/>
          <c:order val="1"/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D124-46E9-9CF5-9416A7B730B2}"/>
              </c:ext>
            </c:extLst>
          </c:dPt>
          <c:dPt>
            <c:idx val="1"/>
            <c:bubble3D val="0"/>
            <c:spPr>
              <a:solidFill>
                <a:srgbClr val="101C2A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D124-46E9-9CF5-9416A7B730B2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D124-46E9-9CF5-9416A7B730B2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D124-46E9-9CF5-9416A7B730B2}"/>
              </c:ext>
            </c:extLst>
          </c:dPt>
          <c:dLbls>
            <c:dLbl>
              <c:idx val="0"/>
              <c:layout>
                <c:manualLayout>
                  <c:x val="0.23560863103740112"/>
                  <c:y val="-9.500500774075072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7050023482939067"/>
                      <c:h val="0.1665976471137189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D124-46E9-9CF5-9416A7B730B2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 Droit de timbre'!$K$3:$K$6</c:f>
              <c:numCache>
                <c:formatCode>0%</c:formatCode>
                <c:ptCount val="4"/>
                <c:pt idx="0">
                  <c:v>0</c:v>
                </c:pt>
                <c:pt idx="1">
                  <c:v>0.02</c:v>
                </c:pt>
                <c:pt idx="2">
                  <c:v>1</c:v>
                </c:pt>
                <c:pt idx="3">
                  <c:v>1.02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124-46E9-9CF5-9416A7B730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000000000001255" l="0.70000000000000062" r="0.70000000000000062" t="0.75000000000001255" header="0.30000000000000032" footer="0.30000000000000032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5022403202238245"/>
          <c:y val="5.9312664041998121E-2"/>
          <c:w val="0.42013757655293099"/>
          <c:h val="0.91985400463205991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rgbClr val="E9252A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9D3-4360-BEF2-DA52F216E919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9D3-4360-BEF2-DA52F216E919}"/>
              </c:ext>
            </c:extLst>
          </c:dPt>
          <c:dPt>
            <c:idx val="2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E9D3-4360-BEF2-DA52F216E919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E9D3-4360-BEF2-DA52F216E919}"/>
              </c:ext>
            </c:extLst>
          </c:dPt>
          <c:val>
            <c:numRef>
              <c:f>' Droit de timbre'!$A$3:$A$6</c:f>
              <c:numCache>
                <c:formatCode>General</c:formatCode>
                <c:ptCount val="4"/>
                <c:pt idx="0">
                  <c:v>70</c:v>
                </c:pt>
                <c:pt idx="1">
                  <c:v>20</c:v>
                </c:pt>
                <c:pt idx="2">
                  <c:v>10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9D3-4360-BEF2-DA52F216E9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  <c:holeSize val="75"/>
      </c:doughnutChart>
      <c:pieChart>
        <c:varyColors val="1"/>
        <c:ser>
          <c:idx val="1"/>
          <c:order val="1"/>
          <c:spPr>
            <a:noFill/>
            <a:ln>
              <a:noFill/>
            </a:ln>
          </c:spPr>
          <c:explosion val="3"/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E9D3-4360-BEF2-DA52F216E919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E9D3-4360-BEF2-DA52F216E919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E9D3-4360-BEF2-DA52F216E919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E9D3-4360-BEF2-DA52F216E919}"/>
              </c:ext>
            </c:extLst>
          </c:dPt>
          <c:dLbls>
            <c:dLbl>
              <c:idx val="0"/>
              <c:layout>
                <c:manualLayout>
                  <c:x val="0.15932631112403844"/>
                  <c:y val="-0.14584743836154768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328049363222737"/>
                      <c:h val="0.1899576332485998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E9D3-4360-BEF2-DA52F216E91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 Droit de timbre'!$M$3:$M$6</c:f>
              <c:numCache>
                <c:formatCode>0%</c:formatCode>
                <c:ptCount val="4"/>
                <c:pt idx="0">
                  <c:v>0</c:v>
                </c:pt>
                <c:pt idx="1">
                  <c:v>0.01</c:v>
                </c:pt>
                <c:pt idx="2">
                  <c:v>0</c:v>
                </c:pt>
                <c:pt idx="3">
                  <c:v>1.02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E9D3-4360-BEF2-DA52F216E9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000000000001255" l="0.70000000000000062" r="0.70000000000000062" t="0.75000000000001255" header="0.30000000000000032" footer="0.30000000000000032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4153108730109899"/>
          <c:y val="0.11471066116735408"/>
          <c:w val="0.28405012407966473"/>
          <c:h val="0.83089613798275219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rgbClr val="E9252A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E2D-4CB7-B4D5-C3FFF7E8D310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E2D-4CB7-B4D5-C3FFF7E8D310}"/>
              </c:ext>
            </c:extLst>
          </c:dPt>
          <c:dPt>
            <c:idx val="2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E2D-4CB7-B4D5-C3FFF7E8D310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E2D-4CB7-B4D5-C3FFF7E8D310}"/>
              </c:ext>
            </c:extLst>
          </c:dPt>
          <c:val>
            <c:numRef>
              <c:f>' Droit de timbre'!$A$3:$A$6</c:f>
              <c:numCache>
                <c:formatCode>General</c:formatCode>
                <c:ptCount val="4"/>
                <c:pt idx="0">
                  <c:v>70</c:v>
                </c:pt>
                <c:pt idx="1">
                  <c:v>20</c:v>
                </c:pt>
                <c:pt idx="2">
                  <c:v>10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E2D-4CB7-B4D5-C3FFF7E8D3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  <c:holeSize val="75"/>
      </c:doughnutChart>
      <c:pieChart>
        <c:varyColors val="1"/>
        <c:ser>
          <c:idx val="1"/>
          <c:order val="1"/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3E2D-4CB7-B4D5-C3FFF7E8D310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3E2D-4CB7-B4D5-C3FFF7E8D310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3E2D-4CB7-B4D5-C3FFF7E8D310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3E2D-4CB7-B4D5-C3FFF7E8D310}"/>
              </c:ext>
            </c:extLst>
          </c:dPt>
          <c:dLbls>
            <c:dLbl>
              <c:idx val="0"/>
              <c:layout>
                <c:manualLayout>
                  <c:x val="0.17156466351999491"/>
                  <c:y val="-0.10932037750600326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4299999999999999"/>
                      <c:h val="0.1203011081948089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3E2D-4CB7-B4D5-C3FFF7E8D310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E2D-4CB7-B4D5-C3FFF7E8D310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3E2D-4CB7-B4D5-C3FFF7E8D310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3E2D-4CB7-B4D5-C3FFF7E8D31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val>
            <c:numRef>
              <c:f>' Droit de timbre'!$O$3:$O$6</c:f>
              <c:numCache>
                <c:formatCode>0%</c:formatCode>
                <c:ptCount val="4"/>
                <c:pt idx="0">
                  <c:v>1</c:v>
                </c:pt>
                <c:pt idx="1">
                  <c:v>0.01</c:v>
                </c:pt>
                <c:pt idx="2">
                  <c:v>1.0000000000000009E-2</c:v>
                </c:pt>
                <c:pt idx="3">
                  <c:v>1.02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E2D-4CB7-B4D5-C3FFF7E8D3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000000000001255" l="0.70000000000000062" r="0.70000000000000062" t="0.75000000000001255" header="0.30000000000000032" footer="0.30000000000000032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9181974783119738"/>
          <c:y val="8.0686527273463565E-2"/>
          <c:w val="0.42628059940810981"/>
          <c:h val="0.85463773763745465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E9252A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E60-4BD5-93D5-95CEF3A538F1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E60-4BD5-93D5-95CEF3A538F1}"/>
              </c:ext>
            </c:extLst>
          </c:dPt>
          <c:dPt>
            <c:idx val="2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E60-4BD5-93D5-95CEF3A538F1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E60-4BD5-93D5-95CEF3A538F1}"/>
              </c:ext>
            </c:extLst>
          </c:dPt>
          <c:val>
            <c:numRef>
              <c:f>' Droit de timbre'!$A$3:$A$6</c:f>
              <c:numCache>
                <c:formatCode>General</c:formatCode>
                <c:ptCount val="4"/>
                <c:pt idx="0">
                  <c:v>70</c:v>
                </c:pt>
                <c:pt idx="1">
                  <c:v>20</c:v>
                </c:pt>
                <c:pt idx="2">
                  <c:v>10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E60-4BD5-93D5-95CEF3A53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  <c:holeSize val="75"/>
      </c:doughnutChart>
      <c:pieChart>
        <c:varyColors val="1"/>
        <c:ser>
          <c:idx val="1"/>
          <c:order val="1"/>
          <c:spPr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9E60-4BD5-93D5-95CEF3A538F1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9E60-4BD5-93D5-95CEF3A538F1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9E60-4BD5-93D5-95CEF3A538F1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9E60-4BD5-93D5-95CEF3A538F1}"/>
              </c:ext>
            </c:extLst>
          </c:dPt>
          <c:dLbls>
            <c:dLbl>
              <c:idx val="0"/>
              <c:layout>
                <c:manualLayout>
                  <c:x val="0.1465564477387597"/>
                  <c:y val="-0.12708341358445721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031955380577429"/>
                      <c:h val="8.789370078740158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9E60-4BD5-93D5-95CEF3A538F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 Droit de timbre'!$Q$3:$Q$6</c:f>
              <c:numCache>
                <c:formatCode>0%</c:formatCode>
                <c:ptCount val="4"/>
                <c:pt idx="0">
                  <c:v>0.66666666666666663</c:v>
                </c:pt>
                <c:pt idx="1">
                  <c:v>0.01</c:v>
                </c:pt>
                <c:pt idx="2">
                  <c:v>0.34333333333333338</c:v>
                </c:pt>
                <c:pt idx="3">
                  <c:v>1.02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E60-4BD5-93D5-95CEF3A53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000000000001255" l="0.70000000000000062" r="0.70000000000000062" t="0.75000000000001255" header="0.30000000000000032" footer="0.30000000000000032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6250000000000001"/>
          <c:y val="0.22453703703704078"/>
          <c:w val="0.46388888888890289"/>
          <c:h val="0.77314814814816324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rgbClr val="E9252A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57-441F-98B8-AF2002C1B2AB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57-441F-98B8-AF2002C1B2AB}"/>
              </c:ext>
            </c:extLst>
          </c:dPt>
          <c:dPt>
            <c:idx val="2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57-441F-98B8-AF2002C1B2AB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57-441F-98B8-AF2002C1B2AB}"/>
              </c:ext>
            </c:extLst>
          </c:dPt>
          <c:val>
            <c:numRef>
              <c:f>' Droit de timbre'!$A$3:$A$6</c:f>
              <c:numCache>
                <c:formatCode>General</c:formatCode>
                <c:ptCount val="4"/>
                <c:pt idx="0">
                  <c:v>70</c:v>
                </c:pt>
                <c:pt idx="1">
                  <c:v>20</c:v>
                </c:pt>
                <c:pt idx="2">
                  <c:v>10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657-441F-98B8-AF2002C1B2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  <c:holeSize val="75"/>
      </c:doughnutChart>
      <c:pieChart>
        <c:varyColors val="1"/>
        <c:ser>
          <c:idx val="1"/>
          <c:order val="1"/>
          <c:spPr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D657-441F-98B8-AF2002C1B2AB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D657-441F-98B8-AF2002C1B2AB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D657-441F-98B8-AF2002C1B2AB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D657-441F-98B8-AF2002C1B2AB}"/>
              </c:ext>
            </c:extLst>
          </c:dPt>
          <c:dLbls>
            <c:dLbl>
              <c:idx val="0"/>
              <c:layout>
                <c:manualLayout>
                  <c:x val="0.13852837838502771"/>
                  <c:y val="-4.306060152568703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9.2490787289875864E-2"/>
                      <c:h val="0.1100669982041718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D657-441F-98B8-AF2002C1B2AB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 Droit de timbre'!$S$3:$S$6</c:f>
              <c:numCache>
                <c:formatCode>0%</c:formatCode>
                <c:ptCount val="4"/>
                <c:pt idx="0">
                  <c:v>0.5</c:v>
                </c:pt>
                <c:pt idx="1">
                  <c:v>0.01</c:v>
                </c:pt>
                <c:pt idx="2">
                  <c:v>0.51</c:v>
                </c:pt>
                <c:pt idx="3">
                  <c:v>1.02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657-441F-98B8-AF2002C1B2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000000000001255" l="0.70000000000000062" r="0.70000000000000062" t="0.75000000000001255" header="0.30000000000000032" footer="0.30000000000000032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"/>
          <c:y val="0.10185185185185186"/>
          <c:w val="0.53888888888888964"/>
          <c:h val="0.89814814814814814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rgbClr val="E9252A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B1D-4883-868E-DA4A650B028D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B1D-4883-868E-DA4A650B028D}"/>
              </c:ext>
            </c:extLst>
          </c:dPt>
          <c:dPt>
            <c:idx val="2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B1D-4883-868E-DA4A650B028D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B1D-4883-868E-DA4A650B028D}"/>
              </c:ext>
            </c:extLst>
          </c:dPt>
          <c:val>
            <c:numRef>
              <c:f>' Droit de timbre'!$A$3:$A$6</c:f>
              <c:numCache>
                <c:formatCode>General</c:formatCode>
                <c:ptCount val="4"/>
                <c:pt idx="0">
                  <c:v>70</c:v>
                </c:pt>
                <c:pt idx="1">
                  <c:v>20</c:v>
                </c:pt>
                <c:pt idx="2">
                  <c:v>10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B1D-4883-868E-DA4A650B02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  <c:holeSize val="75"/>
      </c:doughnutChart>
      <c:pieChart>
        <c:varyColors val="1"/>
        <c:ser>
          <c:idx val="1"/>
          <c:order val="1"/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5B1D-4883-868E-DA4A650B028D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5B1D-4883-868E-DA4A650B028D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5B1D-4883-868E-DA4A650B028D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5B1D-4883-868E-DA4A650B028D}"/>
              </c:ext>
            </c:extLst>
          </c:dPt>
          <c:dLbls>
            <c:dLbl>
              <c:idx val="0"/>
              <c:layout>
                <c:manualLayout>
                  <c:x val="0.11901095991029689"/>
                  <c:y val="4.040384224980112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1364536338794358"/>
                      <c:h val="0.1264542062720064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5B1D-4883-868E-DA4A650B028D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 Droit de timbre'!$U$3:$U$6</c:f>
              <c:numCache>
                <c:formatCode>0%</c:formatCode>
                <c:ptCount val="4"/>
                <c:pt idx="0">
                  <c:v>0</c:v>
                </c:pt>
                <c:pt idx="1">
                  <c:v>0.01</c:v>
                </c:pt>
                <c:pt idx="2">
                  <c:v>0</c:v>
                </c:pt>
                <c:pt idx="3">
                  <c:v>1.02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B1D-4883-868E-DA4A650B02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000000000001255" l="0.70000000000000062" r="0.70000000000000062" t="0.75000000000001255" header="0.30000000000000032" footer="0.30000000000000032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2973253289502596"/>
          <c:y val="6.0215298478903313E-2"/>
          <c:w val="0.53888888888888964"/>
          <c:h val="0.89814814814814814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rgbClr val="E9252A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A27-4A0B-9220-704EDFAA503D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A27-4A0B-9220-704EDFAA503D}"/>
              </c:ext>
            </c:extLst>
          </c:dPt>
          <c:dPt>
            <c:idx val="2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EA27-4A0B-9220-704EDFAA503D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EA27-4A0B-9220-704EDFAA503D}"/>
              </c:ext>
            </c:extLst>
          </c:dPt>
          <c:val>
            <c:numRef>
              <c:f>' Droit de timbre'!$A$3:$A$6</c:f>
              <c:numCache>
                <c:formatCode>General</c:formatCode>
                <c:ptCount val="4"/>
                <c:pt idx="0">
                  <c:v>70</c:v>
                </c:pt>
                <c:pt idx="1">
                  <c:v>20</c:v>
                </c:pt>
                <c:pt idx="2">
                  <c:v>10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A27-4A0B-9220-704EDFAA50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  <c:holeSize val="75"/>
      </c:doughnutChart>
      <c:pieChart>
        <c:varyColors val="1"/>
        <c:ser>
          <c:idx val="1"/>
          <c:order val="1"/>
          <c:spPr>
            <a:ln>
              <a:noFill/>
            </a:ln>
          </c:spPr>
          <c:explosion val="9"/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EA27-4A0B-9220-704EDFAA503D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EA27-4A0B-9220-704EDFAA503D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EA27-4A0B-9220-704EDFAA503D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EA27-4A0B-9220-704EDFAA503D}"/>
              </c:ext>
            </c:extLst>
          </c:dPt>
          <c:dLbls>
            <c:dLbl>
              <c:idx val="0"/>
              <c:layout>
                <c:manualLayout>
                  <c:x val="0.15225968050831581"/>
                  <c:y val="-9.991334495733071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709733158355206"/>
                      <c:h val="0.143449256342957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EA27-4A0B-9220-704EDFAA503D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 Droit de timbre'!$W$3:$W$6</c:f>
              <c:numCache>
                <c:formatCode>0%</c:formatCode>
                <c:ptCount val="4"/>
                <c:pt idx="0">
                  <c:v>1</c:v>
                </c:pt>
                <c:pt idx="1">
                  <c:v>0.02</c:v>
                </c:pt>
                <c:pt idx="2">
                  <c:v>0</c:v>
                </c:pt>
                <c:pt idx="3">
                  <c:v>1.02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EA27-4A0B-9220-704EDFAA50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000000000001255" l="0.70000000000000062" r="0.70000000000000062" t="0.75000000000001255" header="0.30000000000000032" footer="0.30000000000000032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5475203829614543"/>
          <c:y val="0.10716961055543762"/>
          <c:w val="0.2924344115423258"/>
          <c:h val="0.88125629566574459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rgbClr val="E9252A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3C4-499F-972F-C79A85664DCD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3C4-499F-972F-C79A85664DCD}"/>
              </c:ext>
            </c:extLst>
          </c:dPt>
          <c:dPt>
            <c:idx val="2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3C4-499F-972F-C79A85664DCD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3C4-499F-972F-C79A85664DCD}"/>
              </c:ext>
            </c:extLst>
          </c:dPt>
          <c:val>
            <c:numRef>
              <c:f>' Droit de timbre'!$A$3:$A$6</c:f>
              <c:numCache>
                <c:formatCode>General</c:formatCode>
                <c:ptCount val="4"/>
                <c:pt idx="0">
                  <c:v>70</c:v>
                </c:pt>
                <c:pt idx="1">
                  <c:v>20</c:v>
                </c:pt>
                <c:pt idx="2">
                  <c:v>10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3C4-499F-972F-C79A85664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  <c:holeSize val="75"/>
      </c:doughnutChart>
      <c:pieChart>
        <c:varyColors val="1"/>
        <c:ser>
          <c:idx val="1"/>
          <c:order val="1"/>
          <c:spPr>
            <a:ln>
              <a:noFill/>
            </a:ln>
          </c:spPr>
          <c:dPt>
            <c:idx val="0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53C4-499F-972F-C79A85664DCD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53C4-499F-972F-C79A85664DCD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53C4-499F-972F-C79A85664DCD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53C4-499F-972F-C79A85664DCD}"/>
              </c:ext>
            </c:extLst>
          </c:dPt>
          <c:dLbls>
            <c:dLbl>
              <c:idx val="0"/>
              <c:layout>
                <c:manualLayout>
                  <c:x val="0.13070941839235894"/>
                  <c:y val="-9.302325581395350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3653001443449823E-2"/>
                      <c:h val="0.1360206718346253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53C4-499F-972F-C79A85664DCD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 Droit de timbre'!$Y$3:$Y$6</c:f>
              <c:numCache>
                <c:formatCode>0%</c:formatCode>
                <c:ptCount val="4"/>
                <c:pt idx="0">
                  <c:v>0</c:v>
                </c:pt>
                <c:pt idx="1">
                  <c:v>0.01</c:v>
                </c:pt>
                <c:pt idx="2">
                  <c:v>0</c:v>
                </c:pt>
                <c:pt idx="3">
                  <c:v>1.01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3C4-499F-972F-C79A85664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000000000001255" l="0.70000000000000062" r="0.70000000000000062" t="0.75000000000001255" header="0.30000000000000032" footer="0.30000000000000032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4121062616010922"/>
          <c:y val="8.9710599220522727E-2"/>
          <c:w val="0.29371599234418938"/>
          <c:h val="0.89314147077960004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rgbClr val="E9252A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D21-4D23-90A7-F365683A6F10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D21-4D23-90A7-F365683A6F10}"/>
              </c:ext>
            </c:extLst>
          </c:dPt>
          <c:dPt>
            <c:idx val="2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D21-4D23-90A7-F365683A6F10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AD21-4D23-90A7-F365683A6F10}"/>
              </c:ext>
            </c:extLst>
          </c:dPt>
          <c:val>
            <c:numRef>
              <c:f>' Droit de timbre'!$A$3:$A$6</c:f>
              <c:numCache>
                <c:formatCode>General</c:formatCode>
                <c:ptCount val="4"/>
                <c:pt idx="0">
                  <c:v>70</c:v>
                </c:pt>
                <c:pt idx="1">
                  <c:v>20</c:v>
                </c:pt>
                <c:pt idx="2">
                  <c:v>10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D21-4D23-90A7-F365683A6F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  <c:holeSize val="75"/>
      </c:doughnutChart>
      <c:pieChart>
        <c:varyColors val="1"/>
        <c:ser>
          <c:idx val="1"/>
          <c:order val="1"/>
          <c:spPr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AD21-4D23-90A7-F365683A6F10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AD21-4D23-90A7-F365683A6F10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AD21-4D23-90A7-F365683A6F10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AD21-4D23-90A7-F365683A6F10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D21-4D23-90A7-F365683A6F1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 Droit de timbre'!$AA$3:$AA$6</c:f>
              <c:numCache>
                <c:formatCode>0%</c:formatCode>
                <c:ptCount val="4"/>
                <c:pt idx="0">
                  <c:v>0</c:v>
                </c:pt>
                <c:pt idx="1">
                  <c:v>0.01</c:v>
                </c:pt>
                <c:pt idx="2">
                  <c:v>1.01</c:v>
                </c:pt>
                <c:pt idx="3">
                  <c:v>1.02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D21-4D23-90A7-F365683A6F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000000000001255" l="0.70000000000000062" r="0.70000000000000062" t="0.75000000000001255" header="0.30000000000000032" footer="0.30000000000000032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4"/>
          <c:order val="0"/>
          <c:tx>
            <c:strRef>
              <c:f>' Droit de timbre'!$AH$10</c:f>
              <c:strCache>
                <c:ptCount val="1"/>
                <c:pt idx="0">
                  <c:v>Taux RDI</c:v>
                </c:pt>
              </c:strCache>
            </c:strRef>
          </c:tx>
          <c:spPr>
            <a:noFill/>
            <a:ln w="9525" cap="flat" cmpd="sng" algn="ctr">
              <a:solidFill>
                <a:schemeClr val="accent5"/>
              </a:solidFill>
              <a:miter lim="800000"/>
            </a:ln>
            <a:effectLst>
              <a:glow rad="63500">
                <a:schemeClr val="accent5"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 Droit de timbre'!$AC$11:$AC$22</c:f>
              <c:strCache>
                <c:ptCount val="12"/>
                <c:pt idx="0">
                  <c:v>Janvier</c:v>
                </c:pt>
                <c:pt idx="1">
                  <c:v>Février </c:v>
                </c:pt>
                <c:pt idx="2">
                  <c:v>Mars 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' Droit de timbre'!$AH$11:$AH$22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6FD-479B-BBA3-5EAC43EAD7DE}"/>
            </c:ext>
          </c:extLst>
        </c:ser>
        <c:ser>
          <c:idx val="5"/>
          <c:order val="1"/>
          <c:tx>
            <c:strRef>
              <c:f>' Droit de timbre'!$AI$10</c:f>
              <c:strCache>
                <c:ptCount val="1"/>
                <c:pt idx="0">
                  <c:v>Taux RDF</c:v>
                </c:pt>
              </c:strCache>
            </c:strRef>
          </c:tx>
          <c:spPr>
            <a:noFill/>
            <a:ln w="9525" cap="flat" cmpd="sng" algn="ctr">
              <a:solidFill>
                <a:schemeClr val="accent6"/>
              </a:solidFill>
              <a:miter lim="800000"/>
            </a:ln>
            <a:effectLst>
              <a:glow rad="63500">
                <a:schemeClr val="accent6"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 Droit de timbre'!$AC$11:$AC$22</c:f>
              <c:strCache>
                <c:ptCount val="12"/>
                <c:pt idx="0">
                  <c:v>Janvier</c:v>
                </c:pt>
                <c:pt idx="1">
                  <c:v>Février </c:v>
                </c:pt>
                <c:pt idx="2">
                  <c:v>Mars 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' Droit de timbre'!$AI$11:$AI$22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6FD-479B-BBA3-5EAC43EAD7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15"/>
        <c:overlap val="-40"/>
        <c:axId val="123382400"/>
        <c:axId val="123396480"/>
      </c:barChart>
      <c:catAx>
        <c:axId val="12338240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3396480"/>
        <c:crosses val="autoZero"/>
        <c:auto val="1"/>
        <c:lblAlgn val="ctr"/>
        <c:lblOffset val="100"/>
        <c:noMultiLvlLbl val="0"/>
      </c:catAx>
      <c:valAx>
        <c:axId val="12339648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3382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000000000001255" l="0.70000000000000062" r="0.70000000000000062" t="0.75000000000001255" header="0.30000000000000032" footer="0.30000000000000032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0878781599669392"/>
          <c:y val="7.0146529697032904E-3"/>
          <c:w val="0.62305549402232663"/>
          <c:h val="0.97532535995846192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rgbClr val="E9252A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5712-4E16-94CE-043EE162D49F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712-4E16-94CE-043EE162D49F}"/>
              </c:ext>
            </c:extLst>
          </c:dPt>
          <c:dPt>
            <c:idx val="2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5712-4E16-94CE-043EE162D49F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712-4E16-94CE-043EE162D49F}"/>
              </c:ext>
            </c:extLst>
          </c:dPt>
          <c:val>
            <c:numRef>
              <c:f>'ETAT 9421'!$E$1:$E$4</c:f>
              <c:numCache>
                <c:formatCode>General</c:formatCode>
                <c:ptCount val="4"/>
                <c:pt idx="0">
                  <c:v>70</c:v>
                </c:pt>
                <c:pt idx="1">
                  <c:v>20</c:v>
                </c:pt>
                <c:pt idx="2">
                  <c:v>10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12-4E16-94CE-043EE162D4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  <c:holeSize val="75"/>
      </c:doughnutChart>
      <c:pieChart>
        <c:varyColors val="1"/>
        <c:ser>
          <c:idx val="1"/>
          <c:order val="1"/>
          <c:tx>
            <c:v>Aiguille</c:v>
          </c:tx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712-4E16-94CE-043EE162D49F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5712-4E16-94CE-043EE162D49F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AD3-4E3B-9DAA-C49E4AEF09A2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AD3-4E3B-9DAA-C49E4AEF09A2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712-4E16-94CE-043EE162D49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'ETAT 9421'!$F$4:$F$7</c:f>
              <c:numCache>
                <c:formatCode>0%</c:formatCode>
                <c:ptCount val="4"/>
                <c:pt idx="0">
                  <c:v>1</c:v>
                </c:pt>
                <c:pt idx="1">
                  <c:v>0.02</c:v>
                </c:pt>
                <c:pt idx="2">
                  <c:v>0</c:v>
                </c:pt>
                <c:pt idx="3">
                  <c:v>1.02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712-4E16-94CE-043EE162D4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000000000001255" l="0.70000000000000062" r="0.70000000000000062" t="0.75000000000001255" header="0.30000000000000032" footer="0.30000000000000032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701696202703343"/>
          <c:y val="7.8254308015781676E-2"/>
          <c:w val="0.84163936872232059"/>
          <c:h val="0.79414140188492877"/>
        </c:manualLayout>
      </c:layout>
      <c:barChart>
        <c:barDir val="col"/>
        <c:grouping val="clustered"/>
        <c:varyColors val="0"/>
        <c:ser>
          <c:idx val="4"/>
          <c:order val="0"/>
          <c:spPr>
            <a:noFill/>
            <a:ln w="9525" cap="flat" cmpd="sng" algn="ctr">
              <a:solidFill>
                <a:schemeClr val="accent5"/>
              </a:solidFill>
              <a:miter lim="800000"/>
            </a:ln>
            <a:effectLst>
              <a:glow rad="63500">
                <a:schemeClr val="accent5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'ETAT 9421'!$L$7:$M$7</c:f>
              <c:strCache>
                <c:ptCount val="2"/>
                <c:pt idx="0">
                  <c:v>Taux RDI</c:v>
                </c:pt>
                <c:pt idx="1">
                  <c:v>Taux RDF</c:v>
                </c:pt>
              </c:strCache>
            </c:strRef>
          </c:cat>
          <c:val>
            <c:numRef>
              <c:f>'ETAT 9421'!$L$8:$M$8</c:f>
              <c:numCache>
                <c:formatCode>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7F1-48AF-9CDE-40A7E64D0BA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315"/>
        <c:overlap val="-40"/>
        <c:axId val="126029184"/>
        <c:axId val="126047360"/>
      </c:barChart>
      <c:catAx>
        <c:axId val="126029184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7360"/>
        <c:crosses val="autoZero"/>
        <c:auto val="1"/>
        <c:lblAlgn val="ctr"/>
        <c:lblOffset val="100"/>
        <c:noMultiLvlLbl val="0"/>
      </c:catAx>
      <c:valAx>
        <c:axId val="12604736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29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000000000001255" l="0.70000000000000062" r="0.70000000000000062" t="0.75000000000001255" header="0.30000000000000032" footer="0.30000000000000032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0878781599669392"/>
          <c:y val="7.0146529697032904E-3"/>
          <c:w val="0.62305549402232663"/>
          <c:h val="0.97532535995846192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rgbClr val="E9252A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17D-415D-BE1C-847ED678B6AE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17D-415D-BE1C-847ED678B6AE}"/>
              </c:ext>
            </c:extLst>
          </c:dPt>
          <c:dPt>
            <c:idx val="2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17D-415D-BE1C-847ED678B6AE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17D-415D-BE1C-847ED678B6AE}"/>
              </c:ext>
            </c:extLst>
          </c:dPt>
          <c:val>
            <c:numRef>
              <c:f>'Bilan '!$F$1:$F$4</c:f>
              <c:numCache>
                <c:formatCode>General</c:formatCode>
                <c:ptCount val="4"/>
                <c:pt idx="0">
                  <c:v>70</c:v>
                </c:pt>
                <c:pt idx="1">
                  <c:v>20</c:v>
                </c:pt>
                <c:pt idx="2">
                  <c:v>10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17D-415D-BE1C-847ED678B6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  <c:holeSize val="75"/>
      </c:doughnutChart>
      <c:pieChart>
        <c:varyColors val="1"/>
        <c:ser>
          <c:idx val="1"/>
          <c:order val="1"/>
          <c:tx>
            <c:v>Aiguille</c:v>
          </c:tx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817D-415D-BE1C-847ED678B6AE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817D-415D-BE1C-847ED678B6AE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06F-4CDF-B691-23AE994B8D85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06F-4CDF-B691-23AE994B8D85}"/>
              </c:ext>
            </c:extLst>
          </c:dPt>
          <c:dLbls>
            <c:dLbl>
              <c:idx val="0"/>
              <c:layout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14-817D-415D-BE1C-847ED678B6A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'Bilan '!$G$4:$G$7</c:f>
              <c:numCache>
                <c:formatCode>0%</c:formatCode>
                <c:ptCount val="4"/>
                <c:pt idx="0">
                  <c:v>0.90909090909090906</c:v>
                </c:pt>
                <c:pt idx="1">
                  <c:v>0.02</c:v>
                </c:pt>
                <c:pt idx="2">
                  <c:v>9.0909090909090939E-2</c:v>
                </c:pt>
                <c:pt idx="3">
                  <c:v>1.02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17D-415D-BE1C-847ED678B6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000000000001255" l="0.70000000000000062" r="0.70000000000000062" t="0.75000000000001255" header="0.30000000000000032" footer="0.30000000000000032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0878781599669392"/>
          <c:y val="7.0146529697032904E-3"/>
          <c:w val="0.62305549402232663"/>
          <c:h val="0.97532535995846192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rgbClr val="E9252A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B33-4909-9418-C8C9FEC72540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B33-4909-9418-C8C9FEC72540}"/>
              </c:ext>
            </c:extLst>
          </c:dPt>
          <c:dPt>
            <c:idx val="2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B33-4909-9418-C8C9FEC72540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AB33-4909-9418-C8C9FEC72540}"/>
              </c:ext>
            </c:extLst>
          </c:dPt>
          <c:val>
            <c:numRef>
              <c:f>'Bilan '!$F$1:$F$4</c:f>
              <c:numCache>
                <c:formatCode>General</c:formatCode>
                <c:ptCount val="4"/>
                <c:pt idx="0">
                  <c:v>70</c:v>
                </c:pt>
                <c:pt idx="1">
                  <c:v>20</c:v>
                </c:pt>
                <c:pt idx="2">
                  <c:v>10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3-4909-9418-C8C9FEC725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  <c:holeSize val="75"/>
      </c:doughnutChart>
      <c:pieChart>
        <c:varyColors val="1"/>
        <c:ser>
          <c:idx val="1"/>
          <c:order val="1"/>
          <c:tx>
            <c:v>Aiguille</c:v>
          </c:tx>
          <c:spPr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AB33-4909-9418-C8C9FEC72540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AB33-4909-9418-C8C9FEC72540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B33-4909-9418-C8C9FEC72540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AB33-4909-9418-C8C9FEC72540}"/>
              </c:ext>
            </c:extLst>
          </c:dPt>
          <c:dLbls>
            <c:dLbl>
              <c:idx val="0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D-AB33-4909-9418-C8C9FEC7254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'Bilan '!$H$4:$H$7</c:f>
              <c:numCache>
                <c:formatCode>0%</c:formatCode>
                <c:ptCount val="4"/>
                <c:pt idx="0">
                  <c:v>0.66666666666666663</c:v>
                </c:pt>
                <c:pt idx="1">
                  <c:v>0.02</c:v>
                </c:pt>
                <c:pt idx="2">
                  <c:v>0.33333333333333337</c:v>
                </c:pt>
                <c:pt idx="3">
                  <c:v>1.02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B33-4909-9418-C8C9FEC725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000000000001255" l="0.70000000000000062" r="0.70000000000000062" t="0.75000000000001255" header="0.30000000000000032" footer="0.30000000000000032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4"/>
          <c:order val="0"/>
          <c:tx>
            <c:strRef>
              <c:f>'Bilan '!$N$7</c:f>
              <c:strCache>
                <c:ptCount val="1"/>
                <c:pt idx="0">
                  <c:v>Taux RDI</c:v>
                </c:pt>
              </c:strCache>
            </c:strRef>
          </c:tx>
          <c:spPr>
            <a:noFill/>
            <a:ln w="9525" cap="flat" cmpd="sng" algn="ctr">
              <a:solidFill>
                <a:schemeClr val="accent5"/>
              </a:solidFill>
              <a:miter lim="800000"/>
            </a:ln>
            <a:effectLst>
              <a:glow rad="63500">
                <a:schemeClr val="accent5"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'Bilan '!$I$8:$I$10</c:f>
              <c:strCache>
                <c:ptCount val="3"/>
                <c:pt idx="0">
                  <c:v>P.Morale</c:v>
                </c:pt>
                <c:pt idx="1">
                  <c:v>P. Physique</c:v>
                </c:pt>
                <c:pt idx="2">
                  <c:v>Total </c:v>
                </c:pt>
              </c:strCache>
            </c:strRef>
          </c:cat>
          <c:val>
            <c:numRef>
              <c:f>'Bilan '!$N$8:$N$10</c:f>
              <c:numCache>
                <c:formatCode>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78-420B-853B-143396AAACF4}"/>
            </c:ext>
          </c:extLst>
        </c:ser>
        <c:ser>
          <c:idx val="5"/>
          <c:order val="1"/>
          <c:tx>
            <c:strRef>
              <c:f>'Bilan '!$O$7</c:f>
              <c:strCache>
                <c:ptCount val="1"/>
                <c:pt idx="0">
                  <c:v>Taux RDF</c:v>
                </c:pt>
              </c:strCache>
            </c:strRef>
          </c:tx>
          <c:spPr>
            <a:noFill/>
            <a:ln w="9525" cap="flat" cmpd="sng" algn="ctr">
              <a:solidFill>
                <a:schemeClr val="accent6"/>
              </a:solidFill>
              <a:miter lim="800000"/>
            </a:ln>
            <a:effectLst>
              <a:glow rad="63500">
                <a:schemeClr val="accent6"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'Bilan '!$I$8:$I$10</c:f>
              <c:strCache>
                <c:ptCount val="3"/>
                <c:pt idx="0">
                  <c:v>P.Morale</c:v>
                </c:pt>
                <c:pt idx="1">
                  <c:v>P. Physique</c:v>
                </c:pt>
                <c:pt idx="2">
                  <c:v>Total </c:v>
                </c:pt>
              </c:strCache>
            </c:strRef>
          </c:cat>
          <c:val>
            <c:numRef>
              <c:f>'Bilan '!$O$8:$O$10</c:f>
              <c:numCache>
                <c:formatCode>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878-420B-853B-143396AAAC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15"/>
        <c:overlap val="-40"/>
        <c:axId val="128631936"/>
        <c:axId val="128633472"/>
      </c:barChart>
      <c:catAx>
        <c:axId val="128631936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8633472"/>
        <c:crosses val="autoZero"/>
        <c:auto val="1"/>
        <c:lblAlgn val="ctr"/>
        <c:lblOffset val="100"/>
        <c:noMultiLvlLbl val="0"/>
      </c:catAx>
      <c:valAx>
        <c:axId val="12863347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8631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000000000001255" l="0.70000000000000062" r="0.70000000000000062" t="0.75000000000001255" header="0.30000000000000032" footer="0.30000000000000032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6999236046502834"/>
          <c:y val="0.15712325315502712"/>
          <c:w val="0.42645336479915003"/>
          <c:h val="0.84287674684497715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rgbClr val="E9252A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B25-43CC-A3F1-8963923E2DAF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B25-43CC-A3F1-8963923E2DAF}"/>
              </c:ext>
            </c:extLst>
          </c:dPt>
          <c:dPt>
            <c:idx val="2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B25-43CC-A3F1-8963923E2DAF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B25-43CC-A3F1-8963923E2DAF}"/>
              </c:ext>
            </c:extLst>
          </c:dPt>
          <c:val>
            <c:numRef>
              <c:f>Acompte!$A$3:$A$6</c:f>
              <c:numCache>
                <c:formatCode>General</c:formatCode>
                <c:ptCount val="4"/>
                <c:pt idx="0">
                  <c:v>70</c:v>
                </c:pt>
                <c:pt idx="1">
                  <c:v>20</c:v>
                </c:pt>
                <c:pt idx="2">
                  <c:v>10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B25-43CC-A3F1-8963923E2D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  <c:holeSize val="75"/>
      </c:doughnutChart>
      <c:pieChart>
        <c:varyColors val="1"/>
        <c:ser>
          <c:idx val="1"/>
          <c:order val="1"/>
          <c:spPr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1B25-43CC-A3F1-8963923E2DAF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1B25-43CC-A3F1-8963923E2DAF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1B25-43CC-A3F1-8963923E2DAF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1B25-43CC-A3F1-8963923E2DAF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50" b="1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A-1B25-43CC-A3F1-8963923E2DA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B25-43CC-A3F1-8963923E2DA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1B25-43CC-A3F1-8963923E2DAF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1B25-43CC-A3F1-8963923E2D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val>
            <c:numRef>
              <c:f>Acompte!$G$3:$G$6</c:f>
              <c:numCache>
                <c:formatCode>0%</c:formatCode>
                <c:ptCount val="4"/>
                <c:pt idx="0">
                  <c:v>0.33333333333333331</c:v>
                </c:pt>
                <c:pt idx="1">
                  <c:v>0.01</c:v>
                </c:pt>
                <c:pt idx="2">
                  <c:v>0.67666666666666675</c:v>
                </c:pt>
                <c:pt idx="3">
                  <c:v>1.02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B25-43CC-A3F1-8963923E2D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000000000001255" l="0.70000000000000062" r="0.70000000000000062" t="0.75000000000001255" header="0.30000000000000032" footer="0.30000000000000032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385005699887676"/>
          <c:y val="3.2970217565780918E-2"/>
          <c:w val="0.3496760419275905"/>
          <c:h val="0.93165691312260979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rgbClr val="E9252A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60E-4363-946D-6FEB9D42C26E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60E-4363-946D-6FEB9D42C26E}"/>
              </c:ext>
            </c:extLst>
          </c:dPt>
          <c:dPt>
            <c:idx val="2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E60E-4363-946D-6FEB9D42C26E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E60E-4363-946D-6FEB9D42C26E}"/>
              </c:ext>
            </c:extLst>
          </c:dPt>
          <c:val>
            <c:numRef>
              <c:f>Acompte!$A$3:$A$6</c:f>
              <c:numCache>
                <c:formatCode>General</c:formatCode>
                <c:ptCount val="4"/>
                <c:pt idx="0">
                  <c:v>70</c:v>
                </c:pt>
                <c:pt idx="1">
                  <c:v>20</c:v>
                </c:pt>
                <c:pt idx="2">
                  <c:v>10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60E-4363-946D-6FEB9D42C2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  <c:holeSize val="75"/>
      </c:doughnutChart>
      <c:pieChart>
        <c:varyColors val="1"/>
        <c:ser>
          <c:idx val="1"/>
          <c:order val="1"/>
          <c:spPr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E60E-4363-946D-6FEB9D42C26E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E60E-4363-946D-6FEB9D42C26E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E60E-4363-946D-6FEB9D42C26E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E60E-4363-946D-6FEB9D42C26E}"/>
              </c:ext>
            </c:extLst>
          </c:dPt>
          <c:dLbls>
            <c:dLbl>
              <c:idx val="0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A-E60E-4363-946D-6FEB9D42C26E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60E-4363-946D-6FEB9D42C26E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E60E-4363-946D-6FEB9D42C26E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E60E-4363-946D-6FEB9D42C26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val>
            <c:numRef>
              <c:f>Acompte!$I$3:$I$6</c:f>
              <c:numCache>
                <c:formatCode>0%</c:formatCode>
                <c:ptCount val="4"/>
                <c:pt idx="0">
                  <c:v>0.59090909090909094</c:v>
                </c:pt>
                <c:pt idx="1">
                  <c:v>0.01</c:v>
                </c:pt>
                <c:pt idx="2" formatCode="General">
                  <c:v>0.41909090909090907</c:v>
                </c:pt>
                <c:pt idx="3">
                  <c:v>1.02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E60E-4363-946D-6FEB9D42C2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000000000001255" l="0.70000000000000062" r="0.70000000000000062" t="0.75000000000001255" header="0.30000000000000032" footer="0.30000000000000032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0689610673666495"/>
          <c:y val="6.7805469329412324E-2"/>
          <c:w val="0.36973734109059925"/>
          <c:h val="0.9321941473733697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rgbClr val="E9252A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663-4106-8EB6-01DE7C0EEEA8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0663-4106-8EB6-01DE7C0EEEA8}"/>
              </c:ext>
            </c:extLst>
          </c:dPt>
          <c:dPt>
            <c:idx val="2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663-4106-8EB6-01DE7C0EEEA8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0663-4106-8EB6-01DE7C0EEEA8}"/>
              </c:ext>
            </c:extLst>
          </c:dPt>
          <c:val>
            <c:numRef>
              <c:f>Acompte!$A$3:$A$6</c:f>
              <c:numCache>
                <c:formatCode>General</c:formatCode>
                <c:ptCount val="4"/>
                <c:pt idx="0">
                  <c:v>70</c:v>
                </c:pt>
                <c:pt idx="1">
                  <c:v>20</c:v>
                </c:pt>
                <c:pt idx="2">
                  <c:v>10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63-4106-8EB6-01DE7C0EEE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  <c:holeSize val="75"/>
      </c:doughnutChart>
      <c:pieChart>
        <c:varyColors val="1"/>
        <c:ser>
          <c:idx val="1"/>
          <c:order val="1"/>
          <c:spPr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0663-4106-8EB6-01DE7C0EEEA8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0663-4106-8EB6-01DE7C0EEEA8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0663-4106-8EB6-01DE7C0EEEA8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0663-4106-8EB6-01DE7C0EEEA8}"/>
              </c:ext>
            </c:extLst>
          </c:dPt>
          <c:dLbls>
            <c:dLbl>
              <c:idx val="0"/>
              <c:layout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A-0663-4106-8EB6-01DE7C0EEEA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Acompte!$K$3:$K$6</c:f>
              <c:numCache>
                <c:formatCode>0%</c:formatCode>
                <c:ptCount val="4"/>
                <c:pt idx="0">
                  <c:v>0.44444444444444442</c:v>
                </c:pt>
                <c:pt idx="1">
                  <c:v>0.01</c:v>
                </c:pt>
                <c:pt idx="2" formatCode="General">
                  <c:v>0.56555555555555559</c:v>
                </c:pt>
                <c:pt idx="3">
                  <c:v>1.02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663-4106-8EB6-01DE7C0EEE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000000000001255" l="0.70000000000000062" r="0.70000000000000062" t="0.75000000000001255" header="0.30000000000000032" footer="0.30000000000000032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5138888888890004"/>
          <c:y val="0.21527777777777779"/>
          <c:w val="0.46388888888890289"/>
          <c:h val="0.77314814814816324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rgbClr val="E9252A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0E9-49EA-A2E9-E6CA0B0BC97F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0E9-49EA-A2E9-E6CA0B0BC97F}"/>
              </c:ext>
            </c:extLst>
          </c:dPt>
          <c:dPt>
            <c:idx val="2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0E9-49EA-A2E9-E6CA0B0BC97F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0E9-49EA-A2E9-E6CA0B0BC97F}"/>
              </c:ext>
            </c:extLst>
          </c:dPt>
          <c:val>
            <c:numRef>
              <c:f>Acompte!$A$3:$A$6</c:f>
              <c:numCache>
                <c:formatCode>General</c:formatCode>
                <c:ptCount val="4"/>
                <c:pt idx="0">
                  <c:v>70</c:v>
                </c:pt>
                <c:pt idx="1">
                  <c:v>20</c:v>
                </c:pt>
                <c:pt idx="2">
                  <c:v>10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0E9-49EA-A2E9-E6CA0B0BC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  <c:holeSize val="75"/>
      </c:doughnutChart>
      <c:pieChart>
        <c:varyColors val="1"/>
        <c:ser>
          <c:idx val="1"/>
          <c:order val="1"/>
          <c:spPr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B0E9-49EA-A2E9-E6CA0B0BC97F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B0E9-49EA-A2E9-E6CA0B0BC97F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B0E9-49EA-A2E9-E6CA0B0BC97F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B0E9-49EA-A2E9-E6CA0B0BC97F}"/>
              </c:ext>
            </c:extLst>
          </c:dPt>
          <c:dLbls>
            <c:dLbl>
              <c:idx val="0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A-B0E9-49EA-A2E9-E6CA0B0BC97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Acompte!$M$3:$M$6</c:f>
              <c:numCache>
                <c:formatCode>0%</c:formatCode>
                <c:ptCount val="4"/>
                <c:pt idx="0">
                  <c:v>1</c:v>
                </c:pt>
                <c:pt idx="1">
                  <c:v>0.01</c:v>
                </c:pt>
                <c:pt idx="2">
                  <c:v>1.0000000000000009E-2</c:v>
                </c:pt>
                <c:pt idx="3">
                  <c:v>1.02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0E9-49EA-A2E9-E6CA0B0BC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000000000001255" l="0.70000000000000062" r="0.70000000000000062" t="0.75000000000001255" header="0.30000000000000032" footer="0.30000000000000032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6999236046502834"/>
          <c:y val="0.15712325315502712"/>
          <c:w val="0.42645336479915003"/>
          <c:h val="0.84287674684497715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rgbClr val="E9252A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009-470F-9FDE-881FE881DFB6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009-470F-9FDE-881FE881DFB6}"/>
              </c:ext>
            </c:extLst>
          </c:dPt>
          <c:dPt>
            <c:idx val="2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009-470F-9FDE-881FE881DFB6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009-470F-9FDE-881FE881DFB6}"/>
              </c:ext>
            </c:extLst>
          </c:dPt>
          <c:val>
            <c:numRef>
              <c:f>Acompte!$A$3:$A$6</c:f>
              <c:numCache>
                <c:formatCode>General</c:formatCode>
                <c:ptCount val="4"/>
                <c:pt idx="0">
                  <c:v>70</c:v>
                </c:pt>
                <c:pt idx="1">
                  <c:v>20</c:v>
                </c:pt>
                <c:pt idx="2">
                  <c:v>10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009-470F-9FDE-881FE881DF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  <c:holeSize val="75"/>
      </c:doughnutChart>
      <c:pieChart>
        <c:varyColors val="1"/>
        <c:ser>
          <c:idx val="1"/>
          <c:order val="1"/>
          <c:spPr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D009-470F-9FDE-881FE881DFB6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D009-470F-9FDE-881FE881DFB6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D009-470F-9FDE-881FE881DFB6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D009-470F-9FDE-881FE881DFB6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50" b="1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A-D009-470F-9FDE-881FE881DFB6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009-470F-9FDE-881FE881DFB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D009-470F-9FDE-881FE881DFB6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D009-470F-9FDE-881FE881DFB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val>
            <c:numRef>
              <c:f>Acompte!$E$3:$E$6</c:f>
              <c:numCache>
                <c:formatCode>0%</c:formatCode>
                <c:ptCount val="4"/>
                <c:pt idx="0">
                  <c:v>1</c:v>
                </c:pt>
                <c:pt idx="1">
                  <c:v>0.01</c:v>
                </c:pt>
                <c:pt idx="2">
                  <c:v>1.0000000000000009E-2</c:v>
                </c:pt>
                <c:pt idx="3">
                  <c:v>1.02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009-470F-9FDE-881FE881DF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000000000001255" l="0.70000000000000062" r="0.70000000000000062" t="0.75000000000001255" header="0.30000000000000032" footer="0.30000000000000032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4"/>
          <c:order val="0"/>
          <c:tx>
            <c:strRef>
              <c:f>Acompte!$T$11</c:f>
              <c:strCache>
                <c:ptCount val="1"/>
                <c:pt idx="0">
                  <c:v>Taux RDI</c:v>
                </c:pt>
              </c:strCache>
            </c:strRef>
          </c:tx>
          <c:spPr>
            <a:noFill/>
            <a:ln w="9525" cap="flat" cmpd="sng" algn="ctr">
              <a:solidFill>
                <a:schemeClr val="accent5"/>
              </a:solidFill>
              <a:miter lim="800000"/>
            </a:ln>
            <a:effectLst>
              <a:glow rad="63500">
                <a:schemeClr val="accent5"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Acompte!$O$12:$O$16</c:f>
              <c:strCache>
                <c:ptCount val="5"/>
                <c:pt idx="0">
                  <c:v>1er Trimestre </c:v>
                </c:pt>
                <c:pt idx="1">
                  <c:v>2ème Trimestre </c:v>
                </c:pt>
                <c:pt idx="2">
                  <c:v>3ème trimestre</c:v>
                </c:pt>
                <c:pt idx="3">
                  <c:v>4ème trimestre</c:v>
                </c:pt>
                <c:pt idx="4">
                  <c:v>Régularisation</c:v>
                </c:pt>
              </c:strCache>
            </c:strRef>
          </c:cat>
          <c:val>
            <c:numRef>
              <c:f>Acompte!$T$12:$T$16</c:f>
              <c:numCache>
                <c:formatCode>0%</c:formatCode>
                <c:ptCount val="5"/>
                <c:pt idx="0">
                  <c:v>0.14285714285714285</c:v>
                </c:pt>
                <c:pt idx="1">
                  <c:v>0.2857142857142857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859-4093-9EAD-043FD0E7418C}"/>
            </c:ext>
          </c:extLst>
        </c:ser>
        <c:ser>
          <c:idx val="5"/>
          <c:order val="1"/>
          <c:tx>
            <c:strRef>
              <c:f>Acompte!$U$11</c:f>
              <c:strCache>
                <c:ptCount val="1"/>
                <c:pt idx="0">
                  <c:v>Taux RDF</c:v>
                </c:pt>
              </c:strCache>
            </c:strRef>
          </c:tx>
          <c:spPr>
            <a:noFill/>
            <a:ln w="9525" cap="flat" cmpd="sng" algn="ctr">
              <a:solidFill>
                <a:schemeClr val="accent6"/>
              </a:solidFill>
              <a:miter lim="800000"/>
            </a:ln>
            <a:effectLst>
              <a:glow rad="63500">
                <a:schemeClr val="accent6"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Acompte!$O$12:$O$16</c:f>
              <c:strCache>
                <c:ptCount val="5"/>
                <c:pt idx="0">
                  <c:v>1er Trimestre </c:v>
                </c:pt>
                <c:pt idx="1">
                  <c:v>2ème Trimestre </c:v>
                </c:pt>
                <c:pt idx="2">
                  <c:v>3ème trimestre</c:v>
                </c:pt>
                <c:pt idx="3">
                  <c:v>4ème trimestre</c:v>
                </c:pt>
                <c:pt idx="4">
                  <c:v>Régularisation</c:v>
                </c:pt>
              </c:strCache>
            </c:strRef>
          </c:cat>
          <c:val>
            <c:numRef>
              <c:f>Acompte!$U$12:$U$16</c:f>
              <c:numCache>
                <c:formatCode>0%</c:formatCode>
                <c:ptCount val="5"/>
                <c:pt idx="0">
                  <c:v>0.14285714285714285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859-4093-9EAD-043FD0E741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15"/>
        <c:overlap val="-40"/>
        <c:axId val="132317568"/>
        <c:axId val="132319104"/>
      </c:barChart>
      <c:catAx>
        <c:axId val="132317568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2319104"/>
        <c:crosses val="autoZero"/>
        <c:auto val="1"/>
        <c:lblAlgn val="ctr"/>
        <c:lblOffset val="100"/>
        <c:noMultiLvlLbl val="0"/>
      </c:catAx>
      <c:valAx>
        <c:axId val="132319104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2317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000000000001255" l="0.70000000000000062" r="0.70000000000000062" t="0.75000000000001255" header="0.30000000000000032" footer="0.30000000000000032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0878781599669392"/>
          <c:y val="7.0146529697032904E-3"/>
          <c:w val="0.62305549402232663"/>
          <c:h val="0.97532535995846192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rgbClr val="E9252A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07D-4038-A68B-C55382666546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07D-4038-A68B-C55382666546}"/>
              </c:ext>
            </c:extLst>
          </c:dPt>
          <c:dPt>
            <c:idx val="2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07D-4038-A68B-C55382666546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07D-4038-A68B-C55382666546}"/>
              </c:ext>
            </c:extLst>
          </c:dPt>
          <c:val>
            <c:numRef>
              <c:f>CM!$F$1:$F$4</c:f>
              <c:numCache>
                <c:formatCode>General</c:formatCode>
                <c:ptCount val="4"/>
                <c:pt idx="0">
                  <c:v>70</c:v>
                </c:pt>
                <c:pt idx="1">
                  <c:v>20</c:v>
                </c:pt>
                <c:pt idx="2">
                  <c:v>10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07D-4038-A68B-C553826665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  <c:holeSize val="75"/>
      </c:doughnutChart>
      <c:pieChart>
        <c:varyColors val="1"/>
        <c:ser>
          <c:idx val="1"/>
          <c:order val="1"/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507D-4038-A68B-C55382666546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507D-4038-A68B-C55382666546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507D-4038-A68B-C55382666546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507D-4038-A68B-C55382666546}"/>
              </c:ext>
            </c:extLst>
          </c:dPt>
          <c:dLbls>
            <c:dLbl>
              <c:idx val="0"/>
              <c:layout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A-507D-4038-A68B-C5538266654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CM!$G$4:$G$7</c:f>
              <c:numCache>
                <c:formatCode>0%</c:formatCode>
                <c:ptCount val="4"/>
                <c:pt idx="0">
                  <c:v>1</c:v>
                </c:pt>
                <c:pt idx="1">
                  <c:v>0.02</c:v>
                </c:pt>
                <c:pt idx="2">
                  <c:v>0</c:v>
                </c:pt>
                <c:pt idx="3">
                  <c:v>1.02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07D-4038-A68B-C553826665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000000000001255" l="0.70000000000000062" r="0.70000000000000062" t="0.75000000000001255" header="0.30000000000000032" footer="0.30000000000000032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4"/>
          <c:order val="0"/>
          <c:spPr>
            <a:noFill/>
            <a:ln w="9525" cap="flat" cmpd="sng" algn="ctr">
              <a:solidFill>
                <a:schemeClr val="accent5"/>
              </a:solidFill>
              <a:miter lim="800000"/>
            </a:ln>
            <a:effectLst>
              <a:glow rad="63500">
                <a:schemeClr val="accent5">
                  <a:satMod val="175000"/>
                  <a:alpha val="25000"/>
                </a:schemeClr>
              </a:glow>
            </a:effectLst>
          </c:spPr>
          <c:invertIfNegative val="0"/>
          <c:val>
            <c:numRef>
              <c:f>CM!$M$8:$N$8</c:f>
              <c:numCache>
                <c:formatCode>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CM!$M$7:$N$7</c15:sqref>
                        </c15:formulaRef>
                      </c:ext>
                    </c:extLst>
                    <c:strCache>
                      <c:ptCount val="2"/>
                      <c:pt idx="0">
                        <c:v>Taux RDI</c:v>
                      </c:pt>
                      <c:pt idx="1">
                        <c:v>Taux RDF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8EEE-410B-AC71-5CAC083711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15"/>
        <c:overlap val="-40"/>
        <c:axId val="132666496"/>
        <c:axId val="132668032"/>
      </c:barChart>
      <c:catAx>
        <c:axId val="132666496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2668032"/>
        <c:crosses val="autoZero"/>
        <c:auto val="1"/>
        <c:lblAlgn val="ctr"/>
        <c:lblOffset val="100"/>
        <c:noMultiLvlLbl val="0"/>
      </c:catAx>
      <c:valAx>
        <c:axId val="13266803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2666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000000000001255" l="0.70000000000000062" r="0.70000000000000062" t="0.75000000000001255" header="0.30000000000000032" footer="0.30000000000000032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0878781599669392"/>
          <c:y val="7.0146529697032904E-3"/>
          <c:w val="0.62305549402232663"/>
          <c:h val="0.97532535995846192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rgbClr val="E9252A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F35-4617-BC7F-856E6F5130FF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F35-4617-BC7F-856E6F5130FF}"/>
              </c:ext>
            </c:extLst>
          </c:dPt>
          <c:dPt>
            <c:idx val="2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F35-4617-BC7F-856E6F5130FF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F35-4617-BC7F-856E6F5130FF}"/>
              </c:ext>
            </c:extLst>
          </c:dPt>
          <c:val>
            <c:numRef>
              <c:f>TP!$E$1:$E$4</c:f>
              <c:numCache>
                <c:formatCode>General</c:formatCode>
                <c:ptCount val="4"/>
                <c:pt idx="0">
                  <c:v>70</c:v>
                </c:pt>
                <c:pt idx="1">
                  <c:v>20</c:v>
                </c:pt>
                <c:pt idx="2">
                  <c:v>10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F35-4617-BC7F-856E6F5130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  <c:holeSize val="75"/>
      </c:doughnutChart>
      <c:pieChart>
        <c:varyColors val="1"/>
        <c:ser>
          <c:idx val="1"/>
          <c:order val="1"/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3F35-4617-BC7F-856E6F5130FF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3F35-4617-BC7F-856E6F5130FF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3F35-4617-BC7F-856E6F5130FF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3F35-4617-BC7F-856E6F5130FF}"/>
              </c:ext>
            </c:extLst>
          </c:dPt>
          <c:dLbls>
            <c:dLbl>
              <c:idx val="0"/>
              <c:layout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A-3F35-4617-BC7F-856E6F5130F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TP!$F$4:$F$7</c:f>
              <c:numCache>
                <c:formatCode>0%</c:formatCode>
                <c:ptCount val="4"/>
                <c:pt idx="0">
                  <c:v>0</c:v>
                </c:pt>
                <c:pt idx="1">
                  <c:v>0.02</c:v>
                </c:pt>
                <c:pt idx="2">
                  <c:v>0</c:v>
                </c:pt>
                <c:pt idx="3">
                  <c:v>1.02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F35-4617-BC7F-856E6F5130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000000000001255" l="0.70000000000000062" r="0.70000000000000062" t="0.75000000000001255" header="0.30000000000000032" footer="0.30000000000000032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6692038495188099E-2"/>
          <c:y val="0.18560185185185191"/>
          <c:w val="0.91553018372700956"/>
          <c:h val="0.67003098571011954"/>
        </c:manualLayout>
      </c:layout>
      <c:barChart>
        <c:barDir val="col"/>
        <c:grouping val="clustered"/>
        <c:varyColors val="0"/>
        <c:ser>
          <c:idx val="4"/>
          <c:order val="0"/>
          <c:spPr>
            <a:noFill/>
            <a:ln w="9525" cap="flat" cmpd="sng" algn="ctr">
              <a:solidFill>
                <a:schemeClr val="accent5"/>
              </a:solidFill>
              <a:miter lim="800000"/>
            </a:ln>
            <a:effectLst>
              <a:glow rad="63500">
                <a:schemeClr val="accent5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TP!$L$7:$M$7</c:f>
              <c:strCache>
                <c:ptCount val="2"/>
                <c:pt idx="0">
                  <c:v>Taux RDI</c:v>
                </c:pt>
                <c:pt idx="1">
                  <c:v>Taux RDF</c:v>
                </c:pt>
              </c:strCache>
            </c:strRef>
          </c:cat>
          <c:val>
            <c:numRef>
              <c:f>TP!$L$8:$M$8</c:f>
              <c:numCache>
                <c:formatCode>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963-4994-B98C-C12C17EB0D0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315"/>
        <c:overlap val="-40"/>
        <c:axId val="132826624"/>
        <c:axId val="132828160"/>
      </c:barChart>
      <c:catAx>
        <c:axId val="132826624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2828160"/>
        <c:crosses val="autoZero"/>
        <c:auto val="1"/>
        <c:lblAlgn val="ctr"/>
        <c:lblOffset val="100"/>
        <c:noMultiLvlLbl val="0"/>
      </c:catAx>
      <c:valAx>
        <c:axId val="13282816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2826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000000000001255" l="0.70000000000000062" r="0.70000000000000062" t="0.75000000000001255" header="0.30000000000000032" footer="0.30000000000000032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0878781599669392"/>
          <c:y val="7.0146529697032904E-3"/>
          <c:w val="0.62305549402232663"/>
          <c:h val="0.97532535995846192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rgbClr val="E9252A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E49-4E26-990B-1DB6607C1AFA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E49-4E26-990B-1DB6607C1AFA}"/>
              </c:ext>
            </c:extLst>
          </c:dPt>
          <c:dPt>
            <c:idx val="2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E49-4E26-990B-1DB6607C1AFA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E49-4E26-990B-1DB6607C1AFA}"/>
              </c:ext>
            </c:extLst>
          </c:dPt>
          <c:val>
            <c:numRef>
              <c:f>'IR PROF global'!$E$1:$E$4</c:f>
              <c:numCache>
                <c:formatCode>General</c:formatCode>
                <c:ptCount val="4"/>
                <c:pt idx="0">
                  <c:v>70</c:v>
                </c:pt>
                <c:pt idx="1">
                  <c:v>20</c:v>
                </c:pt>
                <c:pt idx="2">
                  <c:v>10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E49-4E26-990B-1DB6607C1A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  <c:holeSize val="75"/>
      </c:doughnutChart>
      <c:pieChart>
        <c:varyColors val="1"/>
        <c:ser>
          <c:idx val="1"/>
          <c:order val="1"/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9E49-4E26-990B-1DB6607C1AFA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9E49-4E26-990B-1DB6607C1AFA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9E49-4E26-990B-1DB6607C1AFA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9E49-4E26-990B-1DB6607C1AFA}"/>
              </c:ext>
            </c:extLst>
          </c:dPt>
          <c:dLbls>
            <c:dLbl>
              <c:idx val="0"/>
              <c:layout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A-9E49-4E26-990B-1DB6607C1AFA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'IR PROF global'!$F$4:$F$7</c:f>
              <c:numCache>
                <c:formatCode>0%</c:formatCode>
                <c:ptCount val="4"/>
                <c:pt idx="0">
                  <c:v>0</c:v>
                </c:pt>
                <c:pt idx="1">
                  <c:v>0.02</c:v>
                </c:pt>
                <c:pt idx="2">
                  <c:v>0</c:v>
                </c:pt>
                <c:pt idx="3">
                  <c:v>1.02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E49-4E26-990B-1DB6607C1A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000000000001255" l="0.70000000000000062" r="0.70000000000000062" t="0.75000000000001255" header="0.30000000000000032" footer="0.30000000000000032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4"/>
          <c:order val="0"/>
          <c:spPr>
            <a:noFill/>
            <a:ln w="9525" cap="flat" cmpd="sng" algn="ctr">
              <a:solidFill>
                <a:schemeClr val="accent5"/>
              </a:solidFill>
              <a:miter lim="800000"/>
            </a:ln>
            <a:effectLst>
              <a:glow rad="63500">
                <a:schemeClr val="accent5"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'IR PROF global'!$L$7:$M$7</c:f>
              <c:strCache>
                <c:ptCount val="2"/>
                <c:pt idx="0">
                  <c:v>Taux RDI</c:v>
                </c:pt>
                <c:pt idx="1">
                  <c:v>Taux RDF</c:v>
                </c:pt>
              </c:strCache>
            </c:strRef>
          </c:cat>
          <c:val>
            <c:numRef>
              <c:f>'IR PROF global'!$L$8:$M$8</c:f>
              <c:numCache>
                <c:formatCode>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A-4DAC-A561-5820BF2300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15"/>
        <c:overlap val="-40"/>
        <c:axId val="133162880"/>
        <c:axId val="133164416"/>
      </c:barChart>
      <c:catAx>
        <c:axId val="13316288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3164416"/>
        <c:crosses val="autoZero"/>
        <c:auto val="1"/>
        <c:lblAlgn val="ctr"/>
        <c:lblOffset val="100"/>
        <c:noMultiLvlLbl val="0"/>
      </c:catAx>
      <c:valAx>
        <c:axId val="133164416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3162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000000000001255" l="0.70000000000000062" r="0.70000000000000062" t="0.75000000000001255" header="0.30000000000000032" footer="0.30000000000000032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4"/>
          <c:order val="0"/>
          <c:spPr>
            <a:noFill/>
            <a:ln w="9525" cap="flat" cmpd="sng" algn="ctr">
              <a:solidFill>
                <a:schemeClr val="accent5"/>
              </a:solidFill>
              <a:miter lim="800000"/>
            </a:ln>
            <a:effectLst>
              <a:glow rad="63500">
                <a:schemeClr val="accent5"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'PV de l''AGO'!$L$7:$M$7</c:f>
              <c:strCache>
                <c:ptCount val="2"/>
                <c:pt idx="0">
                  <c:v>Taux RDI</c:v>
                </c:pt>
                <c:pt idx="1">
                  <c:v>Taux RDF</c:v>
                </c:pt>
              </c:strCache>
            </c:strRef>
          </c:cat>
          <c:val>
            <c:numRef>
              <c:f>'PV de l''AGO'!$L$8:$M$8</c:f>
              <c:numCache>
                <c:formatCode>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A2-46FE-8ACC-39CC3EBD0D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15"/>
        <c:overlap val="-40"/>
        <c:axId val="133553536"/>
        <c:axId val="133559424"/>
      </c:barChart>
      <c:catAx>
        <c:axId val="133553536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3559424"/>
        <c:crosses val="autoZero"/>
        <c:auto val="1"/>
        <c:lblAlgn val="ctr"/>
        <c:lblOffset val="100"/>
        <c:noMultiLvlLbl val="0"/>
      </c:catAx>
      <c:valAx>
        <c:axId val="133559424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3553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000000000001255" l="0.70000000000000062" r="0.70000000000000062" t="0.75000000000001255" header="0.30000000000000032" footer="0.30000000000000032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0878781599669392"/>
          <c:y val="7.0146529697032904E-3"/>
          <c:w val="0.62305549402232663"/>
          <c:h val="0.97532535995846192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rgbClr val="E9252A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C77-4B08-8486-EBD1A7687C8F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C77-4B08-8486-EBD1A7687C8F}"/>
              </c:ext>
            </c:extLst>
          </c:dPt>
          <c:dPt>
            <c:idx val="2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C77-4B08-8486-EBD1A7687C8F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C77-4B08-8486-EBD1A7687C8F}"/>
              </c:ext>
            </c:extLst>
          </c:dPt>
          <c:val>
            <c:numRef>
              <c:f>'PV de l''AGO'!$E$1:$E$4</c:f>
              <c:numCache>
                <c:formatCode>0%</c:formatCode>
                <c:ptCount val="4"/>
                <c:pt idx="0">
                  <c:v>0.7</c:v>
                </c:pt>
                <c:pt idx="1">
                  <c:v>0.2</c:v>
                </c:pt>
                <c:pt idx="2">
                  <c:v>0.1</c:v>
                </c:pt>
                <c:pt idx="3">
                  <c:v>0.99999999999999989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C77-4B08-8486-EBD1A7687C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  <c:holeSize val="75"/>
      </c:doughnutChart>
      <c:pieChart>
        <c:varyColors val="1"/>
        <c:ser>
          <c:idx val="1"/>
          <c:order val="1"/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1C77-4B08-8486-EBD1A7687C8F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1C77-4B08-8486-EBD1A7687C8F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1C77-4B08-8486-EBD1A7687C8F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1C77-4B08-8486-EBD1A7687C8F}"/>
              </c:ext>
            </c:extLst>
          </c:dPt>
          <c:dLbls>
            <c:dLbl>
              <c:idx val="0"/>
              <c:layout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A-1C77-4B08-8486-EBD1A7687C8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'PV de l''AGO'!$F$4:$F$7</c:f>
              <c:numCache>
                <c:formatCode>0%</c:formatCode>
                <c:ptCount val="4"/>
                <c:pt idx="0">
                  <c:v>0</c:v>
                </c:pt>
                <c:pt idx="1">
                  <c:v>0.02</c:v>
                </c:pt>
                <c:pt idx="2">
                  <c:v>0</c:v>
                </c:pt>
                <c:pt idx="3">
                  <c:v>1.02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C77-4B08-8486-EBD1A7687C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000000000001255" l="0.70000000000000062" r="0.70000000000000062" t="0.75000000000001255" header="0.30000000000000032" footer="0.30000000000000032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TAUX DU RESPECT DES DELAIS DE DEPOTS DE LA TVA MENSUELLES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TB!$D$8</c:f>
              <c:strCache>
                <c:ptCount val="1"/>
                <c:pt idx="0">
                  <c:v>Taux de Respect du Délai Fiscal</c:v>
                </c:pt>
              </c:strCache>
            </c:strRef>
          </c:tx>
          <c:spPr>
            <a:noFill/>
            <a:ln w="9525" cap="flat" cmpd="sng" algn="ctr">
              <a:solidFill>
                <a:schemeClr val="accent1"/>
              </a:solidFill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TB!$C$9:$C$20</c:f>
              <c:strCache>
                <c:ptCount val="12"/>
                <c:pt idx="0">
                  <c:v>Janvier </c:v>
                </c:pt>
                <c:pt idx="1">
                  <c:v>Février 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TB!$D$9:$D$20</c:f>
              <c:numCache>
                <c:formatCode>0%</c:formatCode>
                <c:ptCount val="12"/>
                <c:pt idx="0">
                  <c:v>0.8</c:v>
                </c:pt>
                <c:pt idx="1">
                  <c:v>0.77777777777777779</c:v>
                </c:pt>
                <c:pt idx="2">
                  <c:v>0.73333333333333328</c:v>
                </c:pt>
                <c:pt idx="3">
                  <c:v>0.6</c:v>
                </c:pt>
                <c:pt idx="4">
                  <c:v>1</c:v>
                </c:pt>
                <c:pt idx="5">
                  <c:v>0.93333333333333335</c:v>
                </c:pt>
                <c:pt idx="6">
                  <c:v>0.8571428571428571</c:v>
                </c:pt>
                <c:pt idx="7">
                  <c:v>1</c:v>
                </c:pt>
                <c:pt idx="8">
                  <c:v>0.7142857142857143</c:v>
                </c:pt>
                <c:pt idx="9">
                  <c:v>1</c:v>
                </c:pt>
                <c:pt idx="10">
                  <c:v>0.83333333333333337</c:v>
                </c:pt>
                <c:pt idx="1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1C-4FD3-A2BC-27AE6860454E}"/>
            </c:ext>
          </c:extLst>
        </c:ser>
        <c:ser>
          <c:idx val="1"/>
          <c:order val="1"/>
          <c:tx>
            <c:strRef>
              <c:f>TB!$E$8</c:f>
              <c:strCache>
                <c:ptCount val="1"/>
                <c:pt idx="0">
                  <c:v>Taux du Respect du Délai Interne</c:v>
                </c:pt>
              </c:strCache>
            </c:strRef>
          </c:tx>
          <c:spPr>
            <a:noFill/>
            <a:ln w="9525" cap="flat" cmpd="sng" algn="ctr">
              <a:solidFill>
                <a:schemeClr val="accent2"/>
              </a:solidFill>
              <a:miter lim="800000"/>
            </a:ln>
            <a:effectLst>
              <a:glow rad="63500">
                <a:schemeClr val="accent2"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TB!$C$9:$C$20</c:f>
              <c:strCache>
                <c:ptCount val="12"/>
                <c:pt idx="0">
                  <c:v>Janvier </c:v>
                </c:pt>
                <c:pt idx="1">
                  <c:v>Février 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TB!$E$9:$E$20</c:f>
              <c:numCache>
                <c:formatCode>0%</c:formatCode>
                <c:ptCount val="12"/>
                <c:pt idx="0">
                  <c:v>0.25</c:v>
                </c:pt>
                <c:pt idx="1">
                  <c:v>0.66666666666666663</c:v>
                </c:pt>
                <c:pt idx="2">
                  <c:v>0.4</c:v>
                </c:pt>
                <c:pt idx="3">
                  <c:v>0.46666666666666667</c:v>
                </c:pt>
                <c:pt idx="4">
                  <c:v>0.53333333333333333</c:v>
                </c:pt>
                <c:pt idx="5">
                  <c:v>0.93333333333333335</c:v>
                </c:pt>
                <c:pt idx="6">
                  <c:v>0.8571428571428571</c:v>
                </c:pt>
                <c:pt idx="7">
                  <c:v>0.72727272727272729</c:v>
                </c:pt>
                <c:pt idx="8">
                  <c:v>0.42857142857142855</c:v>
                </c:pt>
                <c:pt idx="9">
                  <c:v>0.5</c:v>
                </c:pt>
                <c:pt idx="10">
                  <c:v>0.33333333333333331</c:v>
                </c:pt>
                <c:pt idx="1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1C-4FD3-A2BC-27AE686045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15"/>
        <c:overlap val="-40"/>
        <c:axId val="134244224"/>
        <c:axId val="134245760"/>
      </c:barChart>
      <c:catAx>
        <c:axId val="134244224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4245760"/>
        <c:crosses val="autoZero"/>
        <c:auto val="1"/>
        <c:lblAlgn val="ctr"/>
        <c:lblOffset val="100"/>
        <c:noMultiLvlLbl val="0"/>
      </c:catAx>
      <c:valAx>
        <c:axId val="13424576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4244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tx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000000000001255" l="0.70000000000000062" r="0.70000000000000062" t="0.75000000000001255" header="0.30000000000000032" footer="0.30000000000000032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TAUX DU RESPECT DES DELAIS DE DEPOT L'IR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TB!$F$8</c:f>
              <c:strCache>
                <c:ptCount val="1"/>
                <c:pt idx="0">
                  <c:v>Taux de Respect du Délai Fiscal</c:v>
                </c:pt>
              </c:strCache>
            </c:strRef>
          </c:tx>
          <c:spPr>
            <a:noFill/>
            <a:ln w="9525" cap="flat" cmpd="sng" algn="ctr">
              <a:solidFill>
                <a:schemeClr val="accent3"/>
              </a:solidFill>
              <a:miter lim="800000"/>
            </a:ln>
            <a:effectLst>
              <a:glow rad="63500">
                <a:schemeClr val="accent3"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TB!$C$9:$C$20</c:f>
              <c:strCache>
                <c:ptCount val="12"/>
                <c:pt idx="0">
                  <c:v>Janvier </c:v>
                </c:pt>
                <c:pt idx="1">
                  <c:v>Février 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TB!$F$9:$F$20</c:f>
              <c:numCache>
                <c:formatCode>0%</c:formatCode>
                <c:ptCount val="12"/>
                <c:pt idx="0">
                  <c:v>0.83333333333333337</c:v>
                </c:pt>
                <c:pt idx="1">
                  <c:v>0.90909090909090906</c:v>
                </c:pt>
                <c:pt idx="2">
                  <c:v>0.77777777777777779</c:v>
                </c:pt>
                <c:pt idx="3">
                  <c:v>0.66666666666666663</c:v>
                </c:pt>
                <c:pt idx="4">
                  <c:v>0.8</c:v>
                </c:pt>
                <c:pt idx="5">
                  <c:v>0.83333333333333337</c:v>
                </c:pt>
                <c:pt idx="6">
                  <c:v>0.8571428571428571</c:v>
                </c:pt>
                <c:pt idx="7">
                  <c:v>0.83333333333333337</c:v>
                </c:pt>
                <c:pt idx="8">
                  <c:v>0.5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F69-43BF-B2AD-DB9363959CE5}"/>
            </c:ext>
          </c:extLst>
        </c:ser>
        <c:ser>
          <c:idx val="3"/>
          <c:order val="1"/>
          <c:tx>
            <c:strRef>
              <c:f>TB!$G$8</c:f>
              <c:strCache>
                <c:ptCount val="1"/>
                <c:pt idx="0">
                  <c:v>Taux du Respect du Délai Interne</c:v>
                </c:pt>
              </c:strCache>
            </c:strRef>
          </c:tx>
          <c:spPr>
            <a:noFill/>
            <a:ln w="9525" cap="flat" cmpd="sng" algn="ctr">
              <a:solidFill>
                <a:schemeClr val="accent4"/>
              </a:solidFill>
              <a:miter lim="800000"/>
            </a:ln>
            <a:effectLst>
              <a:glow rad="63500">
                <a:schemeClr val="accent4"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TB!$C$9:$C$20</c:f>
              <c:strCache>
                <c:ptCount val="12"/>
                <c:pt idx="0">
                  <c:v>Janvier </c:v>
                </c:pt>
                <c:pt idx="1">
                  <c:v>Février 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TB!$G$9:$G$20</c:f>
              <c:numCache>
                <c:formatCode>0%</c:formatCode>
                <c:ptCount val="12"/>
                <c:pt idx="0">
                  <c:v>0.41666666666666669</c:v>
                </c:pt>
                <c:pt idx="1">
                  <c:v>0.36363636363636365</c:v>
                </c:pt>
                <c:pt idx="2">
                  <c:v>0.22222222222222221</c:v>
                </c:pt>
                <c:pt idx="3">
                  <c:v>0.55555555555555558</c:v>
                </c:pt>
                <c:pt idx="4">
                  <c:v>0.8</c:v>
                </c:pt>
                <c:pt idx="5">
                  <c:v>0.83333333333333337</c:v>
                </c:pt>
                <c:pt idx="6">
                  <c:v>0.8571428571428571</c:v>
                </c:pt>
                <c:pt idx="7">
                  <c:v>0.66666666666666663</c:v>
                </c:pt>
                <c:pt idx="8">
                  <c:v>0.5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F69-43BF-B2AD-DB9363959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15"/>
        <c:overlap val="-40"/>
        <c:axId val="133907584"/>
        <c:axId val="133909120"/>
      </c:barChart>
      <c:catAx>
        <c:axId val="133907584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3909120"/>
        <c:crosses val="autoZero"/>
        <c:auto val="1"/>
        <c:lblAlgn val="ctr"/>
        <c:lblOffset val="100"/>
        <c:noMultiLvlLbl val="0"/>
      </c:catAx>
      <c:valAx>
        <c:axId val="13390912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3907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tx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000000000001255" l="0.70000000000000062" r="0.70000000000000062" t="0.75000000000001255" header="0.30000000000000032" footer="0.30000000000000032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TAUX DE RESPECT DES DELAIS DE LA CNSS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4"/>
          <c:order val="0"/>
          <c:tx>
            <c:strRef>
              <c:f>TB!$H$8</c:f>
              <c:strCache>
                <c:ptCount val="1"/>
                <c:pt idx="0">
                  <c:v>Taux de Respect du Délai Fiscal</c:v>
                </c:pt>
              </c:strCache>
            </c:strRef>
          </c:tx>
          <c:spPr>
            <a:noFill/>
            <a:ln w="9525" cap="flat" cmpd="sng" algn="ctr">
              <a:solidFill>
                <a:schemeClr val="accent5"/>
              </a:solidFill>
              <a:miter lim="800000"/>
            </a:ln>
            <a:effectLst>
              <a:glow rad="63500">
                <a:schemeClr val="accent5"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TB!$C$9:$C$20</c:f>
              <c:strCache>
                <c:ptCount val="12"/>
                <c:pt idx="0">
                  <c:v>Janvier </c:v>
                </c:pt>
                <c:pt idx="1">
                  <c:v>Février 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TB!$H$9:$H$20</c:f>
              <c:numCache>
                <c:formatCode>0%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0.5714285714285714</c:v>
                </c:pt>
                <c:pt idx="4">
                  <c:v>0.90322580645161288</c:v>
                </c:pt>
                <c:pt idx="5">
                  <c:v>1</c:v>
                </c:pt>
                <c:pt idx="6">
                  <c:v>0.98412698412698407</c:v>
                </c:pt>
                <c:pt idx="7">
                  <c:v>0.96825396825396826</c:v>
                </c:pt>
                <c:pt idx="8">
                  <c:v>1</c:v>
                </c:pt>
                <c:pt idx="9">
                  <c:v>0.88888888888888884</c:v>
                </c:pt>
                <c:pt idx="10">
                  <c:v>1</c:v>
                </c:pt>
                <c:pt idx="1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74-4297-8C4B-7AA3D10D930C}"/>
            </c:ext>
          </c:extLst>
        </c:ser>
        <c:ser>
          <c:idx val="5"/>
          <c:order val="1"/>
          <c:tx>
            <c:strRef>
              <c:f>TB!$I$8</c:f>
              <c:strCache>
                <c:ptCount val="1"/>
                <c:pt idx="0">
                  <c:v>Taux du Respect du Délai Interne</c:v>
                </c:pt>
              </c:strCache>
            </c:strRef>
          </c:tx>
          <c:spPr>
            <a:noFill/>
            <a:ln w="9525" cap="flat" cmpd="sng" algn="ctr">
              <a:solidFill>
                <a:schemeClr val="accent6"/>
              </a:solidFill>
              <a:miter lim="800000"/>
            </a:ln>
            <a:effectLst>
              <a:glow rad="63500">
                <a:schemeClr val="accent6"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TB!$C$9:$C$20</c:f>
              <c:strCache>
                <c:ptCount val="12"/>
                <c:pt idx="0">
                  <c:v>Janvier </c:v>
                </c:pt>
                <c:pt idx="1">
                  <c:v>Février 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TB!$I$9:$I$20</c:f>
              <c:numCache>
                <c:formatCode>0%</c:formatCode>
                <c:ptCount val="12"/>
                <c:pt idx="0">
                  <c:v>0.98648648648648651</c:v>
                </c:pt>
                <c:pt idx="1">
                  <c:v>0.95774647887323938</c:v>
                </c:pt>
                <c:pt idx="2">
                  <c:v>1</c:v>
                </c:pt>
                <c:pt idx="3">
                  <c:v>0.66666666666666663</c:v>
                </c:pt>
                <c:pt idx="4">
                  <c:v>0.79032258064516125</c:v>
                </c:pt>
                <c:pt idx="5">
                  <c:v>0.83333333333333337</c:v>
                </c:pt>
                <c:pt idx="6">
                  <c:v>0.92063492063492058</c:v>
                </c:pt>
                <c:pt idx="7">
                  <c:v>0.77777777777777779</c:v>
                </c:pt>
                <c:pt idx="8">
                  <c:v>0.8</c:v>
                </c:pt>
                <c:pt idx="9">
                  <c:v>0.88888888888888884</c:v>
                </c:pt>
                <c:pt idx="10">
                  <c:v>1</c:v>
                </c:pt>
                <c:pt idx="1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A74-4297-8C4B-7AA3D10D93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15"/>
        <c:overlap val="-40"/>
        <c:axId val="134644096"/>
        <c:axId val="134645632"/>
      </c:barChart>
      <c:catAx>
        <c:axId val="134644096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4645632"/>
        <c:crosses val="autoZero"/>
        <c:auto val="1"/>
        <c:lblAlgn val="ctr"/>
        <c:lblOffset val="100"/>
        <c:noMultiLvlLbl val="0"/>
      </c:catAx>
      <c:valAx>
        <c:axId val="13464563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4644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tx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000000000001255" l="0.70000000000000062" r="0.70000000000000062" t="0.75000000000001255" header="0.30000000000000032" footer="0.30000000000000032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TAUX DE RESPECT DES DELAIS DE DEPOT DES DROITS DE TIMBRE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6"/>
          <c:order val="0"/>
          <c:tx>
            <c:strRef>
              <c:f>TB!$J$8</c:f>
              <c:strCache>
                <c:ptCount val="1"/>
                <c:pt idx="0">
                  <c:v>Taux de Respect du Délai Fiscal</c:v>
                </c:pt>
              </c:strCache>
            </c:strRef>
          </c:tx>
          <c:spPr>
            <a:noFill/>
            <a:ln w="9525" cap="flat" cmpd="sng" algn="ctr">
              <a:solidFill>
                <a:schemeClr val="accent1">
                  <a:lumMod val="80000"/>
                  <a:lumOff val="20000"/>
                </a:schemeClr>
              </a:solidFill>
              <a:miter lim="800000"/>
            </a:ln>
            <a:effectLst>
              <a:glow rad="63500">
                <a:schemeClr val="accent1">
                  <a:lumMod val="80000"/>
                  <a:lumOff val="20000"/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TB!$C$9:$C$20</c:f>
              <c:strCache>
                <c:ptCount val="12"/>
                <c:pt idx="0">
                  <c:v>Janvier </c:v>
                </c:pt>
                <c:pt idx="1">
                  <c:v>Février 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TB!$J$9:$J$20</c:f>
              <c:numCache>
                <c:formatCode>0%</c:formatCode>
                <c:ptCount val="12"/>
                <c:pt idx="0">
                  <c:v>0.83333333333333337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0.66666666666666663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FE-455A-BB28-2E820216FCE2}"/>
            </c:ext>
          </c:extLst>
        </c:ser>
        <c:ser>
          <c:idx val="7"/>
          <c:order val="1"/>
          <c:tx>
            <c:strRef>
              <c:f>TB!$K$8</c:f>
              <c:strCache>
                <c:ptCount val="1"/>
                <c:pt idx="0">
                  <c:v>Taux du Respect du Délai Interne</c:v>
                </c:pt>
              </c:strCache>
            </c:strRef>
          </c:tx>
          <c:spPr>
            <a:noFill/>
            <a:ln w="9525" cap="flat" cmpd="sng" algn="ctr">
              <a:solidFill>
                <a:schemeClr val="accent3">
                  <a:lumMod val="80000"/>
                  <a:lumOff val="20000"/>
                </a:schemeClr>
              </a:solidFill>
              <a:miter lim="800000"/>
            </a:ln>
            <a:effectLst>
              <a:glow rad="63500">
                <a:schemeClr val="accent3">
                  <a:lumMod val="80000"/>
                  <a:lumOff val="20000"/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TB!$C$9:$C$20</c:f>
              <c:strCache>
                <c:ptCount val="12"/>
                <c:pt idx="0">
                  <c:v>Janvier </c:v>
                </c:pt>
                <c:pt idx="1">
                  <c:v>Février 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TB!$K$9:$K$20</c:f>
              <c:numCache>
                <c:formatCode>0%</c:formatCode>
                <c:ptCount val="12"/>
                <c:pt idx="0">
                  <c:v>0.83333333333333337</c:v>
                </c:pt>
                <c:pt idx="1">
                  <c:v>0.33333333333333331</c:v>
                </c:pt>
                <c:pt idx="2">
                  <c:v>0.5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0.66666666666666663</c:v>
                </c:pt>
                <c:pt idx="7">
                  <c:v>0.5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FE-455A-BB28-2E820216FC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15"/>
        <c:overlap val="-40"/>
        <c:axId val="134712320"/>
        <c:axId val="134718208"/>
      </c:barChart>
      <c:catAx>
        <c:axId val="13471232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4718208"/>
        <c:crosses val="autoZero"/>
        <c:auto val="1"/>
        <c:lblAlgn val="ctr"/>
        <c:lblOffset val="100"/>
        <c:noMultiLvlLbl val="0"/>
      </c:catAx>
      <c:valAx>
        <c:axId val="134718208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4712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tx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000000000001255" l="0.70000000000000062" r="0.70000000000000062" t="0.75000000000001255" header="0.30000000000000032" footer="0.30000000000000032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TAUX</a:t>
            </a:r>
            <a:r>
              <a:rPr lang="fr-FR" baseline="0"/>
              <a:t> DU RESPECT DU DEPOT DE LA TVA TRIMESTRIELLE</a:t>
            </a:r>
            <a:endParaRPr lang="fr-FR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TB!$E$58</c:f>
              <c:strCache>
                <c:ptCount val="1"/>
                <c:pt idx="0">
                  <c:v>Taux de Respect du Délai Fiscal</c:v>
                </c:pt>
              </c:strCache>
            </c:strRef>
          </c:tx>
          <c:spPr>
            <a:noFill/>
            <a:ln w="9525" cap="flat" cmpd="sng" algn="ctr">
              <a:solidFill>
                <a:schemeClr val="accent1"/>
              </a:solidFill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TB!$D$59:$D$62</c:f>
              <c:strCache>
                <c:ptCount val="4"/>
                <c:pt idx="0">
                  <c:v>1er trimestre</c:v>
                </c:pt>
                <c:pt idx="1">
                  <c:v>2eme trimestre </c:v>
                </c:pt>
                <c:pt idx="2">
                  <c:v>3eme trimestre</c:v>
                </c:pt>
                <c:pt idx="3">
                  <c:v>4eme trimestre</c:v>
                </c:pt>
              </c:strCache>
            </c:strRef>
          </c:cat>
          <c:val>
            <c:numRef>
              <c:f>TB!$E$59:$E$62</c:f>
              <c:numCache>
                <c:formatCode>0%</c:formatCode>
                <c:ptCount val="4"/>
                <c:pt idx="0">
                  <c:v>0.80232558139534882</c:v>
                </c:pt>
                <c:pt idx="1">
                  <c:v>0.95348837209302328</c:v>
                </c:pt>
                <c:pt idx="2">
                  <c:v>0.8</c:v>
                </c:pt>
                <c:pt idx="3">
                  <c:v>0.92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BE-4864-8321-5C06FF513BEF}"/>
            </c:ext>
          </c:extLst>
        </c:ser>
        <c:ser>
          <c:idx val="1"/>
          <c:order val="1"/>
          <c:tx>
            <c:strRef>
              <c:f>TB!$F$58</c:f>
              <c:strCache>
                <c:ptCount val="1"/>
                <c:pt idx="0">
                  <c:v>Taux du Respect du Délai Interne</c:v>
                </c:pt>
              </c:strCache>
            </c:strRef>
          </c:tx>
          <c:spPr>
            <a:noFill/>
            <a:ln w="9525" cap="flat" cmpd="sng" algn="ctr">
              <a:solidFill>
                <a:schemeClr val="accent2"/>
              </a:solidFill>
              <a:miter lim="800000"/>
            </a:ln>
            <a:effectLst>
              <a:glow rad="63500">
                <a:schemeClr val="accent2"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TB!$D$59:$D$62</c:f>
              <c:strCache>
                <c:ptCount val="4"/>
                <c:pt idx="0">
                  <c:v>1er trimestre</c:v>
                </c:pt>
                <c:pt idx="1">
                  <c:v>2eme trimestre </c:v>
                </c:pt>
                <c:pt idx="2">
                  <c:v>3eme trimestre</c:v>
                </c:pt>
                <c:pt idx="3">
                  <c:v>4eme trimestre</c:v>
                </c:pt>
              </c:strCache>
            </c:strRef>
          </c:cat>
          <c:val>
            <c:numRef>
              <c:f>TB!$F$59:$F$62</c:f>
              <c:numCache>
                <c:formatCode>0%</c:formatCode>
                <c:ptCount val="4"/>
                <c:pt idx="0">
                  <c:v>0.41860465116279072</c:v>
                </c:pt>
                <c:pt idx="1">
                  <c:v>0.94186046511627908</c:v>
                </c:pt>
                <c:pt idx="2">
                  <c:v>0.75</c:v>
                </c:pt>
                <c:pt idx="3">
                  <c:v>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6BE-4864-8321-5C06FF513B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15"/>
        <c:overlap val="-40"/>
        <c:axId val="134293376"/>
        <c:axId val="134294912"/>
      </c:barChart>
      <c:catAx>
        <c:axId val="134293376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4294912"/>
        <c:crosses val="autoZero"/>
        <c:auto val="1"/>
        <c:lblAlgn val="ctr"/>
        <c:lblOffset val="100"/>
        <c:noMultiLvlLbl val="0"/>
      </c:catAx>
      <c:valAx>
        <c:axId val="13429491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4293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tx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000000000001255" l="0.70000000000000062" r="0.70000000000000062" t="0.75000000000001255" header="0.30000000000000032" footer="0.30000000000000032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TAUX DU RESPECT DU DEPOT DES ACOMPTES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TB!$G$58</c:f>
              <c:strCache>
                <c:ptCount val="1"/>
                <c:pt idx="0">
                  <c:v>Taux de Respect du Délai Fiscal</c:v>
                </c:pt>
              </c:strCache>
            </c:strRef>
          </c:tx>
          <c:spPr>
            <a:noFill/>
            <a:ln w="9525" cap="flat" cmpd="sng" algn="ctr">
              <a:solidFill>
                <a:schemeClr val="accent3"/>
              </a:solidFill>
              <a:miter lim="800000"/>
            </a:ln>
            <a:effectLst>
              <a:glow rad="63500">
                <a:schemeClr val="accent3"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TB!$D$59:$D$63</c:f>
              <c:strCache>
                <c:ptCount val="5"/>
                <c:pt idx="0">
                  <c:v>1er trimestre</c:v>
                </c:pt>
                <c:pt idx="1">
                  <c:v>2eme trimestre </c:v>
                </c:pt>
                <c:pt idx="2">
                  <c:v>3eme trimestre</c:v>
                </c:pt>
                <c:pt idx="3">
                  <c:v>4eme trimestre</c:v>
                </c:pt>
                <c:pt idx="4">
                  <c:v>Régularisation</c:v>
                </c:pt>
              </c:strCache>
            </c:strRef>
          </c:cat>
          <c:val>
            <c:numRef>
              <c:f>TB!$G$59:$G$63</c:f>
              <c:numCache>
                <c:formatCode>0%</c:formatCode>
                <c:ptCount val="5"/>
                <c:pt idx="0">
                  <c:v>0.33333333333333331</c:v>
                </c:pt>
                <c:pt idx="1">
                  <c:v>1</c:v>
                </c:pt>
                <c:pt idx="2">
                  <c:v>0.88888888888888884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69-4877-97E0-6D96ACD3DDF4}"/>
            </c:ext>
          </c:extLst>
        </c:ser>
        <c:ser>
          <c:idx val="3"/>
          <c:order val="1"/>
          <c:tx>
            <c:strRef>
              <c:f>TB!$H$58</c:f>
              <c:strCache>
                <c:ptCount val="1"/>
                <c:pt idx="0">
                  <c:v>Taux du Respect du Délai Interne</c:v>
                </c:pt>
              </c:strCache>
            </c:strRef>
          </c:tx>
          <c:spPr>
            <a:noFill/>
            <a:ln w="9525" cap="flat" cmpd="sng" algn="ctr">
              <a:solidFill>
                <a:schemeClr val="accent4"/>
              </a:solidFill>
              <a:miter lim="800000"/>
            </a:ln>
            <a:effectLst>
              <a:glow rad="63500">
                <a:schemeClr val="accent4"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TB!$D$59:$D$63</c:f>
              <c:strCache>
                <c:ptCount val="5"/>
                <c:pt idx="0">
                  <c:v>1er trimestre</c:v>
                </c:pt>
                <c:pt idx="1">
                  <c:v>2eme trimestre </c:v>
                </c:pt>
                <c:pt idx="2">
                  <c:v>3eme trimestre</c:v>
                </c:pt>
                <c:pt idx="3">
                  <c:v>4eme trimestre</c:v>
                </c:pt>
                <c:pt idx="4">
                  <c:v>Régularisation</c:v>
                </c:pt>
              </c:strCache>
            </c:strRef>
          </c:cat>
          <c:val>
            <c:numRef>
              <c:f>TB!$H$59:$H$63</c:f>
              <c:numCache>
                <c:formatCode>0%</c:formatCode>
                <c:ptCount val="5"/>
                <c:pt idx="0">
                  <c:v>0.33333333333333331</c:v>
                </c:pt>
                <c:pt idx="1">
                  <c:v>0.59090909090909094</c:v>
                </c:pt>
                <c:pt idx="2">
                  <c:v>0.44444444444444442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69-4877-97E0-6D96ACD3DD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15"/>
        <c:overlap val="-40"/>
        <c:axId val="141185792"/>
        <c:axId val="141187328"/>
      </c:barChart>
      <c:catAx>
        <c:axId val="141185792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41187328"/>
        <c:crosses val="autoZero"/>
        <c:auto val="1"/>
        <c:lblAlgn val="ctr"/>
        <c:lblOffset val="100"/>
        <c:noMultiLvlLbl val="0"/>
      </c:catAx>
      <c:valAx>
        <c:axId val="141187328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41185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tx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000000000001255" l="0.70000000000000062" r="0.70000000000000062" t="0.75000000000001255" header="0.30000000000000032" footer="0.30000000000000032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TB!$C$87</c:f>
              <c:strCache>
                <c:ptCount val="1"/>
                <c:pt idx="0">
                  <c:v>Taux de respect du Délai fiscale</c:v>
                </c:pt>
              </c:strCache>
            </c:strRef>
          </c:tx>
          <c:spPr>
            <a:noFill/>
            <a:ln w="9525" cap="flat" cmpd="sng" algn="ctr">
              <a:solidFill>
                <a:schemeClr val="accent1"/>
              </a:solidFill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TB!$D$86:$G$86</c:f>
              <c:strCache>
                <c:ptCount val="4"/>
                <c:pt idx="0">
                  <c:v>ETAT 9421</c:v>
                </c:pt>
                <c:pt idx="1">
                  <c:v>Taxe professionnelle</c:v>
                </c:pt>
                <c:pt idx="2">
                  <c:v>Cotisation minimale</c:v>
                </c:pt>
                <c:pt idx="3">
                  <c:v>IR PROF AGRICOLE</c:v>
                </c:pt>
              </c:strCache>
            </c:strRef>
          </c:cat>
          <c:val>
            <c:numRef>
              <c:f>TB!$D$87:$G$87</c:f>
              <c:numCache>
                <c:formatCode>0%</c:formatCode>
                <c:ptCount val="4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15-448E-AD8E-06CF4B1BB840}"/>
            </c:ext>
          </c:extLst>
        </c:ser>
        <c:ser>
          <c:idx val="1"/>
          <c:order val="1"/>
          <c:tx>
            <c:strRef>
              <c:f>TB!$C$88</c:f>
              <c:strCache>
                <c:ptCount val="1"/>
                <c:pt idx="0">
                  <c:v>Taux de respect du Délai interne </c:v>
                </c:pt>
              </c:strCache>
            </c:strRef>
          </c:tx>
          <c:spPr>
            <a:noFill/>
            <a:ln w="9525" cap="flat" cmpd="sng" algn="ctr">
              <a:solidFill>
                <a:schemeClr val="accent2"/>
              </a:solidFill>
              <a:miter lim="800000"/>
            </a:ln>
            <a:effectLst>
              <a:glow rad="63500">
                <a:schemeClr val="accent2"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TB!$D$86:$G$86</c:f>
              <c:strCache>
                <c:ptCount val="4"/>
                <c:pt idx="0">
                  <c:v>ETAT 9421</c:v>
                </c:pt>
                <c:pt idx="1">
                  <c:v>Taxe professionnelle</c:v>
                </c:pt>
                <c:pt idx="2">
                  <c:v>Cotisation minimale</c:v>
                </c:pt>
                <c:pt idx="3">
                  <c:v>IR PROF AGRICOLE</c:v>
                </c:pt>
              </c:strCache>
            </c:strRef>
          </c:cat>
          <c:val>
            <c:numRef>
              <c:f>TB!$D$88:$G$88</c:f>
              <c:numCache>
                <c:formatCode>0%</c:formatCode>
                <c:ptCount val="4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15-448E-AD8E-06CF4B1BB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-50"/>
        <c:axId val="141135232"/>
        <c:axId val="141145216"/>
      </c:barChart>
      <c:catAx>
        <c:axId val="14113523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0">
                    <a:schemeClr val="dk1">
                      <a:lumMod val="65000"/>
                      <a:lumOff val="35000"/>
                    </a:schemeClr>
                  </a:gs>
                  <a:gs pos="100000">
                    <a:schemeClr val="dk1">
                      <a:lumMod val="75000"/>
                      <a:lumOff val="25000"/>
                    </a:schemeClr>
                  </a:gs>
                </a:gsLst>
                <a:lin ang="108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41145216"/>
        <c:crosses val="autoZero"/>
        <c:auto val="1"/>
        <c:lblAlgn val="ctr"/>
        <c:lblOffset val="100"/>
        <c:noMultiLvlLbl val="0"/>
      </c:catAx>
      <c:valAx>
        <c:axId val="141145216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0">
                    <a:schemeClr val="dk1">
                      <a:lumMod val="65000"/>
                      <a:lumOff val="35000"/>
                    </a:schemeClr>
                  </a:gs>
                  <a:gs pos="100000">
                    <a:schemeClr val="dk1">
                      <a:lumMod val="75000"/>
                      <a:lumOff val="25000"/>
                    </a:schemeClr>
                  </a:gs>
                </a:gsLst>
                <a:lin ang="108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41135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tx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000000000001255" l="0.70000000000000062" r="0.70000000000000062" t="0.75000000000001255" header="0.30000000000000032" footer="0.30000000000000032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TAUX</a:t>
            </a:r>
            <a:r>
              <a:rPr lang="fr-FR" baseline="0"/>
              <a:t> DU RESPECT DES DELAIS DE DEPOT DES BILANS </a:t>
            </a:r>
            <a:endParaRPr lang="fr-FR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TB!$M$85</c:f>
              <c:strCache>
                <c:ptCount val="1"/>
                <c:pt idx="0">
                  <c:v>Taux de respect du Délai fiscal</c:v>
                </c:pt>
              </c:strCache>
            </c:strRef>
          </c:tx>
          <c:spPr>
            <a:noFill/>
            <a:ln w="9525" cap="flat" cmpd="sng" algn="ctr">
              <a:solidFill>
                <a:schemeClr val="accent1"/>
              </a:solidFill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TB!$I$86:$I$88</c:f>
              <c:strCache>
                <c:ptCount val="3"/>
                <c:pt idx="0">
                  <c:v>Personne morale</c:v>
                </c:pt>
                <c:pt idx="1">
                  <c:v>Personne physique</c:v>
                </c:pt>
                <c:pt idx="2">
                  <c:v>Taux global</c:v>
                </c:pt>
              </c:strCache>
            </c:strRef>
          </c:cat>
          <c:val>
            <c:numRef>
              <c:f>TB!$M$86:$M$88</c:f>
              <c:numCache>
                <c:formatCode>0%</c:formatCode>
                <c:ptCount val="3"/>
                <c:pt idx="0">
                  <c:v>0.90909090909090906</c:v>
                </c:pt>
                <c:pt idx="1">
                  <c:v>1</c:v>
                </c:pt>
                <c:pt idx="2">
                  <c:v>0.92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82-4406-8D47-594805552800}"/>
            </c:ext>
          </c:extLst>
        </c:ser>
        <c:ser>
          <c:idx val="1"/>
          <c:order val="1"/>
          <c:tx>
            <c:strRef>
              <c:f>TB!$N$85</c:f>
              <c:strCache>
                <c:ptCount val="1"/>
                <c:pt idx="0">
                  <c:v>Taux de respect du Délai interne </c:v>
                </c:pt>
              </c:strCache>
            </c:strRef>
          </c:tx>
          <c:spPr>
            <a:noFill/>
            <a:ln w="9525" cap="flat" cmpd="sng" algn="ctr">
              <a:solidFill>
                <a:schemeClr val="accent2"/>
              </a:solidFill>
              <a:miter lim="800000"/>
            </a:ln>
            <a:effectLst>
              <a:glow rad="63500">
                <a:schemeClr val="accent2"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TB!$I$86:$I$88</c:f>
              <c:strCache>
                <c:ptCount val="3"/>
                <c:pt idx="0">
                  <c:v>Personne morale</c:v>
                </c:pt>
                <c:pt idx="1">
                  <c:v>Personne physique</c:v>
                </c:pt>
                <c:pt idx="2">
                  <c:v>Taux global</c:v>
                </c:pt>
              </c:strCache>
            </c:strRef>
          </c:cat>
          <c:val>
            <c:numRef>
              <c:f>TB!$N$86:$N$88</c:f>
              <c:numCache>
                <c:formatCode>0%</c:formatCode>
                <c:ptCount val="3"/>
                <c:pt idx="0">
                  <c:v>0.90909090909090906</c:v>
                </c:pt>
                <c:pt idx="1">
                  <c:v>0.66666666666666663</c:v>
                </c:pt>
                <c:pt idx="2">
                  <c:v>0.88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182-4406-8D47-5948055528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-50"/>
        <c:axId val="119240576"/>
        <c:axId val="119242112"/>
      </c:barChart>
      <c:catAx>
        <c:axId val="119240576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0">
                    <a:schemeClr val="dk1">
                      <a:lumMod val="65000"/>
                      <a:lumOff val="35000"/>
                    </a:schemeClr>
                  </a:gs>
                  <a:gs pos="100000">
                    <a:schemeClr val="dk1">
                      <a:lumMod val="75000"/>
                      <a:lumOff val="25000"/>
                    </a:schemeClr>
                  </a:gs>
                </a:gsLst>
                <a:lin ang="108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9242112"/>
        <c:crosses val="autoZero"/>
        <c:auto val="1"/>
        <c:lblAlgn val="ctr"/>
        <c:lblOffset val="100"/>
        <c:noMultiLvlLbl val="0"/>
      </c:catAx>
      <c:valAx>
        <c:axId val="119242112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0">
                    <a:schemeClr val="dk1">
                      <a:lumMod val="65000"/>
                      <a:lumOff val="35000"/>
                    </a:schemeClr>
                  </a:gs>
                  <a:gs pos="100000">
                    <a:schemeClr val="dk1">
                      <a:lumMod val="75000"/>
                      <a:lumOff val="25000"/>
                    </a:schemeClr>
                  </a:gs>
                </a:gsLst>
                <a:lin ang="108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9240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tx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000000000001255" l="0.70000000000000062" r="0.70000000000000062" t="0.75000000000001255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 Droit de timbre'!A1"/><Relationship Id="rId13" Type="http://schemas.openxmlformats.org/officeDocument/2006/relationships/hyperlink" Target="#TB!A1"/><Relationship Id="rId3" Type="http://schemas.openxmlformats.org/officeDocument/2006/relationships/hyperlink" Target="#'Bilan '!A1"/><Relationship Id="rId7" Type="http://schemas.openxmlformats.org/officeDocument/2006/relationships/hyperlink" Target="#CM!A1"/><Relationship Id="rId12" Type="http://schemas.openxmlformats.org/officeDocument/2006/relationships/hyperlink" Target="#'Calendrier fiscal'!A1"/><Relationship Id="rId2" Type="http://schemas.openxmlformats.org/officeDocument/2006/relationships/hyperlink" Target="#' TVA M'!A1"/><Relationship Id="rId16" Type="http://schemas.openxmlformats.org/officeDocument/2006/relationships/image" Target="../media/image1.jpeg"/><Relationship Id="rId1" Type="http://schemas.openxmlformats.org/officeDocument/2006/relationships/hyperlink" Target="#'Base de donn&#233;es'!A1"/><Relationship Id="rId6" Type="http://schemas.openxmlformats.org/officeDocument/2006/relationships/hyperlink" Target="#Acompte!A1"/><Relationship Id="rId11" Type="http://schemas.openxmlformats.org/officeDocument/2006/relationships/hyperlink" Target="#'ETAT 9421'!A1"/><Relationship Id="rId5" Type="http://schemas.openxmlformats.org/officeDocument/2006/relationships/hyperlink" Target="#CNSS!A1"/><Relationship Id="rId15" Type="http://schemas.openxmlformats.org/officeDocument/2006/relationships/hyperlink" Target="#'PV de l''AGO'!A1"/><Relationship Id="rId10" Type="http://schemas.openxmlformats.org/officeDocument/2006/relationships/hyperlink" Target="#'TVA T'!A1"/><Relationship Id="rId4" Type="http://schemas.openxmlformats.org/officeDocument/2006/relationships/hyperlink" Target="#IR!A1"/><Relationship Id="rId9" Type="http://schemas.openxmlformats.org/officeDocument/2006/relationships/hyperlink" Target="#TP!A1"/><Relationship Id="rId14" Type="http://schemas.openxmlformats.org/officeDocument/2006/relationships/hyperlink" Target="#'SUIVI CLIENT'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PRINCIPALE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PRINCIPALE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.xml"/><Relationship Id="rId13" Type="http://schemas.openxmlformats.org/officeDocument/2006/relationships/chart" Target="../charts/chart12.xml"/><Relationship Id="rId3" Type="http://schemas.openxmlformats.org/officeDocument/2006/relationships/hyperlink" Target="#PRINCIPALE!A1"/><Relationship Id="rId7" Type="http://schemas.openxmlformats.org/officeDocument/2006/relationships/chart" Target="../charts/chart6.xml"/><Relationship Id="rId12" Type="http://schemas.openxmlformats.org/officeDocument/2006/relationships/chart" Target="../charts/chart11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5.xml"/><Relationship Id="rId11" Type="http://schemas.openxmlformats.org/officeDocument/2006/relationships/chart" Target="../charts/chart10.xml"/><Relationship Id="rId5" Type="http://schemas.openxmlformats.org/officeDocument/2006/relationships/chart" Target="../charts/chart4.xml"/><Relationship Id="rId10" Type="http://schemas.openxmlformats.org/officeDocument/2006/relationships/chart" Target="../charts/chart9.xml"/><Relationship Id="rId4" Type="http://schemas.openxmlformats.org/officeDocument/2006/relationships/chart" Target="../charts/chart3.xml"/><Relationship Id="rId9" Type="http://schemas.openxmlformats.org/officeDocument/2006/relationships/chart" Target="../charts/chart8.xml"/><Relationship Id="rId14" Type="http://schemas.openxmlformats.org/officeDocument/2006/relationships/chart" Target="../charts/chart1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hyperlink" Target="#PRINCIPALE!A1"/><Relationship Id="rId6" Type="http://schemas.openxmlformats.org/officeDocument/2006/relationships/chart" Target="../charts/chart18.xml"/><Relationship Id="rId5" Type="http://schemas.openxmlformats.org/officeDocument/2006/relationships/chart" Target="../charts/chart17.xml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5.xml"/><Relationship Id="rId13" Type="http://schemas.openxmlformats.org/officeDocument/2006/relationships/chart" Target="../charts/chart30.xml"/><Relationship Id="rId3" Type="http://schemas.openxmlformats.org/officeDocument/2006/relationships/chart" Target="../charts/chart20.xml"/><Relationship Id="rId7" Type="http://schemas.openxmlformats.org/officeDocument/2006/relationships/chart" Target="../charts/chart24.xml"/><Relationship Id="rId12" Type="http://schemas.openxmlformats.org/officeDocument/2006/relationships/chart" Target="../charts/chart29.xml"/><Relationship Id="rId2" Type="http://schemas.openxmlformats.org/officeDocument/2006/relationships/chart" Target="../charts/chart19.xml"/><Relationship Id="rId1" Type="http://schemas.openxmlformats.org/officeDocument/2006/relationships/hyperlink" Target="#PRINCIPALE!A1"/><Relationship Id="rId6" Type="http://schemas.openxmlformats.org/officeDocument/2006/relationships/chart" Target="../charts/chart23.xml"/><Relationship Id="rId11" Type="http://schemas.openxmlformats.org/officeDocument/2006/relationships/chart" Target="../charts/chart28.xml"/><Relationship Id="rId5" Type="http://schemas.openxmlformats.org/officeDocument/2006/relationships/chart" Target="../charts/chart22.xml"/><Relationship Id="rId10" Type="http://schemas.openxmlformats.org/officeDocument/2006/relationships/chart" Target="../charts/chart27.xml"/><Relationship Id="rId4" Type="http://schemas.openxmlformats.org/officeDocument/2006/relationships/chart" Target="../charts/chart21.xml"/><Relationship Id="rId9" Type="http://schemas.openxmlformats.org/officeDocument/2006/relationships/chart" Target="../charts/chart26.xml"/><Relationship Id="rId14" Type="http://schemas.openxmlformats.org/officeDocument/2006/relationships/chart" Target="../charts/chart31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8.xml"/><Relationship Id="rId13" Type="http://schemas.openxmlformats.org/officeDocument/2006/relationships/chart" Target="../charts/chart43.xml"/><Relationship Id="rId3" Type="http://schemas.openxmlformats.org/officeDocument/2006/relationships/chart" Target="../charts/chart33.xml"/><Relationship Id="rId7" Type="http://schemas.openxmlformats.org/officeDocument/2006/relationships/chart" Target="../charts/chart37.xml"/><Relationship Id="rId12" Type="http://schemas.openxmlformats.org/officeDocument/2006/relationships/chart" Target="../charts/chart42.xml"/><Relationship Id="rId2" Type="http://schemas.openxmlformats.org/officeDocument/2006/relationships/hyperlink" Target="#PRINCIPALE!A1"/><Relationship Id="rId1" Type="http://schemas.openxmlformats.org/officeDocument/2006/relationships/chart" Target="../charts/chart32.xml"/><Relationship Id="rId6" Type="http://schemas.openxmlformats.org/officeDocument/2006/relationships/chart" Target="../charts/chart36.xml"/><Relationship Id="rId11" Type="http://schemas.openxmlformats.org/officeDocument/2006/relationships/chart" Target="../charts/chart41.xml"/><Relationship Id="rId5" Type="http://schemas.openxmlformats.org/officeDocument/2006/relationships/chart" Target="../charts/chart35.xml"/><Relationship Id="rId10" Type="http://schemas.openxmlformats.org/officeDocument/2006/relationships/chart" Target="../charts/chart40.xml"/><Relationship Id="rId4" Type="http://schemas.openxmlformats.org/officeDocument/2006/relationships/chart" Target="../charts/chart34.xml"/><Relationship Id="rId9" Type="http://schemas.openxmlformats.org/officeDocument/2006/relationships/chart" Target="../charts/chart39.xml"/><Relationship Id="rId14" Type="http://schemas.openxmlformats.org/officeDocument/2006/relationships/chart" Target="../charts/chart44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1.xml"/><Relationship Id="rId13" Type="http://schemas.openxmlformats.org/officeDocument/2006/relationships/chart" Target="../charts/chart56.xml"/><Relationship Id="rId3" Type="http://schemas.openxmlformats.org/officeDocument/2006/relationships/hyperlink" Target="#PRINCIPALE!A1"/><Relationship Id="rId7" Type="http://schemas.openxmlformats.org/officeDocument/2006/relationships/chart" Target="../charts/chart50.xml"/><Relationship Id="rId12" Type="http://schemas.openxmlformats.org/officeDocument/2006/relationships/chart" Target="../charts/chart55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6" Type="http://schemas.openxmlformats.org/officeDocument/2006/relationships/chart" Target="../charts/chart49.xml"/><Relationship Id="rId11" Type="http://schemas.openxmlformats.org/officeDocument/2006/relationships/chart" Target="../charts/chart54.xml"/><Relationship Id="rId5" Type="http://schemas.openxmlformats.org/officeDocument/2006/relationships/chart" Target="../charts/chart48.xml"/><Relationship Id="rId10" Type="http://schemas.openxmlformats.org/officeDocument/2006/relationships/chart" Target="../charts/chart53.xml"/><Relationship Id="rId4" Type="http://schemas.openxmlformats.org/officeDocument/2006/relationships/chart" Target="../charts/chart47.xml"/><Relationship Id="rId9" Type="http://schemas.openxmlformats.org/officeDocument/2006/relationships/chart" Target="../charts/chart52.xml"/><Relationship Id="rId14" Type="http://schemas.openxmlformats.org/officeDocument/2006/relationships/chart" Target="../charts/chart57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9.xml"/><Relationship Id="rId2" Type="http://schemas.openxmlformats.org/officeDocument/2006/relationships/chart" Target="../charts/chart58.xml"/><Relationship Id="rId1" Type="http://schemas.openxmlformats.org/officeDocument/2006/relationships/hyperlink" Target="#PRINCIPALE!A1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1.xml"/><Relationship Id="rId2" Type="http://schemas.openxmlformats.org/officeDocument/2006/relationships/chart" Target="../charts/chart60.xml"/><Relationship Id="rId1" Type="http://schemas.openxmlformats.org/officeDocument/2006/relationships/hyperlink" Target="#PRINCIPALE!A1"/><Relationship Id="rId4" Type="http://schemas.openxmlformats.org/officeDocument/2006/relationships/chart" Target="../charts/chart62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4.xml"/><Relationship Id="rId7" Type="http://schemas.openxmlformats.org/officeDocument/2006/relationships/chart" Target="../charts/chart68.xml"/><Relationship Id="rId2" Type="http://schemas.openxmlformats.org/officeDocument/2006/relationships/chart" Target="../charts/chart63.xml"/><Relationship Id="rId1" Type="http://schemas.openxmlformats.org/officeDocument/2006/relationships/hyperlink" Target="#PRINCIPALE!A1"/><Relationship Id="rId6" Type="http://schemas.openxmlformats.org/officeDocument/2006/relationships/chart" Target="../charts/chart67.xml"/><Relationship Id="rId5" Type="http://schemas.openxmlformats.org/officeDocument/2006/relationships/chart" Target="../charts/chart66.xml"/><Relationship Id="rId4" Type="http://schemas.openxmlformats.org/officeDocument/2006/relationships/chart" Target="../charts/chart65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0.xml"/><Relationship Id="rId2" Type="http://schemas.openxmlformats.org/officeDocument/2006/relationships/chart" Target="../charts/chart69.xml"/><Relationship Id="rId1" Type="http://schemas.openxmlformats.org/officeDocument/2006/relationships/hyperlink" Target="#PRINCIPALE!A1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hyperlink" Target="#PRINCIPALE!A1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4.xml"/><Relationship Id="rId2" Type="http://schemas.openxmlformats.org/officeDocument/2006/relationships/chart" Target="../charts/chart73.xml"/><Relationship Id="rId1" Type="http://schemas.openxmlformats.org/officeDocument/2006/relationships/hyperlink" Target="#PRINCIPALE!A1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6.xml"/><Relationship Id="rId2" Type="http://schemas.openxmlformats.org/officeDocument/2006/relationships/chart" Target="../charts/chart75.xml"/><Relationship Id="rId1" Type="http://schemas.openxmlformats.org/officeDocument/2006/relationships/hyperlink" Target="#PRINCIPALE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PRINCIPALE!A1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0.xml"/><Relationship Id="rId13" Type="http://schemas.openxmlformats.org/officeDocument/2006/relationships/hyperlink" Target="#'ETAT 9421'!J3"/><Relationship Id="rId18" Type="http://schemas.openxmlformats.org/officeDocument/2006/relationships/chart" Target="../charts/chart83.xml"/><Relationship Id="rId3" Type="http://schemas.openxmlformats.org/officeDocument/2006/relationships/hyperlink" Target="#' TVA M'!AE5"/><Relationship Id="rId7" Type="http://schemas.openxmlformats.org/officeDocument/2006/relationships/chart" Target="../charts/chart79.xml"/><Relationship Id="rId12" Type="http://schemas.openxmlformats.org/officeDocument/2006/relationships/chart" Target="../charts/chart82.xml"/><Relationship Id="rId17" Type="http://schemas.openxmlformats.org/officeDocument/2006/relationships/hyperlink" Target="#'Bilan '!K3"/><Relationship Id="rId2" Type="http://schemas.openxmlformats.org/officeDocument/2006/relationships/chart" Target="../charts/chart78.xml"/><Relationship Id="rId16" Type="http://schemas.openxmlformats.org/officeDocument/2006/relationships/hyperlink" Target="#'IR PROF AGRICOLE'!J3"/><Relationship Id="rId1" Type="http://schemas.openxmlformats.org/officeDocument/2006/relationships/chart" Target="../charts/chart77.xml"/><Relationship Id="rId6" Type="http://schemas.openxmlformats.org/officeDocument/2006/relationships/hyperlink" Target="#' Droit de timbre'!AE4"/><Relationship Id="rId11" Type="http://schemas.openxmlformats.org/officeDocument/2006/relationships/hyperlink" Target="#Acompte!O4"/><Relationship Id="rId5" Type="http://schemas.openxmlformats.org/officeDocument/2006/relationships/hyperlink" Target="#CNSS!Q5"/><Relationship Id="rId15" Type="http://schemas.openxmlformats.org/officeDocument/2006/relationships/hyperlink" Target="#CM!J3"/><Relationship Id="rId10" Type="http://schemas.openxmlformats.org/officeDocument/2006/relationships/chart" Target="../charts/chart81.xml"/><Relationship Id="rId19" Type="http://schemas.openxmlformats.org/officeDocument/2006/relationships/chart" Target="../charts/chart84.xml"/><Relationship Id="rId4" Type="http://schemas.openxmlformats.org/officeDocument/2006/relationships/hyperlink" Target="#IR!AE5"/><Relationship Id="rId9" Type="http://schemas.openxmlformats.org/officeDocument/2006/relationships/hyperlink" Target="#'TVA T'!O4"/><Relationship Id="rId14" Type="http://schemas.openxmlformats.org/officeDocument/2006/relationships/hyperlink" Target="#TP!J3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514352</xdr:colOff>
      <xdr:row>7</xdr:row>
      <xdr:rowOff>104776</xdr:rowOff>
    </xdr:from>
    <xdr:to>
      <xdr:col>12</xdr:col>
      <xdr:colOff>561975</xdr:colOff>
      <xdr:row>17</xdr:row>
      <xdr:rowOff>19050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238502" y="1438276"/>
          <a:ext cx="6143623" cy="1819274"/>
        </a:xfrm>
        <a:prstGeom prst="rect">
          <a:avLst/>
        </a:prstGeom>
        <a:solidFill>
          <a:sysClr val="window" lastClr="FFFFFF"/>
        </a:solidFill>
        <a:ln>
          <a:solidFill>
            <a:schemeClr val="tx2">
              <a:lumMod val="20000"/>
              <a:lumOff val="80000"/>
            </a:schemeClr>
          </a:solidFill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581025</xdr:colOff>
      <xdr:row>7</xdr:row>
      <xdr:rowOff>142876</xdr:rowOff>
    </xdr:from>
    <xdr:to>
      <xdr:col>7</xdr:col>
      <xdr:colOff>371475</xdr:colOff>
      <xdr:row>16</xdr:row>
      <xdr:rowOff>152400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305175" y="1095376"/>
          <a:ext cx="2076450" cy="1724024"/>
        </a:xfrm>
        <a:prstGeom prst="rect">
          <a:avLst/>
        </a:prstGeom>
        <a:solidFill>
          <a:schemeClr val="tx1"/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isometricOffAxis1Right"/>
            <a:lightRig rig="threePt" dir="t"/>
          </a:scene3d>
        </a:bodyPr>
        <a:lstStyle/>
        <a:p>
          <a:pPr algn="ctr"/>
          <a:r>
            <a:rPr lang="fr-FR" sz="2000" b="1" cap="none" spc="0">
              <a:ln w="1905"/>
              <a:solidFill>
                <a:srgbClr val="FFCC66"/>
              </a:soli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</a:rPr>
            <a:t>SUIVI</a:t>
          </a:r>
          <a:r>
            <a:rPr lang="fr-FR" sz="2000" b="1" cap="none" spc="0" baseline="0">
              <a:ln w="1905"/>
              <a:solidFill>
                <a:srgbClr val="FFCC66"/>
              </a:soli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</a:rPr>
            <a:t> DECLARATIONS</a:t>
          </a:r>
          <a:endParaRPr lang="fr-FR" sz="2000" b="1" cap="none" spc="0">
            <a:ln w="1905"/>
            <a:solidFill>
              <a:srgbClr val="FFCC66"/>
            </a:solidFill>
            <a:effectLst>
              <a:innerShdw blurRad="69850" dist="43180" dir="5400000">
                <a:srgbClr val="000000">
                  <a:alpha val="65000"/>
                </a:srgbClr>
              </a:innerShdw>
            </a:effectLst>
          </a:endParaRPr>
        </a:p>
      </xdr:txBody>
    </xdr:sp>
    <xdr:clientData/>
  </xdr:twoCellAnchor>
  <xdr:twoCellAnchor>
    <xdr:from>
      <xdr:col>5</xdr:col>
      <xdr:colOff>600075</xdr:colOff>
      <xdr:row>3</xdr:row>
      <xdr:rowOff>28575</xdr:rowOff>
    </xdr:from>
    <xdr:to>
      <xdr:col>12</xdr:col>
      <xdr:colOff>38100</xdr:colOff>
      <xdr:row>5</xdr:row>
      <xdr:rowOff>114300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4086225" y="219075"/>
          <a:ext cx="4772025" cy="466725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800" b="1"/>
            <a:t>MODULE</a:t>
          </a:r>
          <a:r>
            <a:rPr lang="fr-FR" sz="1800" b="1" baseline="0"/>
            <a:t> DECLARATION FISCALES ET SOCIALES</a:t>
          </a:r>
          <a:endParaRPr lang="fr-FR" sz="1800" b="1"/>
        </a:p>
      </xdr:txBody>
    </xdr:sp>
    <xdr:clientData/>
  </xdr:twoCellAnchor>
  <xdr:twoCellAnchor>
    <xdr:from>
      <xdr:col>1</xdr:col>
      <xdr:colOff>342899</xdr:colOff>
      <xdr:row>12</xdr:row>
      <xdr:rowOff>123824</xdr:rowOff>
    </xdr:from>
    <xdr:to>
      <xdr:col>4</xdr:col>
      <xdr:colOff>314324</xdr:colOff>
      <xdr:row>14</xdr:row>
      <xdr:rowOff>95250</xdr:rowOff>
    </xdr:to>
    <xdr:sp macro="" textlink="">
      <xdr:nvSpPr>
        <xdr:cNvPr id="8" name="Rectangle 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781049" y="2409824"/>
          <a:ext cx="2257425" cy="352426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400" b="1" cap="none" spc="0">
              <a:ln w="1905"/>
              <a:solidFill>
                <a:sysClr val="windowText" lastClr="000000"/>
              </a:soli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  <a:latin typeface="+mn-lt"/>
              <a:ea typeface="+mn-ea"/>
              <a:cs typeface="+mn-cs"/>
            </a:rPr>
            <a:t>BASE DE DONNEES CLIENTS</a:t>
          </a:r>
        </a:p>
      </xdr:txBody>
    </xdr:sp>
    <xdr:clientData/>
  </xdr:twoCellAnchor>
  <xdr:twoCellAnchor>
    <xdr:from>
      <xdr:col>7</xdr:col>
      <xdr:colOff>428624</xdr:colOff>
      <xdr:row>7</xdr:row>
      <xdr:rowOff>161924</xdr:rowOff>
    </xdr:from>
    <xdr:to>
      <xdr:col>10</xdr:col>
      <xdr:colOff>47625</xdr:colOff>
      <xdr:row>9</xdr:row>
      <xdr:rowOff>32924</xdr:rowOff>
    </xdr:to>
    <xdr:sp macro="" textlink="">
      <xdr:nvSpPr>
        <xdr:cNvPr id="9" name="Rectangle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5438774" y="1495424"/>
          <a:ext cx="1905001" cy="252000"/>
        </a:xfrm>
        <a:prstGeom prst="rect">
          <a:avLst/>
        </a:prstGeom>
        <a:solidFill>
          <a:srgbClr val="0070C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 baseline="0"/>
            <a:t>TVA Mensuelle</a:t>
          </a:r>
          <a:endParaRPr lang="fr-FR" sz="1100" b="1"/>
        </a:p>
      </xdr:txBody>
    </xdr:sp>
    <xdr:clientData/>
  </xdr:twoCellAnchor>
  <xdr:twoCellAnchor>
    <xdr:from>
      <xdr:col>10</xdr:col>
      <xdr:colOff>114300</xdr:colOff>
      <xdr:row>9</xdr:row>
      <xdr:rowOff>57150</xdr:rowOff>
    </xdr:from>
    <xdr:to>
      <xdr:col>12</xdr:col>
      <xdr:colOff>495300</xdr:colOff>
      <xdr:row>10</xdr:row>
      <xdr:rowOff>118650</xdr:rowOff>
    </xdr:to>
    <xdr:sp macro="" textlink="">
      <xdr:nvSpPr>
        <xdr:cNvPr id="10" name="Rectangle 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7410450" y="1771650"/>
          <a:ext cx="1905000" cy="252000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200" b="1"/>
            <a:t>BILAN </a:t>
          </a:r>
        </a:p>
      </xdr:txBody>
    </xdr:sp>
    <xdr:clientData/>
  </xdr:twoCellAnchor>
  <xdr:twoCellAnchor>
    <xdr:from>
      <xdr:col>7</xdr:col>
      <xdr:colOff>447675</xdr:colOff>
      <xdr:row>12</xdr:row>
      <xdr:rowOff>85725</xdr:rowOff>
    </xdr:from>
    <xdr:to>
      <xdr:col>10</xdr:col>
      <xdr:colOff>66675</xdr:colOff>
      <xdr:row>13</xdr:row>
      <xdr:rowOff>152401</xdr:rowOff>
    </xdr:to>
    <xdr:sp macro="" textlink="">
      <xdr:nvSpPr>
        <xdr:cNvPr id="11" name="Rectangle 1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5457825" y="2371725"/>
          <a:ext cx="1905000" cy="257176"/>
        </a:xfrm>
        <a:prstGeom prst="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200" b="1"/>
            <a:t>IR </a:t>
          </a:r>
        </a:p>
      </xdr:txBody>
    </xdr:sp>
    <xdr:clientData/>
  </xdr:twoCellAnchor>
  <xdr:twoCellAnchor>
    <xdr:from>
      <xdr:col>7</xdr:col>
      <xdr:colOff>438150</xdr:colOff>
      <xdr:row>10</xdr:row>
      <xdr:rowOff>171450</xdr:rowOff>
    </xdr:from>
    <xdr:to>
      <xdr:col>10</xdr:col>
      <xdr:colOff>57150</xdr:colOff>
      <xdr:row>12</xdr:row>
      <xdr:rowOff>42450</xdr:rowOff>
    </xdr:to>
    <xdr:sp macro="" textlink="">
      <xdr:nvSpPr>
        <xdr:cNvPr id="12" name="Rectangle 1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5448300" y="2076450"/>
          <a:ext cx="1905000" cy="252000"/>
        </a:xfrm>
        <a:prstGeom prst="rect">
          <a:avLst/>
        </a:prstGeom>
        <a:solidFill>
          <a:srgbClr val="00B0F0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200" b="1"/>
            <a:t>CNSS </a:t>
          </a:r>
        </a:p>
      </xdr:txBody>
    </xdr:sp>
    <xdr:clientData/>
  </xdr:twoCellAnchor>
  <xdr:twoCellAnchor>
    <xdr:from>
      <xdr:col>10</xdr:col>
      <xdr:colOff>114300</xdr:colOff>
      <xdr:row>10</xdr:row>
      <xdr:rowOff>171450</xdr:rowOff>
    </xdr:from>
    <xdr:to>
      <xdr:col>12</xdr:col>
      <xdr:colOff>495300</xdr:colOff>
      <xdr:row>12</xdr:row>
      <xdr:rowOff>42450</xdr:rowOff>
    </xdr:to>
    <xdr:sp macro="" textlink="">
      <xdr:nvSpPr>
        <xdr:cNvPr id="13" name="Rectangle 12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7410450" y="2076450"/>
          <a:ext cx="1905000" cy="252000"/>
        </a:xfrm>
        <a:prstGeom prst="rect">
          <a:avLst/>
        </a:prstGeom>
        <a:solidFill>
          <a:srgbClr val="FFCC00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200" b="1"/>
            <a:t>ACOMPTES </a:t>
          </a:r>
        </a:p>
      </xdr:txBody>
    </xdr:sp>
    <xdr:clientData/>
  </xdr:twoCellAnchor>
  <xdr:twoCellAnchor>
    <xdr:from>
      <xdr:col>10</xdr:col>
      <xdr:colOff>123825</xdr:colOff>
      <xdr:row>12</xdr:row>
      <xdr:rowOff>85725</xdr:rowOff>
    </xdr:from>
    <xdr:to>
      <xdr:col>12</xdr:col>
      <xdr:colOff>504825</xdr:colOff>
      <xdr:row>13</xdr:row>
      <xdr:rowOff>147225</xdr:rowOff>
    </xdr:to>
    <xdr:sp macro="" textlink="">
      <xdr:nvSpPr>
        <xdr:cNvPr id="14" name="Rectangle 1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7419975" y="2371725"/>
          <a:ext cx="1905000" cy="252000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200" b="1"/>
            <a:t>COTISATION MINIMALE </a:t>
          </a:r>
        </a:p>
      </xdr:txBody>
    </xdr:sp>
    <xdr:clientData/>
  </xdr:twoCellAnchor>
  <xdr:twoCellAnchor>
    <xdr:from>
      <xdr:col>7</xdr:col>
      <xdr:colOff>438150</xdr:colOff>
      <xdr:row>14</xdr:row>
      <xdr:rowOff>0</xdr:rowOff>
    </xdr:from>
    <xdr:to>
      <xdr:col>10</xdr:col>
      <xdr:colOff>57150</xdr:colOff>
      <xdr:row>15</xdr:row>
      <xdr:rowOff>61500</xdr:rowOff>
    </xdr:to>
    <xdr:sp macro="" textlink="">
      <xdr:nvSpPr>
        <xdr:cNvPr id="15" name="Rectangle 1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5448300" y="2667000"/>
          <a:ext cx="1905000" cy="252000"/>
        </a:xfrm>
        <a:prstGeom prst="rect">
          <a:avLst/>
        </a:prstGeom>
        <a:solidFill>
          <a:srgbClr val="00B050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200" b="1"/>
            <a:t>DROIT DE TIMBRE </a:t>
          </a:r>
        </a:p>
      </xdr:txBody>
    </xdr:sp>
    <xdr:clientData/>
  </xdr:twoCellAnchor>
  <xdr:twoCellAnchor>
    <xdr:from>
      <xdr:col>10</xdr:col>
      <xdr:colOff>133350</xdr:colOff>
      <xdr:row>14</xdr:row>
      <xdr:rowOff>9525</xdr:rowOff>
    </xdr:from>
    <xdr:to>
      <xdr:col>12</xdr:col>
      <xdr:colOff>514350</xdr:colOff>
      <xdr:row>15</xdr:row>
      <xdr:rowOff>71025</xdr:rowOff>
    </xdr:to>
    <xdr:sp macro="" textlink="">
      <xdr:nvSpPr>
        <xdr:cNvPr id="16" name="Rectangle 1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7429500" y="2295525"/>
          <a:ext cx="1905000" cy="252000"/>
        </a:xfrm>
        <a:prstGeom prst="rect">
          <a:avLst/>
        </a:prstGeom>
        <a:solidFill>
          <a:schemeClr val="bg2">
            <a:lumMod val="25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200" b="1"/>
            <a:t>TAXE PROFESSIONNELLES</a:t>
          </a:r>
        </a:p>
      </xdr:txBody>
    </xdr:sp>
    <xdr:clientData/>
  </xdr:twoCellAnchor>
  <xdr:twoCellAnchor>
    <xdr:from>
      <xdr:col>10</xdr:col>
      <xdr:colOff>133350</xdr:colOff>
      <xdr:row>15</xdr:row>
      <xdr:rowOff>104775</xdr:rowOff>
    </xdr:from>
    <xdr:to>
      <xdr:col>12</xdr:col>
      <xdr:colOff>514350</xdr:colOff>
      <xdr:row>16</xdr:row>
      <xdr:rowOff>166275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7429500" y="2581275"/>
          <a:ext cx="1905000" cy="252000"/>
        </a:xfrm>
        <a:prstGeom prst="rect">
          <a:avLst/>
        </a:prstGeom>
        <a:solidFill>
          <a:schemeClr val="accent6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200" b="1"/>
            <a:t>IR PROF GLOBAL</a:t>
          </a:r>
        </a:p>
      </xdr:txBody>
    </xdr:sp>
    <xdr:clientData/>
  </xdr:twoCellAnchor>
  <xdr:twoCellAnchor>
    <xdr:from>
      <xdr:col>7</xdr:col>
      <xdr:colOff>428625</xdr:colOff>
      <xdr:row>9</xdr:row>
      <xdr:rowOff>66674</xdr:rowOff>
    </xdr:from>
    <xdr:to>
      <xdr:col>10</xdr:col>
      <xdr:colOff>47626</xdr:colOff>
      <xdr:row>10</xdr:row>
      <xdr:rowOff>128174</xdr:rowOff>
    </xdr:to>
    <xdr:sp macro="" textlink="">
      <xdr:nvSpPr>
        <xdr:cNvPr id="19" name="Rectangle 18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DDBE5D78-7E8C-42AF-A89D-77D72BC5568A}"/>
            </a:ext>
          </a:extLst>
        </xdr:cNvPr>
        <xdr:cNvSpPr/>
      </xdr:nvSpPr>
      <xdr:spPr>
        <a:xfrm>
          <a:off x="5438775" y="1781174"/>
          <a:ext cx="1905001" cy="252000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 baseline="0"/>
            <a:t>TVA Trimestrielle</a:t>
          </a:r>
          <a:endParaRPr lang="fr-FR" sz="1100" b="1"/>
        </a:p>
      </xdr:txBody>
    </xdr:sp>
    <xdr:clientData/>
  </xdr:twoCellAnchor>
  <xdr:twoCellAnchor>
    <xdr:from>
      <xdr:col>10</xdr:col>
      <xdr:colOff>123827</xdr:colOff>
      <xdr:row>7</xdr:row>
      <xdr:rowOff>142876</xdr:rowOff>
    </xdr:from>
    <xdr:to>
      <xdr:col>12</xdr:col>
      <xdr:colOff>504827</xdr:colOff>
      <xdr:row>9</xdr:row>
      <xdr:rowOff>13876</xdr:rowOff>
    </xdr:to>
    <xdr:sp macro="" textlink="">
      <xdr:nvSpPr>
        <xdr:cNvPr id="21" name="Rectangle 20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278AF8A0-B0EA-4EF3-A913-73A0ED3951DA}"/>
            </a:ext>
          </a:extLst>
        </xdr:cNvPr>
        <xdr:cNvSpPr/>
      </xdr:nvSpPr>
      <xdr:spPr>
        <a:xfrm>
          <a:off x="7419977" y="1476376"/>
          <a:ext cx="1905000" cy="252000"/>
        </a:xfrm>
        <a:prstGeom prst="rect">
          <a:avLst/>
        </a:prstGeom>
        <a:solidFill>
          <a:schemeClr val="accent2">
            <a:lumMod val="75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200" b="1"/>
            <a:t>Etat</a:t>
          </a:r>
          <a:r>
            <a:rPr lang="fr-FR" sz="1200" b="1" baseline="0"/>
            <a:t> 9421</a:t>
          </a:r>
          <a:endParaRPr lang="fr-FR" sz="1200" b="1"/>
        </a:p>
      </xdr:txBody>
    </xdr:sp>
    <xdr:clientData/>
  </xdr:twoCellAnchor>
  <xdr:twoCellAnchor>
    <xdr:from>
      <xdr:col>1</xdr:col>
      <xdr:colOff>352426</xdr:colOff>
      <xdr:row>10</xdr:row>
      <xdr:rowOff>66675</xdr:rowOff>
    </xdr:from>
    <xdr:to>
      <xdr:col>4</xdr:col>
      <xdr:colOff>314326</xdr:colOff>
      <xdr:row>12</xdr:row>
      <xdr:rowOff>9675</xdr:rowOff>
    </xdr:to>
    <xdr:sp macro="" textlink="">
      <xdr:nvSpPr>
        <xdr:cNvPr id="22" name="Rectangle 21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6598D3AA-6CC6-42F0-84E0-7F9A72D4E1A6}"/>
            </a:ext>
          </a:extLst>
        </xdr:cNvPr>
        <xdr:cNvSpPr/>
      </xdr:nvSpPr>
      <xdr:spPr>
        <a:xfrm>
          <a:off x="790576" y="1971675"/>
          <a:ext cx="2247900" cy="324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400" b="1" cap="none" spc="0">
              <a:ln w="1905"/>
              <a:solidFill>
                <a:sysClr val="windowText" lastClr="000000"/>
              </a:soli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  <a:latin typeface="+mn-lt"/>
            </a:rPr>
            <a:t>CALENDRIER FISCAL</a:t>
          </a:r>
        </a:p>
      </xdr:txBody>
    </xdr:sp>
    <xdr:clientData/>
  </xdr:twoCellAnchor>
  <xdr:twoCellAnchor>
    <xdr:from>
      <xdr:col>12</xdr:col>
      <xdr:colOff>723900</xdr:colOff>
      <xdr:row>12</xdr:row>
      <xdr:rowOff>19050</xdr:rowOff>
    </xdr:from>
    <xdr:to>
      <xdr:col>15</xdr:col>
      <xdr:colOff>669900</xdr:colOff>
      <xdr:row>13</xdr:row>
      <xdr:rowOff>152550</xdr:rowOff>
    </xdr:to>
    <xdr:sp macro="" textlink="">
      <xdr:nvSpPr>
        <xdr:cNvPr id="24" name="Rectangle 2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FAB3797B-4C91-4C12-BC77-AA35E9359D37}"/>
            </a:ext>
          </a:extLst>
        </xdr:cNvPr>
        <xdr:cNvSpPr/>
      </xdr:nvSpPr>
      <xdr:spPr>
        <a:xfrm>
          <a:off x="9544050" y="1924050"/>
          <a:ext cx="2232000" cy="324000"/>
        </a:xfrm>
        <a:prstGeom prst="rect">
          <a:avLst/>
        </a:prstGeom>
        <a:solidFill>
          <a:schemeClr val="tx1"/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400" b="1" cap="none" spc="0">
              <a:ln w="1905"/>
              <a:solidFill>
                <a:schemeClr val="bg1"/>
              </a:soli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  <a:latin typeface="+mn-lt"/>
            </a:rPr>
            <a:t>TABLEAU DE BORD</a:t>
          </a:r>
        </a:p>
      </xdr:txBody>
    </xdr:sp>
    <xdr:clientData/>
  </xdr:twoCellAnchor>
  <xdr:twoCellAnchor>
    <xdr:from>
      <xdr:col>12</xdr:col>
      <xdr:colOff>723900</xdr:colOff>
      <xdr:row>10</xdr:row>
      <xdr:rowOff>19050</xdr:rowOff>
    </xdr:from>
    <xdr:to>
      <xdr:col>15</xdr:col>
      <xdr:colOff>669900</xdr:colOff>
      <xdr:row>11</xdr:row>
      <xdr:rowOff>152550</xdr:rowOff>
    </xdr:to>
    <xdr:sp macro="" textlink="">
      <xdr:nvSpPr>
        <xdr:cNvPr id="25" name="Rectangle 24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A8D675D9-A38E-4331-B682-F82065CA746A}"/>
            </a:ext>
          </a:extLst>
        </xdr:cNvPr>
        <xdr:cNvSpPr/>
      </xdr:nvSpPr>
      <xdr:spPr>
        <a:xfrm>
          <a:off x="9544050" y="1543050"/>
          <a:ext cx="2232000" cy="324000"/>
        </a:xfrm>
        <a:prstGeom prst="rect">
          <a:avLst/>
        </a:prstGeom>
        <a:solidFill>
          <a:schemeClr val="tx1"/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400" b="1" cap="none" spc="0">
              <a:ln w="1905"/>
              <a:solidFill>
                <a:schemeClr val="bg1"/>
              </a:soli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</a:rPr>
            <a:t>SITUATION CLIENTS</a:t>
          </a:r>
        </a:p>
      </xdr:txBody>
    </xdr:sp>
    <xdr:clientData/>
  </xdr:twoCellAnchor>
  <xdr:twoCellAnchor>
    <xdr:from>
      <xdr:col>7</xdr:col>
      <xdr:colOff>438150</xdr:colOff>
      <xdr:row>15</xdr:row>
      <xdr:rowOff>104775</xdr:rowOff>
    </xdr:from>
    <xdr:to>
      <xdr:col>10</xdr:col>
      <xdr:colOff>57150</xdr:colOff>
      <xdr:row>16</xdr:row>
      <xdr:rowOff>166275</xdr:rowOff>
    </xdr:to>
    <xdr:sp macro="" textlink="">
      <xdr:nvSpPr>
        <xdr:cNvPr id="26" name="Rectangle 25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DC15CFA1-1732-427B-82AE-53E2AD0BEF69}"/>
            </a:ext>
          </a:extLst>
        </xdr:cNvPr>
        <xdr:cNvSpPr/>
      </xdr:nvSpPr>
      <xdr:spPr>
        <a:xfrm>
          <a:off x="5448300" y="2962275"/>
          <a:ext cx="1905000" cy="252000"/>
        </a:xfrm>
        <a:prstGeom prst="rect">
          <a:avLst/>
        </a:prstGeom>
        <a:solidFill>
          <a:schemeClr val="tx2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200" b="1"/>
            <a:t>PV</a:t>
          </a:r>
          <a:r>
            <a:rPr lang="fr-FR" sz="1200" b="1" baseline="0"/>
            <a:t> de l'AGO</a:t>
          </a:r>
        </a:p>
      </xdr:txBody>
    </xdr:sp>
    <xdr:clientData/>
  </xdr:twoCellAnchor>
  <xdr:oneCellAnchor>
    <xdr:from>
      <xdr:col>0</xdr:col>
      <xdr:colOff>400050</xdr:colOff>
      <xdr:row>20</xdr:row>
      <xdr:rowOff>152400</xdr:rowOff>
    </xdr:from>
    <xdr:ext cx="3655744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8E0BFA07-EDA4-4521-A144-8C8FB488BDA1}"/>
            </a:ext>
          </a:extLst>
        </xdr:cNvPr>
        <xdr:cNvSpPr txBox="1"/>
      </xdr:nvSpPr>
      <xdr:spPr>
        <a:xfrm>
          <a:off x="400050" y="3962400"/>
          <a:ext cx="365574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100" b="1" i="1">
              <a:solidFill>
                <a:schemeClr val="tx2"/>
              </a:solidFill>
            </a:rPr>
            <a:t>NB: Le renseignement des numéros de dépôts est facultatif </a:t>
          </a:r>
        </a:p>
      </xdr:txBody>
    </xdr:sp>
    <xdr:clientData/>
  </xdr:oneCellAnchor>
  <xdr:twoCellAnchor editAs="oneCell">
    <xdr:from>
      <xdr:col>1</xdr:col>
      <xdr:colOff>76200</xdr:colOff>
      <xdr:row>2</xdr:row>
      <xdr:rowOff>57150</xdr:rowOff>
    </xdr:from>
    <xdr:to>
      <xdr:col>3</xdr:col>
      <xdr:colOff>230278</xdr:colOff>
      <xdr:row>6</xdr:row>
      <xdr:rowOff>99294</xdr:rowOff>
    </xdr:to>
    <xdr:pic>
      <xdr:nvPicPr>
        <xdr:cNvPr id="23" name="Image 22">
          <a:extLst>
            <a:ext uri="{FF2B5EF4-FFF2-40B4-BE49-F238E27FC236}">
              <a16:creationId xmlns:a16="http://schemas.microsoft.com/office/drawing/2014/main" id="{F30C43E1-C02E-4066-AD20-4BE05AD142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50" y="438150"/>
          <a:ext cx="1678078" cy="80414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266701</xdr:colOff>
      <xdr:row>0</xdr:row>
      <xdr:rowOff>28575</xdr:rowOff>
    </xdr:from>
    <xdr:to>
      <xdr:col>9</xdr:col>
      <xdr:colOff>104775</xdr:colOff>
      <xdr:row>2</xdr:row>
      <xdr:rowOff>104774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C4A1546F-96D5-47B8-9A2E-F00D3F1F0903}"/>
            </a:ext>
          </a:extLst>
        </xdr:cNvPr>
        <xdr:cNvSpPr/>
      </xdr:nvSpPr>
      <xdr:spPr>
        <a:xfrm>
          <a:off x="4695826" y="28575"/>
          <a:ext cx="3038474" cy="533399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400" b="1" cap="none" spc="0">
              <a:ln w="1905"/>
              <a:solidFill>
                <a:sysClr val="windowText" lastClr="000000"/>
              </a:soli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  <a:latin typeface="+mn-lt"/>
            </a:rPr>
            <a:t>CALENDRIER FISCAL</a:t>
          </a:r>
        </a:p>
        <a:p>
          <a:pPr algn="ctr"/>
          <a:r>
            <a:rPr lang="fr-FR" sz="1400" b="1" cap="none" spc="0">
              <a:ln w="1905"/>
              <a:solidFill>
                <a:sysClr val="windowText" lastClr="000000"/>
              </a:soli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  <a:latin typeface="+mn-lt"/>
            </a:rPr>
            <a:t>ANNEE</a:t>
          </a:r>
          <a:r>
            <a:rPr lang="fr-FR" sz="1400" b="1" cap="none" spc="0" baseline="0">
              <a:ln w="1905"/>
              <a:solidFill>
                <a:sysClr val="windowText" lastClr="000000"/>
              </a:soli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  <a:latin typeface="+mn-lt"/>
            </a:rPr>
            <a:t> 2019</a:t>
          </a:r>
          <a:endParaRPr lang="fr-FR" sz="1400" b="1" cap="none" spc="0">
            <a:ln w="1905"/>
            <a:solidFill>
              <a:sysClr val="windowText" lastClr="000000"/>
            </a:solidFill>
            <a:effectLst>
              <a:innerShdw blurRad="69850" dist="43180" dir="5400000">
                <a:srgbClr val="000000">
                  <a:alpha val="65000"/>
                </a:srgbClr>
              </a:innerShdw>
            </a:effectLst>
            <a:latin typeface="+mn-lt"/>
          </a:endParaRPr>
        </a:p>
      </xdr:txBody>
    </xdr:sp>
    <xdr:clientData/>
  </xdr:twoCellAnchor>
  <xdr:twoCellAnchor>
    <xdr:from>
      <xdr:col>10</xdr:col>
      <xdr:colOff>0</xdr:colOff>
      <xdr:row>1</xdr:row>
      <xdr:rowOff>0</xdr:rowOff>
    </xdr:from>
    <xdr:to>
      <xdr:col>10</xdr:col>
      <xdr:colOff>142875</xdr:colOff>
      <xdr:row>2</xdr:row>
      <xdr:rowOff>19050</xdr:rowOff>
    </xdr:to>
    <xdr:sp macro="" textlink="">
      <xdr:nvSpPr>
        <xdr:cNvPr id="4" name="Flèche : courbe vers la gauch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76267BA-2F54-4448-9CFF-8A08FA3B43CA}"/>
            </a:ext>
          </a:extLst>
        </xdr:cNvPr>
        <xdr:cNvSpPr/>
      </xdr:nvSpPr>
      <xdr:spPr>
        <a:xfrm>
          <a:off x="8477250" y="190500"/>
          <a:ext cx="142875" cy="285750"/>
        </a:xfrm>
        <a:prstGeom prst="curvedLef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104775</xdr:colOff>
      <xdr:row>0</xdr:row>
      <xdr:rowOff>9525</xdr:rowOff>
    </xdr:from>
    <xdr:to>
      <xdr:col>6</xdr:col>
      <xdr:colOff>352425</xdr:colOff>
      <xdr:row>1</xdr:row>
      <xdr:rowOff>76201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6FAB2C-0BD4-4A8A-A89F-2704FB159473}"/>
            </a:ext>
          </a:extLst>
        </xdr:cNvPr>
        <xdr:cNvSpPr/>
      </xdr:nvSpPr>
      <xdr:spPr>
        <a:xfrm>
          <a:off x="6057900" y="9525"/>
          <a:ext cx="1838325" cy="257176"/>
        </a:xfrm>
        <a:prstGeom prst="rect">
          <a:avLst/>
        </a:prstGeom>
        <a:solidFill>
          <a:schemeClr val="accent1"/>
        </a:soli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baseline="0"/>
            <a:t>BASE DE DONNEES CLIENTS</a:t>
          </a:r>
          <a:endParaRPr lang="fr-FR" sz="1100" b="1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7</xdr:col>
      <xdr:colOff>142875</xdr:colOff>
      <xdr:row>1</xdr:row>
      <xdr:rowOff>95250</xdr:rowOff>
    </xdr:to>
    <xdr:sp macro="" textlink="">
      <xdr:nvSpPr>
        <xdr:cNvPr id="3" name="Flèche : courbe vers la gauch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E9CA142-C67A-4144-9C2C-E36AF259A03D}"/>
            </a:ext>
          </a:extLst>
        </xdr:cNvPr>
        <xdr:cNvSpPr/>
      </xdr:nvSpPr>
      <xdr:spPr>
        <a:xfrm>
          <a:off x="8620125" y="0"/>
          <a:ext cx="142875" cy="285750"/>
        </a:xfrm>
        <a:prstGeom prst="curvedLef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304800</xdr:colOff>
      <xdr:row>2</xdr:row>
      <xdr:rowOff>74084</xdr:rowOff>
    </xdr:from>
    <xdr:to>
      <xdr:col>8</xdr:col>
      <xdr:colOff>1000125</xdr:colOff>
      <xdr:row>7</xdr:row>
      <xdr:rowOff>527050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24761759-C1C5-4BD9-BD74-4AFA4F91D7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1125009</xdr:colOff>
      <xdr:row>2</xdr:row>
      <xdr:rowOff>71967</xdr:rowOff>
    </xdr:from>
    <xdr:to>
      <xdr:col>5</xdr:col>
      <xdr:colOff>172509</xdr:colOff>
      <xdr:row>7</xdr:row>
      <xdr:rowOff>220259</xdr:rowOff>
    </xdr:to>
    <xdr:graphicFrame macro="">
      <xdr:nvGraphicFramePr>
        <xdr:cNvPr id="12" name="Graphique 11">
          <a:extLst>
            <a:ext uri="{FF2B5EF4-FFF2-40B4-BE49-F238E27FC236}">
              <a16:creationId xmlns:a16="http://schemas.microsoft.com/office/drawing/2014/main" id="{31147386-479A-49C7-B8FF-FB5E8D85742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0</xdr:row>
      <xdr:rowOff>19050</xdr:rowOff>
    </xdr:from>
    <xdr:to>
      <xdr:col>2</xdr:col>
      <xdr:colOff>9525</xdr:colOff>
      <xdr:row>1</xdr:row>
      <xdr:rowOff>142875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9428B3C1-D623-4010-8FA9-F644F2DFFFF8}"/>
            </a:ext>
          </a:extLst>
        </xdr:cNvPr>
        <xdr:cNvSpPr txBox="1"/>
      </xdr:nvSpPr>
      <xdr:spPr>
        <a:xfrm>
          <a:off x="0" y="19050"/>
          <a:ext cx="2438400" cy="314325"/>
        </a:xfrm>
        <a:prstGeom prst="rect">
          <a:avLst/>
        </a:prstGeom>
        <a:ln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ctr"/>
          <a:r>
            <a:rPr lang="fr-FR" sz="1200" b="1"/>
            <a:t>TVA Mensuelle</a:t>
          </a:r>
        </a:p>
      </xdr:txBody>
    </xdr:sp>
    <xdr:clientData/>
  </xdr:twoCellAnchor>
  <xdr:twoCellAnchor>
    <xdr:from>
      <xdr:col>2</xdr:col>
      <xdr:colOff>1009650</xdr:colOff>
      <xdr:row>0</xdr:row>
      <xdr:rowOff>57150</xdr:rowOff>
    </xdr:from>
    <xdr:to>
      <xdr:col>2</xdr:col>
      <xdr:colOff>1152525</xdr:colOff>
      <xdr:row>1</xdr:row>
      <xdr:rowOff>152400</xdr:rowOff>
    </xdr:to>
    <xdr:sp macro="" textlink="">
      <xdr:nvSpPr>
        <xdr:cNvPr id="5" name="Flèche : courbe vers la gauche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6E75C2E-276F-40BA-9C45-BBD6E1E30987}"/>
            </a:ext>
          </a:extLst>
        </xdr:cNvPr>
        <xdr:cNvSpPr/>
      </xdr:nvSpPr>
      <xdr:spPr>
        <a:xfrm>
          <a:off x="3438525" y="57150"/>
          <a:ext cx="142875" cy="285750"/>
        </a:xfrm>
        <a:prstGeom prst="curvedLef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2</xdr:col>
      <xdr:colOff>1381124</xdr:colOff>
      <xdr:row>6</xdr:row>
      <xdr:rowOff>148167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6C21855C-CF2B-4A4C-A568-A129A12FE79A}"/>
            </a:ext>
          </a:extLst>
        </xdr:cNvPr>
        <xdr:cNvSpPr txBox="1"/>
      </xdr:nvSpPr>
      <xdr:spPr>
        <a:xfrm>
          <a:off x="0" y="444500"/>
          <a:ext cx="3815291" cy="666750"/>
        </a:xfrm>
        <a:prstGeom prst="rect">
          <a:avLst/>
        </a:prstGeom>
        <a:solidFill>
          <a:schemeClr val="bg2">
            <a:lumMod val="75000"/>
          </a:schemeClr>
        </a:solidFill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050" b="1"/>
            <a:t>Objectif: Respect du délai interne fixé pour la</a:t>
          </a:r>
          <a:r>
            <a:rPr lang="fr-FR" sz="1050" b="1" baseline="0"/>
            <a:t> </a:t>
          </a:r>
          <a:r>
            <a:rPr lang="fr-FR" sz="1050" b="1"/>
            <a:t>télédéclaration</a:t>
          </a:r>
          <a:r>
            <a:rPr lang="fr-FR" sz="1050" b="1" baseline="0"/>
            <a:t>                </a:t>
          </a:r>
        </a:p>
        <a:p>
          <a:pPr algn="ctr"/>
          <a:r>
            <a:rPr lang="fr-FR" sz="1050" b="1"/>
            <a:t>Délai interne= délai fiscal-3 jour</a:t>
          </a:r>
        </a:p>
        <a:p>
          <a:pPr algn="ctr"/>
          <a:r>
            <a:rPr lang="fr-FR" sz="1100" b="1" u="dbl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Cible=90% </a:t>
          </a:r>
          <a:endParaRPr lang="fr-FR" sz="1050" b="1" u="dbl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66675</xdr:colOff>
      <xdr:row>2</xdr:row>
      <xdr:rowOff>74084</xdr:rowOff>
    </xdr:from>
    <xdr:to>
      <xdr:col>8</xdr:col>
      <xdr:colOff>19050</xdr:colOff>
      <xdr:row>7</xdr:row>
      <xdr:rowOff>527050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D046A02F-921F-41C6-B2F7-15BACD91D81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876300</xdr:colOff>
      <xdr:row>2</xdr:row>
      <xdr:rowOff>114308</xdr:rowOff>
    </xdr:from>
    <xdr:to>
      <xdr:col>11</xdr:col>
      <xdr:colOff>171449</xdr:colOff>
      <xdr:row>7</xdr:row>
      <xdr:rowOff>266700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4804B716-5DF2-4321-8D1A-5908C4A4AB2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238125</xdr:colOff>
      <xdr:row>2</xdr:row>
      <xdr:rowOff>66674</xdr:rowOff>
    </xdr:from>
    <xdr:to>
      <xdr:col>13</xdr:col>
      <xdr:colOff>676275</xdr:colOff>
      <xdr:row>7</xdr:row>
      <xdr:rowOff>285749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3AD0B3B6-DB43-4AE6-BCEB-FF2023A224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57150</xdr:colOff>
      <xdr:row>2</xdr:row>
      <xdr:rowOff>9525</xdr:rowOff>
    </xdr:from>
    <xdr:to>
      <xdr:col>16</xdr:col>
      <xdr:colOff>76206</xdr:colOff>
      <xdr:row>7</xdr:row>
      <xdr:rowOff>361950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9E252A73-F24B-4B36-9393-3D79F6F672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47624</xdr:colOff>
      <xdr:row>1</xdr:row>
      <xdr:rowOff>133356</xdr:rowOff>
    </xdr:from>
    <xdr:to>
      <xdr:col>18</xdr:col>
      <xdr:colOff>57155</xdr:colOff>
      <xdr:row>7</xdr:row>
      <xdr:rowOff>314325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995C504E-FAB1-4796-879D-16B3C40E39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16</xdr:col>
      <xdr:colOff>19050</xdr:colOff>
      <xdr:row>1</xdr:row>
      <xdr:rowOff>19049</xdr:rowOff>
    </xdr:from>
    <xdr:to>
      <xdr:col>20</xdr:col>
      <xdr:colOff>6</xdr:colOff>
      <xdr:row>7</xdr:row>
      <xdr:rowOff>285750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98932A6B-7C6F-4B36-A24D-552790F8AF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18</xdr:col>
      <xdr:colOff>314326</xdr:colOff>
      <xdr:row>2</xdr:row>
      <xdr:rowOff>38100</xdr:rowOff>
    </xdr:from>
    <xdr:to>
      <xdr:col>21</xdr:col>
      <xdr:colOff>857250</xdr:colOff>
      <xdr:row>7</xdr:row>
      <xdr:rowOff>295276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74A0A37A-1A61-4E99-A911-560BFFF13AC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19</xdr:col>
      <xdr:colOff>723900</xdr:colOff>
      <xdr:row>2</xdr:row>
      <xdr:rowOff>85725</xdr:rowOff>
    </xdr:from>
    <xdr:to>
      <xdr:col>23</xdr:col>
      <xdr:colOff>504830</xdr:colOff>
      <xdr:row>7</xdr:row>
      <xdr:rowOff>342898</xdr:rowOff>
    </xdr:to>
    <xdr:graphicFrame macro="">
      <xdr:nvGraphicFramePr>
        <xdr:cNvPr id="14" name="Graphique 13">
          <a:extLst>
            <a:ext uri="{FF2B5EF4-FFF2-40B4-BE49-F238E27FC236}">
              <a16:creationId xmlns:a16="http://schemas.microsoft.com/office/drawing/2014/main" id="{E8CF68D3-6060-48D1-B279-172DEAC175F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21</xdr:col>
      <xdr:colOff>857250</xdr:colOff>
      <xdr:row>2</xdr:row>
      <xdr:rowOff>47625</xdr:rowOff>
    </xdr:from>
    <xdr:to>
      <xdr:col>26</xdr:col>
      <xdr:colOff>123831</xdr:colOff>
      <xdr:row>7</xdr:row>
      <xdr:rowOff>285750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8E1FC543-7AA1-4833-81FF-7C7E4E89AD4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24</xdr:col>
      <xdr:colOff>295275</xdr:colOff>
      <xdr:row>2</xdr:row>
      <xdr:rowOff>19049</xdr:rowOff>
    </xdr:from>
    <xdr:to>
      <xdr:col>28</xdr:col>
      <xdr:colOff>400055</xdr:colOff>
      <xdr:row>7</xdr:row>
      <xdr:rowOff>342899</xdr:rowOff>
    </xdr:to>
    <xdr:graphicFrame macro="">
      <xdr:nvGraphicFramePr>
        <xdr:cNvPr id="16" name="Graphique 15">
          <a:extLst>
            <a:ext uri="{FF2B5EF4-FFF2-40B4-BE49-F238E27FC236}">
              <a16:creationId xmlns:a16="http://schemas.microsoft.com/office/drawing/2014/main" id="{D1C74C82-5C3B-401E-ABBC-85D062F380B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28</xdr:col>
      <xdr:colOff>38100</xdr:colOff>
      <xdr:row>2</xdr:row>
      <xdr:rowOff>142875</xdr:rowOff>
    </xdr:from>
    <xdr:to>
      <xdr:col>34</xdr:col>
      <xdr:colOff>638175</xdr:colOff>
      <xdr:row>5</xdr:row>
      <xdr:rowOff>123825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1440E5B9-D846-446E-8402-70BED04F4832}"/>
            </a:ext>
          </a:extLst>
        </xdr:cNvPr>
        <xdr:cNvSpPr txBox="1"/>
      </xdr:nvSpPr>
      <xdr:spPr>
        <a:xfrm>
          <a:off x="28898850" y="447675"/>
          <a:ext cx="5133975" cy="4953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100" b="1"/>
            <a:t>Tableau de bord</a:t>
          </a:r>
          <a:r>
            <a:rPr lang="fr-FR" sz="1100" b="1" baseline="0"/>
            <a:t> par collaborateur</a:t>
          </a:r>
        </a:p>
        <a:p>
          <a:pPr algn="ctr"/>
          <a:r>
            <a:rPr lang="fr-FR" sz="1100" b="1" baseline="0"/>
            <a:t> </a:t>
          </a:r>
          <a:r>
            <a:rPr lang="fr-FR" sz="1100" b="1" u="dbl" baseline="0">
              <a:solidFill>
                <a:sysClr val="windowText" lastClr="000000"/>
              </a:solidFill>
            </a:rPr>
            <a:t>TVA mensuelle</a:t>
          </a:r>
          <a:endParaRPr lang="fr-FR" sz="1100" b="1" u="dbl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35</xdr:col>
      <xdr:colOff>152400</xdr:colOff>
      <xdr:row>9</xdr:row>
      <xdr:rowOff>57150</xdr:rowOff>
    </xdr:from>
    <xdr:to>
      <xdr:col>40</xdr:col>
      <xdr:colOff>285750</xdr:colOff>
      <xdr:row>22</xdr:row>
      <xdr:rowOff>133350</xdr:rowOff>
    </xdr:to>
    <xdr:graphicFrame macro="">
      <xdr:nvGraphicFramePr>
        <xdr:cNvPr id="21" name="Graphique 20">
          <a:extLst>
            <a:ext uri="{FF2B5EF4-FFF2-40B4-BE49-F238E27FC236}">
              <a16:creationId xmlns:a16="http://schemas.microsoft.com/office/drawing/2014/main" id="{6DD94401-41FE-41BE-AECB-CCB4BC9FC6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0</xdr:row>
      <xdr:rowOff>57150</xdr:rowOff>
    </xdr:from>
    <xdr:to>
      <xdr:col>1</xdr:col>
      <xdr:colOff>1666875</xdr:colOff>
      <xdr:row>1</xdr:row>
      <xdr:rowOff>171450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35407FC4-6D4E-4899-A17A-316D8427AFB7}"/>
            </a:ext>
          </a:extLst>
        </xdr:cNvPr>
        <xdr:cNvSpPr txBox="1"/>
      </xdr:nvSpPr>
      <xdr:spPr>
        <a:xfrm>
          <a:off x="1" y="57150"/>
          <a:ext cx="2466974" cy="304800"/>
        </a:xfrm>
        <a:prstGeom prst="rect">
          <a:avLst/>
        </a:prstGeom>
        <a:ln/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ctr"/>
          <a:r>
            <a:rPr lang="fr-FR" sz="1200" b="1"/>
            <a:t>TVA</a:t>
          </a:r>
          <a:r>
            <a:rPr lang="fr-FR" sz="1200" b="1" baseline="0"/>
            <a:t> Trimestrielle</a:t>
          </a:r>
          <a:endParaRPr lang="fr-FR" sz="1200" b="1"/>
        </a:p>
      </xdr:txBody>
    </xdr:sp>
    <xdr:clientData/>
  </xdr:twoCellAnchor>
  <xdr:twoCellAnchor>
    <xdr:from>
      <xdr:col>2</xdr:col>
      <xdr:colOff>1028700</xdr:colOff>
      <xdr:row>0</xdr:row>
      <xdr:rowOff>76200</xdr:rowOff>
    </xdr:from>
    <xdr:to>
      <xdr:col>2</xdr:col>
      <xdr:colOff>1200150</xdr:colOff>
      <xdr:row>2</xdr:row>
      <xdr:rowOff>0</xdr:rowOff>
    </xdr:to>
    <xdr:sp macro="" textlink="">
      <xdr:nvSpPr>
        <xdr:cNvPr id="3" name="Flèche : courbe vers la gauch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C33B3B-826E-4383-A414-1D6050F8F6B7}"/>
            </a:ext>
          </a:extLst>
        </xdr:cNvPr>
        <xdr:cNvSpPr/>
      </xdr:nvSpPr>
      <xdr:spPr>
        <a:xfrm>
          <a:off x="3467100" y="76200"/>
          <a:ext cx="171450" cy="304800"/>
        </a:xfrm>
        <a:prstGeom prst="curved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0</xdr:colOff>
      <xdr:row>3</xdr:row>
      <xdr:rowOff>76200</xdr:rowOff>
    </xdr:from>
    <xdr:to>
      <xdr:col>2</xdr:col>
      <xdr:colOff>1371599</xdr:colOff>
      <xdr:row>6</xdr:row>
      <xdr:rowOff>104775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9EF7BAC-2DA4-4964-BFD2-E1F1F64795A9}"/>
            </a:ext>
          </a:extLst>
        </xdr:cNvPr>
        <xdr:cNvSpPr txBox="1"/>
      </xdr:nvSpPr>
      <xdr:spPr>
        <a:xfrm>
          <a:off x="0" y="647700"/>
          <a:ext cx="3809999" cy="600075"/>
        </a:xfrm>
        <a:prstGeom prst="rect">
          <a:avLst/>
        </a:prstGeom>
        <a:solidFill>
          <a:schemeClr val="bg2">
            <a:lumMod val="75000"/>
          </a:schemeClr>
        </a:solidFill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050" b="1"/>
            <a:t>Objectif: Respect du délai interne fixé pour la</a:t>
          </a:r>
          <a:r>
            <a:rPr lang="fr-FR" sz="1050" b="1" baseline="0"/>
            <a:t> </a:t>
          </a:r>
          <a:r>
            <a:rPr lang="fr-FR" sz="1050" b="1"/>
            <a:t>télédéclaration</a:t>
          </a:r>
          <a:r>
            <a:rPr lang="fr-FR" sz="1050" b="1" baseline="0"/>
            <a:t>                </a:t>
          </a:r>
        </a:p>
        <a:p>
          <a:pPr algn="ctr"/>
          <a:r>
            <a:rPr lang="fr-FR" sz="1050" b="1"/>
            <a:t>Délai interne= délai fiscal-3 jour</a:t>
          </a:r>
        </a:p>
        <a:p>
          <a:pPr algn="ctr"/>
          <a:r>
            <a:rPr lang="fr-FR" sz="1100" b="1" u="dbl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Cible=90% </a:t>
          </a:r>
          <a:endParaRPr lang="fr-FR" sz="1050" b="1" u="dbl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1386417</xdr:colOff>
      <xdr:row>2</xdr:row>
      <xdr:rowOff>9525</xdr:rowOff>
    </xdr:from>
    <xdr:to>
      <xdr:col>5</xdr:col>
      <xdr:colOff>419100</xdr:colOff>
      <xdr:row>8</xdr:row>
      <xdr:rowOff>142875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B4E8AE78-24CD-4D5B-A105-6D2E63336DD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561981</xdr:colOff>
      <xdr:row>2</xdr:row>
      <xdr:rowOff>180975</xdr:rowOff>
    </xdr:from>
    <xdr:to>
      <xdr:col>7</xdr:col>
      <xdr:colOff>800100</xdr:colOff>
      <xdr:row>8</xdr:row>
      <xdr:rowOff>171450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9FB01551-2DA6-43E0-9331-28B8FCDC5BF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371481</xdr:colOff>
      <xdr:row>2</xdr:row>
      <xdr:rowOff>161925</xdr:rowOff>
    </xdr:from>
    <xdr:to>
      <xdr:col>10</xdr:col>
      <xdr:colOff>57150</xdr:colOff>
      <xdr:row>8</xdr:row>
      <xdr:rowOff>104775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4AE8F6-236C-464B-9DCF-0BE037E609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438150</xdr:colOff>
      <xdr:row>1</xdr:row>
      <xdr:rowOff>133356</xdr:rowOff>
    </xdr:from>
    <xdr:to>
      <xdr:col>12</xdr:col>
      <xdr:colOff>323855</xdr:colOff>
      <xdr:row>8</xdr:row>
      <xdr:rowOff>104775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BBDEC15B-774F-4C63-A6EE-7DC9667E6C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12</xdr:col>
      <xdr:colOff>0</xdr:colOff>
      <xdr:row>2</xdr:row>
      <xdr:rowOff>180975</xdr:rowOff>
    </xdr:from>
    <xdr:to>
      <xdr:col>19</xdr:col>
      <xdr:colOff>0</xdr:colOff>
      <xdr:row>5</xdr:row>
      <xdr:rowOff>142875</xdr:rowOff>
    </xdr:to>
    <xdr:sp macro="" textlink="">
      <xdr:nvSpPr>
        <xdr:cNvPr id="9" name="ZoneTexte 8">
          <a:extLst>
            <a:ext uri="{FF2B5EF4-FFF2-40B4-BE49-F238E27FC236}">
              <a16:creationId xmlns:a16="http://schemas.microsoft.com/office/drawing/2014/main" id="{574DF1B4-F0DF-4479-A9B7-96AD82D34502}"/>
            </a:ext>
          </a:extLst>
        </xdr:cNvPr>
        <xdr:cNvSpPr txBox="1"/>
      </xdr:nvSpPr>
      <xdr:spPr>
        <a:xfrm>
          <a:off x="13277850" y="561975"/>
          <a:ext cx="5876925" cy="53340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100" b="1"/>
            <a:t>Tableau de bord</a:t>
          </a:r>
          <a:r>
            <a:rPr lang="fr-FR" sz="1100" b="1" baseline="0"/>
            <a:t> par collaborateur</a:t>
          </a:r>
        </a:p>
        <a:p>
          <a:pPr algn="ctr"/>
          <a:r>
            <a:rPr lang="fr-FR" sz="1100" b="1" baseline="0"/>
            <a:t> </a:t>
          </a:r>
          <a:r>
            <a:rPr lang="fr-FR" sz="1100" b="1" u="dbl" baseline="0">
              <a:solidFill>
                <a:sysClr val="windowText" lastClr="000000"/>
              </a:solidFill>
            </a:rPr>
            <a:t>TVA Trimestrielle</a:t>
          </a:r>
          <a:endParaRPr lang="fr-FR" sz="1100" b="1" u="dbl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590550</xdr:colOff>
      <xdr:row>15</xdr:row>
      <xdr:rowOff>76206</xdr:rowOff>
    </xdr:from>
    <xdr:to>
      <xdr:col>17</xdr:col>
      <xdr:colOff>552450</xdr:colOff>
      <xdr:row>27</xdr:row>
      <xdr:rowOff>161925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3CDEE632-BFBC-426C-8966-B3719CE367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47623</xdr:colOff>
      <xdr:row>0</xdr:row>
      <xdr:rowOff>76199</xdr:rowOff>
    </xdr:from>
    <xdr:to>
      <xdr:col>1</xdr:col>
      <xdr:colOff>1390650</xdr:colOff>
      <xdr:row>3</xdr:row>
      <xdr:rowOff>28574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5D842034-0209-48AC-970A-E09752460F2F}"/>
            </a:ext>
          </a:extLst>
        </xdr:cNvPr>
        <xdr:cNvSpPr/>
      </xdr:nvSpPr>
      <xdr:spPr>
        <a:xfrm>
          <a:off x="47623" y="76199"/>
          <a:ext cx="2124077" cy="276225"/>
        </a:xfrm>
        <a:prstGeom prst="rect">
          <a:avLst/>
        </a:prstGeom>
        <a:solidFill>
          <a:srgbClr val="00B0F0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200" b="1"/>
            <a:t>CNSS </a:t>
          </a:r>
        </a:p>
      </xdr:txBody>
    </xdr:sp>
    <xdr:clientData/>
  </xdr:twoCellAnchor>
  <xdr:twoCellAnchor>
    <xdr:from>
      <xdr:col>2</xdr:col>
      <xdr:colOff>581026</xdr:colOff>
      <xdr:row>1</xdr:row>
      <xdr:rowOff>19050</xdr:rowOff>
    </xdr:from>
    <xdr:to>
      <xdr:col>2</xdr:col>
      <xdr:colOff>828676</xdr:colOff>
      <xdr:row>3</xdr:row>
      <xdr:rowOff>38100</xdr:rowOff>
    </xdr:to>
    <xdr:sp macro="" textlink="">
      <xdr:nvSpPr>
        <xdr:cNvPr id="3" name="Flèche : courbe vers la gauch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084D807-B08A-40BC-BAF2-28DC548F577A}"/>
            </a:ext>
          </a:extLst>
        </xdr:cNvPr>
        <xdr:cNvSpPr/>
      </xdr:nvSpPr>
      <xdr:spPr>
        <a:xfrm>
          <a:off x="3676651" y="133350"/>
          <a:ext cx="247650" cy="228600"/>
        </a:xfrm>
        <a:prstGeom prst="curvedLeftArrow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133350</xdr:colOff>
      <xdr:row>6</xdr:row>
      <xdr:rowOff>28575</xdr:rowOff>
    </xdr:from>
    <xdr:to>
      <xdr:col>2</xdr:col>
      <xdr:colOff>1181099</xdr:colOff>
      <xdr:row>9</xdr:row>
      <xdr:rowOff>47625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8010E3E9-DC4D-4EF9-BB47-97CE2387CD96}"/>
            </a:ext>
          </a:extLst>
        </xdr:cNvPr>
        <xdr:cNvSpPr txBox="1"/>
      </xdr:nvSpPr>
      <xdr:spPr>
        <a:xfrm>
          <a:off x="133350" y="447675"/>
          <a:ext cx="3809999" cy="600075"/>
        </a:xfrm>
        <a:prstGeom prst="rect">
          <a:avLst/>
        </a:prstGeom>
        <a:solidFill>
          <a:schemeClr val="bg2">
            <a:lumMod val="75000"/>
          </a:schemeClr>
        </a:solidFill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050" b="1"/>
            <a:t>Objectif: Respect du délai interne fixé pour la</a:t>
          </a:r>
          <a:r>
            <a:rPr lang="fr-FR" sz="1050" b="1" baseline="0"/>
            <a:t> </a:t>
          </a:r>
          <a:r>
            <a:rPr lang="fr-FR" sz="1050" b="1"/>
            <a:t>télédéclaration</a:t>
          </a:r>
          <a:r>
            <a:rPr lang="fr-FR" sz="1050" b="1" baseline="0"/>
            <a:t>                </a:t>
          </a:r>
        </a:p>
        <a:p>
          <a:pPr algn="ctr"/>
          <a:r>
            <a:rPr lang="fr-FR" sz="1050" b="1"/>
            <a:t>Délai interne= délai fiscal-3 jour</a:t>
          </a:r>
        </a:p>
        <a:p>
          <a:pPr algn="ctr"/>
          <a:r>
            <a:rPr lang="fr-FR" sz="1100" b="1" u="dbl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Cible=90% </a:t>
          </a:r>
          <a:endParaRPr lang="fr-FR" sz="1050" b="1" u="dbl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1076325</xdr:colOff>
      <xdr:row>5</xdr:row>
      <xdr:rowOff>152408</xdr:rowOff>
    </xdr:from>
    <xdr:to>
      <xdr:col>4</xdr:col>
      <xdr:colOff>200026</xdr:colOff>
      <xdr:row>10</xdr:row>
      <xdr:rowOff>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6C3E0EA0-AD9C-4BD8-BA00-04AB6D7C18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552450</xdr:colOff>
      <xdr:row>5</xdr:row>
      <xdr:rowOff>133351</xdr:rowOff>
    </xdr:from>
    <xdr:to>
      <xdr:col>5</xdr:col>
      <xdr:colOff>514350</xdr:colOff>
      <xdr:row>9</xdr:row>
      <xdr:rowOff>171452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EA38B681-28BE-4D7B-B249-583B3B225B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438149</xdr:colOff>
      <xdr:row>5</xdr:row>
      <xdr:rowOff>19049</xdr:rowOff>
    </xdr:from>
    <xdr:to>
      <xdr:col>6</xdr:col>
      <xdr:colOff>466725</xdr:colOff>
      <xdr:row>10</xdr:row>
      <xdr:rowOff>35324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03F59F13-C10F-4E3E-98A4-EFDC16F045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409575</xdr:colOff>
      <xdr:row>5</xdr:row>
      <xdr:rowOff>133349</xdr:rowOff>
    </xdr:from>
    <xdr:to>
      <xdr:col>7</xdr:col>
      <xdr:colOff>552451</xdr:colOff>
      <xdr:row>10</xdr:row>
      <xdr:rowOff>9524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56484AAD-C127-4AE2-98CA-FF1BF6DF3C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180975</xdr:colOff>
      <xdr:row>5</xdr:row>
      <xdr:rowOff>171450</xdr:rowOff>
    </xdr:from>
    <xdr:to>
      <xdr:col>8</xdr:col>
      <xdr:colOff>571500</xdr:colOff>
      <xdr:row>9</xdr:row>
      <xdr:rowOff>190501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DA81EBBE-02E5-4082-B77E-4CC54CA42D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219074</xdr:colOff>
      <xdr:row>5</xdr:row>
      <xdr:rowOff>114300</xdr:rowOff>
    </xdr:from>
    <xdr:to>
      <xdr:col>9</xdr:col>
      <xdr:colOff>561973</xdr:colOff>
      <xdr:row>10</xdr:row>
      <xdr:rowOff>9525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7BD0A45C-C9ED-42DE-8C3E-ACDBE70FB3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323849</xdr:colOff>
      <xdr:row>5</xdr:row>
      <xdr:rowOff>123825</xdr:rowOff>
    </xdr:from>
    <xdr:to>
      <xdr:col>10</xdr:col>
      <xdr:colOff>514348</xdr:colOff>
      <xdr:row>10</xdr:row>
      <xdr:rowOff>28575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D352B634-01A3-475F-9F2C-F2662899AE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9</xdr:col>
      <xdr:colOff>333374</xdr:colOff>
      <xdr:row>5</xdr:row>
      <xdr:rowOff>104775</xdr:rowOff>
    </xdr:from>
    <xdr:to>
      <xdr:col>11</xdr:col>
      <xdr:colOff>647699</xdr:colOff>
      <xdr:row>10</xdr:row>
      <xdr:rowOff>19049</xdr:rowOff>
    </xdr:to>
    <xdr:graphicFrame macro="">
      <xdr:nvGraphicFramePr>
        <xdr:cNvPr id="12" name="Graphique 11">
          <a:extLst>
            <a:ext uri="{FF2B5EF4-FFF2-40B4-BE49-F238E27FC236}">
              <a16:creationId xmlns:a16="http://schemas.microsoft.com/office/drawing/2014/main" id="{FACD8A0D-D73C-4801-8D38-9A518FA101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466725</xdr:colOff>
      <xdr:row>5</xdr:row>
      <xdr:rowOff>47625</xdr:rowOff>
    </xdr:from>
    <xdr:to>
      <xdr:col>12</xdr:col>
      <xdr:colOff>561974</xdr:colOff>
      <xdr:row>10</xdr:row>
      <xdr:rowOff>9525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D4FF7CF2-F695-46C4-802E-F310378959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10</xdr:col>
      <xdr:colOff>876300</xdr:colOff>
      <xdr:row>5</xdr:row>
      <xdr:rowOff>66675</xdr:rowOff>
    </xdr:from>
    <xdr:to>
      <xdr:col>13</xdr:col>
      <xdr:colOff>885825</xdr:colOff>
      <xdr:row>10</xdr:row>
      <xdr:rowOff>9526</xdr:rowOff>
    </xdr:to>
    <xdr:graphicFrame macro="">
      <xdr:nvGraphicFramePr>
        <xdr:cNvPr id="14" name="Graphique 13">
          <a:extLst>
            <a:ext uri="{FF2B5EF4-FFF2-40B4-BE49-F238E27FC236}">
              <a16:creationId xmlns:a16="http://schemas.microsoft.com/office/drawing/2014/main" id="{1E51C996-D779-42BA-9E42-06CEE3DEC3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12</xdr:col>
      <xdr:colOff>114301</xdr:colOff>
      <xdr:row>5</xdr:row>
      <xdr:rowOff>114300</xdr:rowOff>
    </xdr:from>
    <xdr:to>
      <xdr:col>15</xdr:col>
      <xdr:colOff>47625</xdr:colOff>
      <xdr:row>10</xdr:row>
      <xdr:rowOff>19051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4AF21E91-DCCA-4D74-82F7-8921E65D11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219074</xdr:colOff>
      <xdr:row>5</xdr:row>
      <xdr:rowOff>114299</xdr:rowOff>
    </xdr:from>
    <xdr:to>
      <xdr:col>15</xdr:col>
      <xdr:colOff>428624</xdr:colOff>
      <xdr:row>10</xdr:row>
      <xdr:rowOff>9524</xdr:rowOff>
    </xdr:to>
    <xdr:graphicFrame macro="">
      <xdr:nvGraphicFramePr>
        <xdr:cNvPr id="16" name="Graphique 15">
          <a:extLst>
            <a:ext uri="{FF2B5EF4-FFF2-40B4-BE49-F238E27FC236}">
              <a16:creationId xmlns:a16="http://schemas.microsoft.com/office/drawing/2014/main" id="{1AF5E09F-F425-4541-ACD5-BD1F320F42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16</xdr:col>
      <xdr:colOff>85725</xdr:colOff>
      <xdr:row>3</xdr:row>
      <xdr:rowOff>47625</xdr:rowOff>
    </xdr:from>
    <xdr:to>
      <xdr:col>22</xdr:col>
      <xdr:colOff>685800</xdr:colOff>
      <xdr:row>6</xdr:row>
      <xdr:rowOff>133350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F06AED5B-5ECB-4A2D-819E-3A7DA397A63E}"/>
            </a:ext>
          </a:extLst>
        </xdr:cNvPr>
        <xdr:cNvSpPr txBox="1"/>
      </xdr:nvSpPr>
      <xdr:spPr>
        <a:xfrm>
          <a:off x="16211550" y="371475"/>
          <a:ext cx="6019800" cy="438150"/>
        </a:xfrm>
        <a:prstGeom prst="rect">
          <a:avLst/>
        </a:prstGeom>
        <a:solidFill>
          <a:srgbClr val="00B0F0"/>
        </a:solidFill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100" b="1"/>
            <a:t>Tableau de bord</a:t>
          </a:r>
          <a:r>
            <a:rPr lang="fr-FR" sz="1100" b="1" baseline="0"/>
            <a:t> par collaborateur</a:t>
          </a:r>
        </a:p>
        <a:p>
          <a:pPr algn="ctr"/>
          <a:r>
            <a:rPr lang="fr-FR" sz="1100" b="1" baseline="0"/>
            <a:t> </a:t>
          </a:r>
          <a:r>
            <a:rPr lang="fr-FR" sz="1100" b="1" u="dbl" baseline="0">
              <a:solidFill>
                <a:sysClr val="windowText" lastClr="000000"/>
              </a:solidFill>
            </a:rPr>
            <a:t>CNSS</a:t>
          </a:r>
          <a:endParaRPr lang="fr-FR" sz="1100" b="1" u="dbl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23</xdr:col>
      <xdr:colOff>166687</xdr:colOff>
      <xdr:row>9</xdr:row>
      <xdr:rowOff>180974</xdr:rowOff>
    </xdr:from>
    <xdr:to>
      <xdr:col>29</xdr:col>
      <xdr:colOff>52387</xdr:colOff>
      <xdr:row>23</xdr:row>
      <xdr:rowOff>19050</xdr:rowOff>
    </xdr:to>
    <xdr:graphicFrame macro="">
      <xdr:nvGraphicFramePr>
        <xdr:cNvPr id="18" name="Graphique 17">
          <a:extLst>
            <a:ext uri="{FF2B5EF4-FFF2-40B4-BE49-F238E27FC236}">
              <a16:creationId xmlns:a16="http://schemas.microsoft.com/office/drawing/2014/main" id="{600D8980-0D34-49A2-9F12-4966880DEF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247650</xdr:colOff>
      <xdr:row>2</xdr:row>
      <xdr:rowOff>152400</xdr:rowOff>
    </xdr:from>
    <xdr:to>
      <xdr:col>8</xdr:col>
      <xdr:colOff>1047751</xdr:colOff>
      <xdr:row>8</xdr:row>
      <xdr:rowOff>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2B24E2C1-2939-4E70-9F0F-790D0D5CBF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19050</xdr:rowOff>
    </xdr:from>
    <xdr:to>
      <xdr:col>2</xdr:col>
      <xdr:colOff>9525</xdr:colOff>
      <xdr:row>1</xdr:row>
      <xdr:rowOff>142875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9499C95-B61E-4623-BE6E-7B544A787426}"/>
            </a:ext>
          </a:extLst>
        </xdr:cNvPr>
        <xdr:cNvSpPr txBox="1"/>
      </xdr:nvSpPr>
      <xdr:spPr>
        <a:xfrm>
          <a:off x="0" y="19050"/>
          <a:ext cx="2438400" cy="314325"/>
        </a:xfrm>
        <a:prstGeom prst="rect">
          <a:avLst/>
        </a:prstGeom>
        <a:solidFill>
          <a:schemeClr val="accent4"/>
        </a:solidFill>
        <a:ln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ctr"/>
          <a:r>
            <a:rPr lang="fr-FR" sz="1200" b="1"/>
            <a:t>IR  (Impôt</a:t>
          </a:r>
          <a:r>
            <a:rPr lang="fr-FR" sz="1200" b="1" baseline="0"/>
            <a:t> sur le Revenu)</a:t>
          </a:r>
          <a:endParaRPr lang="fr-FR" sz="1200" b="1"/>
        </a:p>
      </xdr:txBody>
    </xdr:sp>
    <xdr:clientData/>
  </xdr:twoCellAnchor>
  <xdr:twoCellAnchor>
    <xdr:from>
      <xdr:col>2</xdr:col>
      <xdr:colOff>1009650</xdr:colOff>
      <xdr:row>0</xdr:row>
      <xdr:rowOff>57150</xdr:rowOff>
    </xdr:from>
    <xdr:to>
      <xdr:col>2</xdr:col>
      <xdr:colOff>1152525</xdr:colOff>
      <xdr:row>1</xdr:row>
      <xdr:rowOff>152400</xdr:rowOff>
    </xdr:to>
    <xdr:sp macro="" textlink="">
      <xdr:nvSpPr>
        <xdr:cNvPr id="5" name="Flèche : courbe vers la gauch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0DA224C-5DA0-4ECB-BE40-CE8284F713BF}"/>
            </a:ext>
          </a:extLst>
        </xdr:cNvPr>
        <xdr:cNvSpPr/>
      </xdr:nvSpPr>
      <xdr:spPr>
        <a:xfrm>
          <a:off x="3438525" y="57150"/>
          <a:ext cx="142875" cy="285750"/>
        </a:xfrm>
        <a:prstGeom prst="curvedLeftArrow">
          <a:avLst/>
        </a:prstGeom>
        <a:solidFill>
          <a:schemeClr val="accent4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2</xdr:col>
      <xdr:colOff>1381124</xdr:colOff>
      <xdr:row>6</xdr:row>
      <xdr:rowOff>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CAB32E0A-11FB-4DCD-AED8-9182FF022D22}"/>
            </a:ext>
          </a:extLst>
        </xdr:cNvPr>
        <xdr:cNvSpPr txBox="1"/>
      </xdr:nvSpPr>
      <xdr:spPr>
        <a:xfrm>
          <a:off x="0" y="571500"/>
          <a:ext cx="3809999" cy="600075"/>
        </a:xfrm>
        <a:prstGeom prst="rect">
          <a:avLst/>
        </a:prstGeom>
        <a:solidFill>
          <a:schemeClr val="bg2">
            <a:lumMod val="75000"/>
          </a:schemeClr>
        </a:solidFill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050" b="1"/>
            <a:t>Objectif: Respect du délai interne fixé pour la</a:t>
          </a:r>
          <a:r>
            <a:rPr lang="fr-FR" sz="1050" b="1" baseline="0"/>
            <a:t> </a:t>
          </a:r>
          <a:r>
            <a:rPr lang="fr-FR" sz="1050" b="1"/>
            <a:t>télédéclaration</a:t>
          </a:r>
          <a:r>
            <a:rPr lang="fr-FR" sz="1050" b="1" baseline="0"/>
            <a:t>                </a:t>
          </a:r>
        </a:p>
        <a:p>
          <a:pPr algn="ctr"/>
          <a:r>
            <a:rPr lang="fr-FR" sz="1050" b="1"/>
            <a:t>Délai interne= délai fiscal-3 jour</a:t>
          </a:r>
        </a:p>
        <a:p>
          <a:pPr algn="ctr"/>
          <a:r>
            <a:rPr lang="fr-FR" sz="1100" b="1" u="dbl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Cible=90% </a:t>
          </a:r>
          <a:endParaRPr lang="fr-FR" sz="1050" b="1" u="dbl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35719</xdr:colOff>
      <xdr:row>3</xdr:row>
      <xdr:rowOff>11906</xdr:rowOff>
    </xdr:from>
    <xdr:to>
      <xdr:col>8</xdr:col>
      <xdr:colOff>154781</xdr:colOff>
      <xdr:row>8</xdr:row>
      <xdr:rowOff>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2D299FD4-8ED1-44D7-8744-00C7F3A5DC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723900</xdr:colOff>
      <xdr:row>2</xdr:row>
      <xdr:rowOff>104783</xdr:rowOff>
    </xdr:from>
    <xdr:to>
      <xdr:col>11</xdr:col>
      <xdr:colOff>171449</xdr:colOff>
      <xdr:row>7</xdr:row>
      <xdr:rowOff>314325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D6B22D34-F068-4D0E-A437-594B983B3C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219075</xdr:colOff>
      <xdr:row>2</xdr:row>
      <xdr:rowOff>114299</xdr:rowOff>
    </xdr:from>
    <xdr:to>
      <xdr:col>13</xdr:col>
      <xdr:colOff>657225</xdr:colOff>
      <xdr:row>7</xdr:row>
      <xdr:rowOff>333374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6885EBBF-CAB0-406E-BB66-C5F95B21E3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12</xdr:col>
      <xdr:colOff>66675</xdr:colOff>
      <xdr:row>2</xdr:row>
      <xdr:rowOff>57150</xdr:rowOff>
    </xdr:from>
    <xdr:to>
      <xdr:col>16</xdr:col>
      <xdr:colOff>85731</xdr:colOff>
      <xdr:row>8</xdr:row>
      <xdr:rowOff>0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9ABC561B-367E-405C-B0E5-05393861F5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895349</xdr:colOff>
      <xdr:row>2</xdr:row>
      <xdr:rowOff>28581</xdr:rowOff>
    </xdr:from>
    <xdr:to>
      <xdr:col>18</xdr:col>
      <xdr:colOff>5</xdr:colOff>
      <xdr:row>7</xdr:row>
      <xdr:rowOff>361950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34C0C62B-7878-4A18-B0C9-150B6C5231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16</xdr:col>
      <xdr:colOff>57150</xdr:colOff>
      <xdr:row>1</xdr:row>
      <xdr:rowOff>76199</xdr:rowOff>
    </xdr:from>
    <xdr:to>
      <xdr:col>20</xdr:col>
      <xdr:colOff>38106</xdr:colOff>
      <xdr:row>7</xdr:row>
      <xdr:rowOff>342900</xdr:rowOff>
    </xdr:to>
    <xdr:graphicFrame macro="">
      <xdr:nvGraphicFramePr>
        <xdr:cNvPr id="12" name="Graphique 11">
          <a:extLst>
            <a:ext uri="{FF2B5EF4-FFF2-40B4-BE49-F238E27FC236}">
              <a16:creationId xmlns:a16="http://schemas.microsoft.com/office/drawing/2014/main" id="{702D6179-AF70-4E19-B6D7-FC6B30501A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18</xdr:col>
      <xdr:colOff>323851</xdr:colOff>
      <xdr:row>2</xdr:row>
      <xdr:rowOff>76201</xdr:rowOff>
    </xdr:from>
    <xdr:to>
      <xdr:col>21</xdr:col>
      <xdr:colOff>866775</xdr:colOff>
      <xdr:row>7</xdr:row>
      <xdr:rowOff>361952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6B6DC3B9-31FA-4F33-B8AE-C527E6AC64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19</xdr:col>
      <xdr:colOff>714375</xdr:colOff>
      <xdr:row>2</xdr:row>
      <xdr:rowOff>133350</xdr:rowOff>
    </xdr:from>
    <xdr:to>
      <xdr:col>23</xdr:col>
      <xdr:colOff>400050</xdr:colOff>
      <xdr:row>7</xdr:row>
      <xdr:rowOff>361950</xdr:rowOff>
    </xdr:to>
    <xdr:graphicFrame macro="">
      <xdr:nvGraphicFramePr>
        <xdr:cNvPr id="14" name="Graphique 13">
          <a:extLst>
            <a:ext uri="{FF2B5EF4-FFF2-40B4-BE49-F238E27FC236}">
              <a16:creationId xmlns:a16="http://schemas.microsoft.com/office/drawing/2014/main" id="{B7B5006B-9C30-41E2-A948-9F55118510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21</xdr:col>
      <xdr:colOff>847725</xdr:colOff>
      <xdr:row>2</xdr:row>
      <xdr:rowOff>104775</xdr:rowOff>
    </xdr:from>
    <xdr:to>
      <xdr:col>26</xdr:col>
      <xdr:colOff>114306</xdr:colOff>
      <xdr:row>7</xdr:row>
      <xdr:rowOff>342900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C1B9E45A-2762-4CB1-9590-1BB20FD27B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23</xdr:col>
      <xdr:colOff>857249</xdr:colOff>
      <xdr:row>1</xdr:row>
      <xdr:rowOff>171450</xdr:rowOff>
    </xdr:from>
    <xdr:to>
      <xdr:col>28</xdr:col>
      <xdr:colOff>276230</xdr:colOff>
      <xdr:row>8</xdr:row>
      <xdr:rowOff>0</xdr:rowOff>
    </xdr:to>
    <xdr:graphicFrame macro="">
      <xdr:nvGraphicFramePr>
        <xdr:cNvPr id="16" name="Graphique 15">
          <a:extLst>
            <a:ext uri="{FF2B5EF4-FFF2-40B4-BE49-F238E27FC236}">
              <a16:creationId xmlns:a16="http://schemas.microsoft.com/office/drawing/2014/main" id="{D63969D4-FD81-4C96-B9E6-6C5E1AC8AE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27</xdr:col>
      <xdr:colOff>295274</xdr:colOff>
      <xdr:row>3</xdr:row>
      <xdr:rowOff>19050</xdr:rowOff>
    </xdr:from>
    <xdr:to>
      <xdr:col>35</xdr:col>
      <xdr:colOff>47625</xdr:colOff>
      <xdr:row>5</xdr:row>
      <xdr:rowOff>152400</xdr:rowOff>
    </xdr:to>
    <xdr:sp macro="" textlink="">
      <xdr:nvSpPr>
        <xdr:cNvPr id="18" name="ZoneTexte 17">
          <a:extLst>
            <a:ext uri="{FF2B5EF4-FFF2-40B4-BE49-F238E27FC236}">
              <a16:creationId xmlns:a16="http://schemas.microsoft.com/office/drawing/2014/main" id="{B5F03912-EC72-4826-9E4A-DAEC683653B7}"/>
            </a:ext>
          </a:extLst>
        </xdr:cNvPr>
        <xdr:cNvSpPr txBox="1"/>
      </xdr:nvSpPr>
      <xdr:spPr>
        <a:xfrm>
          <a:off x="28689299" y="590550"/>
          <a:ext cx="5800726" cy="5334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100" b="1"/>
            <a:t>Tableau de bord</a:t>
          </a:r>
          <a:r>
            <a:rPr lang="fr-FR" sz="1100" b="1" baseline="0"/>
            <a:t> par collaborateur</a:t>
          </a:r>
        </a:p>
        <a:p>
          <a:pPr algn="ctr"/>
          <a:r>
            <a:rPr lang="fr-FR" sz="1100" b="1" baseline="0"/>
            <a:t> </a:t>
          </a:r>
          <a:r>
            <a:rPr lang="fr-FR" sz="1100" b="1" u="dbl" baseline="0">
              <a:solidFill>
                <a:sysClr val="windowText" lastClr="000000"/>
              </a:solidFill>
            </a:rPr>
            <a:t>IR</a:t>
          </a:r>
          <a:endParaRPr lang="fr-FR" sz="1100" b="1" u="dbl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333374</xdr:colOff>
      <xdr:row>1</xdr:row>
      <xdr:rowOff>107157</xdr:rowOff>
    </xdr:from>
    <xdr:to>
      <xdr:col>6</xdr:col>
      <xdr:colOff>107156</xdr:colOff>
      <xdr:row>6</xdr:row>
      <xdr:rowOff>154781</xdr:rowOff>
    </xdr:to>
    <xdr:graphicFrame macro="">
      <xdr:nvGraphicFramePr>
        <xdr:cNvPr id="20" name="Graphique 19">
          <a:extLst>
            <a:ext uri="{FF2B5EF4-FFF2-40B4-BE49-F238E27FC236}">
              <a16:creationId xmlns:a16="http://schemas.microsoft.com/office/drawing/2014/main" id="{CBD12E1D-55E7-479F-BEDC-2ED9952C1A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35</xdr:col>
      <xdr:colOff>47625</xdr:colOff>
      <xdr:row>8</xdr:row>
      <xdr:rowOff>0</xdr:rowOff>
    </xdr:from>
    <xdr:to>
      <xdr:col>41</xdr:col>
      <xdr:colOff>47625</xdr:colOff>
      <xdr:row>17</xdr:row>
      <xdr:rowOff>11906</xdr:rowOff>
    </xdr:to>
    <xdr:graphicFrame macro="">
      <xdr:nvGraphicFramePr>
        <xdr:cNvPr id="17" name="Graphique 16">
          <a:extLst>
            <a:ext uri="{FF2B5EF4-FFF2-40B4-BE49-F238E27FC236}">
              <a16:creationId xmlns:a16="http://schemas.microsoft.com/office/drawing/2014/main" id="{3135A789-693D-4A42-AA2C-D46B7521CD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295276</xdr:colOff>
      <xdr:row>3</xdr:row>
      <xdr:rowOff>9524</xdr:rowOff>
    </xdr:from>
    <xdr:to>
      <xdr:col>8</xdr:col>
      <xdr:colOff>819151</xdr:colOff>
      <xdr:row>8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BD134F2F-CA92-4304-8B74-53D7001FAA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3</xdr:row>
      <xdr:rowOff>12025</xdr:rowOff>
    </xdr:from>
    <xdr:to>
      <xdr:col>5</xdr:col>
      <xdr:colOff>142876</xdr:colOff>
      <xdr:row>7</xdr:row>
      <xdr:rowOff>285750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766B4E50-AA26-4762-ADEE-DE5F24923325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0</xdr:row>
      <xdr:rowOff>19050</xdr:rowOff>
    </xdr:from>
    <xdr:to>
      <xdr:col>2</xdr:col>
      <xdr:colOff>9525</xdr:colOff>
      <xdr:row>1</xdr:row>
      <xdr:rowOff>142875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B722FA60-19CC-4797-8536-2F06576839B6}"/>
            </a:ext>
          </a:extLst>
        </xdr:cNvPr>
        <xdr:cNvSpPr txBox="1"/>
      </xdr:nvSpPr>
      <xdr:spPr>
        <a:xfrm>
          <a:off x="0" y="19050"/>
          <a:ext cx="2438400" cy="314325"/>
        </a:xfrm>
        <a:prstGeom prst="rect">
          <a:avLst/>
        </a:prstGeom>
        <a:solidFill>
          <a:srgbClr val="00B050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ctr"/>
          <a:r>
            <a:rPr lang="fr-FR" sz="1200" b="1"/>
            <a:t>DROIT DE TIMBRE</a:t>
          </a:r>
        </a:p>
      </xdr:txBody>
    </xdr:sp>
    <xdr:clientData/>
  </xdr:twoCellAnchor>
  <xdr:twoCellAnchor>
    <xdr:from>
      <xdr:col>2</xdr:col>
      <xdr:colOff>1009650</xdr:colOff>
      <xdr:row>0</xdr:row>
      <xdr:rowOff>57150</xdr:rowOff>
    </xdr:from>
    <xdr:to>
      <xdr:col>2</xdr:col>
      <xdr:colOff>1152525</xdr:colOff>
      <xdr:row>1</xdr:row>
      <xdr:rowOff>152400</xdr:rowOff>
    </xdr:to>
    <xdr:sp macro="" textlink="">
      <xdr:nvSpPr>
        <xdr:cNvPr id="5" name="Flèche : courbe vers la gauche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16201BE-C4FA-4AF5-B9BD-B54C808B4B36}"/>
            </a:ext>
          </a:extLst>
        </xdr:cNvPr>
        <xdr:cNvSpPr/>
      </xdr:nvSpPr>
      <xdr:spPr>
        <a:xfrm>
          <a:off x="3438525" y="57150"/>
          <a:ext cx="142875" cy="285750"/>
        </a:xfrm>
        <a:prstGeom prst="curvedLeftArrow">
          <a:avLst/>
        </a:prstGeom>
        <a:solidFill>
          <a:srgbClr val="00FF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2</xdr:col>
      <xdr:colOff>1381124</xdr:colOff>
      <xdr:row>6</xdr:row>
      <xdr:rowOff>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9C4758A-C438-4AB5-9306-EDEA9C611B32}"/>
            </a:ext>
          </a:extLst>
        </xdr:cNvPr>
        <xdr:cNvSpPr txBox="1"/>
      </xdr:nvSpPr>
      <xdr:spPr>
        <a:xfrm>
          <a:off x="0" y="571500"/>
          <a:ext cx="3809999" cy="600075"/>
        </a:xfrm>
        <a:prstGeom prst="rect">
          <a:avLst/>
        </a:prstGeom>
        <a:solidFill>
          <a:schemeClr val="bg2">
            <a:lumMod val="75000"/>
          </a:schemeClr>
        </a:solidFill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050" b="1"/>
            <a:t>Objectif: Respect du délai interne fixé pour la</a:t>
          </a:r>
          <a:r>
            <a:rPr lang="fr-FR" sz="1050" b="1" baseline="0"/>
            <a:t> </a:t>
          </a:r>
          <a:r>
            <a:rPr lang="fr-FR" sz="1050" b="1"/>
            <a:t>télédéclaration</a:t>
          </a:r>
          <a:r>
            <a:rPr lang="fr-FR" sz="1050" b="1" baseline="0"/>
            <a:t>                </a:t>
          </a:r>
        </a:p>
        <a:p>
          <a:pPr algn="ctr"/>
          <a:r>
            <a:rPr lang="fr-FR" sz="1050" b="1"/>
            <a:t>Délai interne= délai fiscal-3 jour</a:t>
          </a:r>
        </a:p>
        <a:p>
          <a:pPr algn="ctr"/>
          <a:r>
            <a:rPr lang="fr-FR" sz="1100" b="1" u="dbl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Cible=90% </a:t>
          </a:r>
          <a:endParaRPr lang="fr-FR" sz="1050" b="1" u="dbl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76200</xdr:colOff>
      <xdr:row>3</xdr:row>
      <xdr:rowOff>9525</xdr:rowOff>
    </xdr:from>
    <xdr:to>
      <xdr:col>8</xdr:col>
      <xdr:colOff>0</xdr:colOff>
      <xdr:row>7</xdr:row>
      <xdr:rowOff>285750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01DAA05E-DA72-4AA3-BCCA-EED89CF1A3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771524</xdr:colOff>
      <xdr:row>2</xdr:row>
      <xdr:rowOff>161926</xdr:rowOff>
    </xdr:from>
    <xdr:to>
      <xdr:col>11</xdr:col>
      <xdr:colOff>152398</xdr:colOff>
      <xdr:row>7</xdr:row>
      <xdr:rowOff>304801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FD3DC580-CABA-4798-8160-7183766736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28575</xdr:colOff>
      <xdr:row>2</xdr:row>
      <xdr:rowOff>114300</xdr:rowOff>
    </xdr:from>
    <xdr:to>
      <xdr:col>13</xdr:col>
      <xdr:colOff>466725</xdr:colOff>
      <xdr:row>7</xdr:row>
      <xdr:rowOff>371474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525B994D-66B9-4F2B-9CEF-41F67C644D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209549</xdr:colOff>
      <xdr:row>2</xdr:row>
      <xdr:rowOff>66674</xdr:rowOff>
    </xdr:from>
    <xdr:to>
      <xdr:col>16</xdr:col>
      <xdr:colOff>9530</xdr:colOff>
      <xdr:row>7</xdr:row>
      <xdr:rowOff>371474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64D6E65C-178D-467D-A5DB-EEBFAD097A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561975</xdr:colOff>
      <xdr:row>2</xdr:row>
      <xdr:rowOff>104774</xdr:rowOff>
    </xdr:from>
    <xdr:to>
      <xdr:col>17</xdr:col>
      <xdr:colOff>495305</xdr:colOff>
      <xdr:row>8</xdr:row>
      <xdr:rowOff>38099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1F5BF944-C4BD-46CB-9208-A3F3BFB68D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16</xdr:col>
      <xdr:colOff>57150</xdr:colOff>
      <xdr:row>1</xdr:row>
      <xdr:rowOff>57150</xdr:rowOff>
    </xdr:from>
    <xdr:to>
      <xdr:col>19</xdr:col>
      <xdr:colOff>866781</xdr:colOff>
      <xdr:row>7</xdr:row>
      <xdr:rowOff>314325</xdr:rowOff>
    </xdr:to>
    <xdr:graphicFrame macro="">
      <xdr:nvGraphicFramePr>
        <xdr:cNvPr id="12" name="Graphique 11">
          <a:extLst>
            <a:ext uri="{FF2B5EF4-FFF2-40B4-BE49-F238E27FC236}">
              <a16:creationId xmlns:a16="http://schemas.microsoft.com/office/drawing/2014/main" id="{6592B0B8-A2DA-41CB-AC9E-98AE87538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18</xdr:col>
      <xdr:colOff>304801</xdr:colOff>
      <xdr:row>2</xdr:row>
      <xdr:rowOff>38100</xdr:rowOff>
    </xdr:from>
    <xdr:to>
      <xdr:col>21</xdr:col>
      <xdr:colOff>847725</xdr:colOff>
      <xdr:row>7</xdr:row>
      <xdr:rowOff>295276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C03554D8-18EC-4DF3-86BD-0DD304B562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19</xdr:col>
      <xdr:colOff>809625</xdr:colOff>
      <xdr:row>2</xdr:row>
      <xdr:rowOff>95250</xdr:rowOff>
    </xdr:from>
    <xdr:to>
      <xdr:col>23</xdr:col>
      <xdr:colOff>371480</xdr:colOff>
      <xdr:row>8</xdr:row>
      <xdr:rowOff>9523</xdr:rowOff>
    </xdr:to>
    <xdr:graphicFrame macro="">
      <xdr:nvGraphicFramePr>
        <xdr:cNvPr id="14" name="Graphique 13">
          <a:extLst>
            <a:ext uri="{FF2B5EF4-FFF2-40B4-BE49-F238E27FC236}">
              <a16:creationId xmlns:a16="http://schemas.microsoft.com/office/drawing/2014/main" id="{715621BD-4E2D-427E-B700-BB91A57D42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21</xdr:col>
      <xdr:colOff>819150</xdr:colOff>
      <xdr:row>2</xdr:row>
      <xdr:rowOff>76200</xdr:rowOff>
    </xdr:from>
    <xdr:to>
      <xdr:col>26</xdr:col>
      <xdr:colOff>123825</xdr:colOff>
      <xdr:row>7</xdr:row>
      <xdr:rowOff>333375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E790C3BC-DB7E-45B9-B436-E6B77F9638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24</xdr:col>
      <xdr:colOff>142875</xdr:colOff>
      <xdr:row>1</xdr:row>
      <xdr:rowOff>171450</xdr:rowOff>
    </xdr:from>
    <xdr:to>
      <xdr:col>28</xdr:col>
      <xdr:colOff>381005</xdr:colOff>
      <xdr:row>8</xdr:row>
      <xdr:rowOff>38100</xdr:rowOff>
    </xdr:to>
    <xdr:graphicFrame macro="">
      <xdr:nvGraphicFramePr>
        <xdr:cNvPr id="16" name="Graphique 15">
          <a:extLst>
            <a:ext uri="{FF2B5EF4-FFF2-40B4-BE49-F238E27FC236}">
              <a16:creationId xmlns:a16="http://schemas.microsoft.com/office/drawing/2014/main" id="{6C0761A7-57EA-4135-B4A6-94DFF9F33B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27</xdr:col>
      <xdr:colOff>400049</xdr:colOff>
      <xdr:row>3</xdr:row>
      <xdr:rowOff>19050</xdr:rowOff>
    </xdr:from>
    <xdr:to>
      <xdr:col>35</xdr:col>
      <xdr:colOff>76200</xdr:colOff>
      <xdr:row>5</xdr:row>
      <xdr:rowOff>152400</xdr:rowOff>
    </xdr:to>
    <xdr:sp macro="" textlink="">
      <xdr:nvSpPr>
        <xdr:cNvPr id="18" name="ZoneTexte 17">
          <a:extLst>
            <a:ext uri="{FF2B5EF4-FFF2-40B4-BE49-F238E27FC236}">
              <a16:creationId xmlns:a16="http://schemas.microsoft.com/office/drawing/2014/main" id="{CFEFCC82-20D6-4F66-A013-2AFDE5D98808}"/>
            </a:ext>
          </a:extLst>
        </xdr:cNvPr>
        <xdr:cNvSpPr txBox="1"/>
      </xdr:nvSpPr>
      <xdr:spPr>
        <a:xfrm>
          <a:off x="28794074" y="590550"/>
          <a:ext cx="6334126" cy="533400"/>
        </a:xfrm>
        <a:prstGeom prst="rect">
          <a:avLst/>
        </a:prstGeom>
        <a:solidFill>
          <a:srgbClr val="00B050"/>
        </a:solidFill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100" b="1"/>
            <a:t>Tableau de bord</a:t>
          </a:r>
          <a:r>
            <a:rPr lang="fr-FR" sz="1100" b="1" baseline="0"/>
            <a:t> par collaborateur</a:t>
          </a:r>
        </a:p>
        <a:p>
          <a:pPr algn="ctr"/>
          <a:r>
            <a:rPr lang="fr-FR" sz="1100" b="1" baseline="0"/>
            <a:t> </a:t>
          </a:r>
          <a:r>
            <a:rPr lang="fr-FR" sz="1100" b="1" u="dbl" baseline="0">
              <a:solidFill>
                <a:sysClr val="windowText" lastClr="000000"/>
              </a:solidFill>
            </a:rPr>
            <a:t>Droit de timbre</a:t>
          </a:r>
        </a:p>
        <a:p>
          <a:pPr algn="ctr"/>
          <a:endParaRPr lang="fr-FR" sz="1100" b="1" u="dbl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35</xdr:col>
      <xdr:colOff>114300</xdr:colOff>
      <xdr:row>9</xdr:row>
      <xdr:rowOff>28581</xdr:rowOff>
    </xdr:from>
    <xdr:to>
      <xdr:col>41</xdr:col>
      <xdr:colOff>114300</xdr:colOff>
      <xdr:row>23</xdr:row>
      <xdr:rowOff>38106</xdr:rowOff>
    </xdr:to>
    <xdr:graphicFrame macro="">
      <xdr:nvGraphicFramePr>
        <xdr:cNvPr id="17" name="Graphique 16">
          <a:extLst>
            <a:ext uri="{FF2B5EF4-FFF2-40B4-BE49-F238E27FC236}">
              <a16:creationId xmlns:a16="http://schemas.microsoft.com/office/drawing/2014/main" id="{EA4110AE-E983-4DDC-B3FA-9DFB0BAB85C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0</xdr:row>
      <xdr:rowOff>19050</xdr:rowOff>
    </xdr:from>
    <xdr:to>
      <xdr:col>1</xdr:col>
      <xdr:colOff>1152525</xdr:colOff>
      <xdr:row>1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9A148E1A-D89C-4190-A9D6-C31E46D8935E}"/>
            </a:ext>
          </a:extLst>
        </xdr:cNvPr>
        <xdr:cNvSpPr/>
      </xdr:nvSpPr>
      <xdr:spPr>
        <a:xfrm>
          <a:off x="9525" y="19050"/>
          <a:ext cx="1905000" cy="247650"/>
        </a:xfrm>
        <a:prstGeom prst="rect">
          <a:avLst/>
        </a:prstGeom>
        <a:solidFill>
          <a:schemeClr val="accent2">
            <a:lumMod val="75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200" b="1"/>
            <a:t>Etat</a:t>
          </a:r>
          <a:r>
            <a:rPr lang="fr-FR" sz="1200" b="1" baseline="0"/>
            <a:t> 9421</a:t>
          </a:r>
          <a:endParaRPr lang="fr-FR" sz="1200" b="1"/>
        </a:p>
      </xdr:txBody>
    </xdr:sp>
    <xdr:clientData/>
  </xdr:twoCellAnchor>
  <xdr:twoCellAnchor>
    <xdr:from>
      <xdr:col>2</xdr:col>
      <xdr:colOff>981074</xdr:colOff>
      <xdr:row>0</xdr:row>
      <xdr:rowOff>0</xdr:rowOff>
    </xdr:from>
    <xdr:to>
      <xdr:col>2</xdr:col>
      <xdr:colOff>1238249</xdr:colOff>
      <xdr:row>1</xdr:row>
      <xdr:rowOff>142875</xdr:rowOff>
    </xdr:to>
    <xdr:sp macro="" textlink="">
      <xdr:nvSpPr>
        <xdr:cNvPr id="3" name="Flèche : courbe vers la gauch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A0D29DC-9C85-46E7-AEED-094E0C76E242}"/>
            </a:ext>
          </a:extLst>
        </xdr:cNvPr>
        <xdr:cNvSpPr/>
      </xdr:nvSpPr>
      <xdr:spPr>
        <a:xfrm>
          <a:off x="3352799" y="0"/>
          <a:ext cx="257175" cy="409575"/>
        </a:xfrm>
        <a:prstGeom prst="curvedLeftArrow">
          <a:avLst/>
        </a:prstGeom>
        <a:solidFill>
          <a:schemeClr val="accent2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0</xdr:colOff>
      <xdr:row>1</xdr:row>
      <xdr:rowOff>247651</xdr:rowOff>
    </xdr:from>
    <xdr:to>
      <xdr:col>2</xdr:col>
      <xdr:colOff>1590675</xdr:colOff>
      <xdr:row>3</xdr:row>
      <xdr:rowOff>161925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8EBC794A-072F-4A38-BD7F-028F7F53D4A8}"/>
            </a:ext>
          </a:extLst>
        </xdr:cNvPr>
        <xdr:cNvSpPr txBox="1"/>
      </xdr:nvSpPr>
      <xdr:spPr>
        <a:xfrm>
          <a:off x="0" y="514351"/>
          <a:ext cx="3962400" cy="447674"/>
        </a:xfrm>
        <a:prstGeom prst="rect">
          <a:avLst/>
        </a:prstGeom>
        <a:solidFill>
          <a:schemeClr val="bg2">
            <a:lumMod val="75000"/>
          </a:schemeClr>
        </a:solidFill>
        <a:ln>
          <a:noFill/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100" b="1">
              <a:solidFill>
                <a:sysClr val="windowText" lastClr="000000"/>
              </a:solidFill>
            </a:rPr>
            <a:t>Objectif: Respect du délai interne fixé pour la télédéclaration</a:t>
          </a:r>
        </a:p>
        <a:p>
          <a:pPr algn="ctr"/>
          <a:r>
            <a:rPr lang="fr-FR" sz="1100" b="1">
              <a:solidFill>
                <a:sysClr val="windowText" lastClr="000000"/>
              </a:solidFill>
            </a:rPr>
            <a:t>Délai interne= délai fiscal-3 jour</a:t>
          </a:r>
        </a:p>
      </xdr:txBody>
    </xdr:sp>
    <xdr:clientData/>
  </xdr:twoCellAnchor>
  <xdr:twoCellAnchor>
    <xdr:from>
      <xdr:col>2</xdr:col>
      <xdr:colOff>1323975</xdr:colOff>
      <xdr:row>0</xdr:row>
      <xdr:rowOff>142875</xdr:rowOff>
    </xdr:from>
    <xdr:to>
      <xdr:col>4</xdr:col>
      <xdr:colOff>952500</xdr:colOff>
      <xdr:row>6</xdr:row>
      <xdr:rowOff>171450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194BC405-7C28-44F6-B876-DEE3724A5D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1</xdr:row>
      <xdr:rowOff>142875</xdr:rowOff>
    </xdr:from>
    <xdr:to>
      <xdr:col>12</xdr:col>
      <xdr:colOff>752475</xdr:colOff>
      <xdr:row>3</xdr:row>
      <xdr:rowOff>95250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D4F5FF9F-135C-4A97-82CB-A404D64F6AA8}"/>
            </a:ext>
          </a:extLst>
        </xdr:cNvPr>
        <xdr:cNvSpPr txBox="1"/>
      </xdr:nvSpPr>
      <xdr:spPr>
        <a:xfrm>
          <a:off x="7658100" y="409575"/>
          <a:ext cx="5181600" cy="485775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100" b="1">
              <a:solidFill>
                <a:schemeClr val="bg1"/>
              </a:solidFill>
            </a:rPr>
            <a:t>Tableau de bord</a:t>
          </a:r>
          <a:r>
            <a:rPr lang="fr-FR" sz="1100" b="1" baseline="0">
              <a:solidFill>
                <a:schemeClr val="bg1"/>
              </a:solidFill>
            </a:rPr>
            <a:t> par collaborateur</a:t>
          </a:r>
        </a:p>
        <a:p>
          <a:pPr algn="ctr"/>
          <a:r>
            <a:rPr lang="fr-FR" sz="1100" b="1" baseline="0">
              <a:solidFill>
                <a:schemeClr val="bg1"/>
              </a:solidFill>
            </a:rPr>
            <a:t> </a:t>
          </a:r>
          <a:r>
            <a:rPr lang="fr-FR" sz="1100" b="1" u="dbl" baseline="0">
              <a:solidFill>
                <a:schemeClr val="bg1"/>
              </a:solidFill>
            </a:rPr>
            <a:t>ETAT 9421</a:t>
          </a:r>
        </a:p>
        <a:p>
          <a:pPr algn="ctr"/>
          <a:endParaRPr lang="fr-FR" sz="1100" b="1" u="dbl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771525</xdr:colOff>
      <xdr:row>8</xdr:row>
      <xdr:rowOff>90487</xdr:rowOff>
    </xdr:from>
    <xdr:to>
      <xdr:col>12</xdr:col>
      <xdr:colOff>28575</xdr:colOff>
      <xdr:row>19</xdr:row>
      <xdr:rowOff>104775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149AA087-5DB8-452F-80BC-DB28BE46B4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0</xdr:row>
      <xdr:rowOff>19050</xdr:rowOff>
    </xdr:from>
    <xdr:to>
      <xdr:col>1</xdr:col>
      <xdr:colOff>1152525</xdr:colOff>
      <xdr:row>1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25EE696-FCA9-4EC0-86F1-925D1141F32C}"/>
            </a:ext>
          </a:extLst>
        </xdr:cNvPr>
        <xdr:cNvSpPr/>
      </xdr:nvSpPr>
      <xdr:spPr>
        <a:xfrm>
          <a:off x="9525" y="19050"/>
          <a:ext cx="1905000" cy="247650"/>
        </a:xfrm>
        <a:prstGeom prst="rect">
          <a:avLst/>
        </a:prstGeom>
        <a:solidFill>
          <a:schemeClr val="accent3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200" b="1"/>
            <a:t>BILAN</a:t>
          </a:r>
        </a:p>
      </xdr:txBody>
    </xdr:sp>
    <xdr:clientData/>
  </xdr:twoCellAnchor>
  <xdr:twoCellAnchor>
    <xdr:from>
      <xdr:col>2</xdr:col>
      <xdr:colOff>981074</xdr:colOff>
      <xdr:row>0</xdr:row>
      <xdr:rowOff>0</xdr:rowOff>
    </xdr:from>
    <xdr:to>
      <xdr:col>2</xdr:col>
      <xdr:colOff>1238249</xdr:colOff>
      <xdr:row>1</xdr:row>
      <xdr:rowOff>142875</xdr:rowOff>
    </xdr:to>
    <xdr:sp macro="" textlink="">
      <xdr:nvSpPr>
        <xdr:cNvPr id="3" name="Flèche : courbe vers la gauch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0C1C07F-D112-432B-8932-BA726035E9EE}"/>
            </a:ext>
          </a:extLst>
        </xdr:cNvPr>
        <xdr:cNvSpPr/>
      </xdr:nvSpPr>
      <xdr:spPr>
        <a:xfrm>
          <a:off x="3352799" y="0"/>
          <a:ext cx="257175" cy="409575"/>
        </a:xfrm>
        <a:prstGeom prst="curvedLeftArrow">
          <a:avLst/>
        </a:prstGeom>
        <a:solidFill>
          <a:schemeClr val="accent3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0</xdr:colOff>
      <xdr:row>1</xdr:row>
      <xdr:rowOff>148167</xdr:rowOff>
    </xdr:from>
    <xdr:to>
      <xdr:col>2</xdr:col>
      <xdr:colOff>1590675</xdr:colOff>
      <xdr:row>3</xdr:row>
      <xdr:rowOff>116417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38334F10-B850-45F9-B98E-577FCD03110E}"/>
            </a:ext>
          </a:extLst>
        </xdr:cNvPr>
        <xdr:cNvSpPr txBox="1"/>
      </xdr:nvSpPr>
      <xdr:spPr>
        <a:xfrm>
          <a:off x="0" y="412750"/>
          <a:ext cx="3961342" cy="497417"/>
        </a:xfrm>
        <a:prstGeom prst="rect">
          <a:avLst/>
        </a:prstGeom>
        <a:solidFill>
          <a:schemeClr val="bg2">
            <a:lumMod val="75000"/>
          </a:schemeClr>
        </a:solidFill>
        <a:ln>
          <a:noFill/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100" b="1">
              <a:solidFill>
                <a:sysClr val="windowText" lastClr="000000"/>
              </a:solidFill>
            </a:rPr>
            <a:t>Objectif: Respect du délai interne fixé pour la télédéclaration</a:t>
          </a:r>
        </a:p>
        <a:p>
          <a:pPr algn="ctr"/>
          <a:r>
            <a:rPr lang="fr-FR" sz="1100" b="1">
              <a:solidFill>
                <a:sysClr val="windowText" lastClr="000000"/>
              </a:solidFill>
            </a:rPr>
            <a:t>Délai interne= délai fiscal-3 jour</a:t>
          </a:r>
        </a:p>
      </xdr:txBody>
    </xdr:sp>
    <xdr:clientData/>
  </xdr:twoCellAnchor>
  <xdr:twoCellAnchor>
    <xdr:from>
      <xdr:col>2</xdr:col>
      <xdr:colOff>619126</xdr:colOff>
      <xdr:row>1</xdr:row>
      <xdr:rowOff>171450</xdr:rowOff>
    </xdr:from>
    <xdr:to>
      <xdr:col>4</xdr:col>
      <xdr:colOff>942975</xdr:colOff>
      <xdr:row>5</xdr:row>
      <xdr:rowOff>38101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5C839E7E-1523-4526-972A-54AA9E872E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0</xdr:colOff>
      <xdr:row>1</xdr:row>
      <xdr:rowOff>142875</xdr:rowOff>
    </xdr:from>
    <xdr:to>
      <xdr:col>14</xdr:col>
      <xdr:colOff>314325</xdr:colOff>
      <xdr:row>3</xdr:row>
      <xdr:rowOff>95250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7B61FD76-8788-448A-BA6F-D580178849E2}"/>
            </a:ext>
          </a:extLst>
        </xdr:cNvPr>
        <xdr:cNvSpPr txBox="1"/>
      </xdr:nvSpPr>
      <xdr:spPr>
        <a:xfrm>
          <a:off x="9248775" y="409575"/>
          <a:ext cx="5553075" cy="485775"/>
        </a:xfrm>
        <a:prstGeom prst="rect">
          <a:avLst/>
        </a:prstGeom>
        <a:solidFill>
          <a:schemeClr val="accent3"/>
        </a:solidFill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100" b="1">
              <a:solidFill>
                <a:schemeClr val="bg1"/>
              </a:solidFill>
            </a:rPr>
            <a:t>Tableau de bord</a:t>
          </a:r>
          <a:r>
            <a:rPr lang="fr-FR" sz="1100" b="1" baseline="0">
              <a:solidFill>
                <a:schemeClr val="bg1"/>
              </a:solidFill>
            </a:rPr>
            <a:t> par collaborateur</a:t>
          </a:r>
        </a:p>
        <a:p>
          <a:pPr algn="ctr"/>
          <a:r>
            <a:rPr lang="fr-FR" sz="1100" b="1" baseline="0">
              <a:solidFill>
                <a:schemeClr val="bg1"/>
              </a:solidFill>
            </a:rPr>
            <a:t> </a:t>
          </a:r>
          <a:r>
            <a:rPr lang="fr-FR" sz="1100" b="1" u="dbl" baseline="0">
              <a:solidFill>
                <a:schemeClr val="bg1"/>
              </a:solidFill>
            </a:rPr>
            <a:t>Bilan </a:t>
          </a:r>
        </a:p>
        <a:p>
          <a:pPr algn="ctr"/>
          <a:endParaRPr lang="fr-FR" sz="1100" b="1" u="dbl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704850</xdr:colOff>
      <xdr:row>1</xdr:row>
      <xdr:rowOff>180975</xdr:rowOff>
    </xdr:from>
    <xdr:to>
      <xdr:col>6</xdr:col>
      <xdr:colOff>180974</xdr:colOff>
      <xdr:row>5</xdr:row>
      <xdr:rowOff>47626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77BD9B90-994A-4D7B-BFA8-1297CECB40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oneCellAnchor>
    <xdr:from>
      <xdr:col>3</xdr:col>
      <xdr:colOff>638175</xdr:colOff>
      <xdr:row>3</xdr:row>
      <xdr:rowOff>47625</xdr:rowOff>
    </xdr:from>
    <xdr:ext cx="378180" cy="264560"/>
    <xdr:sp macro="" textlink="">
      <xdr:nvSpPr>
        <xdr:cNvPr id="9" name="ZoneTexte 8">
          <a:extLst>
            <a:ext uri="{FF2B5EF4-FFF2-40B4-BE49-F238E27FC236}">
              <a16:creationId xmlns:a16="http://schemas.microsoft.com/office/drawing/2014/main" id="{CDC3A2BA-2B6E-4B8E-884B-187B983316EF}"/>
            </a:ext>
          </a:extLst>
        </xdr:cNvPr>
        <xdr:cNvSpPr txBox="1"/>
      </xdr:nvSpPr>
      <xdr:spPr>
        <a:xfrm>
          <a:off x="4762500" y="847725"/>
          <a:ext cx="37818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100"/>
            <a:t>PM</a:t>
          </a:r>
        </a:p>
      </xdr:txBody>
    </xdr:sp>
    <xdr:clientData/>
  </xdr:oneCellAnchor>
  <xdr:oneCellAnchor>
    <xdr:from>
      <xdr:col>5</xdr:col>
      <xdr:colOff>219075</xdr:colOff>
      <xdr:row>3</xdr:row>
      <xdr:rowOff>66675</xdr:rowOff>
    </xdr:from>
    <xdr:ext cx="330475" cy="264560"/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53109F78-5830-44C9-9C15-733393CDFDD2}"/>
            </a:ext>
          </a:extLst>
        </xdr:cNvPr>
        <xdr:cNvSpPr txBox="1"/>
      </xdr:nvSpPr>
      <xdr:spPr>
        <a:xfrm>
          <a:off x="6715125" y="866775"/>
          <a:ext cx="33047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100"/>
            <a:t>PP</a:t>
          </a:r>
        </a:p>
      </xdr:txBody>
    </xdr:sp>
    <xdr:clientData/>
  </xdr:oneCellAnchor>
  <xdr:twoCellAnchor>
    <xdr:from>
      <xdr:col>9</xdr:col>
      <xdr:colOff>209550</xdr:colOff>
      <xdr:row>11</xdr:row>
      <xdr:rowOff>9525</xdr:rowOff>
    </xdr:from>
    <xdr:to>
      <xdr:col>14</xdr:col>
      <xdr:colOff>366712</xdr:colOff>
      <xdr:row>24</xdr:row>
      <xdr:rowOff>161931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0B886026-7341-416E-8101-CEDD61EE27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1028700</xdr:colOff>
      <xdr:row>0</xdr:row>
      <xdr:rowOff>76200</xdr:rowOff>
    </xdr:from>
    <xdr:to>
      <xdr:col>2</xdr:col>
      <xdr:colOff>1200150</xdr:colOff>
      <xdr:row>2</xdr:row>
      <xdr:rowOff>0</xdr:rowOff>
    </xdr:to>
    <xdr:sp macro="" textlink="">
      <xdr:nvSpPr>
        <xdr:cNvPr id="3" name="Flèche : courbe vers la gauch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E0E7D2A-0EB5-450E-BC06-92459792D3DB}"/>
            </a:ext>
          </a:extLst>
        </xdr:cNvPr>
        <xdr:cNvSpPr/>
      </xdr:nvSpPr>
      <xdr:spPr>
        <a:xfrm>
          <a:off x="3467100" y="76200"/>
          <a:ext cx="171450" cy="304800"/>
        </a:xfrm>
        <a:prstGeom prst="curvedLeftArrow">
          <a:avLst/>
        </a:prstGeom>
        <a:solidFill>
          <a:srgbClr val="FFCC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0</xdr:colOff>
      <xdr:row>3</xdr:row>
      <xdr:rowOff>76200</xdr:rowOff>
    </xdr:from>
    <xdr:to>
      <xdr:col>2</xdr:col>
      <xdr:colOff>1371599</xdr:colOff>
      <xdr:row>6</xdr:row>
      <xdr:rowOff>104775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D85DC01B-A31C-434D-B357-7C61C8539853}"/>
            </a:ext>
          </a:extLst>
        </xdr:cNvPr>
        <xdr:cNvSpPr txBox="1"/>
      </xdr:nvSpPr>
      <xdr:spPr>
        <a:xfrm>
          <a:off x="0" y="647700"/>
          <a:ext cx="3809999" cy="600075"/>
        </a:xfrm>
        <a:prstGeom prst="rect">
          <a:avLst/>
        </a:prstGeom>
        <a:solidFill>
          <a:schemeClr val="bg2">
            <a:lumMod val="75000"/>
          </a:schemeClr>
        </a:solidFill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050" b="1"/>
            <a:t>Objectif: Respect du délai interne fixé pour la</a:t>
          </a:r>
          <a:r>
            <a:rPr lang="fr-FR" sz="1050" b="1" baseline="0"/>
            <a:t> </a:t>
          </a:r>
          <a:r>
            <a:rPr lang="fr-FR" sz="1050" b="1"/>
            <a:t>télédéclaration</a:t>
          </a:r>
          <a:r>
            <a:rPr lang="fr-FR" sz="1050" b="1" baseline="0"/>
            <a:t>                </a:t>
          </a:r>
        </a:p>
        <a:p>
          <a:pPr algn="ctr"/>
          <a:r>
            <a:rPr lang="fr-FR" sz="1050" b="1"/>
            <a:t>Délai interne= délai fiscal-3 jour</a:t>
          </a:r>
        </a:p>
        <a:p>
          <a:pPr algn="ctr"/>
          <a:r>
            <a:rPr lang="fr-FR" sz="1100" b="1" u="dbl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Cible=90% </a:t>
          </a:r>
          <a:endParaRPr lang="fr-FR" sz="1050" b="1" u="dbl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723900</xdr:colOff>
      <xdr:row>1</xdr:row>
      <xdr:rowOff>180975</xdr:rowOff>
    </xdr:from>
    <xdr:to>
      <xdr:col>8</xdr:col>
      <xdr:colOff>542925</xdr:colOff>
      <xdr:row>8</xdr:row>
      <xdr:rowOff>123825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DBD7940-442F-4321-9BF7-A335DD2D4E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561981</xdr:colOff>
      <xdr:row>2</xdr:row>
      <xdr:rowOff>180975</xdr:rowOff>
    </xdr:from>
    <xdr:to>
      <xdr:col>9</xdr:col>
      <xdr:colOff>800100</xdr:colOff>
      <xdr:row>8</xdr:row>
      <xdr:rowOff>171450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E4FA42E2-7275-463D-8342-DB3AD5C9D1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371481</xdr:colOff>
      <xdr:row>2</xdr:row>
      <xdr:rowOff>161925</xdr:rowOff>
    </xdr:from>
    <xdr:to>
      <xdr:col>12</xdr:col>
      <xdr:colOff>57150</xdr:colOff>
      <xdr:row>8</xdr:row>
      <xdr:rowOff>104775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5EF96D43-41B1-4D38-B782-5685B0554A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438150</xdr:colOff>
      <xdr:row>1</xdr:row>
      <xdr:rowOff>133356</xdr:rowOff>
    </xdr:from>
    <xdr:to>
      <xdr:col>14</xdr:col>
      <xdr:colOff>323855</xdr:colOff>
      <xdr:row>8</xdr:row>
      <xdr:rowOff>104775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1BC7A35E-7F1D-4C67-A179-0DAB3B632F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219075</xdr:colOff>
      <xdr:row>3</xdr:row>
      <xdr:rowOff>47625</xdr:rowOff>
    </xdr:from>
    <xdr:to>
      <xdr:col>20</xdr:col>
      <xdr:colOff>742950</xdr:colOff>
      <xdr:row>6</xdr:row>
      <xdr:rowOff>9525</xdr:rowOff>
    </xdr:to>
    <xdr:sp macro="" textlink="">
      <xdr:nvSpPr>
        <xdr:cNvPr id="9" name="ZoneTexte 8">
          <a:extLst>
            <a:ext uri="{FF2B5EF4-FFF2-40B4-BE49-F238E27FC236}">
              <a16:creationId xmlns:a16="http://schemas.microsoft.com/office/drawing/2014/main" id="{EC6A85FB-D686-4A39-A355-15F3B6A3CED9}"/>
            </a:ext>
          </a:extLst>
        </xdr:cNvPr>
        <xdr:cNvSpPr txBox="1"/>
      </xdr:nvSpPr>
      <xdr:spPr>
        <a:xfrm>
          <a:off x="15401925" y="619125"/>
          <a:ext cx="6038850" cy="5334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100" b="1"/>
            <a:t>Tableau de bord</a:t>
          </a:r>
          <a:r>
            <a:rPr lang="fr-FR" sz="1100" b="1" baseline="0"/>
            <a:t> par collaborateur</a:t>
          </a:r>
        </a:p>
        <a:p>
          <a:pPr algn="ctr"/>
          <a:r>
            <a:rPr lang="fr-FR" sz="1100" b="1" baseline="0"/>
            <a:t> </a:t>
          </a:r>
          <a:r>
            <a:rPr lang="fr-FR" sz="1100" b="1" u="dbl" baseline="0">
              <a:solidFill>
                <a:sysClr val="windowText" lastClr="000000"/>
              </a:solidFill>
            </a:rPr>
            <a:t>Acomptes </a:t>
          </a:r>
          <a:endParaRPr lang="fr-FR" sz="1100" b="1" u="dbl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57150</xdr:colOff>
      <xdr:row>0</xdr:row>
      <xdr:rowOff>57150</xdr:rowOff>
    </xdr:from>
    <xdr:to>
      <xdr:col>1</xdr:col>
      <xdr:colOff>1162050</xdr:colOff>
      <xdr:row>1</xdr:row>
      <xdr:rowOff>118650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9AE49202-D664-4194-BD59-AC53F198F793}"/>
            </a:ext>
          </a:extLst>
        </xdr:cNvPr>
        <xdr:cNvSpPr/>
      </xdr:nvSpPr>
      <xdr:spPr>
        <a:xfrm>
          <a:off x="57150" y="57150"/>
          <a:ext cx="1905000" cy="252000"/>
        </a:xfrm>
        <a:prstGeom prst="rect">
          <a:avLst/>
        </a:prstGeom>
        <a:solidFill>
          <a:srgbClr val="FFCC00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200" b="1">
              <a:solidFill>
                <a:schemeClr val="tx1"/>
              </a:solidFill>
            </a:rPr>
            <a:t>ACOMPTES de l'IS</a:t>
          </a:r>
        </a:p>
        <a:p>
          <a:pPr algn="ctr"/>
          <a:r>
            <a:rPr lang="fr-FR" sz="1200" b="1">
              <a:solidFill>
                <a:schemeClr val="tx1"/>
              </a:solidFill>
            </a:rPr>
            <a:t> </a:t>
          </a:r>
        </a:p>
      </xdr:txBody>
    </xdr:sp>
    <xdr:clientData/>
  </xdr:twoCellAnchor>
  <xdr:twoCellAnchor>
    <xdr:from>
      <xdr:col>1</xdr:col>
      <xdr:colOff>1533525</xdr:colOff>
      <xdr:row>1</xdr:row>
      <xdr:rowOff>171450</xdr:rowOff>
    </xdr:from>
    <xdr:to>
      <xdr:col>6</xdr:col>
      <xdr:colOff>590550</xdr:colOff>
      <xdr:row>8</xdr:row>
      <xdr:rowOff>114300</xdr:rowOff>
    </xdr:to>
    <xdr:graphicFrame macro="">
      <xdr:nvGraphicFramePr>
        <xdr:cNvPr id="12" name="Graphique 11">
          <a:extLst>
            <a:ext uri="{FF2B5EF4-FFF2-40B4-BE49-F238E27FC236}">
              <a16:creationId xmlns:a16="http://schemas.microsoft.com/office/drawing/2014/main" id="{34D66B60-73C1-4AAB-B9C8-57C5C90D86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628650</xdr:colOff>
      <xdr:row>16</xdr:row>
      <xdr:rowOff>76206</xdr:rowOff>
    </xdr:from>
    <xdr:to>
      <xdr:col>20</xdr:col>
      <xdr:colOff>85725</xdr:colOff>
      <xdr:row>30</xdr:row>
      <xdr:rowOff>152406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304FCB1-880A-4836-A21C-D9B7D835F2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0</xdr:row>
      <xdr:rowOff>19050</xdr:rowOff>
    </xdr:from>
    <xdr:to>
      <xdr:col>1</xdr:col>
      <xdr:colOff>1152525</xdr:colOff>
      <xdr:row>1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56398420-A7B3-4893-8E35-994BB0C7EEDD}"/>
            </a:ext>
          </a:extLst>
        </xdr:cNvPr>
        <xdr:cNvSpPr/>
      </xdr:nvSpPr>
      <xdr:spPr>
        <a:xfrm>
          <a:off x="9525" y="19050"/>
          <a:ext cx="1905000" cy="247650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200" b="1"/>
            <a:t>COTISATION MINIMALE</a:t>
          </a:r>
        </a:p>
      </xdr:txBody>
    </xdr:sp>
    <xdr:clientData/>
  </xdr:twoCellAnchor>
  <xdr:twoCellAnchor>
    <xdr:from>
      <xdr:col>2</xdr:col>
      <xdr:colOff>981074</xdr:colOff>
      <xdr:row>0</xdr:row>
      <xdr:rowOff>0</xdr:rowOff>
    </xdr:from>
    <xdr:to>
      <xdr:col>2</xdr:col>
      <xdr:colOff>1238249</xdr:colOff>
      <xdr:row>1</xdr:row>
      <xdr:rowOff>142875</xdr:rowOff>
    </xdr:to>
    <xdr:sp macro="" textlink="">
      <xdr:nvSpPr>
        <xdr:cNvPr id="3" name="Flèche : courbe vers la gauch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43B3762-910D-4D7E-A800-8ED1E24A65C2}"/>
            </a:ext>
          </a:extLst>
        </xdr:cNvPr>
        <xdr:cNvSpPr/>
      </xdr:nvSpPr>
      <xdr:spPr>
        <a:xfrm>
          <a:off x="3352799" y="0"/>
          <a:ext cx="257175" cy="409575"/>
        </a:xfrm>
        <a:prstGeom prst="curvedLeftArrow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0</xdr:colOff>
      <xdr:row>1</xdr:row>
      <xdr:rowOff>247651</xdr:rowOff>
    </xdr:from>
    <xdr:to>
      <xdr:col>2</xdr:col>
      <xdr:colOff>1590675</xdr:colOff>
      <xdr:row>3</xdr:row>
      <xdr:rowOff>161925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2AF6550A-C858-4C1F-8727-8EE891F090A4}"/>
            </a:ext>
          </a:extLst>
        </xdr:cNvPr>
        <xdr:cNvSpPr txBox="1"/>
      </xdr:nvSpPr>
      <xdr:spPr>
        <a:xfrm>
          <a:off x="0" y="514351"/>
          <a:ext cx="3962400" cy="447674"/>
        </a:xfrm>
        <a:prstGeom prst="rect">
          <a:avLst/>
        </a:prstGeom>
        <a:solidFill>
          <a:schemeClr val="bg2">
            <a:lumMod val="75000"/>
          </a:schemeClr>
        </a:solidFill>
        <a:ln>
          <a:noFill/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100" b="1">
              <a:solidFill>
                <a:sysClr val="windowText" lastClr="000000"/>
              </a:solidFill>
            </a:rPr>
            <a:t>Objectif: Respect du délai interne fixé pour la télédéclaration</a:t>
          </a:r>
        </a:p>
        <a:p>
          <a:pPr algn="ctr"/>
          <a:r>
            <a:rPr lang="fr-FR" sz="1100" b="1">
              <a:solidFill>
                <a:sysClr val="windowText" lastClr="000000"/>
              </a:solidFill>
            </a:rPr>
            <a:t>Délai interne= délai fiscale-3 jour</a:t>
          </a:r>
        </a:p>
      </xdr:txBody>
    </xdr:sp>
    <xdr:clientData/>
  </xdr:twoCellAnchor>
  <xdr:twoCellAnchor>
    <xdr:from>
      <xdr:col>3</xdr:col>
      <xdr:colOff>94194</xdr:colOff>
      <xdr:row>0</xdr:row>
      <xdr:rowOff>239183</xdr:rowOff>
    </xdr:from>
    <xdr:to>
      <xdr:col>5</xdr:col>
      <xdr:colOff>889001</xdr:colOff>
      <xdr:row>4</xdr:row>
      <xdr:rowOff>232835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77C3D762-B0F2-41F7-9AB1-81609CD6A3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447675</xdr:colOff>
      <xdr:row>1</xdr:row>
      <xdr:rowOff>171450</xdr:rowOff>
    </xdr:from>
    <xdr:to>
      <xdr:col>13</xdr:col>
      <xdr:colOff>752475</xdr:colOff>
      <xdr:row>3</xdr:row>
      <xdr:rowOff>123825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BED6936C-F530-4E25-8CD8-047BBF3923CD}"/>
            </a:ext>
          </a:extLst>
        </xdr:cNvPr>
        <xdr:cNvSpPr txBox="1"/>
      </xdr:nvSpPr>
      <xdr:spPr>
        <a:xfrm>
          <a:off x="8924925" y="438150"/>
          <a:ext cx="5200650" cy="485775"/>
        </a:xfrm>
        <a:prstGeom prst="rect">
          <a:avLst/>
        </a:prstGeom>
        <a:solidFill>
          <a:schemeClr val="bg2">
            <a:lumMod val="75000"/>
          </a:schemeClr>
        </a:solidFill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100" b="1">
              <a:solidFill>
                <a:schemeClr val="bg1"/>
              </a:solidFill>
            </a:rPr>
            <a:t>Tableau de bord</a:t>
          </a:r>
          <a:r>
            <a:rPr lang="fr-FR" sz="1100" b="1" baseline="0">
              <a:solidFill>
                <a:schemeClr val="bg1"/>
              </a:solidFill>
            </a:rPr>
            <a:t> par collaborateur</a:t>
          </a:r>
        </a:p>
        <a:p>
          <a:pPr algn="ctr"/>
          <a:r>
            <a:rPr lang="fr-FR" sz="1100" b="1" baseline="0">
              <a:solidFill>
                <a:schemeClr val="bg1"/>
              </a:solidFill>
            </a:rPr>
            <a:t> </a:t>
          </a:r>
          <a:r>
            <a:rPr lang="fr-FR" sz="1100" b="1" u="dbl" baseline="0">
              <a:solidFill>
                <a:schemeClr val="bg1"/>
              </a:solidFill>
            </a:rPr>
            <a:t>COTISATION MINIMALE</a:t>
          </a:r>
        </a:p>
        <a:p>
          <a:pPr algn="ctr"/>
          <a:endParaRPr lang="fr-FR" sz="1100" b="1" u="dbl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671512</xdr:colOff>
      <xdr:row>8</xdr:row>
      <xdr:rowOff>66675</xdr:rowOff>
    </xdr:from>
    <xdr:to>
      <xdr:col>13</xdr:col>
      <xdr:colOff>104774</xdr:colOff>
      <xdr:row>18</xdr:row>
      <xdr:rowOff>9525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8A80097F-F34E-4314-B20D-2B657184A6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0</xdr:row>
      <xdr:rowOff>19050</xdr:rowOff>
    </xdr:from>
    <xdr:to>
      <xdr:col>1</xdr:col>
      <xdr:colOff>1152525</xdr:colOff>
      <xdr:row>1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3D4D532-F53C-46FF-827D-888B2D305CEB}"/>
            </a:ext>
          </a:extLst>
        </xdr:cNvPr>
        <xdr:cNvSpPr/>
      </xdr:nvSpPr>
      <xdr:spPr>
        <a:xfrm>
          <a:off x="9525" y="19050"/>
          <a:ext cx="1905000" cy="24765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200" b="1"/>
            <a:t>TAXE</a:t>
          </a:r>
          <a:r>
            <a:rPr lang="fr-FR" sz="1200" b="1" baseline="0"/>
            <a:t> PROFESSIONNELLE</a:t>
          </a:r>
          <a:endParaRPr lang="fr-FR" sz="1200" b="1"/>
        </a:p>
      </xdr:txBody>
    </xdr:sp>
    <xdr:clientData/>
  </xdr:twoCellAnchor>
  <xdr:twoCellAnchor>
    <xdr:from>
      <xdr:col>2</xdr:col>
      <xdr:colOff>981074</xdr:colOff>
      <xdr:row>0</xdr:row>
      <xdr:rowOff>0</xdr:rowOff>
    </xdr:from>
    <xdr:to>
      <xdr:col>2</xdr:col>
      <xdr:colOff>1238249</xdr:colOff>
      <xdr:row>1</xdr:row>
      <xdr:rowOff>142875</xdr:rowOff>
    </xdr:to>
    <xdr:sp macro="" textlink="">
      <xdr:nvSpPr>
        <xdr:cNvPr id="3" name="Flèche : courbe vers la gauch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D7BB693-C685-4168-B2E3-C7CE9A30080A}"/>
            </a:ext>
          </a:extLst>
        </xdr:cNvPr>
        <xdr:cNvSpPr/>
      </xdr:nvSpPr>
      <xdr:spPr>
        <a:xfrm>
          <a:off x="3352799" y="0"/>
          <a:ext cx="257175" cy="409575"/>
        </a:xfrm>
        <a:prstGeom prst="curvedLeftArrow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0</xdr:colOff>
      <xdr:row>1</xdr:row>
      <xdr:rowOff>247651</xdr:rowOff>
    </xdr:from>
    <xdr:to>
      <xdr:col>2</xdr:col>
      <xdr:colOff>1590675</xdr:colOff>
      <xdr:row>3</xdr:row>
      <xdr:rowOff>161925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324C144F-F16A-4502-B416-5E3E36CA2034}"/>
            </a:ext>
          </a:extLst>
        </xdr:cNvPr>
        <xdr:cNvSpPr txBox="1"/>
      </xdr:nvSpPr>
      <xdr:spPr>
        <a:xfrm>
          <a:off x="0" y="514351"/>
          <a:ext cx="3962400" cy="447674"/>
        </a:xfrm>
        <a:prstGeom prst="rect">
          <a:avLst/>
        </a:prstGeom>
        <a:solidFill>
          <a:schemeClr val="bg2">
            <a:lumMod val="75000"/>
          </a:schemeClr>
        </a:solidFill>
        <a:ln>
          <a:noFill/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100" b="1">
              <a:solidFill>
                <a:sysClr val="windowText" lastClr="000000"/>
              </a:solidFill>
            </a:rPr>
            <a:t>Objectif: Respect du délai interne fixé pour la télédéclaration</a:t>
          </a:r>
        </a:p>
        <a:p>
          <a:pPr algn="ctr"/>
          <a:r>
            <a:rPr lang="fr-FR" sz="1100" b="1">
              <a:solidFill>
                <a:sysClr val="windowText" lastClr="000000"/>
              </a:solidFill>
            </a:rPr>
            <a:t>Délai interne= délai fiscale-3 jour</a:t>
          </a:r>
        </a:p>
      </xdr:txBody>
    </xdr:sp>
    <xdr:clientData/>
  </xdr:twoCellAnchor>
  <xdr:twoCellAnchor>
    <xdr:from>
      <xdr:col>2</xdr:col>
      <xdr:colOff>1304926</xdr:colOff>
      <xdr:row>1</xdr:row>
      <xdr:rowOff>152400</xdr:rowOff>
    </xdr:from>
    <xdr:to>
      <xdr:col>4</xdr:col>
      <xdr:colOff>1057275</xdr:colOff>
      <xdr:row>5</xdr:row>
      <xdr:rowOff>19051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79B29049-581E-4385-8D56-582756D326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457200</xdr:colOff>
      <xdr:row>1</xdr:row>
      <xdr:rowOff>180975</xdr:rowOff>
    </xdr:from>
    <xdr:to>
      <xdr:col>13</xdr:col>
      <xdr:colOff>19050</xdr:colOff>
      <xdr:row>3</xdr:row>
      <xdr:rowOff>133350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9456CF92-279C-4AB8-836A-66818F0256E8}"/>
            </a:ext>
          </a:extLst>
        </xdr:cNvPr>
        <xdr:cNvSpPr txBox="1"/>
      </xdr:nvSpPr>
      <xdr:spPr>
        <a:xfrm>
          <a:off x="7620000" y="447675"/>
          <a:ext cx="5219700" cy="485775"/>
        </a:xfrm>
        <a:prstGeom prst="rect">
          <a:avLst/>
        </a:prstGeom>
        <a:solidFill>
          <a:schemeClr val="bg1">
            <a:lumMod val="65000"/>
          </a:schemeClr>
        </a:solidFill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100" b="1">
              <a:solidFill>
                <a:schemeClr val="bg1"/>
              </a:solidFill>
            </a:rPr>
            <a:t>Tableau de bord</a:t>
          </a:r>
          <a:r>
            <a:rPr lang="fr-FR" sz="1100" b="1" baseline="0">
              <a:solidFill>
                <a:schemeClr val="bg1"/>
              </a:solidFill>
            </a:rPr>
            <a:t> par collaborateur</a:t>
          </a:r>
        </a:p>
        <a:p>
          <a:pPr algn="ctr"/>
          <a:r>
            <a:rPr lang="fr-FR" sz="1100" b="1" baseline="0">
              <a:solidFill>
                <a:schemeClr val="bg1"/>
              </a:solidFill>
            </a:rPr>
            <a:t> </a:t>
          </a:r>
          <a:r>
            <a:rPr lang="fr-FR" sz="1100" b="1" u="dbl" baseline="0">
              <a:solidFill>
                <a:schemeClr val="bg1"/>
              </a:solidFill>
            </a:rPr>
            <a:t>TAXE PROFESSIONNELLE</a:t>
          </a:r>
        </a:p>
        <a:p>
          <a:pPr algn="ctr"/>
          <a:endParaRPr lang="fr-FR" sz="1100" b="1" u="dbl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733424</xdr:colOff>
      <xdr:row>8</xdr:row>
      <xdr:rowOff>52387</xdr:rowOff>
    </xdr:from>
    <xdr:to>
      <xdr:col>12</xdr:col>
      <xdr:colOff>257174</xdr:colOff>
      <xdr:row>19</xdr:row>
      <xdr:rowOff>171450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03BC322-9F37-4BD4-9BA5-FADD7F7ED5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0</xdr:row>
      <xdr:rowOff>19050</xdr:rowOff>
    </xdr:from>
    <xdr:to>
      <xdr:col>1</xdr:col>
      <xdr:colOff>1152525</xdr:colOff>
      <xdr:row>1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44CBFF7A-110F-45D9-AE22-A92E69AB6FF5}"/>
            </a:ext>
          </a:extLst>
        </xdr:cNvPr>
        <xdr:cNvSpPr/>
      </xdr:nvSpPr>
      <xdr:spPr>
        <a:xfrm>
          <a:off x="9525" y="19050"/>
          <a:ext cx="1905000" cy="24765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200" b="1">
              <a:solidFill>
                <a:sysClr val="windowText" lastClr="000000"/>
              </a:solidFill>
            </a:rPr>
            <a:t>IR </a:t>
          </a:r>
          <a:r>
            <a:rPr lang="fr-FR" sz="1200" b="1" baseline="0">
              <a:solidFill>
                <a:sysClr val="windowText" lastClr="000000"/>
              </a:solidFill>
            </a:rPr>
            <a:t> PROF Global</a:t>
          </a:r>
          <a:endParaRPr lang="fr-FR" sz="12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981074</xdr:colOff>
      <xdr:row>0</xdr:row>
      <xdr:rowOff>0</xdr:rowOff>
    </xdr:from>
    <xdr:to>
      <xdr:col>2</xdr:col>
      <xdr:colOff>1238249</xdr:colOff>
      <xdr:row>1</xdr:row>
      <xdr:rowOff>142875</xdr:rowOff>
    </xdr:to>
    <xdr:sp macro="" textlink="">
      <xdr:nvSpPr>
        <xdr:cNvPr id="3" name="Flèche : courbe vers la gauch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56B03FB-EE85-48D9-AB92-8077572F099B}"/>
            </a:ext>
          </a:extLst>
        </xdr:cNvPr>
        <xdr:cNvSpPr/>
      </xdr:nvSpPr>
      <xdr:spPr>
        <a:xfrm>
          <a:off x="3352799" y="0"/>
          <a:ext cx="257175" cy="409575"/>
        </a:xfrm>
        <a:prstGeom prst="curvedLeftArrow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0</xdr:colOff>
      <xdr:row>1</xdr:row>
      <xdr:rowOff>247651</xdr:rowOff>
    </xdr:from>
    <xdr:to>
      <xdr:col>2</xdr:col>
      <xdr:colOff>1590675</xdr:colOff>
      <xdr:row>3</xdr:row>
      <xdr:rowOff>161925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86748D7-860A-44E1-B093-A431442247F8}"/>
            </a:ext>
          </a:extLst>
        </xdr:cNvPr>
        <xdr:cNvSpPr txBox="1"/>
      </xdr:nvSpPr>
      <xdr:spPr>
        <a:xfrm>
          <a:off x="0" y="514351"/>
          <a:ext cx="3962400" cy="447674"/>
        </a:xfrm>
        <a:prstGeom prst="rect">
          <a:avLst/>
        </a:prstGeom>
        <a:solidFill>
          <a:schemeClr val="bg2">
            <a:lumMod val="75000"/>
          </a:schemeClr>
        </a:solidFill>
        <a:ln>
          <a:noFill/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100" b="1">
              <a:solidFill>
                <a:sysClr val="windowText" lastClr="000000"/>
              </a:solidFill>
            </a:rPr>
            <a:t>Objectif: Respect du délai interne fixé pour la télédéclaration</a:t>
          </a:r>
        </a:p>
        <a:p>
          <a:pPr algn="ctr"/>
          <a:r>
            <a:rPr lang="fr-FR" sz="1100" b="1">
              <a:solidFill>
                <a:sysClr val="windowText" lastClr="000000"/>
              </a:solidFill>
            </a:rPr>
            <a:t>Délai interne= délai fiscale-3 jour</a:t>
          </a:r>
        </a:p>
      </xdr:txBody>
    </xdr:sp>
    <xdr:clientData/>
  </xdr:twoCellAnchor>
  <xdr:twoCellAnchor>
    <xdr:from>
      <xdr:col>2</xdr:col>
      <xdr:colOff>1725083</xdr:colOff>
      <xdr:row>1</xdr:row>
      <xdr:rowOff>152400</xdr:rowOff>
    </xdr:from>
    <xdr:to>
      <xdr:col>4</xdr:col>
      <xdr:colOff>1089024</xdr:colOff>
      <xdr:row>5</xdr:row>
      <xdr:rowOff>19051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B73F2403-DE16-4050-AAFF-E39F017CA7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457200</xdr:colOff>
      <xdr:row>1</xdr:row>
      <xdr:rowOff>171450</xdr:rowOff>
    </xdr:from>
    <xdr:to>
      <xdr:col>13</xdr:col>
      <xdr:colOff>0</xdr:colOff>
      <xdr:row>3</xdr:row>
      <xdr:rowOff>123825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424D79EA-EED2-4E12-8515-235F46BE1740}"/>
            </a:ext>
          </a:extLst>
        </xdr:cNvPr>
        <xdr:cNvSpPr txBox="1"/>
      </xdr:nvSpPr>
      <xdr:spPr>
        <a:xfrm>
          <a:off x="7620000" y="438150"/>
          <a:ext cx="5200650" cy="485775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100" b="1">
              <a:solidFill>
                <a:sysClr val="windowText" lastClr="000000"/>
              </a:solidFill>
            </a:rPr>
            <a:t>Tableau de bord</a:t>
          </a:r>
          <a:r>
            <a:rPr lang="fr-FR" sz="1100" b="1" baseline="0">
              <a:solidFill>
                <a:sysClr val="windowText" lastClr="000000"/>
              </a:solidFill>
            </a:rPr>
            <a:t> par collaborateur</a:t>
          </a:r>
        </a:p>
        <a:p>
          <a:pPr algn="ctr"/>
          <a:r>
            <a:rPr lang="fr-FR" sz="1100" b="1" baseline="0">
              <a:solidFill>
                <a:sysClr val="windowText" lastClr="000000"/>
              </a:solidFill>
            </a:rPr>
            <a:t> </a:t>
          </a:r>
          <a:r>
            <a:rPr lang="fr-FR" sz="1100" b="1" u="dbl" baseline="0">
              <a:solidFill>
                <a:sysClr val="windowText" lastClr="000000"/>
              </a:solidFill>
            </a:rPr>
            <a:t>IR PROF GLOBAL</a:t>
          </a:r>
        </a:p>
        <a:p>
          <a:pPr algn="ctr"/>
          <a:endParaRPr lang="fr-FR" sz="1100" b="1" u="dbl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714375</xdr:colOff>
      <xdr:row>8</xdr:row>
      <xdr:rowOff>61912</xdr:rowOff>
    </xdr:from>
    <xdr:to>
      <xdr:col>12</xdr:col>
      <xdr:colOff>152400</xdr:colOff>
      <xdr:row>19</xdr:row>
      <xdr:rowOff>123825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3C7B358F-B212-442E-B322-79786D003A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0</xdr:row>
      <xdr:rowOff>19049</xdr:rowOff>
    </xdr:from>
    <xdr:to>
      <xdr:col>1</xdr:col>
      <xdr:colOff>1362075</xdr:colOff>
      <xdr:row>1</xdr:row>
      <xdr:rowOff>66674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F28AAE4D-AEE9-44E1-A35D-707EAAD49A77}"/>
            </a:ext>
          </a:extLst>
        </xdr:cNvPr>
        <xdr:cNvSpPr/>
      </xdr:nvSpPr>
      <xdr:spPr>
        <a:xfrm>
          <a:off x="9525" y="19049"/>
          <a:ext cx="2114550" cy="314325"/>
        </a:xfrm>
        <a:prstGeom prst="rect">
          <a:avLst/>
        </a:prstGeom>
        <a:solidFill>
          <a:schemeClr val="accent1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200" b="1">
              <a:solidFill>
                <a:sysClr val="windowText" lastClr="000000"/>
              </a:solidFill>
            </a:rPr>
            <a:t>PV de l'assemblé</a:t>
          </a:r>
          <a:r>
            <a:rPr lang="fr-FR" sz="1200" b="1" baseline="0">
              <a:solidFill>
                <a:sysClr val="windowText" lastClr="000000"/>
              </a:solidFill>
            </a:rPr>
            <a:t>e générale</a:t>
          </a:r>
          <a:endParaRPr lang="fr-FR" sz="12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981074</xdr:colOff>
      <xdr:row>0</xdr:row>
      <xdr:rowOff>0</xdr:rowOff>
    </xdr:from>
    <xdr:to>
      <xdr:col>2</xdr:col>
      <xdr:colOff>1238249</xdr:colOff>
      <xdr:row>1</xdr:row>
      <xdr:rowOff>142875</xdr:rowOff>
    </xdr:to>
    <xdr:sp macro="" textlink="">
      <xdr:nvSpPr>
        <xdr:cNvPr id="3" name="Flèche : courbe vers la gauch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D04410-7773-43AC-867C-3871FD43C693}"/>
            </a:ext>
          </a:extLst>
        </xdr:cNvPr>
        <xdr:cNvSpPr/>
      </xdr:nvSpPr>
      <xdr:spPr>
        <a:xfrm>
          <a:off x="3352799" y="0"/>
          <a:ext cx="257175" cy="409575"/>
        </a:xfrm>
        <a:prstGeom prst="curvedLeftArrow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0</xdr:colOff>
      <xdr:row>1</xdr:row>
      <xdr:rowOff>247651</xdr:rowOff>
    </xdr:from>
    <xdr:to>
      <xdr:col>2</xdr:col>
      <xdr:colOff>1590675</xdr:colOff>
      <xdr:row>3</xdr:row>
      <xdr:rowOff>161925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3573E6D-92DE-410C-B5CB-E965BCCBD2C8}"/>
            </a:ext>
          </a:extLst>
        </xdr:cNvPr>
        <xdr:cNvSpPr txBox="1"/>
      </xdr:nvSpPr>
      <xdr:spPr>
        <a:xfrm>
          <a:off x="0" y="514351"/>
          <a:ext cx="3962400" cy="447674"/>
        </a:xfrm>
        <a:prstGeom prst="rect">
          <a:avLst/>
        </a:prstGeom>
        <a:solidFill>
          <a:schemeClr val="bg2">
            <a:lumMod val="75000"/>
          </a:schemeClr>
        </a:solidFill>
        <a:ln>
          <a:noFill/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100" b="1">
              <a:solidFill>
                <a:sysClr val="windowText" lastClr="000000"/>
              </a:solidFill>
            </a:rPr>
            <a:t>Objectif: Respect du délai interne fixé pour la télédéclaration</a:t>
          </a:r>
        </a:p>
        <a:p>
          <a:pPr algn="ctr"/>
          <a:r>
            <a:rPr lang="fr-FR" sz="1100" b="1">
              <a:solidFill>
                <a:sysClr val="windowText" lastClr="000000"/>
              </a:solidFill>
            </a:rPr>
            <a:t>Délai interne= délai fiscale-3 jour</a:t>
          </a:r>
        </a:p>
      </xdr:txBody>
    </xdr:sp>
    <xdr:clientData/>
  </xdr:twoCellAnchor>
  <xdr:twoCellAnchor>
    <xdr:from>
      <xdr:col>6</xdr:col>
      <xdr:colOff>457200</xdr:colOff>
      <xdr:row>1</xdr:row>
      <xdr:rowOff>171450</xdr:rowOff>
    </xdr:from>
    <xdr:to>
      <xdr:col>13</xdr:col>
      <xdr:colOff>0</xdr:colOff>
      <xdr:row>3</xdr:row>
      <xdr:rowOff>123825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8A328705-D901-400D-AE9A-F28732873872}"/>
            </a:ext>
          </a:extLst>
        </xdr:cNvPr>
        <xdr:cNvSpPr txBox="1"/>
      </xdr:nvSpPr>
      <xdr:spPr>
        <a:xfrm>
          <a:off x="7620000" y="438150"/>
          <a:ext cx="5200650" cy="485775"/>
        </a:xfrm>
        <a:prstGeom prst="rect">
          <a:avLst/>
        </a:prstGeom>
        <a:solidFill>
          <a:schemeClr val="accent1"/>
        </a:solidFill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100" b="1">
              <a:solidFill>
                <a:sysClr val="windowText" lastClr="000000"/>
              </a:solidFill>
            </a:rPr>
            <a:t>Tableau de bord</a:t>
          </a:r>
          <a:r>
            <a:rPr lang="fr-FR" sz="1100" b="1" baseline="0">
              <a:solidFill>
                <a:sysClr val="windowText" lastClr="000000"/>
              </a:solidFill>
            </a:rPr>
            <a:t> par collaborateur</a:t>
          </a:r>
        </a:p>
        <a:p>
          <a:pPr algn="ctr"/>
          <a:r>
            <a:rPr lang="fr-FR" sz="1100" b="1" baseline="0">
              <a:solidFill>
                <a:sysClr val="windowText" lastClr="000000"/>
              </a:solidFill>
            </a:rPr>
            <a:t>PV de l'AGO</a:t>
          </a:r>
          <a:endParaRPr lang="fr-FR" sz="1100" b="1" u="dbl" baseline="0">
            <a:solidFill>
              <a:sysClr val="windowText" lastClr="000000"/>
            </a:solidFill>
          </a:endParaRPr>
        </a:p>
        <a:p>
          <a:pPr algn="ctr"/>
          <a:endParaRPr lang="fr-FR" sz="1100" b="1" u="dbl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714375</xdr:colOff>
      <xdr:row>8</xdr:row>
      <xdr:rowOff>61912</xdr:rowOff>
    </xdr:from>
    <xdr:to>
      <xdr:col>12</xdr:col>
      <xdr:colOff>152400</xdr:colOff>
      <xdr:row>19</xdr:row>
      <xdr:rowOff>123825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22902682-09DB-437B-8550-F9759A0AF7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1304925</xdr:colOff>
      <xdr:row>1</xdr:row>
      <xdr:rowOff>161925</xdr:rowOff>
    </xdr:from>
    <xdr:to>
      <xdr:col>4</xdr:col>
      <xdr:colOff>1057274</xdr:colOff>
      <xdr:row>5</xdr:row>
      <xdr:rowOff>28576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C7D2AA93-A78E-4921-AA72-2DF475DC47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0</xdr:row>
      <xdr:rowOff>38101</xdr:rowOff>
    </xdr:from>
    <xdr:to>
      <xdr:col>2</xdr:col>
      <xdr:colOff>200025</xdr:colOff>
      <xdr:row>1</xdr:row>
      <xdr:rowOff>219076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7CFF8A4F-C346-4EFD-BC6F-4169283BD32A}"/>
            </a:ext>
          </a:extLst>
        </xdr:cNvPr>
        <xdr:cNvSpPr/>
      </xdr:nvSpPr>
      <xdr:spPr>
        <a:xfrm>
          <a:off x="85725" y="38101"/>
          <a:ext cx="1943100" cy="381000"/>
        </a:xfrm>
        <a:prstGeom prst="rect">
          <a:avLst/>
        </a:prstGeom>
        <a:solidFill>
          <a:schemeClr val="tx1"/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400" b="1" cap="none" spc="0">
              <a:ln w="1905"/>
              <a:solidFill>
                <a:schemeClr val="bg1"/>
              </a:soli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</a:rPr>
            <a:t>SITUATION CLIENTS</a:t>
          </a:r>
        </a:p>
      </xdr:txBody>
    </xdr:sp>
    <xdr:clientData/>
  </xdr:twoCellAnchor>
  <xdr:oneCellAnchor>
    <xdr:from>
      <xdr:col>4</xdr:col>
      <xdr:colOff>600074</xdr:colOff>
      <xdr:row>3</xdr:row>
      <xdr:rowOff>19050</xdr:rowOff>
    </xdr:from>
    <xdr:ext cx="1990726" cy="311496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1F6221D9-59D3-4E56-813E-B3F8A9A332C2}"/>
            </a:ext>
          </a:extLst>
        </xdr:cNvPr>
        <xdr:cNvSpPr txBox="1"/>
      </xdr:nvSpPr>
      <xdr:spPr>
        <a:xfrm>
          <a:off x="5524499" y="619125"/>
          <a:ext cx="1990726" cy="311496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fr-FR" sz="1400" b="1">
              <a:solidFill>
                <a:schemeClr val="bg1"/>
              </a:solidFill>
            </a:rPr>
            <a:t>FICHE CLIENT</a:t>
          </a:r>
        </a:p>
      </xdr:txBody>
    </xdr:sp>
    <xdr:clientData/>
  </xdr:oneCellAnchor>
  <xdr:oneCellAnchor>
    <xdr:from>
      <xdr:col>0</xdr:col>
      <xdr:colOff>0</xdr:colOff>
      <xdr:row>12</xdr:row>
      <xdr:rowOff>19050</xdr:rowOff>
    </xdr:from>
    <xdr:ext cx="2800350" cy="311496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27D153BA-BC36-4A40-9529-24D1FDE3B0F6}"/>
            </a:ext>
          </a:extLst>
        </xdr:cNvPr>
        <xdr:cNvSpPr txBox="1"/>
      </xdr:nvSpPr>
      <xdr:spPr>
        <a:xfrm>
          <a:off x="0" y="1971675"/>
          <a:ext cx="2800350" cy="311496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fr-FR" sz="1400" b="1">
              <a:solidFill>
                <a:schemeClr val="tx1"/>
              </a:solidFill>
            </a:rPr>
            <a:t>DECLARATIONS MENSUELLES</a:t>
          </a:r>
        </a:p>
      </xdr:txBody>
    </xdr:sp>
    <xdr:clientData/>
  </xdr:oneCellAnchor>
  <xdr:oneCellAnchor>
    <xdr:from>
      <xdr:col>0</xdr:col>
      <xdr:colOff>19050</xdr:colOff>
      <xdr:row>29</xdr:row>
      <xdr:rowOff>76200</xdr:rowOff>
    </xdr:from>
    <xdr:ext cx="2800350" cy="311496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ED81737E-EE59-4348-A681-66D1DDF2A19F}"/>
            </a:ext>
          </a:extLst>
        </xdr:cNvPr>
        <xdr:cNvSpPr txBox="1"/>
      </xdr:nvSpPr>
      <xdr:spPr>
        <a:xfrm>
          <a:off x="19050" y="5419725"/>
          <a:ext cx="2800350" cy="311496"/>
        </a:xfrm>
        <a:prstGeom prst="rect">
          <a:avLst/>
        </a:prstGeom>
        <a:solidFill>
          <a:schemeClr val="bg2">
            <a:lumMod val="50000"/>
          </a:schemeClr>
        </a:solidFill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fr-FR" sz="1400" b="1">
              <a:solidFill>
                <a:schemeClr val="tx1"/>
              </a:solidFill>
            </a:rPr>
            <a:t>DECLARATIONS TRIMESTRIELLES</a:t>
          </a:r>
        </a:p>
      </xdr:txBody>
    </xdr:sp>
    <xdr:clientData/>
  </xdr:oneCellAnchor>
  <xdr:oneCellAnchor>
    <xdr:from>
      <xdr:col>0</xdr:col>
      <xdr:colOff>9525</xdr:colOff>
      <xdr:row>40</xdr:row>
      <xdr:rowOff>95250</xdr:rowOff>
    </xdr:from>
    <xdr:ext cx="2800350" cy="311496"/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D8DE0985-70D0-45CB-BA0D-2921BD976C7C}"/>
            </a:ext>
          </a:extLst>
        </xdr:cNvPr>
        <xdr:cNvSpPr txBox="1"/>
      </xdr:nvSpPr>
      <xdr:spPr>
        <a:xfrm>
          <a:off x="9525" y="8096250"/>
          <a:ext cx="2800350" cy="311496"/>
        </a:xfrm>
        <a:prstGeom prst="rect">
          <a:avLst/>
        </a:prstGeom>
        <a:solidFill>
          <a:schemeClr val="bg2">
            <a:lumMod val="50000"/>
          </a:schemeClr>
        </a:solidFill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fr-FR" sz="1400" b="1">
              <a:solidFill>
                <a:schemeClr val="tx1"/>
              </a:solidFill>
            </a:rPr>
            <a:t>DECLARATIONS ANNUELLES</a:t>
          </a:r>
        </a:p>
      </xdr:txBody>
    </xdr:sp>
    <xdr:clientData/>
  </xdr:oneCellAnchor>
  <xdr:twoCellAnchor>
    <xdr:from>
      <xdr:col>7</xdr:col>
      <xdr:colOff>981075</xdr:colOff>
      <xdr:row>0</xdr:row>
      <xdr:rowOff>190500</xdr:rowOff>
    </xdr:from>
    <xdr:to>
      <xdr:col>7</xdr:col>
      <xdr:colOff>1209675</xdr:colOff>
      <xdr:row>1</xdr:row>
      <xdr:rowOff>342900</xdr:rowOff>
    </xdr:to>
    <xdr:sp macro="" textlink="">
      <xdr:nvSpPr>
        <xdr:cNvPr id="7" name="Flèche : courbe vers la gauche 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0BE232-4F94-458B-B597-D0B92CE533D8}"/>
            </a:ext>
          </a:extLst>
        </xdr:cNvPr>
        <xdr:cNvSpPr/>
      </xdr:nvSpPr>
      <xdr:spPr>
        <a:xfrm>
          <a:off x="10744200" y="190500"/>
          <a:ext cx="228600" cy="352425"/>
        </a:xfrm>
        <a:prstGeom prst="curved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28575</xdr:colOff>
      <xdr:row>2</xdr:row>
      <xdr:rowOff>76200</xdr:rowOff>
    </xdr:from>
    <xdr:ext cx="2353465" cy="311496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53D4AF7E-48E4-4FDC-88EB-41CE48823EEC}"/>
            </a:ext>
          </a:extLst>
        </xdr:cNvPr>
        <xdr:cNvSpPr txBox="1"/>
      </xdr:nvSpPr>
      <xdr:spPr>
        <a:xfrm>
          <a:off x="28575" y="457200"/>
          <a:ext cx="2353465" cy="311496"/>
        </a:xfrm>
        <a:prstGeom prst="rect">
          <a:avLst/>
        </a:prstGeom>
        <a:solidFill>
          <a:schemeClr val="tx1"/>
        </a:solidFill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 b="1"/>
            <a:t>DECLARATIONS MENSUELLES</a:t>
          </a:r>
        </a:p>
      </xdr:txBody>
    </xdr:sp>
    <xdr:clientData/>
  </xdr:oneCellAnchor>
  <xdr:twoCellAnchor>
    <xdr:from>
      <xdr:col>5</xdr:col>
      <xdr:colOff>123825</xdr:colOff>
      <xdr:row>0</xdr:row>
      <xdr:rowOff>38100</xdr:rowOff>
    </xdr:from>
    <xdr:to>
      <xdr:col>8</xdr:col>
      <xdr:colOff>171450</xdr:colOff>
      <xdr:row>2</xdr:row>
      <xdr:rowOff>95251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6B84B795-5479-4380-912B-981D0C4AC77A}"/>
            </a:ext>
          </a:extLst>
        </xdr:cNvPr>
        <xdr:cNvSpPr/>
      </xdr:nvSpPr>
      <xdr:spPr>
        <a:xfrm>
          <a:off x="4705350" y="38100"/>
          <a:ext cx="3105150" cy="438151"/>
        </a:xfrm>
        <a:prstGeom prst="rect">
          <a:avLst/>
        </a:prstGeom>
        <a:solidFill>
          <a:schemeClr val="tx1"/>
        </a:solidFill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2000" b="1"/>
            <a:t>TABLEAU</a:t>
          </a:r>
          <a:r>
            <a:rPr lang="fr-FR" sz="2000" b="1" baseline="0"/>
            <a:t> DE BORD</a:t>
          </a:r>
        </a:p>
        <a:p>
          <a:pPr algn="ctr"/>
          <a:endParaRPr lang="fr-FR" sz="2000" b="1"/>
        </a:p>
      </xdr:txBody>
    </xdr:sp>
    <xdr:clientData/>
  </xdr:twoCellAnchor>
  <xdr:twoCellAnchor>
    <xdr:from>
      <xdr:col>0</xdr:col>
      <xdr:colOff>342901</xdr:colOff>
      <xdr:row>21</xdr:row>
      <xdr:rowOff>190500</xdr:rowOff>
    </xdr:from>
    <xdr:to>
      <xdr:col>6</xdr:col>
      <xdr:colOff>285750</xdr:colOff>
      <xdr:row>35</xdr:row>
      <xdr:rowOff>95250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36BEE46F-8009-4F00-A6DC-B24E974C760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590550</xdr:colOff>
      <xdr:row>21</xdr:row>
      <xdr:rowOff>190500</xdr:rowOff>
    </xdr:from>
    <xdr:to>
      <xdr:col>12</xdr:col>
      <xdr:colOff>304800</xdr:colOff>
      <xdr:row>35</xdr:row>
      <xdr:rowOff>109537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F527E6E3-6EC5-4E14-B722-41866E3EA12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3</xdr:col>
      <xdr:colOff>47626</xdr:colOff>
      <xdr:row>4</xdr:row>
      <xdr:rowOff>57150</xdr:rowOff>
    </xdr:from>
    <xdr:ext cx="1924050" cy="280205"/>
    <xdr:sp macro="" textlink="">
      <xdr:nvSpPr>
        <xdr:cNvPr id="7" name="ZoneTexte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87D5A9D-4A99-446A-A781-5A3A30793154}"/>
            </a:ext>
          </a:extLst>
        </xdr:cNvPr>
        <xdr:cNvSpPr txBox="1"/>
      </xdr:nvSpPr>
      <xdr:spPr>
        <a:xfrm>
          <a:off x="2590801" y="819150"/>
          <a:ext cx="1924050" cy="280205"/>
        </a:xfrm>
        <a:prstGeom prst="rect">
          <a:avLst/>
        </a:prstGeom>
        <a:solidFill>
          <a:schemeClr val="accent1"/>
        </a:solidFill>
        <a:ln>
          <a:noFill/>
        </a:ln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200" b="1"/>
            <a:t>Voir</a:t>
          </a:r>
          <a:r>
            <a:rPr lang="fr-FR" sz="1200" b="1" baseline="0"/>
            <a:t> TB par collaborateur</a:t>
          </a:r>
          <a:endParaRPr lang="fr-FR" sz="1200" b="1"/>
        </a:p>
      </xdr:txBody>
    </xdr:sp>
    <xdr:clientData/>
  </xdr:oneCellAnchor>
  <xdr:oneCellAnchor>
    <xdr:from>
      <xdr:col>5</xdr:col>
      <xdr:colOff>57150</xdr:colOff>
      <xdr:row>4</xdr:row>
      <xdr:rowOff>57150</xdr:rowOff>
    </xdr:from>
    <xdr:ext cx="1924050" cy="280205"/>
    <xdr:sp macro="" textlink="">
      <xdr:nvSpPr>
        <xdr:cNvPr id="8" name="ZoneTexte 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B8D4C904-23E3-4346-934A-065D0DD410E8}"/>
            </a:ext>
          </a:extLst>
        </xdr:cNvPr>
        <xdr:cNvSpPr txBox="1"/>
      </xdr:nvSpPr>
      <xdr:spPr>
        <a:xfrm>
          <a:off x="4638675" y="819150"/>
          <a:ext cx="1924050" cy="280205"/>
        </a:xfrm>
        <a:prstGeom prst="rect">
          <a:avLst/>
        </a:prstGeom>
        <a:solidFill>
          <a:srgbClr val="893BC3"/>
        </a:solidFill>
        <a:ln>
          <a:noFill/>
        </a:ln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200" b="1"/>
            <a:t>Voir</a:t>
          </a:r>
          <a:r>
            <a:rPr lang="fr-FR" sz="1200" b="1" baseline="0"/>
            <a:t> TB par collaborateur</a:t>
          </a:r>
          <a:endParaRPr lang="fr-FR" sz="1200" b="1"/>
        </a:p>
      </xdr:txBody>
    </xdr:sp>
    <xdr:clientData/>
  </xdr:oneCellAnchor>
  <xdr:oneCellAnchor>
    <xdr:from>
      <xdr:col>7</xdr:col>
      <xdr:colOff>47625</xdr:colOff>
      <xdr:row>4</xdr:row>
      <xdr:rowOff>57150</xdr:rowOff>
    </xdr:from>
    <xdr:ext cx="1924050" cy="280205"/>
    <xdr:sp macro="" textlink="">
      <xdr:nvSpPr>
        <xdr:cNvPr id="9" name="ZoneTexte 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5288630-6FE6-4F74-A077-24D5F45713EE}"/>
            </a:ext>
          </a:extLst>
        </xdr:cNvPr>
        <xdr:cNvSpPr txBox="1"/>
      </xdr:nvSpPr>
      <xdr:spPr>
        <a:xfrm>
          <a:off x="6667500" y="819150"/>
          <a:ext cx="1924050" cy="280205"/>
        </a:xfrm>
        <a:prstGeom prst="rect">
          <a:avLst/>
        </a:prstGeom>
        <a:solidFill>
          <a:srgbClr val="00B0F0"/>
        </a:solidFill>
        <a:ln>
          <a:noFill/>
        </a:ln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200" b="1"/>
            <a:t>Voir</a:t>
          </a:r>
          <a:r>
            <a:rPr lang="fr-FR" sz="1200" b="1" baseline="0"/>
            <a:t> TB par collaborateur</a:t>
          </a:r>
          <a:endParaRPr lang="fr-FR" sz="1200" b="1"/>
        </a:p>
      </xdr:txBody>
    </xdr:sp>
    <xdr:clientData/>
  </xdr:oneCellAnchor>
  <xdr:oneCellAnchor>
    <xdr:from>
      <xdr:col>9</xdr:col>
      <xdr:colOff>66675</xdr:colOff>
      <xdr:row>4</xdr:row>
      <xdr:rowOff>57150</xdr:rowOff>
    </xdr:from>
    <xdr:ext cx="1924050" cy="280205"/>
    <xdr:sp macro="" textlink="">
      <xdr:nvSpPr>
        <xdr:cNvPr id="10" name="ZoneTexte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FB0672F8-1B7E-43AE-A00C-73CBA48710C6}"/>
            </a:ext>
          </a:extLst>
        </xdr:cNvPr>
        <xdr:cNvSpPr txBox="1"/>
      </xdr:nvSpPr>
      <xdr:spPr>
        <a:xfrm>
          <a:off x="8724900" y="819150"/>
          <a:ext cx="1924050" cy="280205"/>
        </a:xfrm>
        <a:prstGeom prst="rect">
          <a:avLst/>
        </a:prstGeom>
        <a:solidFill>
          <a:srgbClr val="2DFF2D"/>
        </a:solidFill>
        <a:ln>
          <a:noFill/>
        </a:ln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200" b="1"/>
            <a:t>Voir</a:t>
          </a:r>
          <a:r>
            <a:rPr lang="fr-FR" sz="1200" b="1" baseline="0"/>
            <a:t> TB par collaborateur</a:t>
          </a:r>
          <a:endParaRPr lang="fr-FR" sz="1200" b="1"/>
        </a:p>
      </xdr:txBody>
    </xdr:sp>
    <xdr:clientData/>
  </xdr:oneCellAnchor>
  <xdr:twoCellAnchor>
    <xdr:from>
      <xdr:col>0</xdr:col>
      <xdr:colOff>352424</xdr:colOff>
      <xdr:row>35</xdr:row>
      <xdr:rowOff>176212</xdr:rowOff>
    </xdr:from>
    <xdr:to>
      <xdr:col>6</xdr:col>
      <xdr:colOff>295275</xdr:colOff>
      <xdr:row>50</xdr:row>
      <xdr:rowOff>114300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49E7366D-E849-4C6C-BC6B-4EA762111A0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609600</xdr:colOff>
      <xdr:row>36</xdr:row>
      <xdr:rowOff>4761</xdr:rowOff>
    </xdr:from>
    <xdr:to>
      <xdr:col>12</xdr:col>
      <xdr:colOff>285750</xdr:colOff>
      <xdr:row>50</xdr:row>
      <xdr:rowOff>123824</xdr:rowOff>
    </xdr:to>
    <xdr:graphicFrame macro="">
      <xdr:nvGraphicFramePr>
        <xdr:cNvPr id="12" name="Graphique 11">
          <a:extLst>
            <a:ext uri="{FF2B5EF4-FFF2-40B4-BE49-F238E27FC236}">
              <a16:creationId xmlns:a16="http://schemas.microsoft.com/office/drawing/2014/main" id="{81250B91-97AF-4A32-BBE1-6DF1672EE3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0</xdr:col>
      <xdr:colOff>0</xdr:colOff>
      <xdr:row>52</xdr:row>
      <xdr:rowOff>0</xdr:rowOff>
    </xdr:from>
    <xdr:ext cx="2593531" cy="311496"/>
    <xdr:sp macro="" textlink="">
      <xdr:nvSpPr>
        <xdr:cNvPr id="13" name="ZoneTexte 12">
          <a:extLst>
            <a:ext uri="{FF2B5EF4-FFF2-40B4-BE49-F238E27FC236}">
              <a16:creationId xmlns:a16="http://schemas.microsoft.com/office/drawing/2014/main" id="{74ED312A-C5CB-4D8D-8EFA-F68CA0FF820F}"/>
            </a:ext>
          </a:extLst>
        </xdr:cNvPr>
        <xdr:cNvSpPr txBox="1"/>
      </xdr:nvSpPr>
      <xdr:spPr>
        <a:xfrm>
          <a:off x="0" y="10334625"/>
          <a:ext cx="2593531" cy="311496"/>
        </a:xfrm>
        <a:prstGeom prst="rect">
          <a:avLst/>
        </a:prstGeom>
        <a:solidFill>
          <a:schemeClr val="tx1"/>
        </a:solidFill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 b="1"/>
            <a:t>DECLARATIONS TRIMESTRIELLES</a:t>
          </a:r>
        </a:p>
      </xdr:txBody>
    </xdr:sp>
    <xdr:clientData/>
  </xdr:oneCellAnchor>
  <xdr:oneCellAnchor>
    <xdr:from>
      <xdr:col>4</xdr:col>
      <xdr:colOff>57150</xdr:colOff>
      <xdr:row>54</xdr:row>
      <xdr:rowOff>38100</xdr:rowOff>
    </xdr:from>
    <xdr:ext cx="1924050" cy="280205"/>
    <xdr:sp macro="" textlink="">
      <xdr:nvSpPr>
        <xdr:cNvPr id="14" name="ZoneTexte 1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1C5E4B75-6D97-4B9B-B752-15D4C443F9B4}"/>
            </a:ext>
          </a:extLst>
        </xdr:cNvPr>
        <xdr:cNvSpPr txBox="1"/>
      </xdr:nvSpPr>
      <xdr:spPr>
        <a:xfrm>
          <a:off x="3619500" y="10753725"/>
          <a:ext cx="1924050" cy="280205"/>
        </a:xfrm>
        <a:prstGeom prst="rect">
          <a:avLst/>
        </a:prstGeom>
        <a:ln/>
        <a:scene3d>
          <a:camera prst="orthographicFront"/>
          <a:lightRig rig="threePt" dir="t"/>
        </a:scene3d>
        <a:sp3d>
          <a:bevelT prst="slope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200" b="1"/>
            <a:t>Voir</a:t>
          </a:r>
          <a:r>
            <a:rPr lang="fr-FR" sz="1200" b="1" baseline="0"/>
            <a:t> TB par collaborateur</a:t>
          </a:r>
          <a:endParaRPr lang="fr-FR" sz="1200" b="1"/>
        </a:p>
      </xdr:txBody>
    </xdr:sp>
    <xdr:clientData/>
  </xdr:oneCellAnchor>
  <xdr:twoCellAnchor>
    <xdr:from>
      <xdr:col>0</xdr:col>
      <xdr:colOff>466725</xdr:colOff>
      <xdr:row>65</xdr:row>
      <xdr:rowOff>9525</xdr:rowOff>
    </xdr:from>
    <xdr:to>
      <xdr:col>5</xdr:col>
      <xdr:colOff>971550</xdr:colOff>
      <xdr:row>79</xdr:row>
      <xdr:rowOff>71437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69E40450-93A7-4C4A-81BB-2F1D146CA6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6</xdr:col>
      <xdr:colOff>66675</xdr:colOff>
      <xdr:row>54</xdr:row>
      <xdr:rowOff>47625</xdr:rowOff>
    </xdr:from>
    <xdr:ext cx="1924050" cy="280205"/>
    <xdr:sp macro="" textlink="">
      <xdr:nvSpPr>
        <xdr:cNvPr id="16" name="ZoneTexte 15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490A065D-FE1C-402A-8FC8-954CF803D286}"/>
            </a:ext>
          </a:extLst>
        </xdr:cNvPr>
        <xdr:cNvSpPr txBox="1"/>
      </xdr:nvSpPr>
      <xdr:spPr>
        <a:xfrm>
          <a:off x="5667375" y="10763250"/>
          <a:ext cx="1924050" cy="280205"/>
        </a:xfrm>
        <a:prstGeom prst="rect">
          <a:avLst/>
        </a:prstGeom>
        <a:solidFill>
          <a:srgbClr val="FFC000"/>
        </a:solidFill>
        <a:ln/>
        <a:scene3d>
          <a:camera prst="orthographicFront"/>
          <a:lightRig rig="threePt" dir="t"/>
        </a:scene3d>
        <a:sp3d>
          <a:bevelT prst="slope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200" b="1">
              <a:solidFill>
                <a:sysClr val="windowText" lastClr="000000"/>
              </a:solidFill>
            </a:rPr>
            <a:t>Voir</a:t>
          </a:r>
          <a:r>
            <a:rPr lang="fr-FR" sz="1200" b="1" baseline="0">
              <a:solidFill>
                <a:sysClr val="windowText" lastClr="000000"/>
              </a:solidFill>
            </a:rPr>
            <a:t> TB par collaborateur</a:t>
          </a:r>
          <a:endParaRPr lang="fr-FR" sz="1200" b="1">
            <a:solidFill>
              <a:sysClr val="windowText" lastClr="000000"/>
            </a:solidFill>
          </a:endParaRPr>
        </a:p>
      </xdr:txBody>
    </xdr:sp>
    <xdr:clientData/>
  </xdr:oneCellAnchor>
  <xdr:twoCellAnchor>
    <xdr:from>
      <xdr:col>6</xdr:col>
      <xdr:colOff>85724</xdr:colOff>
      <xdr:row>65</xdr:row>
      <xdr:rowOff>14287</xdr:rowOff>
    </xdr:from>
    <xdr:to>
      <xdr:col>10</xdr:col>
      <xdr:colOff>1009649</xdr:colOff>
      <xdr:row>79</xdr:row>
      <xdr:rowOff>90487</xdr:rowOff>
    </xdr:to>
    <xdr:graphicFrame macro="">
      <xdr:nvGraphicFramePr>
        <xdr:cNvPr id="17" name="Graphique 16">
          <a:extLst>
            <a:ext uri="{FF2B5EF4-FFF2-40B4-BE49-F238E27FC236}">
              <a16:creationId xmlns:a16="http://schemas.microsoft.com/office/drawing/2014/main" id="{630CBD74-462C-43E3-8C03-49CD5B678E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oneCellAnchor>
    <xdr:from>
      <xdr:col>0</xdr:col>
      <xdr:colOff>0</xdr:colOff>
      <xdr:row>81</xdr:row>
      <xdr:rowOff>0</xdr:rowOff>
    </xdr:from>
    <xdr:ext cx="2251194" cy="311496"/>
    <xdr:sp macro="" textlink="">
      <xdr:nvSpPr>
        <xdr:cNvPr id="18" name="ZoneTexte 17">
          <a:extLst>
            <a:ext uri="{FF2B5EF4-FFF2-40B4-BE49-F238E27FC236}">
              <a16:creationId xmlns:a16="http://schemas.microsoft.com/office/drawing/2014/main" id="{2DF8811B-3A3A-44EB-B68A-201118552618}"/>
            </a:ext>
          </a:extLst>
        </xdr:cNvPr>
        <xdr:cNvSpPr txBox="1"/>
      </xdr:nvSpPr>
      <xdr:spPr>
        <a:xfrm>
          <a:off x="0" y="16192500"/>
          <a:ext cx="2251194" cy="311496"/>
        </a:xfrm>
        <a:prstGeom prst="rect">
          <a:avLst/>
        </a:prstGeom>
        <a:solidFill>
          <a:schemeClr val="tx1"/>
        </a:solidFill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 b="1"/>
            <a:t>DECLARATIONS ANNUELLES</a:t>
          </a:r>
        </a:p>
      </xdr:txBody>
    </xdr:sp>
    <xdr:clientData/>
  </xdr:oneCellAnchor>
  <xdr:oneCellAnchor>
    <xdr:from>
      <xdr:col>2</xdr:col>
      <xdr:colOff>1228724</xdr:colOff>
      <xdr:row>82</xdr:row>
      <xdr:rowOff>124164</xdr:rowOff>
    </xdr:from>
    <xdr:ext cx="971549" cy="436786"/>
    <xdr:sp macro="" textlink="">
      <xdr:nvSpPr>
        <xdr:cNvPr id="19" name="ZoneTexte 18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C20FA547-7A80-4873-8C0B-276A492A814E}"/>
            </a:ext>
          </a:extLst>
        </xdr:cNvPr>
        <xdr:cNvSpPr txBox="1"/>
      </xdr:nvSpPr>
      <xdr:spPr>
        <a:xfrm>
          <a:off x="2543174" y="16507164"/>
          <a:ext cx="971549" cy="436786"/>
        </a:xfrm>
        <a:prstGeom prst="rect">
          <a:avLst/>
        </a:prstGeom>
        <a:ln>
          <a:noFill/>
        </a:ln>
        <a:scene3d>
          <a:camera prst="orthographicFront"/>
          <a:lightRig rig="threePt" dir="t"/>
        </a:scene3d>
        <a:sp3d>
          <a:bevelT prst="slope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fr-FR" sz="1100" b="1"/>
            <a:t>Voir</a:t>
          </a:r>
          <a:r>
            <a:rPr lang="fr-FR" sz="1100" b="1" baseline="0"/>
            <a:t> TB par collaborateur</a:t>
          </a:r>
          <a:endParaRPr lang="fr-FR" sz="1100" b="1"/>
        </a:p>
      </xdr:txBody>
    </xdr:sp>
    <xdr:clientData/>
  </xdr:oneCellAnchor>
  <xdr:oneCellAnchor>
    <xdr:from>
      <xdr:col>4</xdr:col>
      <xdr:colOff>47625</xdr:colOff>
      <xdr:row>82</xdr:row>
      <xdr:rowOff>123824</xdr:rowOff>
    </xdr:from>
    <xdr:ext cx="971550" cy="436786"/>
    <xdr:sp macro="" textlink="">
      <xdr:nvSpPr>
        <xdr:cNvPr id="20" name="ZoneTexte 19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970498B3-17DE-426A-8042-913FA833BC24}"/>
            </a:ext>
          </a:extLst>
        </xdr:cNvPr>
        <xdr:cNvSpPr txBox="1"/>
      </xdr:nvSpPr>
      <xdr:spPr>
        <a:xfrm>
          <a:off x="3609975" y="16506824"/>
          <a:ext cx="971550" cy="436786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 prst="slope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fr-FR" sz="1100" b="1"/>
            <a:t>Voir</a:t>
          </a:r>
          <a:r>
            <a:rPr lang="fr-FR" sz="1100" b="1" baseline="0"/>
            <a:t> TB par collaborateur</a:t>
          </a:r>
          <a:endParaRPr lang="fr-FR" sz="1100" b="1"/>
        </a:p>
      </xdr:txBody>
    </xdr:sp>
    <xdr:clientData/>
  </xdr:oneCellAnchor>
  <xdr:oneCellAnchor>
    <xdr:from>
      <xdr:col>5</xdr:col>
      <xdr:colOff>28575</xdr:colOff>
      <xdr:row>82</xdr:row>
      <xdr:rowOff>123825</xdr:rowOff>
    </xdr:from>
    <xdr:ext cx="971550" cy="436786"/>
    <xdr:sp macro="" textlink="">
      <xdr:nvSpPr>
        <xdr:cNvPr id="21" name="ZoneTexte 20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477F3472-7C2F-46C3-9CAF-734ED24303AF}"/>
            </a:ext>
          </a:extLst>
        </xdr:cNvPr>
        <xdr:cNvSpPr txBox="1"/>
      </xdr:nvSpPr>
      <xdr:spPr>
        <a:xfrm>
          <a:off x="4648200" y="16506825"/>
          <a:ext cx="971550" cy="436786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 prst="slope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fr-FR" sz="1100" b="1"/>
            <a:t>Voir</a:t>
          </a:r>
          <a:r>
            <a:rPr lang="fr-FR" sz="1100" b="1" baseline="0"/>
            <a:t> TB par collaborateur</a:t>
          </a:r>
          <a:endParaRPr lang="fr-FR" sz="1100" b="1"/>
        </a:p>
      </xdr:txBody>
    </xdr:sp>
    <xdr:clientData/>
  </xdr:oneCellAnchor>
  <xdr:oneCellAnchor>
    <xdr:from>
      <xdr:col>6</xdr:col>
      <xdr:colOff>28575</xdr:colOff>
      <xdr:row>82</xdr:row>
      <xdr:rowOff>123825</xdr:rowOff>
    </xdr:from>
    <xdr:ext cx="971550" cy="436786"/>
    <xdr:sp macro="" textlink="">
      <xdr:nvSpPr>
        <xdr:cNvPr id="22" name="ZoneTexte 21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91FBB955-4990-4BB3-A8E8-228B3BB55873}"/>
            </a:ext>
          </a:extLst>
        </xdr:cNvPr>
        <xdr:cNvSpPr txBox="1"/>
      </xdr:nvSpPr>
      <xdr:spPr>
        <a:xfrm>
          <a:off x="5667375" y="16506825"/>
          <a:ext cx="971550" cy="436786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  <a:scene3d>
          <a:camera prst="orthographicFront"/>
          <a:lightRig rig="threePt" dir="t"/>
        </a:scene3d>
        <a:sp3d>
          <a:bevelT prst="slope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fr-FR" sz="1100" b="1">
              <a:solidFill>
                <a:sysClr val="windowText" lastClr="000000"/>
              </a:solidFill>
            </a:rPr>
            <a:t>Voir</a:t>
          </a:r>
          <a:r>
            <a:rPr lang="fr-FR" sz="1100" b="1" baseline="0">
              <a:solidFill>
                <a:sysClr val="windowText" lastClr="000000"/>
              </a:solidFill>
            </a:rPr>
            <a:t> TB par collaborateur</a:t>
          </a:r>
          <a:endParaRPr lang="fr-FR" sz="11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</xdr:col>
      <xdr:colOff>28575</xdr:colOff>
      <xdr:row>82</xdr:row>
      <xdr:rowOff>123825</xdr:rowOff>
    </xdr:from>
    <xdr:ext cx="1047750" cy="436786"/>
    <xdr:sp macro="" textlink="">
      <xdr:nvSpPr>
        <xdr:cNvPr id="23" name="ZoneTexte 22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B3F5F763-27C2-4B41-8066-554507CC4792}"/>
            </a:ext>
          </a:extLst>
        </xdr:cNvPr>
        <xdr:cNvSpPr txBox="1"/>
      </xdr:nvSpPr>
      <xdr:spPr>
        <a:xfrm>
          <a:off x="7639050" y="16506825"/>
          <a:ext cx="1047750" cy="436786"/>
        </a:xfrm>
        <a:prstGeom prst="rect">
          <a:avLst/>
        </a:prstGeom>
        <a:solidFill>
          <a:schemeClr val="accent3"/>
        </a:solidFill>
        <a:ln>
          <a:noFill/>
        </a:ln>
        <a:scene3d>
          <a:camera prst="orthographicFront"/>
          <a:lightRig rig="threePt" dir="t"/>
        </a:scene3d>
        <a:sp3d>
          <a:bevelT prst="slope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fr-FR" sz="1100" b="1"/>
            <a:t>Voir</a:t>
          </a:r>
          <a:r>
            <a:rPr lang="fr-FR" sz="1100" b="1" baseline="0"/>
            <a:t> TB par collaborateur</a:t>
          </a:r>
          <a:endParaRPr lang="fr-FR" sz="1100" b="1"/>
        </a:p>
      </xdr:txBody>
    </xdr:sp>
    <xdr:clientData/>
  </xdr:oneCellAnchor>
  <xdr:twoCellAnchor>
    <xdr:from>
      <xdr:col>2</xdr:col>
      <xdr:colOff>123825</xdr:colOff>
      <xdr:row>88</xdr:row>
      <xdr:rowOff>109537</xdr:rowOff>
    </xdr:from>
    <xdr:to>
      <xdr:col>6</xdr:col>
      <xdr:colOff>885825</xdr:colOff>
      <xdr:row>102</xdr:row>
      <xdr:rowOff>176212</xdr:rowOff>
    </xdr:to>
    <xdr:graphicFrame macro="">
      <xdr:nvGraphicFramePr>
        <xdr:cNvPr id="24" name="Graphique 23">
          <a:extLst>
            <a:ext uri="{FF2B5EF4-FFF2-40B4-BE49-F238E27FC236}">
              <a16:creationId xmlns:a16="http://schemas.microsoft.com/office/drawing/2014/main" id="{3C8217E9-45A3-423E-8756-0A89138CBD6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7</xdr:col>
      <xdr:colOff>914399</xdr:colOff>
      <xdr:row>88</xdr:row>
      <xdr:rowOff>109537</xdr:rowOff>
    </xdr:from>
    <xdr:to>
      <xdr:col>13</xdr:col>
      <xdr:colOff>1123950</xdr:colOff>
      <xdr:row>102</xdr:row>
      <xdr:rowOff>176212</xdr:rowOff>
    </xdr:to>
    <xdr:graphicFrame macro="">
      <xdr:nvGraphicFramePr>
        <xdr:cNvPr id="25" name="Graphique 24">
          <a:extLst>
            <a:ext uri="{FF2B5EF4-FFF2-40B4-BE49-F238E27FC236}">
              <a16:creationId xmlns:a16="http://schemas.microsoft.com/office/drawing/2014/main" id="{EFED7BE2-6250-4B0F-B340-6EBBE83319D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\Eghiz%20Med\BASMA\PORTE%20FEUILLE%20COMPTABLE%20-%20EGHIZ%202019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ALIMA"/>
    </sheetNames>
    <sheetDataSet>
      <sheetData sheetId="0">
        <row r="36">
          <cell r="I36" t="str">
            <v>MD MATERIEL INFORMATIQUE, MD DE FOURNITURE DE BUREAU, MD IMPORT EXPORT, NEGOCIANT</v>
          </cell>
          <cell r="J36" t="str">
            <v>MAG 2 OUARDA 273/2 LOT SOFIA MARRAKECH</v>
          </cell>
          <cell r="L36">
            <v>5325429</v>
          </cell>
          <cell r="N36">
            <v>67311003</v>
          </cell>
          <cell r="O36">
            <v>79363</v>
          </cell>
        </row>
        <row r="37">
          <cell r="J37" t="str">
            <v>645 HAY AL MASSIRA 3 C MARRAKECH</v>
          </cell>
          <cell r="L37">
            <v>5502217</v>
          </cell>
          <cell r="N37">
            <v>92100059</v>
          </cell>
          <cell r="O37">
            <v>81799</v>
          </cell>
        </row>
        <row r="38">
          <cell r="I38" t="str">
            <v>AUTOMOBILES,  LOUEUR DE VÉHICULES.</v>
          </cell>
          <cell r="J38" t="str">
            <v>N 1970 ASKEJOUR LOT MAATALLAH MARRAKECH</v>
          </cell>
          <cell r="L38">
            <v>8998017</v>
          </cell>
          <cell r="N38">
            <v>64600299</v>
          </cell>
          <cell r="O38">
            <v>50041</v>
          </cell>
        </row>
        <row r="39">
          <cell r="I39" t="str">
            <v>AUTOMOBILES,  LOUEUR DE VÉHICULES.</v>
          </cell>
          <cell r="J39" t="str">
            <v>N G 11 IMM HELIET RUE MED EL BAQAL GUELIZ MARRAKECH</v>
          </cell>
          <cell r="L39">
            <v>4007804</v>
          </cell>
          <cell r="N39">
            <v>45122362</v>
          </cell>
          <cell r="O39">
            <v>62537</v>
          </cell>
        </row>
        <row r="40">
          <cell r="I40" t="str">
            <v>GESTION  D EXPLOITATIONS COMMERCIALES OU INDUSTRIELLES OU AGRICOLE DE SERVICE CIVIL OU MILITAIRE (ENTREPRENEUR DE LA).</v>
          </cell>
          <cell r="J40" t="str">
            <v>GARAGE 1 DOUAR AIT SOUKA IMLIL ASNI MARRAKECH</v>
          </cell>
          <cell r="L40">
            <v>5572707</v>
          </cell>
          <cell r="N40">
            <v>46419055</v>
          </cell>
          <cell r="O40">
            <v>83343</v>
          </cell>
        </row>
        <row r="41">
          <cell r="I41" t="str">
            <v xml:space="preserve">MAISON D'HÔTES OU RIAD </v>
          </cell>
          <cell r="J41" t="str">
            <v>DOUAR AIT SOUKA IMLIL ASNI MARRAKECH</v>
          </cell>
          <cell r="L41">
            <v>5619484</v>
          </cell>
          <cell r="N41">
            <v>46419057</v>
          </cell>
          <cell r="O41">
            <v>83397</v>
          </cell>
        </row>
        <row r="42">
          <cell r="I42" t="str">
            <v>CAFE - RESTAURANT</v>
          </cell>
          <cell r="J42" t="str">
            <v>AV ABDELKERIM EL KHATTABI RES JAWAD IMM 109 3 ETAGE APT 43 MARRAKECH</v>
          </cell>
          <cell r="L42">
            <v>1504135</v>
          </cell>
          <cell r="N42">
            <v>64200136</v>
          </cell>
          <cell r="O42">
            <v>96495</v>
          </cell>
        </row>
        <row r="43">
          <cell r="I43" t="str">
            <v>TRAVAUX  DIVERS OU CONSTRUCTIONS, TRANSPORT DE MARCHANDISES POUR AUTRUI, LOUEUR DE MATERIEL INDUSTRIEL OU MACHINES</v>
          </cell>
          <cell r="J43" t="str">
            <v>APPT N°150 1ER ETAGE RUE MAGHREB ARAB OUAD DAHAB OUARZAZATE (M)</v>
          </cell>
          <cell r="N43">
            <v>47127648</v>
          </cell>
          <cell r="O43">
            <v>2047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Q23"/>
  <sheetViews>
    <sheetView showGridLines="0" showRowColHeaders="0" workbookViewId="0"/>
  </sheetViews>
  <sheetFormatPr baseColWidth="10" defaultColWidth="11.42578125" defaultRowHeight="15" x14ac:dyDescent="0.25"/>
  <cols>
    <col min="1" max="1" width="6.5703125" style="1" customWidth="1"/>
    <col min="2" max="16384" width="11.42578125" style="1"/>
  </cols>
  <sheetData>
    <row r="3" spans="2:17" x14ac:dyDescent="0.25">
      <c r="B3" s="60"/>
      <c r="C3" s="61"/>
      <c r="D3" s="61"/>
      <c r="E3" s="61"/>
      <c r="F3" s="61"/>
      <c r="G3" s="61"/>
      <c r="H3" s="61"/>
      <c r="I3" s="61"/>
      <c r="J3" s="61"/>
      <c r="K3" s="61"/>
      <c r="L3" s="61"/>
      <c r="M3" s="61"/>
      <c r="N3" s="61"/>
      <c r="O3" s="61"/>
      <c r="P3" s="61"/>
      <c r="Q3" s="62"/>
    </row>
    <row r="4" spans="2:17" x14ac:dyDescent="0.25">
      <c r="B4" s="63"/>
      <c r="Q4" s="64"/>
    </row>
    <row r="5" spans="2:17" x14ac:dyDescent="0.25">
      <c r="B5" s="63"/>
      <c r="Q5" s="64"/>
    </row>
    <row r="6" spans="2:17" x14ac:dyDescent="0.25">
      <c r="B6" s="63"/>
      <c r="Q6" s="64"/>
    </row>
    <row r="7" spans="2:17" x14ac:dyDescent="0.25">
      <c r="B7" s="63"/>
      <c r="Q7" s="64"/>
    </row>
    <row r="8" spans="2:17" x14ac:dyDescent="0.25">
      <c r="B8" s="63"/>
      <c r="Q8" s="64"/>
    </row>
    <row r="9" spans="2:17" x14ac:dyDescent="0.25">
      <c r="B9" s="63"/>
      <c r="Q9" s="64"/>
    </row>
    <row r="10" spans="2:17" x14ac:dyDescent="0.25">
      <c r="B10" s="63"/>
      <c r="Q10" s="64"/>
    </row>
    <row r="11" spans="2:17" x14ac:dyDescent="0.25">
      <c r="B11" s="63"/>
      <c r="Q11" s="64"/>
    </row>
    <row r="12" spans="2:17" x14ac:dyDescent="0.25">
      <c r="B12" s="63"/>
      <c r="Q12" s="64"/>
    </row>
    <row r="13" spans="2:17" x14ac:dyDescent="0.25">
      <c r="B13" s="63"/>
      <c r="Q13" s="64"/>
    </row>
    <row r="14" spans="2:17" x14ac:dyDescent="0.25">
      <c r="B14" s="63"/>
      <c r="Q14" s="64"/>
    </row>
    <row r="15" spans="2:17" x14ac:dyDescent="0.25">
      <c r="B15" s="63"/>
      <c r="Q15" s="64"/>
    </row>
    <row r="16" spans="2:17" x14ac:dyDescent="0.25">
      <c r="B16" s="63"/>
      <c r="Q16" s="64"/>
    </row>
    <row r="17" spans="2:17" x14ac:dyDescent="0.25">
      <c r="B17" s="63"/>
      <c r="Q17" s="64"/>
    </row>
    <row r="18" spans="2:17" x14ac:dyDescent="0.25">
      <c r="B18" s="63"/>
      <c r="Q18" s="64"/>
    </row>
    <row r="19" spans="2:17" x14ac:dyDescent="0.25">
      <c r="B19" s="63"/>
      <c r="Q19" s="64"/>
    </row>
    <row r="20" spans="2:17" x14ac:dyDescent="0.25">
      <c r="B20" s="63"/>
      <c r="Q20" s="64"/>
    </row>
    <row r="21" spans="2:17" x14ac:dyDescent="0.25">
      <c r="B21" s="63"/>
      <c r="Q21" s="64"/>
    </row>
    <row r="22" spans="2:17" x14ac:dyDescent="0.25">
      <c r="B22" s="65"/>
      <c r="C22" s="66"/>
      <c r="D22" s="66"/>
      <c r="E22" s="66"/>
      <c r="F22" s="66"/>
      <c r="G22" s="66"/>
      <c r="H22" s="66"/>
      <c r="I22" s="66"/>
      <c r="J22" s="66"/>
      <c r="K22" s="66"/>
      <c r="L22" s="66"/>
      <c r="M22" s="66"/>
      <c r="N22" s="66"/>
      <c r="O22" s="66"/>
      <c r="P22" s="66"/>
      <c r="Q22" s="67"/>
    </row>
    <row r="23" spans="2:17" x14ac:dyDescent="0.25">
      <c r="B23" s="61"/>
      <c r="Q23" s="61"/>
    </row>
  </sheetData>
  <sheetProtection sheet="1" scenarios="1" deleteColumns="0" deleteRows="0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2:I36"/>
  <sheetViews>
    <sheetView showGridLines="0" showRowColHeaders="0" tabSelected="1" workbookViewId="0">
      <selection activeCell="C8" sqref="C8"/>
    </sheetView>
  </sheetViews>
  <sheetFormatPr baseColWidth="10" defaultColWidth="11.42578125" defaultRowHeight="15" x14ac:dyDescent="0.25"/>
  <cols>
    <col min="1" max="1" width="16.5703125" style="87" customWidth="1"/>
    <col min="2" max="2" width="11.42578125" style="87"/>
    <col min="3" max="3" width="13.42578125" style="87" customWidth="1"/>
    <col min="4" max="4" width="11.42578125" style="87"/>
    <col min="5" max="5" width="14.85546875" style="87" customWidth="1"/>
    <col min="6" max="6" width="11.42578125" style="87"/>
    <col min="7" max="7" width="12.5703125" style="87" customWidth="1"/>
    <col min="8" max="8" width="11.42578125" style="87"/>
    <col min="9" max="9" width="12.5703125" style="87" customWidth="1"/>
    <col min="10" max="16384" width="11.42578125" style="87"/>
  </cols>
  <sheetData>
    <row r="2" spans="1:9" ht="21" x14ac:dyDescent="0.35">
      <c r="E2" s="374"/>
      <c r="G2" s="375"/>
    </row>
    <row r="4" spans="1:9" ht="21" x14ac:dyDescent="0.35">
      <c r="A4" s="623" t="s">
        <v>526</v>
      </c>
      <c r="B4" s="624"/>
      <c r="C4" s="624"/>
    </row>
    <row r="5" spans="1:9" ht="18.75" x14ac:dyDescent="0.3">
      <c r="A5" s="374"/>
    </row>
    <row r="6" spans="1:9" ht="18.75" x14ac:dyDescent="0.3">
      <c r="B6" s="376" t="s">
        <v>510</v>
      </c>
      <c r="C6" s="376"/>
      <c r="D6" s="377" t="s">
        <v>521</v>
      </c>
      <c r="E6" s="378"/>
      <c r="F6" s="379" t="s">
        <v>4</v>
      </c>
      <c r="G6" s="380"/>
      <c r="H6" s="381" t="s">
        <v>525</v>
      </c>
      <c r="I6" s="381"/>
    </row>
    <row r="7" spans="1:9" x14ac:dyDescent="0.25">
      <c r="B7" s="382" t="s">
        <v>648</v>
      </c>
      <c r="C7" s="382" t="s">
        <v>511</v>
      </c>
      <c r="D7" s="383" t="s">
        <v>648</v>
      </c>
      <c r="E7" s="383" t="s">
        <v>511</v>
      </c>
      <c r="F7" s="384" t="s">
        <v>648</v>
      </c>
      <c r="G7" s="384" t="s">
        <v>511</v>
      </c>
      <c r="H7" s="385" t="s">
        <v>648</v>
      </c>
      <c r="I7" s="385" t="s">
        <v>511</v>
      </c>
    </row>
    <row r="8" spans="1:9" ht="15.75" x14ac:dyDescent="0.25">
      <c r="A8" s="386" t="s">
        <v>481</v>
      </c>
      <c r="B8" s="413">
        <v>43889</v>
      </c>
      <c r="C8" s="387">
        <f>B8-3</f>
        <v>43886</v>
      </c>
      <c r="D8" s="414">
        <v>43890</v>
      </c>
      <c r="E8" s="388">
        <f>D8-3</f>
        <v>43887</v>
      </c>
      <c r="F8" s="415">
        <v>43871</v>
      </c>
      <c r="G8" s="389">
        <f>F8-3</f>
        <v>43868</v>
      </c>
      <c r="H8" s="416">
        <v>43889</v>
      </c>
      <c r="I8" s="390">
        <f>H8-3</f>
        <v>43886</v>
      </c>
    </row>
    <row r="9" spans="1:9" ht="15.75" x14ac:dyDescent="0.25">
      <c r="A9" s="386" t="s">
        <v>512</v>
      </c>
      <c r="B9" s="413">
        <v>43922</v>
      </c>
      <c r="C9" s="387">
        <f t="shared" ref="C9:C19" si="0">B9-3</f>
        <v>43919</v>
      </c>
      <c r="D9" s="414">
        <v>43921</v>
      </c>
      <c r="E9" s="388">
        <f t="shared" ref="E9:E19" si="1">D9-3</f>
        <v>43918</v>
      </c>
      <c r="F9" s="415">
        <v>43900</v>
      </c>
      <c r="G9" s="389">
        <f t="shared" ref="G9:G19" si="2">F9-3</f>
        <v>43897</v>
      </c>
      <c r="H9" s="416">
        <v>43922</v>
      </c>
      <c r="I9" s="390">
        <f>H9-3</f>
        <v>43919</v>
      </c>
    </row>
    <row r="10" spans="1:9" ht="15.75" x14ac:dyDescent="0.25">
      <c r="A10" s="386" t="s">
        <v>485</v>
      </c>
      <c r="B10" s="413">
        <v>43951</v>
      </c>
      <c r="C10" s="387">
        <f t="shared" si="0"/>
        <v>43948</v>
      </c>
      <c r="D10" s="414">
        <v>43951</v>
      </c>
      <c r="E10" s="388">
        <f t="shared" si="1"/>
        <v>43948</v>
      </c>
      <c r="F10" s="415">
        <v>43931</v>
      </c>
      <c r="G10" s="389">
        <f t="shared" si="2"/>
        <v>43928</v>
      </c>
      <c r="H10" s="416">
        <v>43951</v>
      </c>
      <c r="I10" s="390">
        <f>H10-3</f>
        <v>43948</v>
      </c>
    </row>
    <row r="11" spans="1:9" ht="15.75" x14ac:dyDescent="0.25">
      <c r="A11" s="386" t="s">
        <v>486</v>
      </c>
      <c r="B11" s="413">
        <v>43982</v>
      </c>
      <c r="C11" s="387">
        <f t="shared" si="0"/>
        <v>43979</v>
      </c>
      <c r="D11" s="414">
        <v>43982</v>
      </c>
      <c r="E11" s="388">
        <f t="shared" si="1"/>
        <v>43979</v>
      </c>
      <c r="F11" s="415">
        <v>43961</v>
      </c>
      <c r="G11" s="389">
        <f t="shared" si="2"/>
        <v>43958</v>
      </c>
      <c r="H11" s="416">
        <v>43982</v>
      </c>
      <c r="I11" s="390">
        <f t="shared" ref="I11:I19" si="3">H11-3</f>
        <v>43979</v>
      </c>
    </row>
    <row r="12" spans="1:9" ht="15.75" x14ac:dyDescent="0.25">
      <c r="A12" s="386" t="s">
        <v>487</v>
      </c>
      <c r="B12" s="413">
        <v>44013</v>
      </c>
      <c r="C12" s="387">
        <f t="shared" si="0"/>
        <v>44010</v>
      </c>
      <c r="D12" s="414">
        <v>44012</v>
      </c>
      <c r="E12" s="388">
        <f t="shared" si="1"/>
        <v>44009</v>
      </c>
      <c r="F12" s="415">
        <v>43992</v>
      </c>
      <c r="G12" s="389">
        <f t="shared" si="2"/>
        <v>43989</v>
      </c>
      <c r="H12" s="416">
        <v>44013</v>
      </c>
      <c r="I12" s="390">
        <f t="shared" si="3"/>
        <v>44010</v>
      </c>
    </row>
    <row r="13" spans="1:9" ht="15.75" x14ac:dyDescent="0.25">
      <c r="A13" s="386" t="s">
        <v>488</v>
      </c>
      <c r="B13" s="413">
        <v>44043</v>
      </c>
      <c r="C13" s="387">
        <f t="shared" si="0"/>
        <v>44040</v>
      </c>
      <c r="D13" s="414">
        <v>44043</v>
      </c>
      <c r="E13" s="388">
        <f t="shared" si="1"/>
        <v>44040</v>
      </c>
      <c r="F13" s="415">
        <v>44022</v>
      </c>
      <c r="G13" s="389">
        <f t="shared" si="2"/>
        <v>44019</v>
      </c>
      <c r="H13" s="416">
        <v>44044</v>
      </c>
      <c r="I13" s="390">
        <f t="shared" si="3"/>
        <v>44041</v>
      </c>
    </row>
    <row r="14" spans="1:9" ht="15.75" x14ac:dyDescent="0.25">
      <c r="A14" s="386" t="s">
        <v>489</v>
      </c>
      <c r="B14" s="413">
        <v>44076</v>
      </c>
      <c r="C14" s="387">
        <f t="shared" si="0"/>
        <v>44073</v>
      </c>
      <c r="D14" s="414">
        <v>44074</v>
      </c>
      <c r="E14" s="388">
        <f t="shared" si="1"/>
        <v>44071</v>
      </c>
      <c r="F14" s="415">
        <v>44053</v>
      </c>
      <c r="G14" s="389">
        <f t="shared" si="2"/>
        <v>44050</v>
      </c>
      <c r="H14" s="416">
        <v>44076</v>
      </c>
      <c r="I14" s="390">
        <f t="shared" si="3"/>
        <v>44073</v>
      </c>
    </row>
    <row r="15" spans="1:9" ht="15.75" x14ac:dyDescent="0.25">
      <c r="A15" s="386" t="s">
        <v>490</v>
      </c>
      <c r="B15" s="413">
        <v>44104</v>
      </c>
      <c r="C15" s="387">
        <f t="shared" si="0"/>
        <v>44101</v>
      </c>
      <c r="D15" s="414">
        <v>44104</v>
      </c>
      <c r="E15" s="388">
        <f t="shared" si="1"/>
        <v>44101</v>
      </c>
      <c r="F15" s="415">
        <v>44084</v>
      </c>
      <c r="G15" s="389">
        <f t="shared" si="2"/>
        <v>44081</v>
      </c>
      <c r="H15" s="416">
        <v>44104</v>
      </c>
      <c r="I15" s="390">
        <f t="shared" si="3"/>
        <v>44101</v>
      </c>
    </row>
    <row r="16" spans="1:9" ht="15.75" x14ac:dyDescent="0.25">
      <c r="A16" s="386" t="s">
        <v>491</v>
      </c>
      <c r="B16" s="413">
        <v>44135</v>
      </c>
      <c r="C16" s="387">
        <f t="shared" si="0"/>
        <v>44132</v>
      </c>
      <c r="D16" s="414">
        <v>44135</v>
      </c>
      <c r="E16" s="388">
        <f t="shared" si="1"/>
        <v>44132</v>
      </c>
      <c r="F16" s="415">
        <v>44114</v>
      </c>
      <c r="G16" s="389">
        <f t="shared" si="2"/>
        <v>44111</v>
      </c>
      <c r="H16" s="416">
        <v>44135</v>
      </c>
      <c r="I16" s="390">
        <f t="shared" si="3"/>
        <v>44132</v>
      </c>
    </row>
    <row r="17" spans="1:9" ht="15.75" x14ac:dyDescent="0.25">
      <c r="A17" s="386" t="s">
        <v>492</v>
      </c>
      <c r="B17" s="413">
        <v>44167</v>
      </c>
      <c r="C17" s="387">
        <f t="shared" si="0"/>
        <v>44164</v>
      </c>
      <c r="D17" s="414">
        <v>44165</v>
      </c>
      <c r="E17" s="388">
        <f t="shared" si="1"/>
        <v>44162</v>
      </c>
      <c r="F17" s="415">
        <v>44145</v>
      </c>
      <c r="G17" s="389">
        <f t="shared" si="2"/>
        <v>44142</v>
      </c>
      <c r="H17" s="416">
        <v>44165</v>
      </c>
      <c r="I17" s="390">
        <f t="shared" si="3"/>
        <v>44162</v>
      </c>
    </row>
    <row r="18" spans="1:9" ht="15.75" x14ac:dyDescent="0.25">
      <c r="A18" s="386" t="s">
        <v>493</v>
      </c>
      <c r="B18" s="413">
        <v>44196</v>
      </c>
      <c r="C18" s="387">
        <f t="shared" si="0"/>
        <v>44193</v>
      </c>
      <c r="D18" s="414">
        <v>44196</v>
      </c>
      <c r="E18" s="388">
        <f t="shared" si="1"/>
        <v>44193</v>
      </c>
      <c r="F18" s="415">
        <v>44175</v>
      </c>
      <c r="G18" s="389">
        <f t="shared" si="2"/>
        <v>44172</v>
      </c>
      <c r="H18" s="416">
        <v>44196</v>
      </c>
      <c r="I18" s="390">
        <f t="shared" si="3"/>
        <v>44193</v>
      </c>
    </row>
    <row r="19" spans="1:9" ht="15.75" x14ac:dyDescent="0.25">
      <c r="A19" s="386" t="s">
        <v>494</v>
      </c>
      <c r="B19" s="413">
        <v>44227</v>
      </c>
      <c r="C19" s="387">
        <f t="shared" si="0"/>
        <v>44224</v>
      </c>
      <c r="D19" s="414">
        <v>44227</v>
      </c>
      <c r="E19" s="388">
        <f t="shared" si="1"/>
        <v>44224</v>
      </c>
      <c r="F19" s="415">
        <v>44206</v>
      </c>
      <c r="G19" s="389">
        <f t="shared" si="2"/>
        <v>44203</v>
      </c>
      <c r="H19" s="416">
        <v>44227</v>
      </c>
      <c r="I19" s="390">
        <f t="shared" si="3"/>
        <v>44224</v>
      </c>
    </row>
    <row r="22" spans="1:9" ht="19.5" x14ac:dyDescent="0.3">
      <c r="A22" s="625" t="s">
        <v>527</v>
      </c>
      <c r="B22" s="626"/>
      <c r="C22" s="626"/>
    </row>
    <row r="24" spans="1:9" x14ac:dyDescent="0.25">
      <c r="B24" s="391" t="s">
        <v>513</v>
      </c>
      <c r="C24" s="391"/>
      <c r="D24" s="392" t="s">
        <v>528</v>
      </c>
      <c r="E24" s="392"/>
    </row>
    <row r="25" spans="1:9" x14ac:dyDescent="0.25">
      <c r="B25" s="391" t="s">
        <v>648</v>
      </c>
      <c r="C25" s="391" t="s">
        <v>511</v>
      </c>
      <c r="D25" s="392" t="s">
        <v>648</v>
      </c>
      <c r="E25" s="392" t="s">
        <v>511</v>
      </c>
    </row>
    <row r="26" spans="1:9" ht="15.75" x14ac:dyDescent="0.25">
      <c r="A26" s="393" t="s">
        <v>514</v>
      </c>
      <c r="B26" s="417">
        <v>43951</v>
      </c>
      <c r="C26" s="394">
        <f>B26-3</f>
        <v>43948</v>
      </c>
      <c r="D26" s="418">
        <v>43921</v>
      </c>
      <c r="E26" s="395">
        <f>D26-3</f>
        <v>43918</v>
      </c>
    </row>
    <row r="27" spans="1:9" ht="15.75" x14ac:dyDescent="0.25">
      <c r="A27" s="393" t="s">
        <v>515</v>
      </c>
      <c r="B27" s="417">
        <v>44043</v>
      </c>
      <c r="C27" s="394">
        <f>B27-3</f>
        <v>44040</v>
      </c>
      <c r="D27" s="418">
        <v>44013</v>
      </c>
      <c r="E27" s="395">
        <f>D27-3</f>
        <v>44010</v>
      </c>
    </row>
    <row r="28" spans="1:9" ht="15.75" x14ac:dyDescent="0.25">
      <c r="A28" s="393" t="s">
        <v>516</v>
      </c>
      <c r="B28" s="417">
        <v>44135</v>
      </c>
      <c r="C28" s="394">
        <f>B28-3</f>
        <v>44132</v>
      </c>
      <c r="D28" s="418">
        <v>44104</v>
      </c>
      <c r="E28" s="395">
        <f>D28-3</f>
        <v>44101</v>
      </c>
    </row>
    <row r="29" spans="1:9" ht="15.75" x14ac:dyDescent="0.25">
      <c r="A29" s="393" t="s">
        <v>517</v>
      </c>
      <c r="B29" s="417">
        <v>44227</v>
      </c>
      <c r="C29" s="394">
        <f>B29-3</f>
        <v>44224</v>
      </c>
      <c r="D29" s="418">
        <v>44196</v>
      </c>
      <c r="E29" s="395">
        <f>D29-3</f>
        <v>44193</v>
      </c>
    </row>
    <row r="30" spans="1:9" ht="15.75" x14ac:dyDescent="0.25">
      <c r="A30" s="393" t="s">
        <v>523</v>
      </c>
      <c r="B30" s="396"/>
      <c r="C30" s="396"/>
      <c r="D30" s="418">
        <v>44286</v>
      </c>
      <c r="E30" s="395">
        <f>D30-3</f>
        <v>44283</v>
      </c>
    </row>
    <row r="31" spans="1:9" x14ac:dyDescent="0.25">
      <c r="B31" s="397"/>
      <c r="C31" s="397"/>
    </row>
    <row r="33" spans="1:8" ht="19.5" x14ac:dyDescent="0.3">
      <c r="A33" s="625" t="s">
        <v>529</v>
      </c>
      <c r="B33" s="626"/>
      <c r="C33" s="626"/>
    </row>
    <row r="34" spans="1:8" ht="45" x14ac:dyDescent="0.25">
      <c r="B34" s="398" t="s">
        <v>518</v>
      </c>
      <c r="C34" s="399" t="s">
        <v>519</v>
      </c>
      <c r="D34" s="400" t="s">
        <v>520</v>
      </c>
      <c r="E34" s="401" t="s">
        <v>522</v>
      </c>
      <c r="F34" s="402" t="s">
        <v>524</v>
      </c>
      <c r="G34" s="403" t="s">
        <v>652</v>
      </c>
      <c r="H34" s="551" t="s">
        <v>651</v>
      </c>
    </row>
    <row r="35" spans="1:8" ht="15.75" x14ac:dyDescent="0.25">
      <c r="A35" s="393" t="s">
        <v>648</v>
      </c>
      <c r="B35" s="419">
        <v>44255</v>
      </c>
      <c r="C35" s="420">
        <v>44286</v>
      </c>
      <c r="D35" s="421">
        <v>44316</v>
      </c>
      <c r="E35" s="422">
        <v>44226</v>
      </c>
      <c r="F35" s="565">
        <v>44227</v>
      </c>
      <c r="G35" s="423">
        <v>44316</v>
      </c>
      <c r="H35" s="550">
        <v>44407</v>
      </c>
    </row>
    <row r="36" spans="1:8" ht="15.75" x14ac:dyDescent="0.25">
      <c r="A36" s="393" t="s">
        <v>511</v>
      </c>
      <c r="B36" s="404">
        <f t="shared" ref="B36:G36" si="4">B35-3</f>
        <v>44252</v>
      </c>
      <c r="C36" s="405">
        <f t="shared" si="4"/>
        <v>44283</v>
      </c>
      <c r="D36" s="406">
        <f t="shared" si="4"/>
        <v>44313</v>
      </c>
      <c r="E36" s="407">
        <f t="shared" si="4"/>
        <v>44223</v>
      </c>
      <c r="F36" s="408">
        <f t="shared" si="4"/>
        <v>44224</v>
      </c>
      <c r="G36" s="409">
        <f t="shared" si="4"/>
        <v>44313</v>
      </c>
      <c r="H36" s="550">
        <f>H35-3</f>
        <v>44404</v>
      </c>
    </row>
  </sheetData>
  <sheetProtection sheet="1" formatCells="0" formatColumns="0" formatRows="0" insertColumns="0" insertRows="0" insertHyperlinks="0" deleteColumns="0" deleteRows="0" sort="0" autoFilter="0" pivotTables="0"/>
  <mergeCells count="3">
    <mergeCell ref="A4:C4"/>
    <mergeCell ref="A22:C22"/>
    <mergeCell ref="A33:C33"/>
  </mergeCells>
  <phoneticPr fontId="6" type="noConversion"/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 filterMode="1"/>
  <dimension ref="A3:L281"/>
  <sheetViews>
    <sheetView showGridLines="0" showRowColHeaders="0" workbookViewId="0">
      <pane xSplit="1" ySplit="3" topLeftCell="B41" activePane="bottomRight" state="frozen"/>
      <selection pane="topRight" activeCell="B1" sqref="B1"/>
      <selection pane="bottomLeft" activeCell="A4" sqref="A4"/>
      <selection pane="bottomRight" activeCell="L52" sqref="L52"/>
    </sheetView>
  </sheetViews>
  <sheetFormatPr baseColWidth="10" defaultColWidth="11.42578125" defaultRowHeight="15" x14ac:dyDescent="0.25"/>
  <cols>
    <col min="1" max="1" width="6.42578125" style="412" customWidth="1"/>
    <col min="2" max="2" width="25.42578125" style="412" bestFit="1" customWidth="1"/>
    <col min="3" max="3" width="11.7109375" style="412" customWidth="1"/>
    <col min="4" max="4" width="45.7109375" style="412" bestFit="1" customWidth="1"/>
    <col min="5" max="5" width="16.140625" style="412" customWidth="1"/>
    <col min="6" max="6" width="18.42578125" style="412" customWidth="1"/>
    <col min="7" max="7" width="16.140625" style="412" bestFit="1" customWidth="1"/>
    <col min="8" max="8" width="11.42578125" style="412"/>
    <col min="9" max="10" width="16.5703125" style="412" customWidth="1"/>
    <col min="11" max="11" width="20.28515625" style="412" customWidth="1"/>
    <col min="12" max="12" width="27.28515625" style="412" customWidth="1"/>
    <col min="13" max="16384" width="11.42578125" style="412"/>
  </cols>
  <sheetData>
    <row r="3" spans="1:12" ht="15.75" x14ac:dyDescent="0.25">
      <c r="A3" s="410" t="s">
        <v>474</v>
      </c>
      <c r="B3" s="410" t="s">
        <v>475</v>
      </c>
      <c r="C3" s="410" t="s">
        <v>476</v>
      </c>
      <c r="D3" s="410" t="s">
        <v>0</v>
      </c>
      <c r="E3" s="410" t="s">
        <v>1</v>
      </c>
      <c r="F3" s="410" t="s">
        <v>2</v>
      </c>
      <c r="G3" s="410" t="s">
        <v>5</v>
      </c>
      <c r="H3" s="410" t="s">
        <v>4</v>
      </c>
      <c r="I3" s="410" t="s">
        <v>3</v>
      </c>
      <c r="J3" s="411" t="s">
        <v>477</v>
      </c>
      <c r="K3" s="410" t="s">
        <v>6</v>
      </c>
      <c r="L3" s="410" t="s">
        <v>480</v>
      </c>
    </row>
    <row r="4" spans="1:12" ht="51" hidden="1" customHeight="1" x14ac:dyDescent="0.25">
      <c r="A4" s="587">
        <v>295</v>
      </c>
      <c r="B4" s="588" t="s">
        <v>653</v>
      </c>
      <c r="C4" s="424" t="s">
        <v>495</v>
      </c>
      <c r="D4" s="594" t="s">
        <v>28</v>
      </c>
      <c r="E4" s="595">
        <v>18741272</v>
      </c>
      <c r="F4" s="595">
        <v>47919082</v>
      </c>
      <c r="G4" s="596" t="s">
        <v>29</v>
      </c>
      <c r="H4" s="595">
        <v>44764264</v>
      </c>
      <c r="I4" s="595">
        <v>72767</v>
      </c>
      <c r="J4" s="597">
        <v>42401</v>
      </c>
      <c r="K4" s="594" t="s">
        <v>30</v>
      </c>
      <c r="L4" s="579" t="s">
        <v>602</v>
      </c>
    </row>
    <row r="5" spans="1:12" ht="63.75" hidden="1" x14ac:dyDescent="0.25">
      <c r="A5" s="589">
        <v>364</v>
      </c>
      <c r="B5" s="590" t="s">
        <v>654</v>
      </c>
      <c r="C5" s="424" t="s">
        <v>618</v>
      </c>
      <c r="D5" s="425" t="s">
        <v>777</v>
      </c>
      <c r="E5" s="426">
        <v>25290146</v>
      </c>
      <c r="F5" s="426">
        <v>46200775</v>
      </c>
      <c r="G5" s="598" t="s">
        <v>778</v>
      </c>
      <c r="H5" s="426" t="s">
        <v>779</v>
      </c>
      <c r="I5" s="426" t="s">
        <v>780</v>
      </c>
      <c r="J5" s="428">
        <v>43191</v>
      </c>
      <c r="K5" s="425" t="s">
        <v>781</v>
      </c>
      <c r="L5" s="429" t="s">
        <v>602</v>
      </c>
    </row>
    <row r="6" spans="1:12" ht="25.5" hidden="1" x14ac:dyDescent="0.25">
      <c r="A6" s="589">
        <v>363</v>
      </c>
      <c r="B6" s="590" t="s">
        <v>592</v>
      </c>
      <c r="C6" s="424" t="s">
        <v>495</v>
      </c>
      <c r="D6" s="425" t="s">
        <v>782</v>
      </c>
      <c r="E6" s="426">
        <v>26185730</v>
      </c>
      <c r="F6" s="426">
        <v>64600449</v>
      </c>
      <c r="G6" s="598" t="s">
        <v>783</v>
      </c>
      <c r="H6" s="426">
        <v>1174285</v>
      </c>
      <c r="I6" s="426">
        <v>91825</v>
      </c>
      <c r="J6" s="428">
        <v>43381</v>
      </c>
      <c r="K6" s="425" t="s">
        <v>784</v>
      </c>
      <c r="L6" s="429" t="s">
        <v>602</v>
      </c>
    </row>
    <row r="7" spans="1:12" ht="25.5" hidden="1" x14ac:dyDescent="0.25">
      <c r="A7" s="589">
        <v>204</v>
      </c>
      <c r="B7" s="590" t="s">
        <v>293</v>
      </c>
      <c r="C7" s="424" t="s">
        <v>618</v>
      </c>
      <c r="D7" s="599" t="s">
        <v>785</v>
      </c>
      <c r="E7" s="426">
        <v>15268696</v>
      </c>
      <c r="F7" s="426">
        <v>67194110</v>
      </c>
      <c r="G7" s="427" t="s">
        <v>294</v>
      </c>
      <c r="H7" s="426">
        <v>4239944</v>
      </c>
      <c r="I7" s="426">
        <v>117528</v>
      </c>
      <c r="J7" s="600">
        <v>42128</v>
      </c>
      <c r="K7" s="425" t="s">
        <v>188</v>
      </c>
      <c r="L7" s="429" t="s">
        <v>602</v>
      </c>
    </row>
    <row r="8" spans="1:12" ht="25.5" hidden="1" x14ac:dyDescent="0.25">
      <c r="A8" s="589">
        <v>49</v>
      </c>
      <c r="B8" s="590" t="s">
        <v>289</v>
      </c>
      <c r="C8" s="424" t="s">
        <v>495</v>
      </c>
      <c r="D8" s="425" t="s">
        <v>290</v>
      </c>
      <c r="E8" s="426">
        <v>6520781</v>
      </c>
      <c r="F8" s="426">
        <v>46295575</v>
      </c>
      <c r="G8" s="427" t="s">
        <v>291</v>
      </c>
      <c r="H8" s="426">
        <v>7448154</v>
      </c>
      <c r="I8" s="426">
        <v>29767</v>
      </c>
      <c r="J8" s="428">
        <v>39119</v>
      </c>
      <c r="K8" s="425" t="s">
        <v>292</v>
      </c>
      <c r="L8" s="429" t="s">
        <v>602</v>
      </c>
    </row>
    <row r="9" spans="1:12" ht="25.5" hidden="1" x14ac:dyDescent="0.25">
      <c r="A9" s="589">
        <v>161</v>
      </c>
      <c r="B9" s="591" t="s">
        <v>591</v>
      </c>
      <c r="C9" s="424" t="s">
        <v>618</v>
      </c>
      <c r="D9" s="425" t="s">
        <v>786</v>
      </c>
      <c r="E9" s="426">
        <v>72230664</v>
      </c>
      <c r="F9" s="426">
        <v>47610624</v>
      </c>
      <c r="G9" s="427" t="s">
        <v>787</v>
      </c>
      <c r="H9" s="601" t="s">
        <v>780</v>
      </c>
      <c r="I9" s="426">
        <v>22732</v>
      </c>
      <c r="J9" s="428">
        <v>41352</v>
      </c>
      <c r="K9" s="425" t="s">
        <v>188</v>
      </c>
      <c r="L9" s="429" t="s">
        <v>602</v>
      </c>
    </row>
    <row r="10" spans="1:12" ht="38.25" hidden="1" x14ac:dyDescent="0.25">
      <c r="A10" s="589">
        <v>16</v>
      </c>
      <c r="B10" s="590" t="s">
        <v>345</v>
      </c>
      <c r="C10" s="424" t="s">
        <v>495</v>
      </c>
      <c r="D10" s="425" t="s">
        <v>346</v>
      </c>
      <c r="E10" s="426">
        <v>3376518</v>
      </c>
      <c r="F10" s="426">
        <v>92167896</v>
      </c>
      <c r="G10" s="427" t="s">
        <v>347</v>
      </c>
      <c r="H10" s="426">
        <v>6445482</v>
      </c>
      <c r="I10" s="426">
        <v>45995</v>
      </c>
      <c r="J10" s="428">
        <v>37552</v>
      </c>
      <c r="K10" s="425" t="s">
        <v>348</v>
      </c>
      <c r="L10" s="429" t="s">
        <v>564</v>
      </c>
    </row>
    <row r="11" spans="1:12" ht="25.5" hidden="1" x14ac:dyDescent="0.25">
      <c r="A11" s="589">
        <v>276</v>
      </c>
      <c r="B11" s="591" t="s">
        <v>355</v>
      </c>
      <c r="C11" s="424" t="s">
        <v>618</v>
      </c>
      <c r="D11" s="425" t="s">
        <v>356</v>
      </c>
      <c r="E11" s="602" t="s">
        <v>357</v>
      </c>
      <c r="F11" s="425">
        <v>45306154</v>
      </c>
      <c r="G11" s="602" t="s">
        <v>788</v>
      </c>
      <c r="H11" s="425">
        <v>4711695</v>
      </c>
      <c r="I11" s="425">
        <v>76930</v>
      </c>
      <c r="J11" s="603">
        <v>41791</v>
      </c>
      <c r="K11" s="425" t="s">
        <v>358</v>
      </c>
      <c r="L11" s="429" t="s">
        <v>602</v>
      </c>
    </row>
    <row r="12" spans="1:12" ht="25.5" hidden="1" x14ac:dyDescent="0.25">
      <c r="A12" s="589">
        <v>144</v>
      </c>
      <c r="B12" s="590" t="s">
        <v>388</v>
      </c>
      <c r="C12" s="424" t="s">
        <v>495</v>
      </c>
      <c r="D12" s="425" t="s">
        <v>389</v>
      </c>
      <c r="E12" s="426">
        <v>6526564</v>
      </c>
      <c r="F12" s="426">
        <v>92110119</v>
      </c>
      <c r="G12" s="427" t="s">
        <v>390</v>
      </c>
      <c r="H12" s="426">
        <v>9100091</v>
      </c>
      <c r="I12" s="426">
        <v>51471</v>
      </c>
      <c r="J12" s="428">
        <v>41024</v>
      </c>
      <c r="K12" s="425" t="s">
        <v>323</v>
      </c>
      <c r="L12" s="429" t="s">
        <v>602</v>
      </c>
    </row>
    <row r="13" spans="1:12" ht="63.75" hidden="1" x14ac:dyDescent="0.25">
      <c r="A13" s="589">
        <v>172</v>
      </c>
      <c r="B13" s="591" t="s">
        <v>459</v>
      </c>
      <c r="C13" s="424" t="s">
        <v>495</v>
      </c>
      <c r="D13" s="425" t="s">
        <v>460</v>
      </c>
      <c r="E13" s="602" t="s">
        <v>461</v>
      </c>
      <c r="F13" s="425">
        <v>67322957</v>
      </c>
      <c r="G13" s="604" t="s">
        <v>462</v>
      </c>
      <c r="H13" s="425">
        <v>9631046</v>
      </c>
      <c r="I13" s="425">
        <v>58475</v>
      </c>
      <c r="J13" s="603">
        <v>41487</v>
      </c>
      <c r="K13" s="425" t="s">
        <v>463</v>
      </c>
      <c r="L13" s="429" t="s">
        <v>602</v>
      </c>
    </row>
    <row r="14" spans="1:12" ht="51" hidden="1" x14ac:dyDescent="0.25">
      <c r="A14" s="589">
        <v>362</v>
      </c>
      <c r="B14" s="591" t="s">
        <v>655</v>
      </c>
      <c r="C14" s="424" t="s">
        <v>495</v>
      </c>
      <c r="D14" s="425" t="s">
        <v>789</v>
      </c>
      <c r="E14" s="602" t="s">
        <v>790</v>
      </c>
      <c r="F14" s="425">
        <v>64600429</v>
      </c>
      <c r="G14" s="604" t="s">
        <v>791</v>
      </c>
      <c r="H14" s="425">
        <v>7875315</v>
      </c>
      <c r="I14" s="425">
        <v>34499</v>
      </c>
      <c r="J14" s="603">
        <v>39630</v>
      </c>
      <c r="K14" s="425" t="s">
        <v>792</v>
      </c>
      <c r="L14" s="429" t="s">
        <v>602</v>
      </c>
    </row>
    <row r="15" spans="1:12" ht="25.5" hidden="1" x14ac:dyDescent="0.25">
      <c r="A15" s="589">
        <v>369</v>
      </c>
      <c r="B15" s="591" t="s">
        <v>593</v>
      </c>
      <c r="C15" s="424" t="s">
        <v>495</v>
      </c>
      <c r="D15" s="425" t="s">
        <v>793</v>
      </c>
      <c r="E15" s="602" t="s">
        <v>794</v>
      </c>
      <c r="F15" s="425">
        <v>53090087</v>
      </c>
      <c r="G15" s="604" t="s">
        <v>795</v>
      </c>
      <c r="H15" s="425">
        <v>1259627</v>
      </c>
      <c r="I15" s="425">
        <v>92965</v>
      </c>
      <c r="J15" s="603">
        <v>43441</v>
      </c>
      <c r="K15" s="425" t="s">
        <v>796</v>
      </c>
      <c r="L15" s="429" t="s">
        <v>602</v>
      </c>
    </row>
    <row r="16" spans="1:12" ht="25.5" hidden="1" x14ac:dyDescent="0.25">
      <c r="A16" s="589">
        <v>370</v>
      </c>
      <c r="B16" s="591" t="s">
        <v>594</v>
      </c>
      <c r="C16" s="424" t="s">
        <v>495</v>
      </c>
      <c r="D16" s="425" t="s">
        <v>797</v>
      </c>
      <c r="E16" s="602" t="s">
        <v>798</v>
      </c>
      <c r="F16" s="425">
        <v>64401521</v>
      </c>
      <c r="G16" s="604" t="s">
        <v>799</v>
      </c>
      <c r="H16" s="425">
        <v>1275760</v>
      </c>
      <c r="I16" s="425">
        <v>92925</v>
      </c>
      <c r="J16" s="603">
        <v>43435</v>
      </c>
      <c r="K16" s="425" t="s">
        <v>800</v>
      </c>
      <c r="L16" s="429" t="s">
        <v>602</v>
      </c>
    </row>
    <row r="17" spans="1:12" ht="25.5" hidden="1" x14ac:dyDescent="0.25">
      <c r="A17" s="589">
        <v>368</v>
      </c>
      <c r="B17" s="591" t="s">
        <v>595</v>
      </c>
      <c r="C17" s="424" t="s">
        <v>495</v>
      </c>
      <c r="D17" s="425" t="s">
        <v>801</v>
      </c>
      <c r="E17" s="602" t="s">
        <v>802</v>
      </c>
      <c r="F17" s="425">
        <v>64600517</v>
      </c>
      <c r="G17" s="604" t="s">
        <v>803</v>
      </c>
      <c r="H17" s="425">
        <v>1278463</v>
      </c>
      <c r="I17" s="425">
        <v>92929</v>
      </c>
      <c r="J17" s="603">
        <v>43435</v>
      </c>
      <c r="K17" s="425" t="s">
        <v>804</v>
      </c>
      <c r="L17" s="429" t="s">
        <v>602</v>
      </c>
    </row>
    <row r="18" spans="1:12" ht="25.5" hidden="1" x14ac:dyDescent="0.25">
      <c r="A18" s="589">
        <v>367</v>
      </c>
      <c r="B18" s="591" t="s">
        <v>596</v>
      </c>
      <c r="C18" s="424" t="s">
        <v>495</v>
      </c>
      <c r="D18" s="425" t="s">
        <v>805</v>
      </c>
      <c r="E18" s="602" t="s">
        <v>806</v>
      </c>
      <c r="F18" s="425">
        <v>92100847</v>
      </c>
      <c r="G18" s="604" t="s">
        <v>807</v>
      </c>
      <c r="H18" s="425">
        <v>1308999</v>
      </c>
      <c r="I18" s="425">
        <v>93451</v>
      </c>
      <c r="J18" s="603">
        <v>43467</v>
      </c>
      <c r="K18" s="425" t="s">
        <v>808</v>
      </c>
      <c r="L18" s="429" t="s">
        <v>602</v>
      </c>
    </row>
    <row r="19" spans="1:12" hidden="1" x14ac:dyDescent="0.25">
      <c r="A19" s="589">
        <v>344</v>
      </c>
      <c r="B19" s="591" t="s">
        <v>656</v>
      </c>
      <c r="C19" s="424" t="s">
        <v>495</v>
      </c>
      <c r="D19" s="425" t="s">
        <v>809</v>
      </c>
      <c r="E19" s="602" t="s">
        <v>810</v>
      </c>
      <c r="F19" s="425">
        <v>45746848</v>
      </c>
      <c r="G19" s="604" t="s">
        <v>811</v>
      </c>
      <c r="H19" s="425">
        <v>5183570</v>
      </c>
      <c r="I19" s="425">
        <v>76897</v>
      </c>
      <c r="J19" s="603">
        <v>42384</v>
      </c>
      <c r="K19" s="425" t="s">
        <v>812</v>
      </c>
      <c r="L19" s="429" t="s">
        <v>602</v>
      </c>
    </row>
    <row r="20" spans="1:12" ht="25.5" hidden="1" x14ac:dyDescent="0.25">
      <c r="A20" s="589">
        <v>371</v>
      </c>
      <c r="B20" s="591" t="s">
        <v>657</v>
      </c>
      <c r="C20" s="424" t="s">
        <v>618</v>
      </c>
      <c r="D20" s="425" t="s">
        <v>813</v>
      </c>
      <c r="E20" s="602" t="s">
        <v>814</v>
      </c>
      <c r="F20" s="425">
        <v>67101182</v>
      </c>
      <c r="G20" s="604" t="s">
        <v>815</v>
      </c>
      <c r="H20" s="425" t="s">
        <v>780</v>
      </c>
      <c r="I20" s="425" t="s">
        <v>780</v>
      </c>
      <c r="J20" s="603">
        <v>42887</v>
      </c>
      <c r="K20" s="425" t="s">
        <v>188</v>
      </c>
      <c r="L20" s="429" t="s">
        <v>602</v>
      </c>
    </row>
    <row r="21" spans="1:12" ht="25.5" hidden="1" x14ac:dyDescent="0.25">
      <c r="A21" s="589">
        <v>196</v>
      </c>
      <c r="B21" s="591" t="s">
        <v>658</v>
      </c>
      <c r="C21" s="424" t="s">
        <v>495</v>
      </c>
      <c r="D21" s="425" t="s">
        <v>600</v>
      </c>
      <c r="E21" s="425" t="s">
        <v>65</v>
      </c>
      <c r="F21" s="425" t="s">
        <v>66</v>
      </c>
      <c r="G21" s="425" t="s">
        <v>67</v>
      </c>
      <c r="H21" s="425">
        <v>4122917</v>
      </c>
      <c r="I21" s="425">
        <v>63913</v>
      </c>
      <c r="J21" s="603">
        <v>41851</v>
      </c>
      <c r="K21" s="425" t="s">
        <v>64</v>
      </c>
      <c r="L21" s="429" t="s">
        <v>602</v>
      </c>
    </row>
    <row r="22" spans="1:12" ht="25.5" hidden="1" x14ac:dyDescent="0.25">
      <c r="A22" s="589">
        <v>25</v>
      </c>
      <c r="B22" s="591" t="s">
        <v>659</v>
      </c>
      <c r="C22" s="424" t="s">
        <v>618</v>
      </c>
      <c r="D22" s="425" t="s">
        <v>816</v>
      </c>
      <c r="E22" s="425">
        <v>70595022</v>
      </c>
      <c r="F22" s="425">
        <v>47514024</v>
      </c>
      <c r="G22" s="425" t="s">
        <v>817</v>
      </c>
      <c r="H22" s="425">
        <v>6948098</v>
      </c>
      <c r="I22" s="425">
        <v>88114</v>
      </c>
      <c r="J22" s="603">
        <v>38275</v>
      </c>
      <c r="K22" s="425" t="s">
        <v>818</v>
      </c>
      <c r="L22" s="429" t="s">
        <v>602</v>
      </c>
    </row>
    <row r="23" spans="1:12" hidden="1" x14ac:dyDescent="0.25">
      <c r="A23" s="589">
        <v>254</v>
      </c>
      <c r="B23" s="591" t="s">
        <v>660</v>
      </c>
      <c r="C23" s="424" t="s">
        <v>618</v>
      </c>
      <c r="D23" s="425" t="s">
        <v>601</v>
      </c>
      <c r="E23" s="425">
        <v>15295927</v>
      </c>
      <c r="F23" s="425">
        <v>46214726</v>
      </c>
      <c r="G23" s="425" t="s">
        <v>359</v>
      </c>
      <c r="H23" s="425">
        <v>4642816</v>
      </c>
      <c r="I23" s="425">
        <v>120464</v>
      </c>
      <c r="J23" s="603">
        <v>37073</v>
      </c>
      <c r="K23" s="425" t="s">
        <v>354</v>
      </c>
      <c r="L23" s="429" t="s">
        <v>602</v>
      </c>
    </row>
    <row r="24" spans="1:12" ht="51" hidden="1" x14ac:dyDescent="0.25">
      <c r="A24" s="589">
        <v>310</v>
      </c>
      <c r="B24" s="591" t="s">
        <v>597</v>
      </c>
      <c r="C24" s="424" t="s">
        <v>495</v>
      </c>
      <c r="D24" s="425" t="s">
        <v>819</v>
      </c>
      <c r="E24" s="602" t="s">
        <v>820</v>
      </c>
      <c r="F24" s="425">
        <v>64621871</v>
      </c>
      <c r="G24" s="602" t="s">
        <v>821</v>
      </c>
      <c r="H24" s="425">
        <v>5398905</v>
      </c>
      <c r="I24" s="425">
        <v>80125</v>
      </c>
      <c r="J24" s="603">
        <v>42784</v>
      </c>
      <c r="K24" s="425" t="s">
        <v>822</v>
      </c>
      <c r="L24" s="429" t="s">
        <v>602</v>
      </c>
    </row>
    <row r="25" spans="1:12" ht="25.5" hidden="1" x14ac:dyDescent="0.25">
      <c r="A25" s="589">
        <v>351</v>
      </c>
      <c r="B25" s="591" t="s">
        <v>598</v>
      </c>
      <c r="C25" s="424" t="s">
        <v>495</v>
      </c>
      <c r="D25" s="425" t="s">
        <v>823</v>
      </c>
      <c r="E25" s="602" t="s">
        <v>824</v>
      </c>
      <c r="F25" s="425">
        <v>53060158</v>
      </c>
      <c r="G25" s="604" t="s">
        <v>825</v>
      </c>
      <c r="H25" s="425">
        <v>5893294</v>
      </c>
      <c r="I25" s="425">
        <v>87629</v>
      </c>
      <c r="J25" s="603">
        <v>43165</v>
      </c>
      <c r="K25" s="425" t="s">
        <v>826</v>
      </c>
      <c r="L25" s="429" t="s">
        <v>602</v>
      </c>
    </row>
    <row r="26" spans="1:12" ht="51" hidden="1" x14ac:dyDescent="0.25">
      <c r="A26" s="589">
        <v>90</v>
      </c>
      <c r="B26" s="591" t="s">
        <v>421</v>
      </c>
      <c r="C26" s="424" t="s">
        <v>495</v>
      </c>
      <c r="D26" s="425" t="s">
        <v>422</v>
      </c>
      <c r="E26" s="602">
        <v>6523648</v>
      </c>
      <c r="F26" s="425">
        <v>92110012</v>
      </c>
      <c r="G26" s="604" t="s">
        <v>423</v>
      </c>
      <c r="H26" s="425">
        <v>8115588</v>
      </c>
      <c r="I26" s="425">
        <v>38105</v>
      </c>
      <c r="J26" s="603">
        <v>39951</v>
      </c>
      <c r="K26" s="425" t="s">
        <v>424</v>
      </c>
      <c r="L26" s="429" t="s">
        <v>602</v>
      </c>
    </row>
    <row r="27" spans="1:12" ht="38.25" hidden="1" x14ac:dyDescent="0.25">
      <c r="A27" s="589">
        <v>319</v>
      </c>
      <c r="B27" s="591" t="s">
        <v>599</v>
      </c>
      <c r="C27" s="424" t="s">
        <v>495</v>
      </c>
      <c r="D27" s="425" t="s">
        <v>827</v>
      </c>
      <c r="E27" s="602" t="s">
        <v>828</v>
      </c>
      <c r="F27" s="425">
        <v>64400657</v>
      </c>
      <c r="G27" s="602" t="s">
        <v>829</v>
      </c>
      <c r="H27" s="425">
        <v>5565215</v>
      </c>
      <c r="I27" s="425">
        <v>82579</v>
      </c>
      <c r="J27" s="603">
        <v>42902</v>
      </c>
      <c r="K27" s="425" t="s">
        <v>830</v>
      </c>
      <c r="L27" s="429" t="s">
        <v>602</v>
      </c>
    </row>
    <row r="28" spans="1:12" ht="25.5" hidden="1" x14ac:dyDescent="0.25">
      <c r="A28" s="589">
        <v>312</v>
      </c>
      <c r="B28" s="591" t="s">
        <v>661</v>
      </c>
      <c r="C28" s="424" t="s">
        <v>618</v>
      </c>
      <c r="D28" s="425" t="s">
        <v>831</v>
      </c>
      <c r="E28" s="602" t="s">
        <v>832</v>
      </c>
      <c r="F28" s="425">
        <v>67147812</v>
      </c>
      <c r="G28" s="604" t="s">
        <v>833</v>
      </c>
      <c r="H28" s="425">
        <v>5502291</v>
      </c>
      <c r="I28" s="425">
        <v>124408</v>
      </c>
      <c r="J28" s="603">
        <v>42736</v>
      </c>
      <c r="K28" s="425" t="s">
        <v>188</v>
      </c>
      <c r="L28" s="429" t="s">
        <v>602</v>
      </c>
    </row>
    <row r="29" spans="1:12" hidden="1" x14ac:dyDescent="0.25">
      <c r="A29" s="589">
        <v>381</v>
      </c>
      <c r="B29" s="591" t="s">
        <v>662</v>
      </c>
      <c r="C29" s="424" t="s">
        <v>495</v>
      </c>
      <c r="D29" s="425" t="s">
        <v>834</v>
      </c>
      <c r="E29" s="602" t="s">
        <v>835</v>
      </c>
      <c r="F29" s="425">
        <v>40800133</v>
      </c>
      <c r="G29" s="604" t="s">
        <v>836</v>
      </c>
      <c r="H29" s="425">
        <v>5996759</v>
      </c>
      <c r="I29" s="425" t="s">
        <v>779</v>
      </c>
      <c r="J29" s="603">
        <v>43501</v>
      </c>
      <c r="K29" s="425" t="s">
        <v>354</v>
      </c>
      <c r="L29" s="429" t="s">
        <v>602</v>
      </c>
    </row>
    <row r="30" spans="1:12" ht="25.5" hidden="1" x14ac:dyDescent="0.25">
      <c r="A30" s="589">
        <v>385</v>
      </c>
      <c r="B30" s="591" t="s">
        <v>663</v>
      </c>
      <c r="C30" s="424" t="s">
        <v>495</v>
      </c>
      <c r="D30" s="425" t="s">
        <v>837</v>
      </c>
      <c r="E30" s="602" t="s">
        <v>838</v>
      </c>
      <c r="F30" s="425">
        <v>46490121</v>
      </c>
      <c r="G30" s="604" t="s">
        <v>839</v>
      </c>
      <c r="H30" s="425">
        <v>1543810</v>
      </c>
      <c r="I30" s="425">
        <v>96827</v>
      </c>
      <c r="J30" s="603">
        <v>43556</v>
      </c>
      <c r="K30" s="425" t="s">
        <v>840</v>
      </c>
      <c r="L30" s="429" t="s">
        <v>1246</v>
      </c>
    </row>
    <row r="31" spans="1:12" ht="25.5" hidden="1" x14ac:dyDescent="0.25">
      <c r="A31" s="589">
        <v>387</v>
      </c>
      <c r="B31" s="591" t="s">
        <v>664</v>
      </c>
      <c r="C31" s="424" t="s">
        <v>495</v>
      </c>
      <c r="D31" s="425" t="s">
        <v>841</v>
      </c>
      <c r="E31" s="602" t="s">
        <v>842</v>
      </c>
      <c r="F31" s="425">
        <v>45102136</v>
      </c>
      <c r="G31" s="604" t="s">
        <v>843</v>
      </c>
      <c r="H31" s="425">
        <v>5919248</v>
      </c>
      <c r="I31" s="425">
        <v>88127</v>
      </c>
      <c r="J31" s="603">
        <v>43202</v>
      </c>
      <c r="K31" s="425" t="s">
        <v>844</v>
      </c>
      <c r="L31" s="429" t="s">
        <v>602</v>
      </c>
    </row>
    <row r="32" spans="1:12" ht="38.25" x14ac:dyDescent="0.25">
      <c r="A32" s="589">
        <v>62</v>
      </c>
      <c r="B32" s="591" t="s">
        <v>111</v>
      </c>
      <c r="C32" s="424" t="s">
        <v>495</v>
      </c>
      <c r="D32" s="425" t="s">
        <v>112</v>
      </c>
      <c r="E32" s="602" t="s">
        <v>579</v>
      </c>
      <c r="F32" s="425">
        <v>67190363</v>
      </c>
      <c r="G32" s="604" t="s">
        <v>113</v>
      </c>
      <c r="H32" s="425">
        <v>7704572</v>
      </c>
      <c r="I32" s="425">
        <v>31583</v>
      </c>
      <c r="J32" s="603">
        <v>39401</v>
      </c>
      <c r="K32" s="425" t="s">
        <v>114</v>
      </c>
      <c r="L32" s="429" t="s">
        <v>586</v>
      </c>
    </row>
    <row r="33" spans="1:12" ht="51" x14ac:dyDescent="0.25">
      <c r="A33" s="589">
        <v>236</v>
      </c>
      <c r="B33" s="591" t="s">
        <v>434</v>
      </c>
      <c r="C33" s="424" t="s">
        <v>495</v>
      </c>
      <c r="D33" s="425" t="s">
        <v>435</v>
      </c>
      <c r="E33" s="602">
        <v>15288165</v>
      </c>
      <c r="F33" s="425">
        <v>47514246</v>
      </c>
      <c r="G33" s="604" t="s">
        <v>845</v>
      </c>
      <c r="H33" s="425">
        <v>4572344</v>
      </c>
      <c r="I33" s="425">
        <v>70751</v>
      </c>
      <c r="J33" s="603">
        <v>42236</v>
      </c>
      <c r="K33" s="425" t="s">
        <v>436</v>
      </c>
      <c r="L33" s="429" t="s">
        <v>586</v>
      </c>
    </row>
    <row r="34" spans="1:12" ht="38.25" x14ac:dyDescent="0.25">
      <c r="A34" s="589">
        <v>61</v>
      </c>
      <c r="B34" s="591" t="s">
        <v>336</v>
      </c>
      <c r="C34" s="424" t="s">
        <v>495</v>
      </c>
      <c r="D34" s="425" t="s">
        <v>337</v>
      </c>
      <c r="E34" s="602" t="s">
        <v>580</v>
      </c>
      <c r="F34" s="425">
        <v>45398263</v>
      </c>
      <c r="G34" s="604" t="s">
        <v>338</v>
      </c>
      <c r="H34" s="425">
        <v>7682926</v>
      </c>
      <c r="I34" s="425">
        <v>30977</v>
      </c>
      <c r="J34" s="603">
        <v>39395</v>
      </c>
      <c r="K34" s="425" t="s">
        <v>339</v>
      </c>
      <c r="L34" s="429" t="s">
        <v>586</v>
      </c>
    </row>
    <row r="35" spans="1:12" ht="25.5" x14ac:dyDescent="0.25">
      <c r="A35" s="589">
        <v>100</v>
      </c>
      <c r="B35" s="591" t="s">
        <v>428</v>
      </c>
      <c r="C35" s="424" t="s">
        <v>618</v>
      </c>
      <c r="D35" s="425" t="s">
        <v>429</v>
      </c>
      <c r="E35" s="602" t="s">
        <v>430</v>
      </c>
      <c r="F35" s="425">
        <v>92110032</v>
      </c>
      <c r="G35" s="604" t="s">
        <v>432</v>
      </c>
      <c r="H35" s="425" t="s">
        <v>431</v>
      </c>
      <c r="I35" s="425">
        <v>105672</v>
      </c>
      <c r="J35" s="603">
        <v>40204</v>
      </c>
      <c r="K35" s="425" t="s">
        <v>433</v>
      </c>
      <c r="L35" s="429" t="s">
        <v>586</v>
      </c>
    </row>
    <row r="36" spans="1:12" ht="25.5" x14ac:dyDescent="0.25">
      <c r="A36" s="589">
        <v>47</v>
      </c>
      <c r="B36" s="591" t="s">
        <v>385</v>
      </c>
      <c r="C36" s="424" t="s">
        <v>618</v>
      </c>
      <c r="D36" s="425" t="s">
        <v>386</v>
      </c>
      <c r="E36" s="602">
        <v>69182038</v>
      </c>
      <c r="F36" s="425">
        <v>67032453</v>
      </c>
      <c r="G36" s="604" t="s">
        <v>846</v>
      </c>
      <c r="H36" s="425" t="s">
        <v>163</v>
      </c>
      <c r="I36" s="425">
        <v>95342</v>
      </c>
      <c r="J36" s="603">
        <v>39073</v>
      </c>
      <c r="K36" s="425" t="s">
        <v>387</v>
      </c>
      <c r="L36" s="429" t="s">
        <v>586</v>
      </c>
    </row>
    <row r="37" spans="1:12" ht="38.25" x14ac:dyDescent="0.25">
      <c r="A37" s="589">
        <v>13</v>
      </c>
      <c r="B37" s="591" t="s">
        <v>182</v>
      </c>
      <c r="C37" s="424" t="s">
        <v>618</v>
      </c>
      <c r="D37" s="425" t="s">
        <v>581</v>
      </c>
      <c r="E37" s="602" t="s">
        <v>184</v>
      </c>
      <c r="F37" s="425" t="s">
        <v>185</v>
      </c>
      <c r="G37" s="604" t="s">
        <v>186</v>
      </c>
      <c r="H37" s="425" t="s">
        <v>163</v>
      </c>
      <c r="I37" s="425">
        <v>72440</v>
      </c>
      <c r="J37" s="603">
        <v>36861</v>
      </c>
      <c r="K37" s="425" t="s">
        <v>183</v>
      </c>
      <c r="L37" s="429" t="s">
        <v>501</v>
      </c>
    </row>
    <row r="38" spans="1:12" ht="51" x14ac:dyDescent="0.25">
      <c r="A38" s="589">
        <v>306</v>
      </c>
      <c r="B38" s="591" t="s">
        <v>577</v>
      </c>
      <c r="C38" s="424" t="s">
        <v>495</v>
      </c>
      <c r="D38" s="425" t="s">
        <v>847</v>
      </c>
      <c r="E38" s="602" t="s">
        <v>583</v>
      </c>
      <c r="F38" s="425">
        <v>92100158</v>
      </c>
      <c r="G38" s="604" t="s">
        <v>584</v>
      </c>
      <c r="H38" s="425" t="s">
        <v>582</v>
      </c>
      <c r="I38" s="425">
        <v>72761</v>
      </c>
      <c r="J38" s="603">
        <v>42410</v>
      </c>
      <c r="K38" s="425" t="s">
        <v>585</v>
      </c>
      <c r="L38" s="429" t="s">
        <v>586</v>
      </c>
    </row>
    <row r="39" spans="1:12" ht="25.5" x14ac:dyDescent="0.25">
      <c r="A39" s="589">
        <v>316</v>
      </c>
      <c r="B39" s="591" t="s">
        <v>665</v>
      </c>
      <c r="C39" s="424" t="s">
        <v>495</v>
      </c>
      <c r="D39" s="425" t="s">
        <v>848</v>
      </c>
      <c r="E39" s="602">
        <v>20788577</v>
      </c>
      <c r="F39" s="425">
        <v>53035219</v>
      </c>
      <c r="G39" s="604" t="s">
        <v>849</v>
      </c>
      <c r="H39" s="425">
        <v>5510476</v>
      </c>
      <c r="I39" s="425">
        <v>81901</v>
      </c>
      <c r="J39" s="603">
        <v>42866</v>
      </c>
      <c r="K39" s="425" t="s">
        <v>850</v>
      </c>
      <c r="L39" s="429" t="s">
        <v>586</v>
      </c>
    </row>
    <row r="40" spans="1:12" ht="38.25" x14ac:dyDescent="0.25">
      <c r="A40" s="589">
        <v>315</v>
      </c>
      <c r="B40" s="591" t="s">
        <v>666</v>
      </c>
      <c r="C40" s="424" t="s">
        <v>495</v>
      </c>
      <c r="D40" s="425" t="s">
        <v>851</v>
      </c>
      <c r="E40" s="602">
        <v>20754859</v>
      </c>
      <c r="F40" s="425">
        <v>64401372</v>
      </c>
      <c r="G40" s="604" t="s">
        <v>852</v>
      </c>
      <c r="H40" s="425">
        <v>5416393</v>
      </c>
      <c r="I40" s="425">
        <v>80357</v>
      </c>
      <c r="J40" s="603">
        <v>42800</v>
      </c>
      <c r="K40" s="425" t="s">
        <v>853</v>
      </c>
      <c r="L40" s="429" t="s">
        <v>586</v>
      </c>
    </row>
    <row r="41" spans="1:12" x14ac:dyDescent="0.25">
      <c r="A41" s="589">
        <v>328</v>
      </c>
      <c r="B41" s="591" t="s">
        <v>667</v>
      </c>
      <c r="C41" s="424" t="s">
        <v>495</v>
      </c>
      <c r="D41" s="425" t="s">
        <v>854</v>
      </c>
      <c r="E41" s="602">
        <v>24831306</v>
      </c>
      <c r="F41" s="425">
        <v>64400670</v>
      </c>
      <c r="G41" s="604" t="s">
        <v>855</v>
      </c>
      <c r="H41" s="425">
        <v>5617454</v>
      </c>
      <c r="I41" s="425">
        <v>83327</v>
      </c>
      <c r="J41" s="603">
        <v>42902</v>
      </c>
      <c r="K41" s="425" t="s">
        <v>856</v>
      </c>
      <c r="L41" s="429" t="s">
        <v>501</v>
      </c>
    </row>
    <row r="42" spans="1:12" ht="25.5" x14ac:dyDescent="0.25">
      <c r="A42" s="589">
        <v>322</v>
      </c>
      <c r="B42" s="591" t="s">
        <v>668</v>
      </c>
      <c r="C42" s="424" t="s">
        <v>495</v>
      </c>
      <c r="D42" s="425" t="s">
        <v>857</v>
      </c>
      <c r="E42" s="602">
        <v>24820061</v>
      </c>
      <c r="F42" s="425">
        <v>45300224</v>
      </c>
      <c r="G42" s="604" t="s">
        <v>858</v>
      </c>
      <c r="H42" s="425">
        <v>5578185</v>
      </c>
      <c r="I42" s="425">
        <v>82959</v>
      </c>
      <c r="J42" s="603">
        <v>42935</v>
      </c>
      <c r="K42" s="425" t="s">
        <v>859</v>
      </c>
      <c r="L42" s="429" t="s">
        <v>586</v>
      </c>
    </row>
    <row r="43" spans="1:12" ht="38.25" x14ac:dyDescent="0.25">
      <c r="A43" s="589">
        <v>325</v>
      </c>
      <c r="B43" s="591" t="s">
        <v>669</v>
      </c>
      <c r="C43" s="424" t="s">
        <v>495</v>
      </c>
      <c r="D43" s="425" t="s">
        <v>860</v>
      </c>
      <c r="E43" s="602">
        <v>20782485</v>
      </c>
      <c r="F43" s="425">
        <v>921110674</v>
      </c>
      <c r="G43" s="604" t="s">
        <v>861</v>
      </c>
      <c r="H43" s="425">
        <v>5501988</v>
      </c>
      <c r="I43" s="425">
        <v>81753</v>
      </c>
      <c r="J43" s="603">
        <v>42865</v>
      </c>
      <c r="K43" s="425" t="s">
        <v>339</v>
      </c>
      <c r="L43" s="429" t="s">
        <v>586</v>
      </c>
    </row>
    <row r="44" spans="1:12" x14ac:dyDescent="0.25">
      <c r="A44" s="589">
        <v>332</v>
      </c>
      <c r="B44" s="591" t="s">
        <v>578</v>
      </c>
      <c r="C44" s="424" t="s">
        <v>618</v>
      </c>
      <c r="D44" s="425" t="s">
        <v>862</v>
      </c>
      <c r="E44" s="602">
        <v>20747352</v>
      </c>
      <c r="F44" s="425">
        <v>67160670</v>
      </c>
      <c r="G44" s="604" t="s">
        <v>863</v>
      </c>
      <c r="H44" s="425">
        <v>5733391</v>
      </c>
      <c r="I44" s="425" t="s">
        <v>163</v>
      </c>
      <c r="J44" s="603">
        <v>42925</v>
      </c>
      <c r="K44" s="425" t="s">
        <v>864</v>
      </c>
      <c r="L44" s="429" t="s">
        <v>586</v>
      </c>
    </row>
    <row r="45" spans="1:12" ht="25.5" x14ac:dyDescent="0.25">
      <c r="A45" s="589">
        <v>334</v>
      </c>
      <c r="B45" s="591" t="s">
        <v>670</v>
      </c>
      <c r="C45" s="424" t="s">
        <v>618</v>
      </c>
      <c r="D45" s="425" t="s">
        <v>865</v>
      </c>
      <c r="E45" s="602">
        <v>20782501</v>
      </c>
      <c r="F45" s="425">
        <v>45102113</v>
      </c>
      <c r="G45" s="604" t="s">
        <v>866</v>
      </c>
      <c r="H45" s="425">
        <v>5733705</v>
      </c>
      <c r="I45" s="425" t="s">
        <v>163</v>
      </c>
      <c r="J45" s="603">
        <v>42826</v>
      </c>
      <c r="K45" s="425" t="s">
        <v>867</v>
      </c>
      <c r="L45" s="429" t="s">
        <v>586</v>
      </c>
    </row>
    <row r="46" spans="1:12" ht="25.5" x14ac:dyDescent="0.25">
      <c r="A46" s="589">
        <v>335</v>
      </c>
      <c r="B46" s="591" t="s">
        <v>671</v>
      </c>
      <c r="C46" s="424" t="s">
        <v>618</v>
      </c>
      <c r="D46" s="425" t="s">
        <v>868</v>
      </c>
      <c r="E46" s="602">
        <v>99059534</v>
      </c>
      <c r="F46" s="425">
        <v>46200539</v>
      </c>
      <c r="G46" s="604" t="s">
        <v>869</v>
      </c>
      <c r="H46" s="425">
        <v>5854808</v>
      </c>
      <c r="I46" s="425" t="s">
        <v>163</v>
      </c>
      <c r="J46" s="603">
        <v>43125</v>
      </c>
      <c r="K46" s="425" t="s">
        <v>867</v>
      </c>
      <c r="L46" s="429" t="s">
        <v>586</v>
      </c>
    </row>
    <row r="47" spans="1:12" ht="25.5" x14ac:dyDescent="0.25">
      <c r="A47" s="589">
        <v>353</v>
      </c>
      <c r="B47" s="591" t="s">
        <v>672</v>
      </c>
      <c r="C47" s="424" t="s">
        <v>495</v>
      </c>
      <c r="D47" s="425" t="s">
        <v>870</v>
      </c>
      <c r="E47" s="602">
        <v>20742522</v>
      </c>
      <c r="F47" s="425">
        <v>64694344</v>
      </c>
      <c r="G47" s="604" t="s">
        <v>871</v>
      </c>
      <c r="H47" s="425">
        <v>5380514</v>
      </c>
      <c r="I47" s="425">
        <v>79795</v>
      </c>
      <c r="J47" s="603">
        <v>2017</v>
      </c>
      <c r="K47" s="425" t="s">
        <v>872</v>
      </c>
      <c r="L47" s="429" t="s">
        <v>501</v>
      </c>
    </row>
    <row r="48" spans="1:12" ht="25.5" x14ac:dyDescent="0.25">
      <c r="A48" s="589">
        <v>348</v>
      </c>
      <c r="B48" s="591" t="s">
        <v>673</v>
      </c>
      <c r="C48" s="424" t="s">
        <v>495</v>
      </c>
      <c r="D48" s="425" t="s">
        <v>873</v>
      </c>
      <c r="E48" s="602">
        <v>25210998</v>
      </c>
      <c r="F48" s="425">
        <v>64401017</v>
      </c>
      <c r="G48" s="604" t="s">
        <v>874</v>
      </c>
      <c r="H48" s="425">
        <v>5918365</v>
      </c>
      <c r="I48" s="425">
        <v>87769</v>
      </c>
      <c r="J48" s="603">
        <v>43171</v>
      </c>
      <c r="K48" s="425" t="s">
        <v>875</v>
      </c>
      <c r="L48" s="429" t="s">
        <v>586</v>
      </c>
    </row>
    <row r="49" spans="1:12" ht="25.5" x14ac:dyDescent="0.25">
      <c r="A49" s="589">
        <v>352</v>
      </c>
      <c r="B49" s="591" t="s">
        <v>674</v>
      </c>
      <c r="C49" s="424" t="s">
        <v>495</v>
      </c>
      <c r="D49" s="425" t="s">
        <v>876</v>
      </c>
      <c r="E49" s="602">
        <v>25258880</v>
      </c>
      <c r="F49" s="425">
        <v>92100426</v>
      </c>
      <c r="G49" s="604" t="s">
        <v>877</v>
      </c>
      <c r="H49" s="425">
        <v>5956290</v>
      </c>
      <c r="I49" s="425">
        <v>88625</v>
      </c>
      <c r="J49" s="603">
        <v>43199</v>
      </c>
      <c r="K49" s="425" t="s">
        <v>878</v>
      </c>
      <c r="L49" s="429" t="s">
        <v>586</v>
      </c>
    </row>
    <row r="50" spans="1:12" ht="51" x14ac:dyDescent="0.25">
      <c r="A50" s="589">
        <v>354</v>
      </c>
      <c r="B50" s="591" t="s">
        <v>675</v>
      </c>
      <c r="C50" s="424" t="s">
        <v>618</v>
      </c>
      <c r="D50" s="425" t="s">
        <v>879</v>
      </c>
      <c r="E50" s="602">
        <v>69904910</v>
      </c>
      <c r="F50" s="425">
        <v>67194091</v>
      </c>
      <c r="G50" s="604" t="s">
        <v>880</v>
      </c>
      <c r="H50" s="425">
        <v>4186343</v>
      </c>
      <c r="I50" s="425">
        <v>117652</v>
      </c>
      <c r="J50" s="603">
        <v>41914</v>
      </c>
      <c r="K50" s="425" t="s">
        <v>881</v>
      </c>
      <c r="L50" s="429" t="s">
        <v>586</v>
      </c>
    </row>
    <row r="51" spans="1:12" ht="25.5" x14ac:dyDescent="0.25">
      <c r="A51" s="589">
        <v>297</v>
      </c>
      <c r="B51" s="591" t="s">
        <v>676</v>
      </c>
      <c r="C51" s="424" t="s">
        <v>495</v>
      </c>
      <c r="D51" s="425" t="s">
        <v>104</v>
      </c>
      <c r="E51" s="602" t="s">
        <v>1225</v>
      </c>
      <c r="F51" s="425">
        <v>64020260</v>
      </c>
      <c r="G51" s="604" t="s">
        <v>882</v>
      </c>
      <c r="H51" s="425">
        <v>6386321</v>
      </c>
      <c r="I51" s="425">
        <v>14121</v>
      </c>
      <c r="J51" s="603">
        <v>37301</v>
      </c>
      <c r="K51" s="425" t="s">
        <v>883</v>
      </c>
      <c r="L51" s="429" t="s">
        <v>586</v>
      </c>
    </row>
    <row r="52" spans="1:12" x14ac:dyDescent="0.25">
      <c r="A52" s="589">
        <v>303</v>
      </c>
      <c r="B52" s="591" t="s">
        <v>677</v>
      </c>
      <c r="C52" s="424" t="s">
        <v>618</v>
      </c>
      <c r="D52" s="425" t="s">
        <v>884</v>
      </c>
      <c r="E52" s="602">
        <v>69132754</v>
      </c>
      <c r="F52" s="425">
        <v>45906501</v>
      </c>
      <c r="G52" s="604" t="s">
        <v>885</v>
      </c>
      <c r="H52" s="425">
        <v>5184057</v>
      </c>
      <c r="I52" s="425">
        <v>122732</v>
      </c>
      <c r="J52" s="603">
        <v>32874</v>
      </c>
      <c r="K52" s="425" t="s">
        <v>886</v>
      </c>
      <c r="L52" s="429" t="s">
        <v>501</v>
      </c>
    </row>
    <row r="53" spans="1:12" x14ac:dyDescent="0.25">
      <c r="A53" s="589">
        <v>331</v>
      </c>
      <c r="B53" s="591" t="s">
        <v>678</v>
      </c>
      <c r="C53" s="424" t="s">
        <v>495</v>
      </c>
      <c r="D53" s="425" t="s">
        <v>887</v>
      </c>
      <c r="E53" s="602">
        <v>24869555</v>
      </c>
      <c r="F53" s="425">
        <v>47900125</v>
      </c>
      <c r="G53" s="604" t="s">
        <v>888</v>
      </c>
      <c r="H53" s="425">
        <v>5641825</v>
      </c>
      <c r="I53" s="425">
        <v>84191</v>
      </c>
      <c r="J53" s="603">
        <v>42736</v>
      </c>
      <c r="K53" s="425" t="s">
        <v>889</v>
      </c>
      <c r="L53" s="429" t="s">
        <v>586</v>
      </c>
    </row>
    <row r="54" spans="1:12" ht="25.5" x14ac:dyDescent="0.25">
      <c r="A54" s="589">
        <v>283</v>
      </c>
      <c r="B54" s="591" t="s">
        <v>679</v>
      </c>
      <c r="C54" s="424" t="s">
        <v>495</v>
      </c>
      <c r="D54" s="425" t="s">
        <v>890</v>
      </c>
      <c r="E54" s="602">
        <v>18797518</v>
      </c>
      <c r="F54" s="425">
        <v>46402598</v>
      </c>
      <c r="G54" s="604" t="s">
        <v>891</v>
      </c>
      <c r="H54" s="425">
        <v>4954211</v>
      </c>
      <c r="I54" s="425">
        <v>75347</v>
      </c>
      <c r="J54" s="603">
        <v>42522</v>
      </c>
      <c r="K54" s="425" t="s">
        <v>892</v>
      </c>
      <c r="L54" s="429" t="s">
        <v>586</v>
      </c>
    </row>
    <row r="55" spans="1:12" ht="25.5" x14ac:dyDescent="0.25">
      <c r="A55" s="589">
        <v>349</v>
      </c>
      <c r="B55" s="591" t="s">
        <v>680</v>
      </c>
      <c r="C55" s="424" t="s">
        <v>495</v>
      </c>
      <c r="D55" s="425" t="s">
        <v>893</v>
      </c>
      <c r="E55" s="602">
        <v>25205986</v>
      </c>
      <c r="F55" s="425">
        <v>45101014</v>
      </c>
      <c r="G55" s="604" t="s">
        <v>894</v>
      </c>
      <c r="H55" s="425">
        <v>5901576</v>
      </c>
      <c r="I55" s="425">
        <v>87673</v>
      </c>
      <c r="J55" s="603">
        <v>43167</v>
      </c>
      <c r="K55" s="425" t="s">
        <v>895</v>
      </c>
      <c r="L55" s="429" t="s">
        <v>586</v>
      </c>
    </row>
    <row r="56" spans="1:12" ht="63.75" x14ac:dyDescent="0.25">
      <c r="A56" s="589">
        <v>198</v>
      </c>
      <c r="B56" s="591" t="s">
        <v>391</v>
      </c>
      <c r="C56" s="424" t="s">
        <v>495</v>
      </c>
      <c r="D56" s="425" t="s">
        <v>896</v>
      </c>
      <c r="E56" s="602">
        <v>15193189</v>
      </c>
      <c r="F56" s="425">
        <v>46814050</v>
      </c>
      <c r="G56" s="604" t="s">
        <v>393</v>
      </c>
      <c r="H56" s="425">
        <v>4185965</v>
      </c>
      <c r="I56" s="425">
        <v>64431</v>
      </c>
      <c r="J56" s="603">
        <v>41904</v>
      </c>
      <c r="K56" s="425" t="s">
        <v>392</v>
      </c>
      <c r="L56" s="429" t="s">
        <v>586</v>
      </c>
    </row>
    <row r="57" spans="1:12" x14ac:dyDescent="0.25">
      <c r="A57" s="589">
        <v>221</v>
      </c>
      <c r="B57" s="591" t="s">
        <v>161</v>
      </c>
      <c r="C57" s="424" t="s">
        <v>618</v>
      </c>
      <c r="D57" s="425" t="s">
        <v>162</v>
      </c>
      <c r="E57" s="602">
        <v>40277830</v>
      </c>
      <c r="F57" s="425">
        <v>45103236</v>
      </c>
      <c r="G57" s="604" t="s">
        <v>164</v>
      </c>
      <c r="H57" s="425">
        <v>8109292</v>
      </c>
      <c r="I57" s="425" t="s">
        <v>163</v>
      </c>
      <c r="J57" s="603">
        <v>39456</v>
      </c>
      <c r="K57" s="425" t="s">
        <v>165</v>
      </c>
      <c r="L57" s="429" t="s">
        <v>586</v>
      </c>
    </row>
    <row r="58" spans="1:12" ht="51" x14ac:dyDescent="0.25">
      <c r="A58" s="589">
        <v>205</v>
      </c>
      <c r="B58" s="591" t="s">
        <v>681</v>
      </c>
      <c r="C58" s="424" t="s">
        <v>495</v>
      </c>
      <c r="D58" s="425" t="s">
        <v>897</v>
      </c>
      <c r="E58" s="602">
        <v>15219936</v>
      </c>
      <c r="F58" s="425">
        <v>45300178</v>
      </c>
      <c r="G58" s="604" t="s">
        <v>898</v>
      </c>
      <c r="H58" s="425">
        <v>4304052</v>
      </c>
      <c r="I58" s="425">
        <v>66259</v>
      </c>
      <c r="J58" s="603">
        <v>42005</v>
      </c>
      <c r="K58" s="425" t="s">
        <v>899</v>
      </c>
      <c r="L58" s="429" t="s">
        <v>586</v>
      </c>
    </row>
    <row r="59" spans="1:12" ht="63.75" hidden="1" x14ac:dyDescent="0.25">
      <c r="A59" s="589">
        <v>124</v>
      </c>
      <c r="B59" s="591" t="s">
        <v>128</v>
      </c>
      <c r="C59" s="424" t="s">
        <v>495</v>
      </c>
      <c r="D59" s="425" t="s">
        <v>129</v>
      </c>
      <c r="E59" s="602">
        <v>6525500</v>
      </c>
      <c r="F59" s="425">
        <v>92145877</v>
      </c>
      <c r="G59" s="604" t="s">
        <v>130</v>
      </c>
      <c r="H59" s="425">
        <v>8724397</v>
      </c>
      <c r="I59" s="425">
        <v>47053</v>
      </c>
      <c r="J59" s="603">
        <v>40695</v>
      </c>
      <c r="K59" s="425" t="s">
        <v>131</v>
      </c>
      <c r="L59" s="429" t="s">
        <v>602</v>
      </c>
    </row>
    <row r="60" spans="1:12" ht="25.5" hidden="1" x14ac:dyDescent="0.25">
      <c r="A60" s="589">
        <v>5</v>
      </c>
      <c r="B60" s="591" t="s">
        <v>566</v>
      </c>
      <c r="C60" s="424" t="s">
        <v>618</v>
      </c>
      <c r="D60" s="425" t="s">
        <v>900</v>
      </c>
      <c r="E60" s="602">
        <v>69606380</v>
      </c>
      <c r="F60" s="425">
        <v>45906606</v>
      </c>
      <c r="G60" s="604" t="s">
        <v>901</v>
      </c>
      <c r="H60" s="425">
        <v>7492507</v>
      </c>
      <c r="I60" s="425">
        <v>51626</v>
      </c>
      <c r="J60" s="603">
        <v>35088</v>
      </c>
      <c r="K60" s="425" t="s">
        <v>902</v>
      </c>
      <c r="L60" s="429" t="s">
        <v>576</v>
      </c>
    </row>
    <row r="61" spans="1:12" x14ac:dyDescent="0.25">
      <c r="A61" s="589">
        <v>11</v>
      </c>
      <c r="B61" s="591" t="s">
        <v>567</v>
      </c>
      <c r="C61" s="424" t="s">
        <v>618</v>
      </c>
      <c r="D61" s="425" t="s">
        <v>903</v>
      </c>
      <c r="E61" s="602">
        <v>69600821</v>
      </c>
      <c r="F61" s="425">
        <v>45905152</v>
      </c>
      <c r="G61" s="604"/>
      <c r="H61" s="425">
        <v>1847378</v>
      </c>
      <c r="I61" s="425"/>
      <c r="J61" s="603">
        <v>36526</v>
      </c>
      <c r="K61" s="425" t="s">
        <v>902</v>
      </c>
      <c r="L61" s="429" t="s">
        <v>586</v>
      </c>
    </row>
    <row r="62" spans="1:12" ht="38.25" hidden="1" x14ac:dyDescent="0.25">
      <c r="A62" s="589">
        <v>101</v>
      </c>
      <c r="B62" s="591" t="s">
        <v>565</v>
      </c>
      <c r="C62" s="424" t="s">
        <v>618</v>
      </c>
      <c r="D62" s="425" t="s">
        <v>904</v>
      </c>
      <c r="E62" s="602">
        <v>69731180</v>
      </c>
      <c r="F62" s="425">
        <v>64449490</v>
      </c>
      <c r="G62" s="604" t="s">
        <v>905</v>
      </c>
      <c r="H62" s="425">
        <v>4351194</v>
      </c>
      <c r="I62" s="425">
        <v>118688</v>
      </c>
      <c r="J62" s="603">
        <v>40206</v>
      </c>
      <c r="K62" s="425" t="s">
        <v>906</v>
      </c>
      <c r="L62" s="429" t="s">
        <v>590</v>
      </c>
    </row>
    <row r="63" spans="1:12" hidden="1" x14ac:dyDescent="0.25">
      <c r="A63" s="589">
        <v>8</v>
      </c>
      <c r="B63" s="591" t="s">
        <v>682</v>
      </c>
      <c r="C63" s="424" t="s">
        <v>618</v>
      </c>
      <c r="D63" s="425" t="s">
        <v>352</v>
      </c>
      <c r="E63" s="602">
        <v>70733760</v>
      </c>
      <c r="F63" s="425">
        <v>67127650</v>
      </c>
      <c r="G63" s="604" t="s">
        <v>353</v>
      </c>
      <c r="H63" s="425">
        <v>6058699</v>
      </c>
      <c r="I63" s="425">
        <v>55672</v>
      </c>
      <c r="J63" s="603">
        <v>36161</v>
      </c>
      <c r="K63" s="425" t="s">
        <v>354</v>
      </c>
      <c r="L63" s="429" t="s">
        <v>602</v>
      </c>
    </row>
    <row r="64" spans="1:12" ht="63.75" hidden="1" x14ac:dyDescent="0.25">
      <c r="A64" s="589">
        <v>4</v>
      </c>
      <c r="B64" s="591" t="s">
        <v>683</v>
      </c>
      <c r="C64" s="424" t="s">
        <v>618</v>
      </c>
      <c r="D64" s="425" t="s">
        <v>425</v>
      </c>
      <c r="E64" s="602">
        <v>69700500</v>
      </c>
      <c r="F64" s="425">
        <v>46206042</v>
      </c>
      <c r="G64" s="604" t="s">
        <v>426</v>
      </c>
      <c r="H64" s="425">
        <v>1030634</v>
      </c>
      <c r="I64" s="425">
        <v>37036</v>
      </c>
      <c r="J64" s="603">
        <v>35065</v>
      </c>
      <c r="K64" s="425" t="s">
        <v>427</v>
      </c>
      <c r="L64" s="429" t="s">
        <v>576</v>
      </c>
    </row>
    <row r="65" spans="1:12" ht="38.25" hidden="1" x14ac:dyDescent="0.25">
      <c r="A65" s="589">
        <v>48</v>
      </c>
      <c r="B65" s="591" t="s">
        <v>684</v>
      </c>
      <c r="C65" s="424" t="s">
        <v>495</v>
      </c>
      <c r="D65" s="425" t="s">
        <v>407</v>
      </c>
      <c r="E65" s="602">
        <v>6520927</v>
      </c>
      <c r="F65" s="425">
        <v>67095141</v>
      </c>
      <c r="G65" s="604" t="s">
        <v>408</v>
      </c>
      <c r="H65" s="425">
        <v>7468657</v>
      </c>
      <c r="I65" s="425">
        <v>27153</v>
      </c>
      <c r="J65" s="603">
        <v>39114</v>
      </c>
      <c r="K65" s="425" t="s">
        <v>409</v>
      </c>
      <c r="L65" s="429" t="s">
        <v>1246</v>
      </c>
    </row>
    <row r="66" spans="1:12" ht="63.75" hidden="1" x14ac:dyDescent="0.25">
      <c r="A66" s="589">
        <v>214</v>
      </c>
      <c r="B66" s="591" t="s">
        <v>685</v>
      </c>
      <c r="C66" s="424" t="s">
        <v>495</v>
      </c>
      <c r="D66" s="425" t="s">
        <v>237</v>
      </c>
      <c r="E66" s="602">
        <v>15269717</v>
      </c>
      <c r="F66" s="425">
        <v>47502548</v>
      </c>
      <c r="G66" s="604" t="s">
        <v>907</v>
      </c>
      <c r="H66" s="425">
        <v>4542321</v>
      </c>
      <c r="I66" s="425">
        <v>69683</v>
      </c>
      <c r="J66" s="603">
        <v>42189</v>
      </c>
      <c r="K66" s="425" t="s">
        <v>238</v>
      </c>
      <c r="L66" s="429" t="s">
        <v>531</v>
      </c>
    </row>
    <row r="67" spans="1:12" ht="102" hidden="1" x14ac:dyDescent="0.25">
      <c r="A67" s="589">
        <v>239</v>
      </c>
      <c r="B67" s="591" t="s">
        <v>41</v>
      </c>
      <c r="C67" s="424" t="s">
        <v>495</v>
      </c>
      <c r="D67" s="425" t="s">
        <v>42</v>
      </c>
      <c r="E67" s="602">
        <v>15297868</v>
      </c>
      <c r="F67" s="425">
        <v>64890017</v>
      </c>
      <c r="G67" s="604" t="s">
        <v>43</v>
      </c>
      <c r="H67" s="425">
        <v>4665660</v>
      </c>
      <c r="I67" s="425">
        <v>71251</v>
      </c>
      <c r="J67" s="603">
        <v>42328</v>
      </c>
      <c r="K67" s="425" t="s">
        <v>44</v>
      </c>
      <c r="L67" s="429" t="s">
        <v>590</v>
      </c>
    </row>
    <row r="68" spans="1:12" ht="51" hidden="1" x14ac:dyDescent="0.25">
      <c r="A68" s="589">
        <v>240</v>
      </c>
      <c r="B68" s="591" t="s">
        <v>224</v>
      </c>
      <c r="C68" s="424" t="s">
        <v>495</v>
      </c>
      <c r="D68" s="425" t="s">
        <v>42</v>
      </c>
      <c r="E68" s="602">
        <v>15220752</v>
      </c>
      <c r="F68" s="425">
        <v>46296252</v>
      </c>
      <c r="G68" s="604" t="s">
        <v>908</v>
      </c>
      <c r="H68" s="425">
        <v>4321288</v>
      </c>
      <c r="I68" s="425">
        <v>66321</v>
      </c>
      <c r="J68" s="603">
        <v>42031</v>
      </c>
      <c r="K68" s="425" t="s">
        <v>225</v>
      </c>
      <c r="L68" s="429" t="s">
        <v>564</v>
      </c>
    </row>
    <row r="69" spans="1:12" hidden="1" x14ac:dyDescent="0.25">
      <c r="A69" s="589">
        <v>257</v>
      </c>
      <c r="B69" s="591" t="s">
        <v>285</v>
      </c>
      <c r="C69" s="424" t="s">
        <v>495</v>
      </c>
      <c r="D69" s="425" t="s">
        <v>286</v>
      </c>
      <c r="E69" s="602">
        <v>6525799</v>
      </c>
      <c r="F69" s="425">
        <v>67395705</v>
      </c>
      <c r="G69" s="604" t="s">
        <v>287</v>
      </c>
      <c r="H69" s="425">
        <v>8873714</v>
      </c>
      <c r="I69" s="425">
        <v>48405</v>
      </c>
      <c r="J69" s="603">
        <v>40822</v>
      </c>
      <c r="K69" s="425" t="s">
        <v>288</v>
      </c>
      <c r="L69" s="429" t="s">
        <v>531</v>
      </c>
    </row>
    <row r="70" spans="1:12" ht="25.5" hidden="1" x14ac:dyDescent="0.25">
      <c r="A70" s="589">
        <v>266</v>
      </c>
      <c r="B70" s="591" t="s">
        <v>686</v>
      </c>
      <c r="C70" s="424" t="s">
        <v>495</v>
      </c>
      <c r="D70" s="425" t="s">
        <v>201</v>
      </c>
      <c r="E70" s="602">
        <v>18785766</v>
      </c>
      <c r="F70" s="425">
        <v>64400471</v>
      </c>
      <c r="G70" s="604" t="s">
        <v>202</v>
      </c>
      <c r="H70" s="425">
        <v>4911071</v>
      </c>
      <c r="I70" s="425">
        <v>74775</v>
      </c>
      <c r="J70" s="603">
        <v>42502</v>
      </c>
      <c r="K70" s="425" t="s">
        <v>203</v>
      </c>
      <c r="L70" s="429" t="s">
        <v>531</v>
      </c>
    </row>
    <row r="71" spans="1:12" ht="51" hidden="1" x14ac:dyDescent="0.25">
      <c r="A71" s="589">
        <v>286</v>
      </c>
      <c r="B71" s="591" t="s">
        <v>687</v>
      </c>
      <c r="C71" s="424" t="s">
        <v>495</v>
      </c>
      <c r="D71" s="425" t="s">
        <v>333</v>
      </c>
      <c r="E71" s="602">
        <v>18781206</v>
      </c>
      <c r="F71" s="425">
        <v>53026124</v>
      </c>
      <c r="G71" s="604" t="s">
        <v>334</v>
      </c>
      <c r="H71" s="425">
        <v>4852803</v>
      </c>
      <c r="I71" s="425">
        <v>74535</v>
      </c>
      <c r="J71" s="603">
        <v>42486</v>
      </c>
      <c r="K71" s="425" t="s">
        <v>335</v>
      </c>
      <c r="L71" s="429" t="s">
        <v>1246</v>
      </c>
    </row>
    <row r="72" spans="1:12" ht="38.25" hidden="1" x14ac:dyDescent="0.25">
      <c r="A72" s="589">
        <v>285</v>
      </c>
      <c r="B72" s="591" t="s">
        <v>688</v>
      </c>
      <c r="C72" s="424" t="s">
        <v>495</v>
      </c>
      <c r="D72" s="425" t="s">
        <v>363</v>
      </c>
      <c r="E72" s="602">
        <v>18777152</v>
      </c>
      <c r="F72" s="425">
        <v>64400468</v>
      </c>
      <c r="G72" s="604" t="s">
        <v>362</v>
      </c>
      <c r="H72" s="425">
        <v>4886860</v>
      </c>
      <c r="I72" s="425">
        <v>74387</v>
      </c>
      <c r="J72" s="603">
        <v>42481</v>
      </c>
      <c r="K72" s="425" t="s">
        <v>361</v>
      </c>
      <c r="L72" s="429" t="s">
        <v>602</v>
      </c>
    </row>
    <row r="73" spans="1:12" ht="38.25" hidden="1" x14ac:dyDescent="0.25">
      <c r="A73" s="589">
        <v>300</v>
      </c>
      <c r="B73" s="591" t="s">
        <v>689</v>
      </c>
      <c r="C73" s="424" t="s">
        <v>618</v>
      </c>
      <c r="D73" s="425" t="s">
        <v>909</v>
      </c>
      <c r="E73" s="602">
        <v>18783832</v>
      </c>
      <c r="F73" s="425">
        <v>47949212</v>
      </c>
      <c r="G73" s="604" t="s">
        <v>910</v>
      </c>
      <c r="H73" s="425">
        <v>4934338</v>
      </c>
      <c r="I73" s="425">
        <v>122132</v>
      </c>
      <c r="J73" s="603">
        <v>42491</v>
      </c>
      <c r="K73" s="425" t="s">
        <v>911</v>
      </c>
      <c r="L73" s="429" t="s">
        <v>1246</v>
      </c>
    </row>
    <row r="74" spans="1:12" ht="25.5" hidden="1" x14ac:dyDescent="0.25">
      <c r="A74" s="589">
        <v>262</v>
      </c>
      <c r="B74" s="591" t="s">
        <v>251</v>
      </c>
      <c r="C74" s="424" t="s">
        <v>495</v>
      </c>
      <c r="D74" s="425" t="s">
        <v>254</v>
      </c>
      <c r="E74" s="602">
        <v>18800321</v>
      </c>
      <c r="F74" s="425">
        <v>92125251</v>
      </c>
      <c r="G74" s="604" t="s">
        <v>253</v>
      </c>
      <c r="H74" s="425">
        <v>4940286</v>
      </c>
      <c r="I74" s="425">
        <v>75561</v>
      </c>
      <c r="J74" s="603">
        <v>42536</v>
      </c>
      <c r="K74" s="425" t="s">
        <v>252</v>
      </c>
      <c r="L74" s="429" t="s">
        <v>603</v>
      </c>
    </row>
    <row r="75" spans="1:12" hidden="1" x14ac:dyDescent="0.25">
      <c r="A75" s="589">
        <v>270</v>
      </c>
      <c r="B75" s="591" t="s">
        <v>568</v>
      </c>
      <c r="C75" s="424" t="s">
        <v>618</v>
      </c>
      <c r="D75" s="425" t="s">
        <v>1226</v>
      </c>
      <c r="E75" s="602" t="s">
        <v>1227</v>
      </c>
      <c r="F75" s="425">
        <v>64859143</v>
      </c>
      <c r="G75" s="604" t="s">
        <v>1228</v>
      </c>
      <c r="H75" s="425">
        <v>4887652</v>
      </c>
      <c r="I75" s="425">
        <v>86946</v>
      </c>
      <c r="J75" s="603">
        <v>42491</v>
      </c>
      <c r="K75" s="425" t="s">
        <v>1229</v>
      </c>
      <c r="L75" s="429" t="s">
        <v>1246</v>
      </c>
    </row>
    <row r="76" spans="1:12" ht="63.75" hidden="1" x14ac:dyDescent="0.25">
      <c r="A76" s="589">
        <v>272</v>
      </c>
      <c r="B76" s="591" t="s">
        <v>569</v>
      </c>
      <c r="C76" s="424" t="s">
        <v>495</v>
      </c>
      <c r="D76" s="425" t="str">
        <f>+[1]HALIMA!$J$36</f>
        <v>MAG 2 OUARDA 273/2 LOT SOFIA MARRAKECH</v>
      </c>
      <c r="E76" s="602" t="s">
        <v>1230</v>
      </c>
      <c r="F76" s="425">
        <f>+[1]HALIMA!$N$36</f>
        <v>67311003</v>
      </c>
      <c r="G76" s="604" t="s">
        <v>1231</v>
      </c>
      <c r="H76" s="425">
        <f>+[1]HALIMA!$L$36</f>
        <v>5325429</v>
      </c>
      <c r="I76" s="425">
        <f>+[1]HALIMA!$O$36</f>
        <v>79363</v>
      </c>
      <c r="J76" s="603">
        <v>42759</v>
      </c>
      <c r="K76" s="425" t="str">
        <f>+[1]HALIMA!$I$36</f>
        <v>MD MATERIEL INFORMATIQUE, MD DE FOURNITURE DE BUREAU, MD IMPORT EXPORT, NEGOCIANT</v>
      </c>
      <c r="L76" s="429" t="s">
        <v>602</v>
      </c>
    </row>
    <row r="77" spans="1:12" hidden="1" x14ac:dyDescent="0.25">
      <c r="A77" s="589">
        <v>318</v>
      </c>
      <c r="B77" s="591" t="s">
        <v>570</v>
      </c>
      <c r="C77" s="424" t="s">
        <v>495</v>
      </c>
      <c r="D77" s="425" t="str">
        <f>+[1]HALIMA!$J$37</f>
        <v>645 HAY AL MASSIRA 3 C MARRAKECH</v>
      </c>
      <c r="E77" s="602" t="s">
        <v>1232</v>
      </c>
      <c r="F77" s="425">
        <f>+[1]HALIMA!$N$37</f>
        <v>92100059</v>
      </c>
      <c r="G77" s="604" t="s">
        <v>1233</v>
      </c>
      <c r="H77" s="425">
        <f>+[1]HALIMA!$L$37</f>
        <v>5502217</v>
      </c>
      <c r="I77" s="425">
        <f>+[1]HALIMA!$O$37</f>
        <v>81799</v>
      </c>
      <c r="J77" s="603">
        <v>42873</v>
      </c>
      <c r="K77" s="425"/>
      <c r="L77" s="429" t="s">
        <v>531</v>
      </c>
    </row>
    <row r="78" spans="1:12" hidden="1" x14ac:dyDescent="0.25">
      <c r="A78" s="589">
        <v>263</v>
      </c>
      <c r="B78" s="591" t="s">
        <v>571</v>
      </c>
      <c r="C78" s="424" t="s">
        <v>618</v>
      </c>
      <c r="D78" s="425"/>
      <c r="E78" s="602"/>
      <c r="F78" s="425"/>
      <c r="G78" s="604"/>
      <c r="H78" s="425"/>
      <c r="I78" s="425"/>
      <c r="J78" s="603"/>
      <c r="K78" s="425"/>
      <c r="L78" s="429" t="s">
        <v>564</v>
      </c>
    </row>
    <row r="79" spans="1:12" ht="25.5" hidden="1" x14ac:dyDescent="0.25">
      <c r="A79" s="589">
        <v>347</v>
      </c>
      <c r="B79" s="591" t="s">
        <v>572</v>
      </c>
      <c r="C79" s="424" t="s">
        <v>495</v>
      </c>
      <c r="D79" s="425" t="str">
        <f>+[1]HALIMA!$J$38</f>
        <v>N 1970 ASKEJOUR LOT MAATALLAH MARRAKECH</v>
      </c>
      <c r="E79" s="602" t="s">
        <v>1234</v>
      </c>
      <c r="F79" s="425">
        <f>+[1]HALIMA!$N$38</f>
        <v>64600299</v>
      </c>
      <c r="G79" s="604" t="s">
        <v>1235</v>
      </c>
      <c r="H79" s="425">
        <f>+[1]HALIMA!$L$38</f>
        <v>8998017</v>
      </c>
      <c r="I79" s="425">
        <f>+[1]HALIMA!$O$38</f>
        <v>50041</v>
      </c>
      <c r="J79" s="603">
        <v>40932</v>
      </c>
      <c r="K79" s="425" t="str">
        <f>+[1]HALIMA!$I$38</f>
        <v>AUTOMOBILES,  LOUEUR DE VÉHICULES.</v>
      </c>
      <c r="L79" s="429" t="s">
        <v>564</v>
      </c>
    </row>
    <row r="80" spans="1:12" ht="25.5" x14ac:dyDescent="0.25">
      <c r="A80" s="589">
        <v>192</v>
      </c>
      <c r="B80" s="591" t="s">
        <v>259</v>
      </c>
      <c r="C80" s="424" t="s">
        <v>495</v>
      </c>
      <c r="D80" s="425" t="str">
        <f>+[1]HALIMA!$J$39</f>
        <v>N G 11 IMM HELIET RUE MED EL BAQAL GUELIZ MARRAKECH</v>
      </c>
      <c r="E80" s="602" t="s">
        <v>1236</v>
      </c>
      <c r="F80" s="425">
        <f>+[1]HALIMA!$N$39</f>
        <v>45122362</v>
      </c>
      <c r="G80" s="604" t="s">
        <v>1237</v>
      </c>
      <c r="H80" s="425">
        <f>+[1]HALIMA!$L$39</f>
        <v>4007804</v>
      </c>
      <c r="I80" s="425">
        <f>+[1]HALIMA!$O$39</f>
        <v>62537</v>
      </c>
      <c r="J80" s="603">
        <v>41772</v>
      </c>
      <c r="K80" s="425" t="str">
        <f>+[1]HALIMA!$I$39</f>
        <v>AUTOMOBILES,  LOUEUR DE VÉHICULES.</v>
      </c>
      <c r="L80" s="429" t="s">
        <v>586</v>
      </c>
    </row>
    <row r="81" spans="1:12" ht="89.25" hidden="1" x14ac:dyDescent="0.25">
      <c r="A81" s="589">
        <v>37</v>
      </c>
      <c r="B81" s="591" t="s">
        <v>31</v>
      </c>
      <c r="C81" s="424" t="s">
        <v>495</v>
      </c>
      <c r="D81" s="425" t="str">
        <f>+[1]HALIMA!$J$43</f>
        <v>APPT N°150 1ER ETAGE RUE MAGHREB ARAB OUAD DAHAB OUARZAZATE (M)</v>
      </c>
      <c r="E81" s="602" t="s">
        <v>1238</v>
      </c>
      <c r="F81" s="425">
        <f>+[1]HALIMA!$N$43</f>
        <v>47127648</v>
      </c>
      <c r="G81" s="604" t="s">
        <v>1239</v>
      </c>
      <c r="H81" s="425"/>
      <c r="I81" s="425">
        <f>+[1]HALIMA!$O$43</f>
        <v>2047</v>
      </c>
      <c r="J81" s="603">
        <v>38778</v>
      </c>
      <c r="K81" s="425" t="str">
        <f>+[1]HALIMA!$I$43</f>
        <v>TRAVAUX  DIVERS OU CONSTRUCTIONS, TRANSPORT DE MARCHANDISES POUR AUTRUI, LOUEUR DE MATERIEL INDUSTRIEL OU MACHINES</v>
      </c>
      <c r="L81" s="429" t="s">
        <v>531</v>
      </c>
    </row>
    <row r="82" spans="1:12" ht="89.25" hidden="1" x14ac:dyDescent="0.25">
      <c r="A82" s="589">
        <v>321</v>
      </c>
      <c r="B82" s="591" t="s">
        <v>573</v>
      </c>
      <c r="C82" s="424" t="s">
        <v>495</v>
      </c>
      <c r="D82" s="425" t="str">
        <f>+[1]HALIMA!$J$40</f>
        <v>GARAGE 1 DOUAR AIT SOUKA IMLIL ASNI MARRAKECH</v>
      </c>
      <c r="E82" s="602" t="s">
        <v>1240</v>
      </c>
      <c r="F82" s="425">
        <f>+[1]HALIMA!$N$40</f>
        <v>46419055</v>
      </c>
      <c r="G82" s="604" t="s">
        <v>1241</v>
      </c>
      <c r="H82" s="425">
        <f>+[1]HALIMA!$L$40</f>
        <v>5572707</v>
      </c>
      <c r="I82" s="425">
        <f>+[1]HALIMA!$O$40</f>
        <v>83343</v>
      </c>
      <c r="J82" s="603">
        <v>42943</v>
      </c>
      <c r="K82" s="425" t="str">
        <f>+[1]HALIMA!$I$40</f>
        <v>GESTION  D EXPLOITATIONS COMMERCIALES OU INDUSTRIELLES OU AGRICOLE DE SERVICE CIVIL OU MILITAIRE (ENTREPRENEUR DE LA).</v>
      </c>
      <c r="L82" s="429" t="s">
        <v>1246</v>
      </c>
    </row>
    <row r="83" spans="1:12" ht="25.5" hidden="1" x14ac:dyDescent="0.25">
      <c r="A83" s="589">
        <v>320</v>
      </c>
      <c r="B83" s="591" t="s">
        <v>574</v>
      </c>
      <c r="C83" s="424" t="s">
        <v>495</v>
      </c>
      <c r="D83" s="425" t="str">
        <f>+[1]HALIMA!$J$41</f>
        <v>DOUAR AIT SOUKA IMLIL ASNI MARRAKECH</v>
      </c>
      <c r="E83" s="602" t="s">
        <v>1242</v>
      </c>
      <c r="F83" s="425">
        <f>+[1]HALIMA!$N$41</f>
        <v>46419057</v>
      </c>
      <c r="G83" s="604" t="s">
        <v>855</v>
      </c>
      <c r="H83" s="425">
        <f>+[1]HALIMA!$L$41</f>
        <v>5619484</v>
      </c>
      <c r="I83" s="425">
        <f>+[1]HALIMA!$O$41</f>
        <v>83397</v>
      </c>
      <c r="J83" s="603">
        <v>42943</v>
      </c>
      <c r="K83" s="425" t="str">
        <f>+[1]HALIMA!$I$41</f>
        <v xml:space="preserve">MAISON D'HÔTES OU RIAD </v>
      </c>
      <c r="L83" s="429" t="s">
        <v>1246</v>
      </c>
    </row>
    <row r="84" spans="1:12" ht="25.5" hidden="1" x14ac:dyDescent="0.25">
      <c r="A84" s="589">
        <v>384</v>
      </c>
      <c r="B84" s="591" t="s">
        <v>575</v>
      </c>
      <c r="C84" s="424" t="s">
        <v>495</v>
      </c>
      <c r="D84" s="425" t="str">
        <f>+[1]HALIMA!$J$42</f>
        <v>AV ABDELKERIM EL KHATTABI RES JAWAD IMM 109 3 ETAGE APT 43 MARRAKECH</v>
      </c>
      <c r="E84" s="602" t="s">
        <v>1243</v>
      </c>
      <c r="F84" s="425">
        <f>+[1]HALIMA!$N$42</f>
        <v>64200136</v>
      </c>
      <c r="G84" s="604" t="s">
        <v>1244</v>
      </c>
      <c r="H84" s="425">
        <f>+[1]HALIMA!$L$42</f>
        <v>1504135</v>
      </c>
      <c r="I84" s="425">
        <f>+[1]HALIMA!$O$42</f>
        <v>96495</v>
      </c>
      <c r="J84" s="603">
        <v>43580</v>
      </c>
      <c r="K84" s="425" t="str">
        <f>+[1]HALIMA!$I$42</f>
        <v>CAFE - RESTAURANT</v>
      </c>
      <c r="L84" s="429" t="s">
        <v>576</v>
      </c>
    </row>
    <row r="85" spans="1:12" ht="38.25" x14ac:dyDescent="0.25">
      <c r="A85" s="589">
        <v>181</v>
      </c>
      <c r="B85" s="591" t="s">
        <v>7</v>
      </c>
      <c r="C85" s="424" t="s">
        <v>495</v>
      </c>
      <c r="D85" s="425" t="s">
        <v>8</v>
      </c>
      <c r="E85" s="602" t="s">
        <v>9</v>
      </c>
      <c r="F85" s="425">
        <v>92110216</v>
      </c>
      <c r="G85" s="604" t="s">
        <v>10</v>
      </c>
      <c r="H85" s="425">
        <v>9822926</v>
      </c>
      <c r="I85" s="425">
        <v>60121</v>
      </c>
      <c r="J85" s="603">
        <v>41619</v>
      </c>
      <c r="K85" s="425" t="s">
        <v>11</v>
      </c>
      <c r="L85" s="429" t="s">
        <v>501</v>
      </c>
    </row>
    <row r="86" spans="1:12" ht="25.5" x14ac:dyDescent="0.25">
      <c r="A86" s="589">
        <v>35</v>
      </c>
      <c r="B86" s="591" t="s">
        <v>690</v>
      </c>
      <c r="C86" s="424" t="s">
        <v>495</v>
      </c>
      <c r="D86" s="425" t="s">
        <v>912</v>
      </c>
      <c r="E86" s="602">
        <v>6509998</v>
      </c>
      <c r="F86" s="425">
        <v>46419010</v>
      </c>
      <c r="G86" s="604" t="s">
        <v>913</v>
      </c>
      <c r="H86" s="425">
        <v>7057624</v>
      </c>
      <c r="I86" s="425">
        <v>20887</v>
      </c>
      <c r="J86" s="603">
        <v>38590</v>
      </c>
      <c r="K86" s="425" t="s">
        <v>914</v>
      </c>
      <c r="L86" s="429" t="s">
        <v>501</v>
      </c>
    </row>
    <row r="87" spans="1:12" ht="25.5" x14ac:dyDescent="0.25">
      <c r="A87" s="589">
        <v>189</v>
      </c>
      <c r="B87" s="591" t="s">
        <v>77</v>
      </c>
      <c r="C87" s="424" t="s">
        <v>495</v>
      </c>
      <c r="D87" s="425" t="s">
        <v>78</v>
      </c>
      <c r="E87" s="602">
        <v>6529794</v>
      </c>
      <c r="F87" s="425">
        <v>45601246</v>
      </c>
      <c r="G87" s="604" t="s">
        <v>79</v>
      </c>
      <c r="H87" s="425">
        <v>9931561</v>
      </c>
      <c r="I87" s="425">
        <v>62441</v>
      </c>
      <c r="J87" s="603">
        <v>41751</v>
      </c>
      <c r="K87" s="425" t="s">
        <v>80</v>
      </c>
      <c r="L87" s="429" t="s">
        <v>501</v>
      </c>
    </row>
    <row r="88" spans="1:12" ht="76.5" hidden="1" x14ac:dyDescent="0.25">
      <c r="A88" s="589">
        <v>247</v>
      </c>
      <c r="B88" s="591" t="s">
        <v>139</v>
      </c>
      <c r="C88" s="424" t="s">
        <v>495</v>
      </c>
      <c r="D88" s="425" t="s">
        <v>140</v>
      </c>
      <c r="E88" s="602" t="s">
        <v>141</v>
      </c>
      <c r="F88" s="425">
        <v>67194193</v>
      </c>
      <c r="G88" s="604" t="s">
        <v>142</v>
      </c>
      <c r="H88" s="425">
        <v>4348084</v>
      </c>
      <c r="I88" s="425">
        <v>66913</v>
      </c>
      <c r="J88" s="603">
        <v>42051</v>
      </c>
      <c r="K88" s="425" t="s">
        <v>143</v>
      </c>
      <c r="L88" s="429" t="s">
        <v>1246</v>
      </c>
    </row>
    <row r="89" spans="1:12" ht="25.5" x14ac:dyDescent="0.25">
      <c r="A89" s="589">
        <v>160</v>
      </c>
      <c r="B89" s="591" t="s">
        <v>174</v>
      </c>
      <c r="C89" s="424" t="s">
        <v>495</v>
      </c>
      <c r="D89" s="425" t="s">
        <v>175</v>
      </c>
      <c r="E89" s="602" t="s">
        <v>915</v>
      </c>
      <c r="F89" s="425">
        <v>64690863</v>
      </c>
      <c r="G89" s="604" t="s">
        <v>176</v>
      </c>
      <c r="H89" s="425">
        <v>9391666</v>
      </c>
      <c r="I89" s="425">
        <v>55969</v>
      </c>
      <c r="J89" s="603">
        <v>41339</v>
      </c>
      <c r="K89" s="425" t="s">
        <v>177</v>
      </c>
      <c r="L89" s="429" t="s">
        <v>501</v>
      </c>
    </row>
    <row r="90" spans="1:12" ht="38.25" x14ac:dyDescent="0.25">
      <c r="A90" s="589">
        <v>99</v>
      </c>
      <c r="B90" s="591" t="s">
        <v>691</v>
      </c>
      <c r="C90" s="424" t="s">
        <v>495</v>
      </c>
      <c r="D90" s="425" t="s">
        <v>916</v>
      </c>
      <c r="E90" s="602" t="s">
        <v>917</v>
      </c>
      <c r="F90" s="425">
        <v>47500587</v>
      </c>
      <c r="G90" s="604" t="s">
        <v>918</v>
      </c>
      <c r="H90" s="425">
        <v>8276702</v>
      </c>
      <c r="I90" s="425">
        <v>40561</v>
      </c>
      <c r="J90" s="603">
        <v>40186</v>
      </c>
      <c r="K90" s="425" t="s">
        <v>919</v>
      </c>
      <c r="L90" s="429" t="s">
        <v>501</v>
      </c>
    </row>
    <row r="91" spans="1:12" ht="25.5" x14ac:dyDescent="0.25">
      <c r="A91" s="589">
        <v>210</v>
      </c>
      <c r="B91" s="591" t="s">
        <v>247</v>
      </c>
      <c r="C91" s="424" t="s">
        <v>495</v>
      </c>
      <c r="D91" s="425" t="s">
        <v>1247</v>
      </c>
      <c r="E91" s="602" t="s">
        <v>248</v>
      </c>
      <c r="F91" s="425">
        <v>47150138</v>
      </c>
      <c r="G91" s="604" t="s">
        <v>249</v>
      </c>
      <c r="H91" s="425">
        <v>4366987</v>
      </c>
      <c r="I91" s="425">
        <v>67369</v>
      </c>
      <c r="J91" s="603">
        <v>42065</v>
      </c>
      <c r="K91" s="425" t="s">
        <v>250</v>
      </c>
      <c r="L91" s="429" t="s">
        <v>501</v>
      </c>
    </row>
    <row r="92" spans="1:12" ht="63.75" x14ac:dyDescent="0.25">
      <c r="A92" s="589">
        <v>207</v>
      </c>
      <c r="B92" s="591" t="s">
        <v>692</v>
      </c>
      <c r="C92" s="424" t="s">
        <v>495</v>
      </c>
      <c r="D92" s="425" t="s">
        <v>255</v>
      </c>
      <c r="E92" s="602" t="s">
        <v>256</v>
      </c>
      <c r="F92" s="425">
        <v>47514221</v>
      </c>
      <c r="G92" s="604" t="s">
        <v>257</v>
      </c>
      <c r="H92" s="425">
        <v>4364139</v>
      </c>
      <c r="I92" s="425">
        <v>67335</v>
      </c>
      <c r="J92" s="603">
        <v>42027</v>
      </c>
      <c r="K92" s="425" t="s">
        <v>258</v>
      </c>
      <c r="L92" s="429" t="s">
        <v>501</v>
      </c>
    </row>
    <row r="93" spans="1:12" ht="25.5" x14ac:dyDescent="0.25">
      <c r="A93" s="589">
        <v>6</v>
      </c>
      <c r="B93" s="591" t="s">
        <v>243</v>
      </c>
      <c r="C93" s="424" t="s">
        <v>495</v>
      </c>
      <c r="D93" s="425" t="s">
        <v>244</v>
      </c>
      <c r="E93" s="602" t="s">
        <v>920</v>
      </c>
      <c r="F93" s="425">
        <v>45107177</v>
      </c>
      <c r="G93" s="604" t="s">
        <v>245</v>
      </c>
      <c r="H93" s="425">
        <v>2632083</v>
      </c>
      <c r="I93" s="425">
        <v>9657</v>
      </c>
      <c r="J93" s="603">
        <v>35234</v>
      </c>
      <c r="K93" s="425" t="s">
        <v>246</v>
      </c>
      <c r="L93" s="429" t="s">
        <v>501</v>
      </c>
    </row>
    <row r="94" spans="1:12" ht="25.5" x14ac:dyDescent="0.25">
      <c r="A94" s="589">
        <v>224</v>
      </c>
      <c r="B94" s="591" t="s">
        <v>260</v>
      </c>
      <c r="C94" s="424" t="s">
        <v>495</v>
      </c>
      <c r="D94" s="425" t="s">
        <v>261</v>
      </c>
      <c r="E94" s="602">
        <v>15257355</v>
      </c>
      <c r="F94" s="425">
        <v>45365810</v>
      </c>
      <c r="G94" s="604" t="s">
        <v>262</v>
      </c>
      <c r="H94" s="425">
        <v>4463329</v>
      </c>
      <c r="I94" s="425">
        <v>68665</v>
      </c>
      <c r="J94" s="603">
        <v>42066</v>
      </c>
      <c r="K94" s="425" t="s">
        <v>263</v>
      </c>
      <c r="L94" s="429" t="s">
        <v>501</v>
      </c>
    </row>
    <row r="95" spans="1:12" ht="25.5" hidden="1" x14ac:dyDescent="0.25">
      <c r="A95" s="589">
        <v>248</v>
      </c>
      <c r="B95" s="591" t="s">
        <v>274</v>
      </c>
      <c r="C95" s="424" t="s">
        <v>618</v>
      </c>
      <c r="D95" s="425" t="s">
        <v>275</v>
      </c>
      <c r="E95" s="602" t="s">
        <v>276</v>
      </c>
      <c r="F95" s="425">
        <v>64482185</v>
      </c>
      <c r="G95" s="604" t="s">
        <v>277</v>
      </c>
      <c r="H95" s="425">
        <v>4689529</v>
      </c>
      <c r="I95" s="425">
        <v>120714</v>
      </c>
      <c r="J95" s="603">
        <v>41640</v>
      </c>
      <c r="K95" s="425" t="s">
        <v>278</v>
      </c>
      <c r="L95" s="429" t="s">
        <v>1246</v>
      </c>
    </row>
    <row r="96" spans="1:12" ht="25.5" x14ac:dyDescent="0.25">
      <c r="A96" s="589">
        <v>55</v>
      </c>
      <c r="B96" s="591" t="s">
        <v>693</v>
      </c>
      <c r="C96" s="424" t="s">
        <v>495</v>
      </c>
      <c r="D96" s="425" t="s">
        <v>921</v>
      </c>
      <c r="E96" s="602" t="s">
        <v>922</v>
      </c>
      <c r="F96" s="425">
        <v>46295621</v>
      </c>
      <c r="G96" s="604" t="s">
        <v>923</v>
      </c>
      <c r="H96" s="425">
        <v>7480263</v>
      </c>
      <c r="I96" s="425">
        <v>28183</v>
      </c>
      <c r="J96" s="603">
        <v>39233</v>
      </c>
      <c r="K96" s="425" t="s">
        <v>924</v>
      </c>
      <c r="L96" s="429" t="s">
        <v>501</v>
      </c>
    </row>
    <row r="97" spans="1:12" ht="25.5" x14ac:dyDescent="0.25">
      <c r="A97" s="589">
        <v>234</v>
      </c>
      <c r="B97" s="591" t="s">
        <v>328</v>
      </c>
      <c r="C97" s="424" t="s">
        <v>618</v>
      </c>
      <c r="D97" s="425" t="s">
        <v>329</v>
      </c>
      <c r="E97" s="602" t="s">
        <v>330</v>
      </c>
      <c r="F97" s="425">
        <v>67394916</v>
      </c>
      <c r="G97" s="604" t="s">
        <v>331</v>
      </c>
      <c r="H97" s="425">
        <v>4642577</v>
      </c>
      <c r="I97" s="425">
        <v>120414</v>
      </c>
      <c r="J97" s="603">
        <v>42313</v>
      </c>
      <c r="K97" s="425" t="s">
        <v>332</v>
      </c>
      <c r="L97" s="429" t="s">
        <v>501</v>
      </c>
    </row>
    <row r="98" spans="1:12" ht="25.5" hidden="1" x14ac:dyDescent="0.25">
      <c r="A98" s="589"/>
      <c r="B98" s="591" t="s">
        <v>340</v>
      </c>
      <c r="C98" s="424" t="s">
        <v>495</v>
      </c>
      <c r="D98" s="425" t="s">
        <v>341</v>
      </c>
      <c r="E98" s="602" t="s">
        <v>342</v>
      </c>
      <c r="F98" s="425">
        <v>53088427</v>
      </c>
      <c r="G98" s="604" t="s">
        <v>343</v>
      </c>
      <c r="H98" s="425">
        <v>9695597</v>
      </c>
      <c r="I98" s="425">
        <v>59169</v>
      </c>
      <c r="J98" s="603">
        <v>41523</v>
      </c>
      <c r="K98" s="425" t="s">
        <v>344</v>
      </c>
      <c r="L98" s="429" t="s">
        <v>1246</v>
      </c>
    </row>
    <row r="99" spans="1:12" ht="102" x14ac:dyDescent="0.25">
      <c r="A99" s="589">
        <v>107</v>
      </c>
      <c r="B99" s="591" t="s">
        <v>694</v>
      </c>
      <c r="C99" s="424" t="s">
        <v>495</v>
      </c>
      <c r="D99" s="425" t="s">
        <v>925</v>
      </c>
      <c r="E99" s="602" t="s">
        <v>926</v>
      </c>
      <c r="F99" s="425">
        <v>47514135</v>
      </c>
      <c r="G99" s="604" t="s">
        <v>927</v>
      </c>
      <c r="H99" s="425">
        <v>8460595</v>
      </c>
      <c r="I99" s="425">
        <v>43031</v>
      </c>
      <c r="J99" s="603">
        <v>40305</v>
      </c>
      <c r="K99" s="425" t="s">
        <v>928</v>
      </c>
      <c r="L99" s="429" t="s">
        <v>501</v>
      </c>
    </row>
    <row r="100" spans="1:12" ht="25.5" x14ac:dyDescent="0.25">
      <c r="A100" s="589">
        <v>208</v>
      </c>
      <c r="B100" s="591" t="s">
        <v>437</v>
      </c>
      <c r="C100" s="424" t="s">
        <v>495</v>
      </c>
      <c r="D100" s="425" t="s">
        <v>438</v>
      </c>
      <c r="E100" s="602">
        <v>15232398</v>
      </c>
      <c r="F100" s="425">
        <v>47953216</v>
      </c>
      <c r="G100" s="604" t="s">
        <v>439</v>
      </c>
      <c r="H100" s="425">
        <v>4312469</v>
      </c>
      <c r="I100" s="425">
        <v>66841</v>
      </c>
      <c r="J100" s="603">
        <v>42031</v>
      </c>
      <c r="K100" s="425" t="s">
        <v>440</v>
      </c>
      <c r="L100" s="429" t="s">
        <v>501</v>
      </c>
    </row>
    <row r="101" spans="1:12" ht="38.25" x14ac:dyDescent="0.25">
      <c r="A101" s="589">
        <v>175</v>
      </c>
      <c r="B101" s="591" t="s">
        <v>450</v>
      </c>
      <c r="C101" s="424" t="s">
        <v>495</v>
      </c>
      <c r="D101" s="425" t="s">
        <v>451</v>
      </c>
      <c r="E101" s="602" t="s">
        <v>929</v>
      </c>
      <c r="F101" s="425">
        <v>67395807</v>
      </c>
      <c r="G101" s="604" t="s">
        <v>452</v>
      </c>
      <c r="H101" s="425">
        <v>9771777</v>
      </c>
      <c r="I101" s="425">
        <v>59403</v>
      </c>
      <c r="J101" s="603">
        <v>41578</v>
      </c>
      <c r="K101" s="425" t="s">
        <v>453</v>
      </c>
      <c r="L101" s="429" t="s">
        <v>501</v>
      </c>
    </row>
    <row r="102" spans="1:12" x14ac:dyDescent="0.25">
      <c r="A102" s="589"/>
      <c r="B102" s="591" t="s">
        <v>695</v>
      </c>
      <c r="C102" s="424"/>
      <c r="D102" s="425" t="s">
        <v>930</v>
      </c>
      <c r="E102" s="602" t="s">
        <v>931</v>
      </c>
      <c r="F102" s="425">
        <v>53049064</v>
      </c>
      <c r="G102" s="604" t="s">
        <v>932</v>
      </c>
      <c r="H102" s="425">
        <v>9101106</v>
      </c>
      <c r="I102" s="425">
        <v>51449</v>
      </c>
      <c r="J102" s="603">
        <v>41022</v>
      </c>
      <c r="K102" s="425" t="s">
        <v>933</v>
      </c>
      <c r="L102" s="429" t="s">
        <v>501</v>
      </c>
    </row>
    <row r="103" spans="1:12" ht="38.25" x14ac:dyDescent="0.25">
      <c r="A103" s="589">
        <v>94</v>
      </c>
      <c r="B103" s="591" t="s">
        <v>305</v>
      </c>
      <c r="C103" s="424" t="s">
        <v>495</v>
      </c>
      <c r="D103" s="425" t="s">
        <v>306</v>
      </c>
      <c r="E103" s="602" t="s">
        <v>934</v>
      </c>
      <c r="F103" s="425">
        <v>46419014</v>
      </c>
      <c r="G103" s="604" t="s">
        <v>307</v>
      </c>
      <c r="H103" s="425">
        <v>8276067</v>
      </c>
      <c r="I103" s="425">
        <v>40385</v>
      </c>
      <c r="J103" s="603">
        <v>40057</v>
      </c>
      <c r="K103" s="425" t="s">
        <v>308</v>
      </c>
      <c r="L103" s="429" t="s">
        <v>501</v>
      </c>
    </row>
    <row r="104" spans="1:12" ht="25.5" x14ac:dyDescent="0.25">
      <c r="A104" s="589">
        <v>14</v>
      </c>
      <c r="B104" s="591" t="s">
        <v>321</v>
      </c>
      <c r="C104" s="424" t="s">
        <v>495</v>
      </c>
      <c r="D104" s="425" t="s">
        <v>935</v>
      </c>
      <c r="E104" s="602" t="s">
        <v>936</v>
      </c>
      <c r="F104" s="425">
        <v>47991002</v>
      </c>
      <c r="G104" s="604" t="s">
        <v>322</v>
      </c>
      <c r="H104" s="425">
        <v>6460761</v>
      </c>
      <c r="I104" s="425">
        <v>12741</v>
      </c>
      <c r="J104" s="603">
        <v>36924</v>
      </c>
      <c r="K104" s="425" t="s">
        <v>323</v>
      </c>
      <c r="L104" s="429" t="s">
        <v>501</v>
      </c>
    </row>
    <row r="105" spans="1:12" ht="25.5" hidden="1" x14ac:dyDescent="0.25">
      <c r="A105" s="589">
        <v>282</v>
      </c>
      <c r="B105" s="591" t="s">
        <v>123</v>
      </c>
      <c r="C105" s="424" t="s">
        <v>495</v>
      </c>
      <c r="D105" s="425" t="s">
        <v>124</v>
      </c>
      <c r="E105" s="602" t="s">
        <v>125</v>
      </c>
      <c r="F105" s="425">
        <v>92158106</v>
      </c>
      <c r="G105" s="604" t="s">
        <v>126</v>
      </c>
      <c r="H105" s="425">
        <v>4889252</v>
      </c>
      <c r="I105" s="425">
        <v>74537</v>
      </c>
      <c r="J105" s="603">
        <v>42489</v>
      </c>
      <c r="K105" s="425" t="s">
        <v>127</v>
      </c>
      <c r="L105" s="429" t="s">
        <v>1246</v>
      </c>
    </row>
    <row r="106" spans="1:12" ht="38.25" x14ac:dyDescent="0.25">
      <c r="A106" s="589">
        <v>292</v>
      </c>
      <c r="B106" s="591" t="s">
        <v>24</v>
      </c>
      <c r="C106" s="424" t="s">
        <v>495</v>
      </c>
      <c r="D106" s="425" t="s">
        <v>937</v>
      </c>
      <c r="E106" s="602" t="s">
        <v>25</v>
      </c>
      <c r="F106" s="425">
        <v>64600549</v>
      </c>
      <c r="G106" s="604" t="s">
        <v>26</v>
      </c>
      <c r="H106" s="425">
        <v>4755982</v>
      </c>
      <c r="I106" s="425">
        <v>93533</v>
      </c>
      <c r="J106" s="603">
        <v>42563</v>
      </c>
      <c r="K106" s="425" t="s">
        <v>27</v>
      </c>
      <c r="L106" s="429" t="s">
        <v>501</v>
      </c>
    </row>
    <row r="107" spans="1:12" ht="51" x14ac:dyDescent="0.25">
      <c r="A107" s="589">
        <v>293</v>
      </c>
      <c r="B107" s="591" t="s">
        <v>441</v>
      </c>
      <c r="C107" s="424" t="s">
        <v>495</v>
      </c>
      <c r="D107" s="425" t="s">
        <v>442</v>
      </c>
      <c r="E107" s="602" t="s">
        <v>443</v>
      </c>
      <c r="F107" s="425">
        <v>92125739</v>
      </c>
      <c r="G107" s="604" t="s">
        <v>444</v>
      </c>
      <c r="H107" s="425">
        <v>4972502</v>
      </c>
      <c r="I107" s="425">
        <v>75965</v>
      </c>
      <c r="J107" s="603">
        <v>42566</v>
      </c>
      <c r="K107" s="425" t="s">
        <v>445</v>
      </c>
      <c r="L107" s="429" t="s">
        <v>501</v>
      </c>
    </row>
    <row r="108" spans="1:12" ht="25.5" x14ac:dyDescent="0.25">
      <c r="A108" s="589">
        <v>307</v>
      </c>
      <c r="B108" s="591" t="s">
        <v>540</v>
      </c>
      <c r="C108" s="424" t="s">
        <v>495</v>
      </c>
      <c r="D108" s="425" t="s">
        <v>546</v>
      </c>
      <c r="E108" s="602" t="s">
        <v>547</v>
      </c>
      <c r="F108" s="425">
        <v>64400590</v>
      </c>
      <c r="G108" s="604" t="s">
        <v>548</v>
      </c>
      <c r="H108" s="425">
        <v>5386968</v>
      </c>
      <c r="I108" s="425">
        <v>80093</v>
      </c>
      <c r="J108" s="603">
        <v>42783</v>
      </c>
      <c r="K108" s="425" t="s">
        <v>549</v>
      </c>
      <c r="L108" s="429" t="s">
        <v>501</v>
      </c>
    </row>
    <row r="109" spans="1:12" ht="114.75" x14ac:dyDescent="0.25">
      <c r="A109" s="589">
        <v>326</v>
      </c>
      <c r="B109" s="591" t="s">
        <v>541</v>
      </c>
      <c r="C109" s="424" t="s">
        <v>495</v>
      </c>
      <c r="D109" s="425" t="s">
        <v>550</v>
      </c>
      <c r="E109" s="602" t="s">
        <v>551</v>
      </c>
      <c r="F109" s="425">
        <v>46889047</v>
      </c>
      <c r="G109" s="604" t="s">
        <v>552</v>
      </c>
      <c r="H109" s="425">
        <v>4940476</v>
      </c>
      <c r="I109" s="425">
        <v>75629</v>
      </c>
      <c r="J109" s="603">
        <v>42522</v>
      </c>
      <c r="K109" s="425" t="s">
        <v>553</v>
      </c>
      <c r="L109" s="429" t="s">
        <v>501</v>
      </c>
    </row>
    <row r="110" spans="1:12" ht="38.25" x14ac:dyDescent="0.25">
      <c r="A110" s="589">
        <v>342</v>
      </c>
      <c r="B110" s="591" t="s">
        <v>542</v>
      </c>
      <c r="C110" s="424" t="s">
        <v>495</v>
      </c>
      <c r="D110" s="425" t="s">
        <v>554</v>
      </c>
      <c r="E110" s="602" t="s">
        <v>555</v>
      </c>
      <c r="F110" s="425">
        <v>92110723</v>
      </c>
      <c r="G110" s="604" t="s">
        <v>556</v>
      </c>
      <c r="H110" s="425">
        <v>5640992</v>
      </c>
      <c r="I110" s="425">
        <v>83775</v>
      </c>
      <c r="J110" s="603">
        <v>42972</v>
      </c>
      <c r="K110" s="425" t="s">
        <v>27</v>
      </c>
      <c r="L110" s="429" t="s">
        <v>501</v>
      </c>
    </row>
    <row r="111" spans="1:12" ht="25.5" x14ac:dyDescent="0.25">
      <c r="A111" s="589">
        <v>201</v>
      </c>
      <c r="B111" s="591" t="s">
        <v>309</v>
      </c>
      <c r="C111" s="424" t="s">
        <v>495</v>
      </c>
      <c r="D111" s="425" t="s">
        <v>938</v>
      </c>
      <c r="E111" s="602" t="s">
        <v>939</v>
      </c>
      <c r="F111" s="425">
        <v>92134111</v>
      </c>
      <c r="G111" s="604" t="s">
        <v>310</v>
      </c>
      <c r="H111" s="425">
        <v>4240024</v>
      </c>
      <c r="I111" s="425">
        <v>65029</v>
      </c>
      <c r="J111" s="603">
        <v>41929</v>
      </c>
      <c r="K111" s="425" t="s">
        <v>940</v>
      </c>
      <c r="L111" s="429" t="s">
        <v>501</v>
      </c>
    </row>
    <row r="112" spans="1:12" ht="25.5" x14ac:dyDescent="0.25">
      <c r="A112" s="589">
        <v>379</v>
      </c>
      <c r="B112" s="591" t="s">
        <v>543</v>
      </c>
      <c r="C112" s="424" t="s">
        <v>495</v>
      </c>
      <c r="D112" s="425" t="s">
        <v>941</v>
      </c>
      <c r="E112" s="602" t="s">
        <v>942</v>
      </c>
      <c r="F112" s="425">
        <v>64600606</v>
      </c>
      <c r="G112" s="604" t="s">
        <v>943</v>
      </c>
      <c r="H112" s="425">
        <v>1395512</v>
      </c>
      <c r="I112" s="425">
        <v>94811</v>
      </c>
      <c r="J112" s="603">
        <v>43514</v>
      </c>
      <c r="K112" s="425" t="s">
        <v>944</v>
      </c>
      <c r="L112" s="429" t="s">
        <v>501</v>
      </c>
    </row>
    <row r="113" spans="1:12" ht="25.5" hidden="1" x14ac:dyDescent="0.25">
      <c r="A113" s="589">
        <v>83</v>
      </c>
      <c r="B113" s="591" t="s">
        <v>544</v>
      </c>
      <c r="C113" s="424" t="s">
        <v>495</v>
      </c>
      <c r="D113" s="425" t="s">
        <v>945</v>
      </c>
      <c r="E113" s="602" t="s">
        <v>946</v>
      </c>
      <c r="F113" s="425">
        <v>46200153</v>
      </c>
      <c r="G113" s="604" t="s">
        <v>947</v>
      </c>
      <c r="H113" s="425">
        <v>7929261</v>
      </c>
      <c r="I113" s="425">
        <v>35797</v>
      </c>
      <c r="J113" s="603">
        <v>39776</v>
      </c>
      <c r="K113" s="425" t="s">
        <v>549</v>
      </c>
      <c r="L113" s="429" t="s">
        <v>1246</v>
      </c>
    </row>
    <row r="114" spans="1:12" ht="25.5" x14ac:dyDescent="0.25">
      <c r="A114" s="589">
        <v>377</v>
      </c>
      <c r="B114" s="591" t="s">
        <v>545</v>
      </c>
      <c r="C114" s="424" t="s">
        <v>495</v>
      </c>
      <c r="D114" s="425" t="s">
        <v>948</v>
      </c>
      <c r="E114" s="602" t="s">
        <v>949</v>
      </c>
      <c r="F114" s="425">
        <v>45302561</v>
      </c>
      <c r="G114" s="604" t="s">
        <v>950</v>
      </c>
      <c r="H114" s="425">
        <v>1388935</v>
      </c>
      <c r="I114" s="425">
        <v>95127</v>
      </c>
      <c r="J114" s="603">
        <v>43528</v>
      </c>
      <c r="K114" s="425" t="s">
        <v>944</v>
      </c>
      <c r="L114" s="429" t="s">
        <v>501</v>
      </c>
    </row>
    <row r="115" spans="1:12" ht="63.75" hidden="1" x14ac:dyDescent="0.25">
      <c r="A115" s="589">
        <v>105</v>
      </c>
      <c r="B115" s="591" t="s">
        <v>234</v>
      </c>
      <c r="C115" s="424" t="s">
        <v>495</v>
      </c>
      <c r="D115" s="425" t="s">
        <v>951</v>
      </c>
      <c r="E115" s="602">
        <v>6524584</v>
      </c>
      <c r="F115" s="425">
        <v>67190573</v>
      </c>
      <c r="G115" s="604" t="s">
        <v>235</v>
      </c>
      <c r="H115" s="425">
        <v>8400848</v>
      </c>
      <c r="I115" s="425">
        <v>42349</v>
      </c>
      <c r="J115" s="603">
        <v>40301</v>
      </c>
      <c r="K115" s="425" t="s">
        <v>236</v>
      </c>
      <c r="L115" s="429" t="s">
        <v>531</v>
      </c>
    </row>
    <row r="116" spans="1:12" ht="89.25" hidden="1" x14ac:dyDescent="0.25">
      <c r="A116" s="589">
        <v>51</v>
      </c>
      <c r="B116" s="591" t="s">
        <v>696</v>
      </c>
      <c r="C116" s="424" t="s">
        <v>495</v>
      </c>
      <c r="D116" s="425" t="s">
        <v>952</v>
      </c>
      <c r="E116" s="602">
        <v>6521287</v>
      </c>
      <c r="F116" s="425">
        <v>64645147</v>
      </c>
      <c r="G116" s="604" t="s">
        <v>454</v>
      </c>
      <c r="H116" s="425">
        <v>7527403</v>
      </c>
      <c r="I116" s="425">
        <v>28297</v>
      </c>
      <c r="J116" s="603">
        <v>39146</v>
      </c>
      <c r="K116" s="425" t="s">
        <v>455</v>
      </c>
      <c r="L116" s="429" t="s">
        <v>531</v>
      </c>
    </row>
    <row r="117" spans="1:12" ht="25.5" hidden="1" x14ac:dyDescent="0.25">
      <c r="A117" s="589">
        <v>80</v>
      </c>
      <c r="B117" s="591" t="s">
        <v>395</v>
      </c>
      <c r="C117" s="424" t="s">
        <v>495</v>
      </c>
      <c r="D117" s="425" t="s">
        <v>396</v>
      </c>
      <c r="E117" s="602">
        <v>6523131</v>
      </c>
      <c r="F117" s="425">
        <v>47536800</v>
      </c>
      <c r="G117" s="604" t="s">
        <v>397</v>
      </c>
      <c r="H117" s="425">
        <v>7930060</v>
      </c>
      <c r="I117" s="425">
        <v>35779</v>
      </c>
      <c r="J117" s="603">
        <v>39743</v>
      </c>
      <c r="K117" s="425" t="s">
        <v>398</v>
      </c>
      <c r="L117" s="429" t="s">
        <v>531</v>
      </c>
    </row>
    <row r="118" spans="1:12" ht="25.5" hidden="1" x14ac:dyDescent="0.25">
      <c r="A118" s="589">
        <v>68</v>
      </c>
      <c r="B118" s="591" t="s">
        <v>697</v>
      </c>
      <c r="C118" s="424" t="s">
        <v>495</v>
      </c>
      <c r="D118" s="425" t="s">
        <v>953</v>
      </c>
      <c r="E118" s="602">
        <v>6522449</v>
      </c>
      <c r="F118" s="425">
        <v>64400571</v>
      </c>
      <c r="G118" s="604" t="s">
        <v>54</v>
      </c>
      <c r="H118" s="425">
        <v>7758363</v>
      </c>
      <c r="I118" s="425">
        <v>32761</v>
      </c>
      <c r="J118" s="603">
        <v>39524</v>
      </c>
      <c r="K118" s="425" t="s">
        <v>32</v>
      </c>
      <c r="L118" s="429" t="s">
        <v>531</v>
      </c>
    </row>
    <row r="119" spans="1:12" ht="102" hidden="1" x14ac:dyDescent="0.25">
      <c r="A119" s="589">
        <v>111</v>
      </c>
      <c r="B119" s="591" t="s">
        <v>698</v>
      </c>
      <c r="C119" s="424" t="s">
        <v>495</v>
      </c>
      <c r="D119" s="425" t="s">
        <v>97</v>
      </c>
      <c r="E119" s="602">
        <v>6525086</v>
      </c>
      <c r="F119" s="425">
        <v>67395684</v>
      </c>
      <c r="G119" s="604" t="s">
        <v>98</v>
      </c>
      <c r="H119" s="425">
        <v>8524648</v>
      </c>
      <c r="I119" s="425">
        <v>44897</v>
      </c>
      <c r="J119" s="603">
        <v>40521</v>
      </c>
      <c r="K119" s="425" t="s">
        <v>99</v>
      </c>
      <c r="L119" s="429" t="s">
        <v>531</v>
      </c>
    </row>
    <row r="120" spans="1:12" ht="38.25" hidden="1" x14ac:dyDescent="0.25">
      <c r="A120" s="589">
        <v>67</v>
      </c>
      <c r="B120" s="591" t="s">
        <v>699</v>
      </c>
      <c r="C120" s="424" t="s">
        <v>618</v>
      </c>
      <c r="D120" s="425" t="s">
        <v>37</v>
      </c>
      <c r="E120" s="602">
        <v>70746070</v>
      </c>
      <c r="F120" s="425">
        <v>67120450</v>
      </c>
      <c r="G120" s="604" t="s">
        <v>38</v>
      </c>
      <c r="H120" s="425" t="s">
        <v>954</v>
      </c>
      <c r="I120" s="425">
        <v>99400</v>
      </c>
      <c r="J120" s="603">
        <v>39504</v>
      </c>
      <c r="K120" s="425" t="s">
        <v>39</v>
      </c>
      <c r="L120" s="429" t="s">
        <v>531</v>
      </c>
    </row>
    <row r="121" spans="1:12" ht="38.25" hidden="1" x14ac:dyDescent="0.25">
      <c r="A121" s="589">
        <v>32</v>
      </c>
      <c r="B121" s="591" t="s">
        <v>700</v>
      </c>
      <c r="C121" s="424" t="s">
        <v>618</v>
      </c>
      <c r="D121" s="425" t="s">
        <v>418</v>
      </c>
      <c r="E121" s="602">
        <v>70733280</v>
      </c>
      <c r="F121" s="425">
        <v>67310615</v>
      </c>
      <c r="G121" s="604" t="s">
        <v>419</v>
      </c>
      <c r="H121" s="425" t="s">
        <v>954</v>
      </c>
      <c r="I121" s="425">
        <v>58198</v>
      </c>
      <c r="J121" s="603">
        <v>38512</v>
      </c>
      <c r="K121" s="425" t="s">
        <v>420</v>
      </c>
      <c r="L121" s="429" t="s">
        <v>531</v>
      </c>
    </row>
    <row r="122" spans="1:12" ht="25.5" hidden="1" x14ac:dyDescent="0.25">
      <c r="A122" s="589">
        <v>157</v>
      </c>
      <c r="B122" s="591" t="s">
        <v>701</v>
      </c>
      <c r="C122" s="424" t="s">
        <v>495</v>
      </c>
      <c r="D122" s="425" t="s">
        <v>381</v>
      </c>
      <c r="E122" s="602">
        <v>15192994</v>
      </c>
      <c r="F122" s="425">
        <v>47801876</v>
      </c>
      <c r="G122" s="604" t="s">
        <v>382</v>
      </c>
      <c r="H122" s="425">
        <v>6899275</v>
      </c>
      <c r="I122" s="425">
        <v>513</v>
      </c>
      <c r="J122" s="603">
        <v>41259</v>
      </c>
      <c r="K122" s="425" t="s">
        <v>383</v>
      </c>
      <c r="L122" s="429" t="s">
        <v>531</v>
      </c>
    </row>
    <row r="123" spans="1:12" ht="63.75" hidden="1" x14ac:dyDescent="0.25">
      <c r="A123" s="589">
        <v>76</v>
      </c>
      <c r="B123" s="591" t="s">
        <v>702</v>
      </c>
      <c r="C123" s="424"/>
      <c r="D123" s="425" t="s">
        <v>318</v>
      </c>
      <c r="E123" s="602">
        <v>6522996</v>
      </c>
      <c r="F123" s="425">
        <v>46295796</v>
      </c>
      <c r="G123" s="604" t="s">
        <v>319</v>
      </c>
      <c r="H123" s="425">
        <v>7873921</v>
      </c>
      <c r="I123" s="425">
        <v>35223</v>
      </c>
      <c r="J123" s="603">
        <v>39692</v>
      </c>
      <c r="K123" s="425" t="s">
        <v>320</v>
      </c>
      <c r="L123" s="429" t="s">
        <v>531</v>
      </c>
    </row>
    <row r="124" spans="1:12" ht="38.25" hidden="1" x14ac:dyDescent="0.25">
      <c r="A124" s="589">
        <v>15</v>
      </c>
      <c r="B124" s="591" t="s">
        <v>59</v>
      </c>
      <c r="C124" s="424"/>
      <c r="D124" s="425" t="s">
        <v>60</v>
      </c>
      <c r="E124" s="602">
        <v>6505097</v>
      </c>
      <c r="F124" s="425">
        <v>47916873</v>
      </c>
      <c r="G124" s="604" t="s">
        <v>61</v>
      </c>
      <c r="H124" s="425">
        <v>6435946</v>
      </c>
      <c r="I124" s="425">
        <v>14803</v>
      </c>
      <c r="J124" s="603">
        <v>37530</v>
      </c>
      <c r="K124" s="425" t="s">
        <v>62</v>
      </c>
      <c r="L124" s="429" t="s">
        <v>531</v>
      </c>
    </row>
    <row r="125" spans="1:12" ht="38.25" hidden="1" x14ac:dyDescent="0.25">
      <c r="A125" s="589">
        <v>163</v>
      </c>
      <c r="B125" s="591" t="s">
        <v>703</v>
      </c>
      <c r="C125" s="424"/>
      <c r="D125" s="425" t="s">
        <v>51</v>
      </c>
      <c r="E125" s="602">
        <v>6528075</v>
      </c>
      <c r="F125" s="425">
        <v>67190909</v>
      </c>
      <c r="G125" s="604" t="s">
        <v>52</v>
      </c>
      <c r="H125" s="425">
        <v>9576383</v>
      </c>
      <c r="I125" s="425">
        <v>57313</v>
      </c>
      <c r="J125" s="603">
        <v>41407</v>
      </c>
      <c r="K125" s="425" t="s">
        <v>53</v>
      </c>
      <c r="L125" s="429" t="s">
        <v>531</v>
      </c>
    </row>
    <row r="126" spans="1:12" ht="25.5" hidden="1" x14ac:dyDescent="0.25">
      <c r="A126" s="589">
        <v>58</v>
      </c>
      <c r="B126" s="591" t="s">
        <v>106</v>
      </c>
      <c r="C126" s="424"/>
      <c r="D126" s="425" t="s">
        <v>107</v>
      </c>
      <c r="E126" s="602">
        <v>6521643</v>
      </c>
      <c r="F126" s="425">
        <v>47958733</v>
      </c>
      <c r="G126" s="604" t="s">
        <v>108</v>
      </c>
      <c r="H126" s="425">
        <v>7583471</v>
      </c>
      <c r="I126" s="425">
        <v>29633</v>
      </c>
      <c r="J126" s="603">
        <v>39301</v>
      </c>
      <c r="K126" s="425" t="s">
        <v>109</v>
      </c>
      <c r="L126" s="429" t="s">
        <v>531</v>
      </c>
    </row>
    <row r="127" spans="1:12" ht="38.25" hidden="1" x14ac:dyDescent="0.25">
      <c r="A127" s="589">
        <v>108</v>
      </c>
      <c r="B127" s="591" t="s">
        <v>378</v>
      </c>
      <c r="C127" s="424"/>
      <c r="D127" s="425" t="s">
        <v>379</v>
      </c>
      <c r="E127" s="602">
        <v>6524728</v>
      </c>
      <c r="F127" s="425">
        <v>67395673</v>
      </c>
      <c r="G127" s="604" t="s">
        <v>380</v>
      </c>
      <c r="H127" s="425">
        <v>8463622</v>
      </c>
      <c r="I127" s="425">
        <v>43071</v>
      </c>
      <c r="J127" s="603">
        <v>40346</v>
      </c>
      <c r="K127" s="425" t="s">
        <v>115</v>
      </c>
      <c r="L127" s="429" t="s">
        <v>531</v>
      </c>
    </row>
    <row r="128" spans="1:12" ht="51" hidden="1" x14ac:dyDescent="0.25">
      <c r="A128" s="589">
        <v>18</v>
      </c>
      <c r="B128" s="591" t="s">
        <v>704</v>
      </c>
      <c r="C128" s="424"/>
      <c r="D128" s="425" t="s">
        <v>120</v>
      </c>
      <c r="E128" s="602">
        <v>6507709</v>
      </c>
      <c r="F128" s="425">
        <v>45327511</v>
      </c>
      <c r="G128" s="604" t="s">
        <v>121</v>
      </c>
      <c r="H128" s="425">
        <v>6595807</v>
      </c>
      <c r="I128" s="425">
        <v>16131</v>
      </c>
      <c r="J128" s="603">
        <v>37803</v>
      </c>
      <c r="K128" s="425" t="s">
        <v>122</v>
      </c>
      <c r="L128" s="429" t="s">
        <v>531</v>
      </c>
    </row>
    <row r="129" spans="1:12" hidden="1" x14ac:dyDescent="0.25">
      <c r="A129" s="589">
        <v>253</v>
      </c>
      <c r="B129" s="591" t="s">
        <v>705</v>
      </c>
      <c r="C129" s="424"/>
      <c r="D129" s="425" t="s">
        <v>955</v>
      </c>
      <c r="E129" s="602">
        <v>14443496</v>
      </c>
      <c r="F129" s="425">
        <v>54007050</v>
      </c>
      <c r="G129" s="604" t="s">
        <v>956</v>
      </c>
      <c r="H129" s="425">
        <v>9515935</v>
      </c>
      <c r="I129" s="425">
        <v>1919</v>
      </c>
      <c r="J129" s="603">
        <v>41275</v>
      </c>
      <c r="K129" s="425" t="s">
        <v>957</v>
      </c>
      <c r="L129" s="429" t="s">
        <v>531</v>
      </c>
    </row>
    <row r="130" spans="1:12" hidden="1" x14ac:dyDescent="0.25">
      <c r="A130" s="589">
        <v>30</v>
      </c>
      <c r="B130" s="591" t="s">
        <v>155</v>
      </c>
      <c r="C130" s="424" t="s">
        <v>618</v>
      </c>
      <c r="D130" s="425" t="s">
        <v>532</v>
      </c>
      <c r="E130" s="602" t="s">
        <v>156</v>
      </c>
      <c r="F130" s="425" t="s">
        <v>157</v>
      </c>
      <c r="G130" s="604" t="s">
        <v>158</v>
      </c>
      <c r="H130" s="425">
        <v>7332810</v>
      </c>
      <c r="I130" s="425" t="s">
        <v>68</v>
      </c>
      <c r="J130" s="603">
        <v>38412</v>
      </c>
      <c r="K130" s="425" t="s">
        <v>958</v>
      </c>
      <c r="L130" s="429" t="s">
        <v>531</v>
      </c>
    </row>
    <row r="131" spans="1:12" hidden="1" x14ac:dyDescent="0.25">
      <c r="A131" s="589">
        <v>271</v>
      </c>
      <c r="B131" s="591" t="s">
        <v>706</v>
      </c>
      <c r="C131" s="424" t="s">
        <v>618</v>
      </c>
      <c r="D131" s="425" t="s">
        <v>959</v>
      </c>
      <c r="E131" s="602">
        <v>72608325</v>
      </c>
      <c r="F131" s="425">
        <v>47645311</v>
      </c>
      <c r="G131" s="604" t="s">
        <v>960</v>
      </c>
      <c r="H131" s="425">
        <v>4756229</v>
      </c>
      <c r="I131" s="425">
        <v>21156</v>
      </c>
      <c r="J131" s="603">
        <v>40330</v>
      </c>
      <c r="K131" s="425" t="s">
        <v>961</v>
      </c>
      <c r="L131" s="429" t="s">
        <v>1246</v>
      </c>
    </row>
    <row r="132" spans="1:12" ht="25.5" hidden="1" x14ac:dyDescent="0.25">
      <c r="A132" s="589">
        <v>350</v>
      </c>
      <c r="B132" s="591" t="s">
        <v>707</v>
      </c>
      <c r="C132" s="424"/>
      <c r="D132" s="425" t="s">
        <v>962</v>
      </c>
      <c r="E132" s="602">
        <v>25106760</v>
      </c>
      <c r="F132" s="425">
        <v>46400008</v>
      </c>
      <c r="G132" s="604" t="s">
        <v>963</v>
      </c>
      <c r="H132" s="425">
        <v>5855682</v>
      </c>
      <c r="I132" s="425">
        <v>87389</v>
      </c>
      <c r="J132" s="603">
        <v>43157</v>
      </c>
      <c r="K132" s="425" t="s">
        <v>964</v>
      </c>
      <c r="L132" s="429" t="s">
        <v>531</v>
      </c>
    </row>
    <row r="133" spans="1:12" ht="38.25" hidden="1" x14ac:dyDescent="0.25">
      <c r="A133" s="589">
        <v>355</v>
      </c>
      <c r="B133" s="591" t="s">
        <v>708</v>
      </c>
      <c r="C133" s="424"/>
      <c r="D133" s="425" t="s">
        <v>965</v>
      </c>
      <c r="E133" s="602">
        <v>26085666</v>
      </c>
      <c r="F133" s="425">
        <v>64600380</v>
      </c>
      <c r="G133" s="604" t="s">
        <v>966</v>
      </c>
      <c r="H133" s="425" t="s">
        <v>163</v>
      </c>
      <c r="I133" s="425">
        <v>90351</v>
      </c>
      <c r="J133" s="603">
        <v>43282</v>
      </c>
      <c r="K133" s="425" t="s">
        <v>967</v>
      </c>
      <c r="L133" s="429" t="s">
        <v>531</v>
      </c>
    </row>
    <row r="134" spans="1:12" ht="38.25" hidden="1" x14ac:dyDescent="0.25">
      <c r="A134" s="589">
        <v>380</v>
      </c>
      <c r="B134" s="591" t="s">
        <v>709</v>
      </c>
      <c r="C134" s="424"/>
      <c r="D134" s="425" t="s">
        <v>968</v>
      </c>
      <c r="E134" s="602">
        <v>33675829</v>
      </c>
      <c r="F134" s="425">
        <v>45102483</v>
      </c>
      <c r="G134" s="604" t="s">
        <v>969</v>
      </c>
      <c r="H134" s="425">
        <v>1439542</v>
      </c>
      <c r="I134" s="425">
        <v>95507</v>
      </c>
      <c r="J134" s="603">
        <v>43487</v>
      </c>
      <c r="K134" s="425" t="s">
        <v>970</v>
      </c>
      <c r="L134" s="429" t="s">
        <v>531</v>
      </c>
    </row>
    <row r="135" spans="1:12" ht="25.5" hidden="1" x14ac:dyDescent="0.25">
      <c r="A135" s="589">
        <v>298</v>
      </c>
      <c r="B135" s="591" t="s">
        <v>710</v>
      </c>
      <c r="C135" s="424"/>
      <c r="D135" s="425" t="s">
        <v>971</v>
      </c>
      <c r="E135" s="602">
        <v>40444584</v>
      </c>
      <c r="F135" s="425">
        <v>64035362</v>
      </c>
      <c r="G135" s="604" t="s">
        <v>972</v>
      </c>
      <c r="H135" s="425">
        <v>1752949</v>
      </c>
      <c r="I135" s="425">
        <v>49051</v>
      </c>
      <c r="J135" s="603">
        <v>33604</v>
      </c>
      <c r="K135" s="425" t="s">
        <v>973</v>
      </c>
      <c r="L135" s="429" t="s">
        <v>531</v>
      </c>
    </row>
    <row r="136" spans="1:12" ht="38.25" hidden="1" x14ac:dyDescent="0.25">
      <c r="A136" s="589">
        <v>358</v>
      </c>
      <c r="B136" s="591" t="s">
        <v>711</v>
      </c>
      <c r="C136" s="424"/>
      <c r="D136" s="425" t="s">
        <v>974</v>
      </c>
      <c r="E136" s="602">
        <v>26112230</v>
      </c>
      <c r="F136" s="425">
        <v>45101667</v>
      </c>
      <c r="G136" s="604">
        <v>2099107000047</v>
      </c>
      <c r="H136" s="425">
        <v>1111269</v>
      </c>
      <c r="I136" s="425">
        <v>90711</v>
      </c>
      <c r="J136" s="603">
        <v>43282</v>
      </c>
      <c r="K136" s="425" t="s">
        <v>975</v>
      </c>
      <c r="L136" s="429" t="s">
        <v>590</v>
      </c>
    </row>
    <row r="137" spans="1:12" ht="38.25" hidden="1" x14ac:dyDescent="0.25">
      <c r="A137" s="589">
        <v>159</v>
      </c>
      <c r="B137" s="591" t="s">
        <v>351</v>
      </c>
      <c r="C137" s="424"/>
      <c r="D137" s="425" t="s">
        <v>976</v>
      </c>
      <c r="E137" s="602">
        <v>6527927</v>
      </c>
      <c r="F137" s="425">
        <v>64600208</v>
      </c>
      <c r="G137" s="604">
        <v>100925000046</v>
      </c>
      <c r="H137" s="425">
        <v>9500829</v>
      </c>
      <c r="I137" s="425">
        <v>56737</v>
      </c>
      <c r="J137" s="603">
        <v>41275</v>
      </c>
      <c r="K137" s="425" t="s">
        <v>977</v>
      </c>
      <c r="L137" s="429" t="s">
        <v>590</v>
      </c>
    </row>
    <row r="138" spans="1:12" ht="25.5" hidden="1" x14ac:dyDescent="0.25">
      <c r="A138" s="589">
        <v>197</v>
      </c>
      <c r="B138" s="591" t="s">
        <v>349</v>
      </c>
      <c r="C138" s="424"/>
      <c r="D138" s="425" t="s">
        <v>978</v>
      </c>
      <c r="E138" s="602">
        <v>15204488</v>
      </c>
      <c r="F138" s="425">
        <v>47918997</v>
      </c>
      <c r="G138" s="604">
        <v>1636065000045</v>
      </c>
      <c r="H138" s="425">
        <v>4240553</v>
      </c>
      <c r="I138" s="425">
        <v>65251</v>
      </c>
      <c r="J138" s="603">
        <v>41962</v>
      </c>
      <c r="K138" s="425" t="s">
        <v>350</v>
      </c>
      <c r="L138" s="429" t="s">
        <v>590</v>
      </c>
    </row>
    <row r="139" spans="1:12" ht="38.25" hidden="1" x14ac:dyDescent="0.25">
      <c r="A139" s="589">
        <v>361</v>
      </c>
      <c r="B139" s="591" t="s">
        <v>712</v>
      </c>
      <c r="C139" s="424"/>
      <c r="D139" s="425" t="s">
        <v>979</v>
      </c>
      <c r="E139" s="602">
        <v>26171919</v>
      </c>
      <c r="F139" s="425">
        <v>67100876</v>
      </c>
      <c r="G139" s="604">
        <v>2143625000085</v>
      </c>
      <c r="H139" s="425"/>
      <c r="I139" s="425">
        <v>91395</v>
      </c>
      <c r="J139" s="603">
        <v>43355</v>
      </c>
      <c r="K139" s="425" t="s">
        <v>980</v>
      </c>
      <c r="L139" s="429" t="s">
        <v>590</v>
      </c>
    </row>
    <row r="140" spans="1:12" ht="25.5" hidden="1" x14ac:dyDescent="0.25">
      <c r="A140" s="589">
        <v>308</v>
      </c>
      <c r="B140" s="591" t="s">
        <v>588</v>
      </c>
      <c r="C140" s="424"/>
      <c r="D140" s="425" t="s">
        <v>981</v>
      </c>
      <c r="E140" s="602">
        <v>20749165</v>
      </c>
      <c r="F140" s="425">
        <v>64688821</v>
      </c>
      <c r="G140" s="604">
        <v>1892642000012</v>
      </c>
      <c r="H140" s="425">
        <v>5398781</v>
      </c>
      <c r="I140" s="425">
        <v>80087</v>
      </c>
      <c r="J140" s="603">
        <v>42795</v>
      </c>
      <c r="K140" s="425" t="s">
        <v>982</v>
      </c>
      <c r="L140" s="429" t="s">
        <v>590</v>
      </c>
    </row>
    <row r="141" spans="1:12" ht="25.5" hidden="1" x14ac:dyDescent="0.25">
      <c r="A141" s="589">
        <v>140</v>
      </c>
      <c r="B141" s="591" t="s">
        <v>713</v>
      </c>
      <c r="C141" s="424"/>
      <c r="D141" s="425" t="s">
        <v>983</v>
      </c>
      <c r="E141" s="602">
        <v>6526444</v>
      </c>
      <c r="F141" s="425">
        <v>92110116</v>
      </c>
      <c r="G141" s="604">
        <v>73404000093</v>
      </c>
      <c r="H141" s="425">
        <v>9038309</v>
      </c>
      <c r="I141" s="425">
        <v>50977</v>
      </c>
      <c r="J141" s="603">
        <v>40991</v>
      </c>
      <c r="K141" s="425" t="s">
        <v>984</v>
      </c>
      <c r="L141" s="429" t="s">
        <v>590</v>
      </c>
    </row>
    <row r="142" spans="1:12" ht="38.25" hidden="1" x14ac:dyDescent="0.25">
      <c r="A142" s="589">
        <v>251</v>
      </c>
      <c r="B142" s="591" t="s">
        <v>714</v>
      </c>
      <c r="C142" s="424" t="s">
        <v>618</v>
      </c>
      <c r="D142" s="425" t="s">
        <v>985</v>
      </c>
      <c r="E142" s="602">
        <v>71202320</v>
      </c>
      <c r="F142" s="425">
        <v>47940246</v>
      </c>
      <c r="G142" s="604">
        <v>510885000087</v>
      </c>
      <c r="H142" s="425">
        <v>6899077</v>
      </c>
      <c r="I142" s="425">
        <v>87468</v>
      </c>
      <c r="J142" s="603">
        <v>2005</v>
      </c>
      <c r="K142" s="425" t="s">
        <v>986</v>
      </c>
      <c r="L142" s="429" t="s">
        <v>590</v>
      </c>
    </row>
    <row r="143" spans="1:12" ht="25.5" hidden="1" x14ac:dyDescent="0.25">
      <c r="A143" s="589">
        <v>187</v>
      </c>
      <c r="B143" s="591" t="s">
        <v>587</v>
      </c>
      <c r="C143" s="424" t="s">
        <v>618</v>
      </c>
      <c r="D143" s="425" t="s">
        <v>987</v>
      </c>
      <c r="E143" s="602">
        <v>70710410</v>
      </c>
      <c r="F143" s="425">
        <v>67194055</v>
      </c>
      <c r="G143" s="604">
        <v>1685606000068</v>
      </c>
      <c r="H143" s="425">
        <v>9957137</v>
      </c>
      <c r="I143" s="425">
        <v>116338</v>
      </c>
      <c r="J143" s="603">
        <v>41716</v>
      </c>
      <c r="K143" s="425" t="s">
        <v>988</v>
      </c>
      <c r="L143" s="429" t="s">
        <v>590</v>
      </c>
    </row>
    <row r="144" spans="1:12" ht="63.75" hidden="1" x14ac:dyDescent="0.25">
      <c r="A144" s="589">
        <v>243</v>
      </c>
      <c r="B144" s="591" t="s">
        <v>264</v>
      </c>
      <c r="C144" s="424" t="s">
        <v>618</v>
      </c>
      <c r="D144" s="425" t="s">
        <v>989</v>
      </c>
      <c r="E144" s="602">
        <v>15203379</v>
      </c>
      <c r="F144" s="425">
        <v>45346412</v>
      </c>
      <c r="G144" s="604" t="s">
        <v>990</v>
      </c>
      <c r="H144" s="425"/>
      <c r="I144" s="425">
        <v>118098</v>
      </c>
      <c r="J144" s="603">
        <v>41852</v>
      </c>
      <c r="K144" s="425" t="s">
        <v>991</v>
      </c>
      <c r="L144" s="429" t="s">
        <v>564</v>
      </c>
    </row>
    <row r="145" spans="1:12" ht="51" hidden="1" x14ac:dyDescent="0.25">
      <c r="A145" s="589">
        <v>359</v>
      </c>
      <c r="B145" s="591" t="s">
        <v>715</v>
      </c>
      <c r="C145" s="424" t="s">
        <v>618</v>
      </c>
      <c r="D145" s="425" t="s">
        <v>992</v>
      </c>
      <c r="E145" s="602">
        <v>25207132</v>
      </c>
      <c r="F145" s="425">
        <v>67100744</v>
      </c>
      <c r="G145" s="604" t="s">
        <v>993</v>
      </c>
      <c r="H145" s="425">
        <v>1084537</v>
      </c>
      <c r="I145" s="425">
        <v>127698</v>
      </c>
      <c r="J145" s="603">
        <v>43282</v>
      </c>
      <c r="K145" s="425" t="s">
        <v>994</v>
      </c>
      <c r="L145" s="429" t="s">
        <v>590</v>
      </c>
    </row>
    <row r="146" spans="1:12" ht="38.25" hidden="1" x14ac:dyDescent="0.25">
      <c r="A146" s="589">
        <v>184</v>
      </c>
      <c r="B146" s="591" t="s">
        <v>716</v>
      </c>
      <c r="C146" s="424"/>
      <c r="D146" s="425" t="s">
        <v>995</v>
      </c>
      <c r="E146" s="602">
        <v>6529197</v>
      </c>
      <c r="F146" s="425">
        <v>45194013</v>
      </c>
      <c r="G146" s="604" t="s">
        <v>996</v>
      </c>
      <c r="H146" s="425"/>
      <c r="I146" s="425">
        <v>60953</v>
      </c>
      <c r="J146" s="603">
        <v>41663</v>
      </c>
      <c r="K146" s="425" t="s">
        <v>997</v>
      </c>
      <c r="L146" s="429" t="s">
        <v>590</v>
      </c>
    </row>
    <row r="147" spans="1:12" ht="25.5" hidden="1" x14ac:dyDescent="0.25">
      <c r="A147" s="589">
        <v>132</v>
      </c>
      <c r="B147" s="591" t="s">
        <v>63</v>
      </c>
      <c r="C147" s="424"/>
      <c r="D147" s="425" t="s">
        <v>998</v>
      </c>
      <c r="E147" s="602">
        <v>6525874</v>
      </c>
      <c r="F147" s="425">
        <v>46419017</v>
      </c>
      <c r="G147" s="604"/>
      <c r="H147" s="425">
        <v>8922511</v>
      </c>
      <c r="I147" s="425">
        <v>48743</v>
      </c>
      <c r="J147" s="603">
        <v>40835</v>
      </c>
      <c r="K147" s="425" t="s">
        <v>999</v>
      </c>
      <c r="L147" s="429" t="s">
        <v>590</v>
      </c>
    </row>
    <row r="148" spans="1:12" ht="25.5" hidden="1" x14ac:dyDescent="0.25">
      <c r="A148" s="589">
        <v>125</v>
      </c>
      <c r="B148" s="591" t="s">
        <v>717</v>
      </c>
      <c r="C148" s="424"/>
      <c r="D148" s="425" t="s">
        <v>1000</v>
      </c>
      <c r="E148" s="602"/>
      <c r="F148" s="425">
        <v>47512458</v>
      </c>
      <c r="G148" s="604"/>
      <c r="H148" s="425"/>
      <c r="I148" s="425">
        <v>47435</v>
      </c>
      <c r="J148" s="603">
        <v>40725</v>
      </c>
      <c r="K148" s="425" t="s">
        <v>549</v>
      </c>
      <c r="L148" s="429" t="s">
        <v>590</v>
      </c>
    </row>
    <row r="149" spans="1:12" hidden="1" x14ac:dyDescent="0.25">
      <c r="A149" s="589">
        <v>177</v>
      </c>
      <c r="B149" s="591" t="s">
        <v>189</v>
      </c>
      <c r="C149" s="424"/>
      <c r="D149" s="425"/>
      <c r="E149" s="602"/>
      <c r="F149" s="425"/>
      <c r="G149" s="604"/>
      <c r="H149" s="425"/>
      <c r="I149" s="425"/>
      <c r="J149" s="603"/>
      <c r="K149" s="425"/>
      <c r="L149" s="429" t="s">
        <v>590</v>
      </c>
    </row>
    <row r="150" spans="1:12" ht="25.5" hidden="1" x14ac:dyDescent="0.25">
      <c r="A150" s="589">
        <v>148</v>
      </c>
      <c r="B150" s="591" t="s">
        <v>110</v>
      </c>
      <c r="C150" s="424"/>
      <c r="D150" s="425" t="s">
        <v>1001</v>
      </c>
      <c r="E150" s="602">
        <v>6527064</v>
      </c>
      <c r="F150" s="425"/>
      <c r="G150" s="604">
        <v>1546602000052</v>
      </c>
      <c r="H150" s="425"/>
      <c r="I150" s="425">
        <v>54113</v>
      </c>
      <c r="J150" s="603">
        <v>41158</v>
      </c>
      <c r="K150" s="425" t="s">
        <v>1002</v>
      </c>
      <c r="L150" s="429" t="s">
        <v>590</v>
      </c>
    </row>
    <row r="151" spans="1:12" ht="25.5" hidden="1" x14ac:dyDescent="0.25">
      <c r="A151" s="589">
        <v>97</v>
      </c>
      <c r="B151" s="591" t="s">
        <v>295</v>
      </c>
      <c r="C151" s="424"/>
      <c r="D151" s="425" t="s">
        <v>1003</v>
      </c>
      <c r="E151" s="602">
        <v>6524150</v>
      </c>
      <c r="F151" s="425" t="s">
        <v>297</v>
      </c>
      <c r="G151" s="604" t="s">
        <v>298</v>
      </c>
      <c r="H151" s="425">
        <v>8276116</v>
      </c>
      <c r="I151" s="425">
        <v>40383</v>
      </c>
      <c r="J151" s="603">
        <v>40149</v>
      </c>
      <c r="K151" s="425" t="s">
        <v>296</v>
      </c>
      <c r="L151" s="429" t="s">
        <v>590</v>
      </c>
    </row>
    <row r="152" spans="1:12" ht="38.25" hidden="1" x14ac:dyDescent="0.25">
      <c r="A152" s="589">
        <v>117</v>
      </c>
      <c r="B152" s="591" t="s">
        <v>718</v>
      </c>
      <c r="C152" s="424"/>
      <c r="D152" s="425" t="s">
        <v>1004</v>
      </c>
      <c r="E152" s="602" t="s">
        <v>1005</v>
      </c>
      <c r="F152" s="425" t="s">
        <v>1006</v>
      </c>
      <c r="G152" s="604" t="s">
        <v>1007</v>
      </c>
      <c r="H152" s="425">
        <v>8701345</v>
      </c>
      <c r="I152" s="425">
        <v>7899</v>
      </c>
      <c r="J152" s="603">
        <v>40612</v>
      </c>
      <c r="K152" s="425" t="s">
        <v>1008</v>
      </c>
      <c r="L152" s="429" t="s">
        <v>590</v>
      </c>
    </row>
    <row r="153" spans="1:12" ht="25.5" hidden="1" x14ac:dyDescent="0.25">
      <c r="A153" s="589">
        <v>77</v>
      </c>
      <c r="B153" s="591" t="s">
        <v>719</v>
      </c>
      <c r="C153" s="424"/>
      <c r="D153" s="425" t="s">
        <v>1009</v>
      </c>
      <c r="E153" s="602">
        <v>6522937</v>
      </c>
      <c r="F153" s="425" t="s">
        <v>1010</v>
      </c>
      <c r="G153" s="604" t="s">
        <v>1011</v>
      </c>
      <c r="H153" s="425">
        <v>7904263</v>
      </c>
      <c r="I153" s="425">
        <v>34955</v>
      </c>
      <c r="J153" s="603">
        <v>39692</v>
      </c>
      <c r="K153" s="425" t="s">
        <v>296</v>
      </c>
      <c r="L153" s="429" t="s">
        <v>590</v>
      </c>
    </row>
    <row r="154" spans="1:12" ht="25.5" hidden="1" x14ac:dyDescent="0.25">
      <c r="A154" s="589">
        <v>147</v>
      </c>
      <c r="B154" s="591" t="s">
        <v>105</v>
      </c>
      <c r="C154" s="424"/>
      <c r="D154" s="425" t="s">
        <v>1012</v>
      </c>
      <c r="E154" s="602">
        <v>6526957</v>
      </c>
      <c r="F154" s="425">
        <v>67190783</v>
      </c>
      <c r="G154" s="604" t="s">
        <v>1013</v>
      </c>
      <c r="H154" s="425">
        <v>9150385</v>
      </c>
      <c r="I154" s="425">
        <v>52969</v>
      </c>
      <c r="J154" s="603">
        <v>41123</v>
      </c>
      <c r="K154" s="425" t="s">
        <v>177</v>
      </c>
      <c r="L154" s="429" t="s">
        <v>590</v>
      </c>
    </row>
    <row r="155" spans="1:12" hidden="1" x14ac:dyDescent="0.25">
      <c r="A155" s="589">
        <v>166</v>
      </c>
      <c r="B155" s="591" t="s">
        <v>720</v>
      </c>
      <c r="C155" s="424"/>
      <c r="D155" s="425"/>
      <c r="E155" s="602"/>
      <c r="F155" s="425"/>
      <c r="G155" s="604"/>
      <c r="H155" s="425"/>
      <c r="I155" s="425"/>
      <c r="J155" s="603"/>
      <c r="K155" s="425"/>
      <c r="L155" s="429" t="s">
        <v>590</v>
      </c>
    </row>
    <row r="156" spans="1:12" ht="25.5" hidden="1" x14ac:dyDescent="0.25">
      <c r="A156" s="589">
        <v>31</v>
      </c>
      <c r="B156" s="591" t="s">
        <v>721</v>
      </c>
      <c r="C156" s="424"/>
      <c r="D156" s="425" t="s">
        <v>1014</v>
      </c>
      <c r="E156" s="602">
        <v>6507048</v>
      </c>
      <c r="F156" s="425">
        <v>67128912</v>
      </c>
      <c r="G156" s="604" t="s">
        <v>1015</v>
      </c>
      <c r="H156" s="425">
        <v>6947842</v>
      </c>
      <c r="I156" s="425">
        <v>19723</v>
      </c>
      <c r="J156" s="603">
        <v>38447</v>
      </c>
      <c r="K156" s="425" t="s">
        <v>1016</v>
      </c>
      <c r="L156" s="429" t="s">
        <v>590</v>
      </c>
    </row>
    <row r="157" spans="1:12" ht="38.25" hidden="1" x14ac:dyDescent="0.25">
      <c r="A157" s="589">
        <v>41</v>
      </c>
      <c r="B157" s="591" t="s">
        <v>722</v>
      </c>
      <c r="C157" s="424"/>
      <c r="D157" s="425" t="s">
        <v>1017</v>
      </c>
      <c r="E157" s="602">
        <v>6508570</v>
      </c>
      <c r="F157" s="425">
        <v>67136987</v>
      </c>
      <c r="G157" s="604" t="s">
        <v>1018</v>
      </c>
      <c r="H157" s="425">
        <v>7275838</v>
      </c>
      <c r="I157" s="425">
        <v>23795</v>
      </c>
      <c r="J157" s="603">
        <v>38890</v>
      </c>
      <c r="K157" s="425" t="s">
        <v>1019</v>
      </c>
      <c r="L157" s="429" t="s">
        <v>590</v>
      </c>
    </row>
    <row r="158" spans="1:12" ht="38.25" hidden="1" x14ac:dyDescent="0.25">
      <c r="A158" s="589">
        <v>88</v>
      </c>
      <c r="B158" s="591" t="s">
        <v>723</v>
      </c>
      <c r="C158" s="424"/>
      <c r="D158" s="425" t="s">
        <v>1020</v>
      </c>
      <c r="E158" s="602">
        <v>6523584</v>
      </c>
      <c r="F158" s="425">
        <v>67190489</v>
      </c>
      <c r="G158" s="604">
        <v>72344000001</v>
      </c>
      <c r="H158" s="425">
        <v>8071318</v>
      </c>
      <c r="I158" s="425">
        <v>37775</v>
      </c>
      <c r="J158" s="603">
        <v>39927</v>
      </c>
      <c r="K158" s="425" t="s">
        <v>1021</v>
      </c>
      <c r="L158" s="429" t="s">
        <v>590</v>
      </c>
    </row>
    <row r="159" spans="1:12" ht="38.25" hidden="1" x14ac:dyDescent="0.25">
      <c r="A159" s="589">
        <v>106</v>
      </c>
      <c r="B159" s="591" t="s">
        <v>724</v>
      </c>
      <c r="C159" s="424"/>
      <c r="D159" s="425" t="s">
        <v>1022</v>
      </c>
      <c r="E159" s="602">
        <v>6525003</v>
      </c>
      <c r="F159" s="425">
        <v>47514139</v>
      </c>
      <c r="G159" s="604" t="s">
        <v>1023</v>
      </c>
      <c r="H159" s="425">
        <v>8614035</v>
      </c>
      <c r="I159" s="425">
        <v>44531</v>
      </c>
      <c r="J159" s="603">
        <v>40507</v>
      </c>
      <c r="K159" s="425" t="s">
        <v>1024</v>
      </c>
      <c r="L159" s="429" t="s">
        <v>590</v>
      </c>
    </row>
    <row r="160" spans="1:12" ht="38.25" hidden="1" x14ac:dyDescent="0.25">
      <c r="A160" s="589">
        <v>104</v>
      </c>
      <c r="B160" s="591" t="s">
        <v>725</v>
      </c>
      <c r="C160" s="424"/>
      <c r="D160" s="425" t="s">
        <v>1025</v>
      </c>
      <c r="E160" s="602">
        <v>6524479</v>
      </c>
      <c r="F160" s="425">
        <v>46479066</v>
      </c>
      <c r="G160" s="604" t="s">
        <v>1026</v>
      </c>
      <c r="H160" s="425">
        <v>8367519</v>
      </c>
      <c r="I160" s="425">
        <v>41883</v>
      </c>
      <c r="J160" s="603">
        <v>40273</v>
      </c>
      <c r="K160" s="425" t="s">
        <v>986</v>
      </c>
      <c r="L160" s="429" t="s">
        <v>590</v>
      </c>
    </row>
    <row r="161" spans="1:12" ht="38.25" hidden="1" x14ac:dyDescent="0.25">
      <c r="A161" s="589">
        <v>294</v>
      </c>
      <c r="B161" s="591" t="s">
        <v>726</v>
      </c>
      <c r="C161" s="424"/>
      <c r="D161" s="425" t="s">
        <v>1027</v>
      </c>
      <c r="E161" s="602">
        <v>18777798</v>
      </c>
      <c r="F161" s="425">
        <v>53036851</v>
      </c>
      <c r="G161" s="604" t="s">
        <v>1028</v>
      </c>
      <c r="H161" s="425">
        <v>4886886</v>
      </c>
      <c r="I161" s="425">
        <v>74383</v>
      </c>
      <c r="J161" s="603">
        <v>42471</v>
      </c>
      <c r="K161" s="425" t="s">
        <v>1024</v>
      </c>
      <c r="L161" s="429" t="s">
        <v>590</v>
      </c>
    </row>
    <row r="162" spans="1:12" ht="25.5" hidden="1" x14ac:dyDescent="0.25">
      <c r="A162" s="589">
        <v>178</v>
      </c>
      <c r="B162" s="591" t="s">
        <v>279</v>
      </c>
      <c r="C162" s="424"/>
      <c r="D162" s="425" t="s">
        <v>1029</v>
      </c>
      <c r="E162" s="602">
        <v>6528768</v>
      </c>
      <c r="F162" s="425">
        <v>67190994</v>
      </c>
      <c r="G162" s="604" t="s">
        <v>1030</v>
      </c>
      <c r="H162" s="425">
        <v>9772270</v>
      </c>
      <c r="I162" s="425">
        <v>59649</v>
      </c>
      <c r="J162" s="603">
        <v>41598</v>
      </c>
      <c r="K162" s="425" t="s">
        <v>844</v>
      </c>
      <c r="L162" s="429" t="s">
        <v>590</v>
      </c>
    </row>
    <row r="163" spans="1:12" hidden="1" x14ac:dyDescent="0.25">
      <c r="A163" s="589">
        <v>376</v>
      </c>
      <c r="B163" s="591" t="s">
        <v>589</v>
      </c>
      <c r="C163" s="424"/>
      <c r="D163" s="425" t="s">
        <v>1031</v>
      </c>
      <c r="E163" s="602">
        <v>40268384</v>
      </c>
      <c r="F163" s="425">
        <v>46453470</v>
      </c>
      <c r="G163" s="604">
        <v>97878000059</v>
      </c>
      <c r="H163" s="425">
        <v>8734271</v>
      </c>
      <c r="I163" s="425">
        <v>45991</v>
      </c>
      <c r="J163" s="603">
        <v>40618</v>
      </c>
      <c r="K163" s="425" t="s">
        <v>1032</v>
      </c>
      <c r="L163" s="429" t="s">
        <v>590</v>
      </c>
    </row>
    <row r="164" spans="1:12" ht="38.25" hidden="1" x14ac:dyDescent="0.25">
      <c r="A164" s="589">
        <v>1</v>
      </c>
      <c r="B164" s="591" t="s">
        <v>727</v>
      </c>
      <c r="C164" s="424"/>
      <c r="D164" s="425" t="s">
        <v>456</v>
      </c>
      <c r="E164" s="602">
        <v>2860029</v>
      </c>
      <c r="F164" s="425">
        <v>46295007</v>
      </c>
      <c r="G164" s="604" t="s">
        <v>457</v>
      </c>
      <c r="H164" s="425">
        <v>7105811</v>
      </c>
      <c r="I164" s="425">
        <v>19145</v>
      </c>
      <c r="J164" s="603">
        <v>37622</v>
      </c>
      <c r="K164" s="425" t="s">
        <v>458</v>
      </c>
      <c r="L164" s="429" t="s">
        <v>530</v>
      </c>
    </row>
    <row r="165" spans="1:12" ht="38.25" hidden="1" x14ac:dyDescent="0.25">
      <c r="A165" s="589">
        <v>130</v>
      </c>
      <c r="B165" s="591" t="s">
        <v>227</v>
      </c>
      <c r="C165" s="424"/>
      <c r="D165" s="425" t="s">
        <v>228</v>
      </c>
      <c r="E165" s="602">
        <v>6525739</v>
      </c>
      <c r="F165" s="425">
        <v>45090133</v>
      </c>
      <c r="G165" s="604" t="s">
        <v>229</v>
      </c>
      <c r="H165" s="425">
        <v>8873409</v>
      </c>
      <c r="I165" s="425">
        <v>48129</v>
      </c>
      <c r="J165" s="603">
        <v>40782</v>
      </c>
      <c r="K165" s="425" t="s">
        <v>1033</v>
      </c>
      <c r="L165" s="429" t="s">
        <v>530</v>
      </c>
    </row>
    <row r="166" spans="1:12" ht="25.5" hidden="1" x14ac:dyDescent="0.25">
      <c r="A166" s="589">
        <v>142</v>
      </c>
      <c r="B166" s="591" t="s">
        <v>69</v>
      </c>
      <c r="C166" s="424"/>
      <c r="D166" s="425" t="s">
        <v>70</v>
      </c>
      <c r="E166" s="602">
        <v>6526662</v>
      </c>
      <c r="F166" s="425">
        <v>46296042</v>
      </c>
      <c r="G166" s="604" t="s">
        <v>71</v>
      </c>
      <c r="H166" s="425">
        <v>9100538</v>
      </c>
      <c r="I166" s="425">
        <v>51879</v>
      </c>
      <c r="J166" s="603">
        <v>40973</v>
      </c>
      <c r="K166" s="425" t="s">
        <v>72</v>
      </c>
      <c r="L166" s="429" t="s">
        <v>530</v>
      </c>
    </row>
    <row r="167" spans="1:12" ht="25.5" hidden="1" x14ac:dyDescent="0.25">
      <c r="A167" s="589">
        <v>24</v>
      </c>
      <c r="B167" s="591" t="s">
        <v>728</v>
      </c>
      <c r="C167" s="424" t="s">
        <v>618</v>
      </c>
      <c r="D167" s="425" t="s">
        <v>1034</v>
      </c>
      <c r="E167" s="602">
        <v>70790063</v>
      </c>
      <c r="F167" s="425">
        <v>64605841</v>
      </c>
      <c r="G167" s="604" t="s">
        <v>365</v>
      </c>
      <c r="H167" s="425">
        <v>6882668</v>
      </c>
      <c r="I167" s="425">
        <v>86590</v>
      </c>
      <c r="J167" s="603">
        <v>38133</v>
      </c>
      <c r="K167" s="425" t="s">
        <v>364</v>
      </c>
      <c r="L167" s="429" t="s">
        <v>530</v>
      </c>
    </row>
    <row r="168" spans="1:12" ht="38.25" hidden="1" x14ac:dyDescent="0.25">
      <c r="A168" s="589">
        <v>89</v>
      </c>
      <c r="B168" s="591" t="s">
        <v>729</v>
      </c>
      <c r="C168" s="424"/>
      <c r="D168" s="425" t="s">
        <v>1035</v>
      </c>
      <c r="E168" s="602" t="s">
        <v>399</v>
      </c>
      <c r="F168" s="425">
        <v>45302516</v>
      </c>
      <c r="G168" s="604" t="s">
        <v>400</v>
      </c>
      <c r="H168" s="425">
        <v>8096233</v>
      </c>
      <c r="I168" s="425">
        <v>37891</v>
      </c>
      <c r="J168" s="603">
        <v>39930</v>
      </c>
      <c r="K168" s="425" t="s">
        <v>401</v>
      </c>
      <c r="L168" s="429" t="s">
        <v>530</v>
      </c>
    </row>
    <row r="169" spans="1:12" ht="25.5" hidden="1" x14ac:dyDescent="0.25">
      <c r="A169" s="589">
        <v>44</v>
      </c>
      <c r="B169" s="591" t="s">
        <v>730</v>
      </c>
      <c r="C169" s="424"/>
      <c r="D169" s="425" t="s">
        <v>324</v>
      </c>
      <c r="E169" s="602" t="s">
        <v>325</v>
      </c>
      <c r="F169" s="425">
        <v>67395279</v>
      </c>
      <c r="G169" s="604" t="s">
        <v>326</v>
      </c>
      <c r="H169" s="425">
        <v>7430721</v>
      </c>
      <c r="I169" s="425">
        <v>26599</v>
      </c>
      <c r="J169" s="603">
        <v>38991</v>
      </c>
      <c r="K169" s="425" t="s">
        <v>327</v>
      </c>
      <c r="L169" s="429" t="s">
        <v>530</v>
      </c>
    </row>
    <row r="170" spans="1:12" ht="51" hidden="1" x14ac:dyDescent="0.25">
      <c r="A170" s="589">
        <v>43</v>
      </c>
      <c r="B170" s="591" t="s">
        <v>731</v>
      </c>
      <c r="C170" s="424" t="s">
        <v>618</v>
      </c>
      <c r="D170" s="425" t="s">
        <v>265</v>
      </c>
      <c r="E170" s="602" t="s">
        <v>266</v>
      </c>
      <c r="F170" s="425">
        <v>47950300</v>
      </c>
      <c r="G170" s="604" t="s">
        <v>267</v>
      </c>
      <c r="H170" s="425">
        <v>7311848</v>
      </c>
      <c r="I170" s="425">
        <v>94422</v>
      </c>
      <c r="J170" s="603">
        <v>38961</v>
      </c>
      <c r="K170" s="425" t="s">
        <v>268</v>
      </c>
      <c r="L170" s="429" t="s">
        <v>530</v>
      </c>
    </row>
    <row r="171" spans="1:12" ht="25.5" hidden="1" x14ac:dyDescent="0.25">
      <c r="A171" s="589">
        <v>121</v>
      </c>
      <c r="B171" s="591" t="s">
        <v>230</v>
      </c>
      <c r="C171" s="424"/>
      <c r="D171" s="425" t="s">
        <v>231</v>
      </c>
      <c r="E171" s="602">
        <v>6525434</v>
      </c>
      <c r="F171" s="425">
        <v>47514147</v>
      </c>
      <c r="G171" s="604" t="s">
        <v>232</v>
      </c>
      <c r="H171" s="425">
        <v>8736897</v>
      </c>
      <c r="I171" s="425">
        <v>46713</v>
      </c>
      <c r="J171" s="603">
        <v>40651</v>
      </c>
      <c r="K171" s="425" t="s">
        <v>233</v>
      </c>
      <c r="L171" s="429" t="s">
        <v>530</v>
      </c>
    </row>
    <row r="172" spans="1:12" ht="25.5" hidden="1" x14ac:dyDescent="0.25">
      <c r="A172" s="589">
        <v>309</v>
      </c>
      <c r="B172" s="591" t="s">
        <v>503</v>
      </c>
      <c r="C172" s="424"/>
      <c r="D172" s="425" t="s">
        <v>1036</v>
      </c>
      <c r="E172" s="602">
        <v>20750131</v>
      </c>
      <c r="F172" s="425">
        <v>4711029</v>
      </c>
      <c r="G172" s="604" t="s">
        <v>1037</v>
      </c>
      <c r="H172" s="425">
        <v>5398343</v>
      </c>
      <c r="I172" s="425">
        <v>79979</v>
      </c>
      <c r="J172" s="603">
        <v>42775</v>
      </c>
      <c r="K172" s="425" t="s">
        <v>1038</v>
      </c>
      <c r="L172" s="429" t="s">
        <v>530</v>
      </c>
    </row>
    <row r="173" spans="1:12" ht="38.25" hidden="1" x14ac:dyDescent="0.25">
      <c r="A173" s="589">
        <v>17</v>
      </c>
      <c r="B173" s="591" t="s">
        <v>732</v>
      </c>
      <c r="C173" s="424"/>
      <c r="D173" s="425" t="s">
        <v>81</v>
      </c>
      <c r="E173" s="602" t="s">
        <v>82</v>
      </c>
      <c r="F173" s="425" t="s">
        <v>83</v>
      </c>
      <c r="G173" s="604" t="s">
        <v>84</v>
      </c>
      <c r="H173" s="425">
        <v>6370663</v>
      </c>
      <c r="I173" s="425">
        <v>18017</v>
      </c>
      <c r="J173" s="603">
        <v>37728</v>
      </c>
      <c r="K173" s="425" t="s">
        <v>85</v>
      </c>
      <c r="L173" s="429" t="s">
        <v>530</v>
      </c>
    </row>
    <row r="174" spans="1:12" ht="76.5" hidden="1" x14ac:dyDescent="0.25">
      <c r="A174" s="589">
        <v>155</v>
      </c>
      <c r="B174" s="591" t="s">
        <v>146</v>
      </c>
      <c r="C174" s="424"/>
      <c r="D174" s="425" t="s">
        <v>147</v>
      </c>
      <c r="E174" s="602">
        <v>14391871</v>
      </c>
      <c r="F174" s="425">
        <v>46432568</v>
      </c>
      <c r="G174" s="604" t="s">
        <v>148</v>
      </c>
      <c r="H174" s="425">
        <v>9318545</v>
      </c>
      <c r="I174" s="425">
        <v>54433</v>
      </c>
      <c r="J174" s="603">
        <v>41176</v>
      </c>
      <c r="K174" s="425" t="s">
        <v>149</v>
      </c>
      <c r="L174" s="429" t="s">
        <v>530</v>
      </c>
    </row>
    <row r="175" spans="1:12" ht="102" hidden="1" x14ac:dyDescent="0.25">
      <c r="A175" s="589">
        <v>78</v>
      </c>
      <c r="B175" s="591" t="s">
        <v>137</v>
      </c>
      <c r="C175" s="424"/>
      <c r="D175" s="425" t="s">
        <v>1039</v>
      </c>
      <c r="E175" s="602">
        <v>6523058</v>
      </c>
      <c r="F175" s="425" t="s">
        <v>1040</v>
      </c>
      <c r="G175" s="604" t="s">
        <v>138</v>
      </c>
      <c r="H175" s="425">
        <v>7939723</v>
      </c>
      <c r="I175" s="425">
        <v>35481</v>
      </c>
      <c r="J175" s="603">
        <v>39710</v>
      </c>
      <c r="K175" s="425" t="s">
        <v>1041</v>
      </c>
      <c r="L175" s="429" t="s">
        <v>530</v>
      </c>
    </row>
    <row r="176" spans="1:12" ht="25.5" hidden="1" x14ac:dyDescent="0.25">
      <c r="A176" s="589">
        <v>135</v>
      </c>
      <c r="B176" s="591" t="s">
        <v>733</v>
      </c>
      <c r="C176" s="424"/>
      <c r="D176" s="425" t="s">
        <v>375</v>
      </c>
      <c r="E176" s="602" t="s">
        <v>376</v>
      </c>
      <c r="F176" s="425" t="s">
        <v>1042</v>
      </c>
      <c r="G176" s="604" t="s">
        <v>377</v>
      </c>
      <c r="H176" s="425">
        <v>8922842</v>
      </c>
      <c r="I176" s="425">
        <v>49029</v>
      </c>
      <c r="J176" s="603">
        <v>40848</v>
      </c>
      <c r="K176" s="425" t="s">
        <v>1043</v>
      </c>
      <c r="L176" s="429" t="s">
        <v>530</v>
      </c>
    </row>
    <row r="177" spans="1:12" ht="38.25" hidden="1" x14ac:dyDescent="0.25">
      <c r="A177" s="589">
        <v>3</v>
      </c>
      <c r="B177" s="591" t="s">
        <v>734</v>
      </c>
      <c r="C177" s="424" t="s">
        <v>618</v>
      </c>
      <c r="D177" s="425" t="s">
        <v>45</v>
      </c>
      <c r="E177" s="602" t="s">
        <v>46</v>
      </c>
      <c r="F177" s="425" t="s">
        <v>47</v>
      </c>
      <c r="G177" s="604" t="s">
        <v>49</v>
      </c>
      <c r="H177" s="425" t="s">
        <v>506</v>
      </c>
      <c r="I177" s="425" t="s">
        <v>48</v>
      </c>
      <c r="J177" s="603">
        <v>33736</v>
      </c>
      <c r="K177" s="425" t="s">
        <v>50</v>
      </c>
      <c r="L177" s="429" t="s">
        <v>530</v>
      </c>
    </row>
    <row r="178" spans="1:12" ht="51" hidden="1" x14ac:dyDescent="0.25">
      <c r="A178" s="589">
        <v>167</v>
      </c>
      <c r="B178" s="591" t="s">
        <v>735</v>
      </c>
      <c r="C178" s="424"/>
      <c r="D178" s="425" t="s">
        <v>1044</v>
      </c>
      <c r="E178" s="602" t="s">
        <v>55</v>
      </c>
      <c r="F178" s="425">
        <v>46296133</v>
      </c>
      <c r="G178" s="604" t="s">
        <v>57</v>
      </c>
      <c r="H178" s="425" t="s">
        <v>56</v>
      </c>
      <c r="I178" s="425">
        <v>58207</v>
      </c>
      <c r="J178" s="603">
        <v>41437</v>
      </c>
      <c r="K178" s="425" t="s">
        <v>58</v>
      </c>
      <c r="L178" s="429" t="s">
        <v>530</v>
      </c>
    </row>
    <row r="179" spans="1:12" ht="25.5" hidden="1" x14ac:dyDescent="0.25">
      <c r="A179" s="589">
        <v>194</v>
      </c>
      <c r="B179" s="591" t="s">
        <v>366</v>
      </c>
      <c r="C179" s="424"/>
      <c r="D179" s="425" t="s">
        <v>1045</v>
      </c>
      <c r="E179" s="602" t="s">
        <v>1046</v>
      </c>
      <c r="F179" s="425" t="s">
        <v>1047</v>
      </c>
      <c r="G179" s="604" t="s">
        <v>367</v>
      </c>
      <c r="H179" s="425" t="s">
        <v>1048</v>
      </c>
      <c r="I179" s="425" t="s">
        <v>1049</v>
      </c>
      <c r="J179" s="603">
        <v>41760</v>
      </c>
      <c r="K179" s="425" t="s">
        <v>354</v>
      </c>
      <c r="L179" s="429" t="s">
        <v>530</v>
      </c>
    </row>
    <row r="180" spans="1:12" ht="38.25" hidden="1" x14ac:dyDescent="0.25">
      <c r="A180" s="589"/>
      <c r="B180" s="591" t="s">
        <v>736</v>
      </c>
      <c r="C180" s="424"/>
      <c r="D180" s="425" t="s">
        <v>1050</v>
      </c>
      <c r="E180" s="602" t="s">
        <v>1051</v>
      </c>
      <c r="F180" s="425" t="s">
        <v>1052</v>
      </c>
      <c r="G180" s="604" t="s">
        <v>1053</v>
      </c>
      <c r="H180" s="425" t="s">
        <v>1054</v>
      </c>
      <c r="I180" s="425" t="s">
        <v>1055</v>
      </c>
      <c r="J180" s="603">
        <v>39406</v>
      </c>
      <c r="K180" s="425" t="s">
        <v>1056</v>
      </c>
      <c r="L180" s="429" t="s">
        <v>530</v>
      </c>
    </row>
    <row r="181" spans="1:12" ht="25.5" hidden="1" x14ac:dyDescent="0.25">
      <c r="A181" s="589"/>
      <c r="B181" s="591" t="s">
        <v>737</v>
      </c>
      <c r="C181" s="424"/>
      <c r="D181" s="425" t="s">
        <v>1057</v>
      </c>
      <c r="E181" s="602" t="s">
        <v>1058</v>
      </c>
      <c r="F181" s="425" t="s">
        <v>1059</v>
      </c>
      <c r="G181" s="604" t="s">
        <v>1060</v>
      </c>
      <c r="H181" s="425" t="s">
        <v>1061</v>
      </c>
      <c r="I181" s="425" t="s">
        <v>1062</v>
      </c>
      <c r="J181" s="603">
        <v>41128</v>
      </c>
      <c r="K181" s="425" t="s">
        <v>1063</v>
      </c>
      <c r="L181" s="429" t="s">
        <v>530</v>
      </c>
    </row>
    <row r="182" spans="1:12" hidden="1" x14ac:dyDescent="0.25">
      <c r="A182" s="589">
        <v>206</v>
      </c>
      <c r="B182" s="591" t="s">
        <v>738</v>
      </c>
      <c r="C182" s="424" t="s">
        <v>618</v>
      </c>
      <c r="D182" s="425" t="s">
        <v>469</v>
      </c>
      <c r="E182" s="602" t="s">
        <v>470</v>
      </c>
      <c r="F182" s="425" t="s">
        <v>471</v>
      </c>
      <c r="G182" s="604" t="s">
        <v>472</v>
      </c>
      <c r="H182" s="425" t="s">
        <v>506</v>
      </c>
      <c r="I182" s="425">
        <v>0</v>
      </c>
      <c r="J182" s="603">
        <v>42024</v>
      </c>
      <c r="K182" s="425" t="s">
        <v>473</v>
      </c>
      <c r="L182" s="429" t="s">
        <v>530</v>
      </c>
    </row>
    <row r="183" spans="1:12" ht="38.25" hidden="1" x14ac:dyDescent="0.25">
      <c r="A183" s="589">
        <v>27</v>
      </c>
      <c r="B183" s="591" t="s">
        <v>739</v>
      </c>
      <c r="C183" s="424"/>
      <c r="D183" s="425" t="s">
        <v>87</v>
      </c>
      <c r="E183" s="602" t="s">
        <v>88</v>
      </c>
      <c r="F183" s="425" t="s">
        <v>89</v>
      </c>
      <c r="G183" s="604" t="s">
        <v>92</v>
      </c>
      <c r="H183" s="425" t="s">
        <v>91</v>
      </c>
      <c r="I183" s="425" t="s">
        <v>90</v>
      </c>
      <c r="J183" s="603">
        <v>38364</v>
      </c>
      <c r="K183" s="425" t="s">
        <v>1064</v>
      </c>
      <c r="L183" s="429" t="s">
        <v>530</v>
      </c>
    </row>
    <row r="184" spans="1:12" hidden="1" x14ac:dyDescent="0.25">
      <c r="A184" s="589">
        <v>333</v>
      </c>
      <c r="B184" s="591" t="s">
        <v>740</v>
      </c>
      <c r="C184" s="424" t="s">
        <v>618</v>
      </c>
      <c r="D184" s="425" t="s">
        <v>1065</v>
      </c>
      <c r="E184" s="602" t="s">
        <v>1066</v>
      </c>
      <c r="F184" s="425" t="s">
        <v>1067</v>
      </c>
      <c r="G184" s="604" t="s">
        <v>1068</v>
      </c>
      <c r="H184" s="425" t="s">
        <v>1069</v>
      </c>
      <c r="I184" s="425" t="s">
        <v>1070</v>
      </c>
      <c r="J184" s="603"/>
      <c r="K184" s="425" t="s">
        <v>509</v>
      </c>
      <c r="L184" s="429" t="s">
        <v>1246</v>
      </c>
    </row>
    <row r="185" spans="1:12" ht="25.5" hidden="1" x14ac:dyDescent="0.25">
      <c r="A185" s="589">
        <v>290</v>
      </c>
      <c r="B185" s="591" t="s">
        <v>741</v>
      </c>
      <c r="C185" s="424"/>
      <c r="D185" s="425" t="s">
        <v>1071</v>
      </c>
      <c r="E185" s="602" t="s">
        <v>1072</v>
      </c>
      <c r="F185" s="425" t="s">
        <v>1073</v>
      </c>
      <c r="G185" s="604" t="s">
        <v>1074</v>
      </c>
      <c r="H185" s="425" t="s">
        <v>1075</v>
      </c>
      <c r="I185" s="425" t="s">
        <v>1076</v>
      </c>
      <c r="J185" s="603">
        <v>43119</v>
      </c>
      <c r="K185" s="425" t="s">
        <v>1077</v>
      </c>
      <c r="L185" s="429" t="s">
        <v>1246</v>
      </c>
    </row>
    <row r="186" spans="1:12" ht="38.25" hidden="1" x14ac:dyDescent="0.25">
      <c r="A186" s="589"/>
      <c r="B186" s="591" t="s">
        <v>742</v>
      </c>
      <c r="C186" s="424"/>
      <c r="D186" s="425" t="s">
        <v>1078</v>
      </c>
      <c r="E186" s="602" t="s">
        <v>1079</v>
      </c>
      <c r="F186" s="425" t="s">
        <v>1080</v>
      </c>
      <c r="G186" s="604" t="s">
        <v>1081</v>
      </c>
      <c r="H186" s="425" t="s">
        <v>1082</v>
      </c>
      <c r="I186" s="425" t="s">
        <v>1083</v>
      </c>
      <c r="J186" s="603">
        <v>39784</v>
      </c>
      <c r="K186" s="425" t="s">
        <v>1064</v>
      </c>
      <c r="L186" s="429" t="s">
        <v>530</v>
      </c>
    </row>
    <row r="187" spans="1:12" ht="38.25" hidden="1" x14ac:dyDescent="0.25">
      <c r="A187" s="589">
        <v>291</v>
      </c>
      <c r="B187" s="591" t="s">
        <v>743</v>
      </c>
      <c r="C187" s="424"/>
      <c r="D187" s="425" t="s">
        <v>178</v>
      </c>
      <c r="E187" s="602">
        <v>6510774</v>
      </c>
      <c r="F187" s="425" t="s">
        <v>179</v>
      </c>
      <c r="G187" s="604" t="s">
        <v>180</v>
      </c>
      <c r="H187" s="425">
        <v>7448584</v>
      </c>
      <c r="I187" s="425">
        <v>27065</v>
      </c>
      <c r="J187" s="603">
        <v>39146</v>
      </c>
      <c r="K187" s="425" t="s">
        <v>181</v>
      </c>
      <c r="L187" s="429" t="s">
        <v>530</v>
      </c>
    </row>
    <row r="188" spans="1:12" ht="25.5" hidden="1" x14ac:dyDescent="0.25">
      <c r="A188" s="589">
        <v>360</v>
      </c>
      <c r="B188" s="591" t="s">
        <v>744</v>
      </c>
      <c r="C188" s="424"/>
      <c r="D188" s="425" t="s">
        <v>1084</v>
      </c>
      <c r="E188" s="602" t="s">
        <v>1085</v>
      </c>
      <c r="F188" s="425" t="s">
        <v>1086</v>
      </c>
      <c r="G188" s="604" t="s">
        <v>1087</v>
      </c>
      <c r="H188" s="425" t="s">
        <v>1088</v>
      </c>
      <c r="I188" s="425">
        <v>92127</v>
      </c>
      <c r="J188" s="603"/>
      <c r="K188" s="425" t="s">
        <v>1089</v>
      </c>
      <c r="L188" s="429" t="s">
        <v>1246</v>
      </c>
    </row>
    <row r="189" spans="1:12" ht="38.25" hidden="1" x14ac:dyDescent="0.25">
      <c r="A189" s="589">
        <v>139</v>
      </c>
      <c r="B189" s="591" t="s">
        <v>502</v>
      </c>
      <c r="C189" s="424"/>
      <c r="D189" s="425" t="s">
        <v>1090</v>
      </c>
      <c r="E189" s="602">
        <v>6992689</v>
      </c>
      <c r="F189" s="425" t="s">
        <v>505</v>
      </c>
      <c r="G189" s="604" t="s">
        <v>504</v>
      </c>
      <c r="H189" s="425">
        <v>9169592</v>
      </c>
      <c r="I189" s="425">
        <v>5711</v>
      </c>
      <c r="J189" s="603">
        <v>40962</v>
      </c>
      <c r="K189" s="425" t="s">
        <v>85</v>
      </c>
      <c r="L189" s="429" t="s">
        <v>530</v>
      </c>
    </row>
    <row r="190" spans="1:12" ht="38.25" hidden="1" x14ac:dyDescent="0.25">
      <c r="A190" s="589">
        <v>71</v>
      </c>
      <c r="B190" s="591" t="s">
        <v>745</v>
      </c>
      <c r="C190" s="424"/>
      <c r="D190" s="425" t="s">
        <v>1091</v>
      </c>
      <c r="E190" s="602">
        <v>65522622</v>
      </c>
      <c r="F190" s="425" t="s">
        <v>1092</v>
      </c>
      <c r="G190" s="604" t="s">
        <v>1093</v>
      </c>
      <c r="H190" s="425">
        <v>7810874</v>
      </c>
      <c r="I190" s="425">
        <v>33453</v>
      </c>
      <c r="J190" s="603">
        <v>39588</v>
      </c>
      <c r="K190" s="425" t="s">
        <v>394</v>
      </c>
      <c r="L190" s="429" t="s">
        <v>530</v>
      </c>
    </row>
    <row r="191" spans="1:12" ht="25.5" hidden="1" x14ac:dyDescent="0.25">
      <c r="A191" s="589">
        <v>280</v>
      </c>
      <c r="B191" s="591" t="s">
        <v>100</v>
      </c>
      <c r="C191" s="424"/>
      <c r="D191" s="425" t="s">
        <v>507</v>
      </c>
      <c r="E191" s="602">
        <v>40220983</v>
      </c>
      <c r="F191" s="425" t="s">
        <v>101</v>
      </c>
      <c r="G191" s="604" t="s">
        <v>102</v>
      </c>
      <c r="H191" s="425">
        <v>8503543</v>
      </c>
      <c r="I191" s="425">
        <v>43287</v>
      </c>
      <c r="J191" s="603">
        <v>40375</v>
      </c>
      <c r="K191" s="425" t="s">
        <v>103</v>
      </c>
      <c r="L191" s="429" t="s">
        <v>530</v>
      </c>
    </row>
    <row r="192" spans="1:12" ht="25.5" hidden="1" x14ac:dyDescent="0.25">
      <c r="A192" s="589">
        <v>346</v>
      </c>
      <c r="B192" s="591" t="s">
        <v>746</v>
      </c>
      <c r="C192" s="424"/>
      <c r="D192" s="425" t="s">
        <v>508</v>
      </c>
      <c r="E192" s="602">
        <v>25073265</v>
      </c>
      <c r="F192" s="425" t="s">
        <v>1094</v>
      </c>
      <c r="G192" s="604" t="s">
        <v>1095</v>
      </c>
      <c r="H192" s="425">
        <v>5850898</v>
      </c>
      <c r="I192" s="425">
        <v>86875</v>
      </c>
      <c r="J192" s="603">
        <v>43225</v>
      </c>
      <c r="K192" s="425" t="s">
        <v>1096</v>
      </c>
      <c r="L192" s="429" t="s">
        <v>530</v>
      </c>
    </row>
    <row r="193" spans="1:12" ht="51" hidden="1" x14ac:dyDescent="0.25">
      <c r="A193" s="589">
        <v>267</v>
      </c>
      <c r="B193" s="591" t="s">
        <v>747</v>
      </c>
      <c r="C193" s="424"/>
      <c r="D193" s="425" t="s">
        <v>1097</v>
      </c>
      <c r="E193" s="602">
        <v>6522379</v>
      </c>
      <c r="F193" s="425" t="s">
        <v>1098</v>
      </c>
      <c r="G193" s="604" t="s">
        <v>1099</v>
      </c>
      <c r="H193" s="425">
        <v>7757951</v>
      </c>
      <c r="I193" s="425">
        <v>32467</v>
      </c>
      <c r="J193" s="603">
        <v>39524</v>
      </c>
      <c r="K193" s="425" t="s">
        <v>1100</v>
      </c>
      <c r="L193" s="429" t="s">
        <v>530</v>
      </c>
    </row>
    <row r="194" spans="1:12" ht="38.25" hidden="1" x14ac:dyDescent="0.25">
      <c r="A194" s="589">
        <v>38</v>
      </c>
      <c r="B194" s="591" t="s">
        <v>280</v>
      </c>
      <c r="C194" s="424"/>
      <c r="D194" s="425" t="s">
        <v>281</v>
      </c>
      <c r="E194" s="602" t="s">
        <v>282</v>
      </c>
      <c r="F194" s="425">
        <v>45397545</v>
      </c>
      <c r="G194" s="604" t="s">
        <v>283</v>
      </c>
      <c r="H194" s="425">
        <v>7143233</v>
      </c>
      <c r="I194" s="425">
        <v>22137</v>
      </c>
      <c r="J194" s="603">
        <v>38770</v>
      </c>
      <c r="K194" s="425" t="s">
        <v>284</v>
      </c>
      <c r="L194" s="429" t="s">
        <v>603</v>
      </c>
    </row>
    <row r="195" spans="1:12" ht="38.25" hidden="1" x14ac:dyDescent="0.25">
      <c r="A195" s="589">
        <v>146</v>
      </c>
      <c r="B195" s="591" t="s">
        <v>402</v>
      </c>
      <c r="C195" s="424"/>
      <c r="D195" s="425" t="s">
        <v>403</v>
      </c>
      <c r="E195" s="602" t="s">
        <v>404</v>
      </c>
      <c r="F195" s="425">
        <v>36336501</v>
      </c>
      <c r="G195" s="604" t="s">
        <v>405</v>
      </c>
      <c r="H195" s="425">
        <v>9101536</v>
      </c>
      <c r="I195" s="425">
        <v>300943</v>
      </c>
      <c r="J195" s="603">
        <v>41061</v>
      </c>
      <c r="K195" s="425" t="s">
        <v>406</v>
      </c>
      <c r="L195" s="429" t="s">
        <v>603</v>
      </c>
    </row>
    <row r="196" spans="1:12" ht="51" hidden="1" x14ac:dyDescent="0.25">
      <c r="A196" s="589">
        <v>10</v>
      </c>
      <c r="B196" s="591" t="s">
        <v>133</v>
      </c>
      <c r="C196" s="424" t="s">
        <v>618</v>
      </c>
      <c r="D196" s="425" t="s">
        <v>134</v>
      </c>
      <c r="E196" s="602">
        <v>70500275</v>
      </c>
      <c r="F196" s="425">
        <v>47503803</v>
      </c>
      <c r="G196" s="604" t="s">
        <v>135</v>
      </c>
      <c r="H196" s="425">
        <v>4161494</v>
      </c>
      <c r="I196" s="425">
        <v>117816</v>
      </c>
      <c r="J196" s="603">
        <v>36526</v>
      </c>
      <c r="K196" s="425" t="s">
        <v>136</v>
      </c>
      <c r="L196" s="429" t="s">
        <v>603</v>
      </c>
    </row>
    <row r="197" spans="1:12" ht="38.25" hidden="1" x14ac:dyDescent="0.25">
      <c r="A197" s="589">
        <v>42</v>
      </c>
      <c r="B197" s="591" t="s">
        <v>269</v>
      </c>
      <c r="C197" s="424"/>
      <c r="D197" s="425" t="s">
        <v>270</v>
      </c>
      <c r="E197" s="602" t="s">
        <v>271</v>
      </c>
      <c r="F197" s="425">
        <v>45397821</v>
      </c>
      <c r="G197" s="604" t="s">
        <v>272</v>
      </c>
      <c r="H197" s="425">
        <v>7381726</v>
      </c>
      <c r="I197" s="425">
        <v>25661</v>
      </c>
      <c r="J197" s="603">
        <v>38930</v>
      </c>
      <c r="K197" s="425" t="s">
        <v>273</v>
      </c>
      <c r="L197" s="429" t="s">
        <v>603</v>
      </c>
    </row>
    <row r="198" spans="1:12" ht="38.25" hidden="1" x14ac:dyDescent="0.25">
      <c r="A198" s="589">
        <v>170</v>
      </c>
      <c r="B198" s="591" t="s">
        <v>33</v>
      </c>
      <c r="C198" s="424" t="s">
        <v>618</v>
      </c>
      <c r="D198" s="425" t="s">
        <v>34</v>
      </c>
      <c r="E198" s="602">
        <v>14447156</v>
      </c>
      <c r="F198" s="425">
        <v>67325142</v>
      </c>
      <c r="G198" s="604" t="s">
        <v>35</v>
      </c>
      <c r="H198" s="425" t="s">
        <v>68</v>
      </c>
      <c r="I198" s="425">
        <v>114626</v>
      </c>
      <c r="J198" s="603">
        <v>41479</v>
      </c>
      <c r="K198" s="425" t="s">
        <v>36</v>
      </c>
      <c r="L198" s="429" t="s">
        <v>603</v>
      </c>
    </row>
    <row r="199" spans="1:12" ht="25.5" hidden="1" x14ac:dyDescent="0.25">
      <c r="A199" s="589">
        <v>220</v>
      </c>
      <c r="B199" s="591" t="s">
        <v>93</v>
      </c>
      <c r="C199" s="424"/>
      <c r="D199" s="425" t="s">
        <v>94</v>
      </c>
      <c r="E199" s="602">
        <v>40111377</v>
      </c>
      <c r="F199" s="425">
        <v>64093725</v>
      </c>
      <c r="G199" s="604" t="s">
        <v>95</v>
      </c>
      <c r="H199" s="425">
        <v>8115819</v>
      </c>
      <c r="I199" s="425">
        <v>38513</v>
      </c>
      <c r="J199" s="603"/>
      <c r="K199" s="425" t="s">
        <v>96</v>
      </c>
      <c r="L199" s="429" t="s">
        <v>603</v>
      </c>
    </row>
    <row r="200" spans="1:12" ht="38.25" hidden="1" x14ac:dyDescent="0.25">
      <c r="A200" s="589">
        <v>114</v>
      </c>
      <c r="B200" s="591" t="s">
        <v>190</v>
      </c>
      <c r="C200" s="424"/>
      <c r="D200" s="425" t="s">
        <v>191</v>
      </c>
      <c r="E200" s="602" t="s">
        <v>192</v>
      </c>
      <c r="F200" s="425">
        <v>67395693</v>
      </c>
      <c r="G200" s="604" t="s">
        <v>193</v>
      </c>
      <c r="H200" s="425">
        <v>8657449</v>
      </c>
      <c r="I200" s="425">
        <v>46051</v>
      </c>
      <c r="J200" s="603">
        <v>40544</v>
      </c>
      <c r="K200" s="425" t="s">
        <v>194</v>
      </c>
      <c r="L200" s="429" t="s">
        <v>603</v>
      </c>
    </row>
    <row r="201" spans="1:12" ht="63.75" hidden="1" x14ac:dyDescent="0.25">
      <c r="A201" s="589">
        <v>137</v>
      </c>
      <c r="B201" s="591" t="s">
        <v>196</v>
      </c>
      <c r="C201" s="424"/>
      <c r="D201" s="425" t="s">
        <v>197</v>
      </c>
      <c r="E201" s="602" t="s">
        <v>198</v>
      </c>
      <c r="F201" s="425">
        <v>92110107</v>
      </c>
      <c r="G201" s="604" t="s">
        <v>199</v>
      </c>
      <c r="H201" s="425">
        <v>8972988</v>
      </c>
      <c r="I201" s="425">
        <v>50083</v>
      </c>
      <c r="J201" s="603">
        <v>40909</v>
      </c>
      <c r="K201" s="425" t="s">
        <v>200</v>
      </c>
      <c r="L201" s="429" t="s">
        <v>603</v>
      </c>
    </row>
    <row r="202" spans="1:12" ht="38.25" hidden="1" x14ac:dyDescent="0.25">
      <c r="A202" s="589">
        <v>86</v>
      </c>
      <c r="B202" s="591" t="s">
        <v>217</v>
      </c>
      <c r="C202" s="424"/>
      <c r="D202" s="425" t="s">
        <v>218</v>
      </c>
      <c r="E202" s="602">
        <v>40291229</v>
      </c>
      <c r="F202" s="425">
        <v>64800258</v>
      </c>
      <c r="G202" s="604" t="s">
        <v>219</v>
      </c>
      <c r="H202" s="425">
        <v>8027519</v>
      </c>
      <c r="I202" s="425">
        <v>37091</v>
      </c>
      <c r="J202" s="603">
        <v>39860</v>
      </c>
      <c r="K202" s="425" t="s">
        <v>220</v>
      </c>
      <c r="L202" s="429" t="s">
        <v>603</v>
      </c>
    </row>
    <row r="203" spans="1:12" ht="51" hidden="1" x14ac:dyDescent="0.25">
      <c r="A203" s="589">
        <v>96</v>
      </c>
      <c r="B203" s="591" t="s">
        <v>19</v>
      </c>
      <c r="C203" s="424"/>
      <c r="D203" s="425" t="s">
        <v>20</v>
      </c>
      <c r="E203" s="602" t="s">
        <v>21</v>
      </c>
      <c r="F203" s="425">
        <v>47999830</v>
      </c>
      <c r="G203" s="604" t="s">
        <v>22</v>
      </c>
      <c r="H203" s="425">
        <v>8161177</v>
      </c>
      <c r="I203" s="425">
        <v>39403</v>
      </c>
      <c r="J203" s="603">
        <v>40079</v>
      </c>
      <c r="K203" s="425" t="s">
        <v>23</v>
      </c>
      <c r="L203" s="429" t="s">
        <v>603</v>
      </c>
    </row>
    <row r="204" spans="1:12" ht="38.25" hidden="1" x14ac:dyDescent="0.25">
      <c r="A204" s="589">
        <v>92</v>
      </c>
      <c r="B204" s="591" t="s">
        <v>446</v>
      </c>
      <c r="C204" s="424"/>
      <c r="D204" s="425" t="s">
        <v>447</v>
      </c>
      <c r="E204" s="602" t="s">
        <v>448</v>
      </c>
      <c r="F204" s="425">
        <v>47990063</v>
      </c>
      <c r="G204" s="604" t="s">
        <v>449</v>
      </c>
      <c r="H204" s="425">
        <v>8161036</v>
      </c>
      <c r="I204" s="425">
        <v>39233</v>
      </c>
      <c r="J204" s="603">
        <v>40021</v>
      </c>
      <c r="K204" s="425" t="s">
        <v>40</v>
      </c>
      <c r="L204" s="429" t="s">
        <v>603</v>
      </c>
    </row>
    <row r="205" spans="1:12" ht="25.5" hidden="1" x14ac:dyDescent="0.25">
      <c r="A205" s="589">
        <v>39</v>
      </c>
      <c r="B205" s="591" t="s">
        <v>207</v>
      </c>
      <c r="C205" s="424"/>
      <c r="D205" s="425" t="s">
        <v>208</v>
      </c>
      <c r="E205" s="602" t="s">
        <v>209</v>
      </c>
      <c r="F205" s="425">
        <v>45990068</v>
      </c>
      <c r="G205" s="604" t="s">
        <v>210</v>
      </c>
      <c r="H205" s="425">
        <v>7215561</v>
      </c>
      <c r="I205" s="425">
        <v>22661</v>
      </c>
      <c r="J205" s="603">
        <v>38777</v>
      </c>
      <c r="K205" s="425" t="s">
        <v>211</v>
      </c>
      <c r="L205" s="429" t="s">
        <v>603</v>
      </c>
    </row>
    <row r="206" spans="1:12" ht="38.25" hidden="1" x14ac:dyDescent="0.25">
      <c r="A206" s="589">
        <v>21</v>
      </c>
      <c r="B206" s="591" t="s">
        <v>212</v>
      </c>
      <c r="C206" s="424"/>
      <c r="D206" s="425" t="s">
        <v>213</v>
      </c>
      <c r="E206" s="602" t="s">
        <v>214</v>
      </c>
      <c r="F206" s="425">
        <v>53099012</v>
      </c>
      <c r="G206" s="604" t="s">
        <v>215</v>
      </c>
      <c r="H206" s="425">
        <v>6730502</v>
      </c>
      <c r="I206" s="425">
        <v>17627</v>
      </c>
      <c r="J206" s="603">
        <v>38080</v>
      </c>
      <c r="K206" s="425" t="s">
        <v>216</v>
      </c>
      <c r="L206" s="429" t="s">
        <v>603</v>
      </c>
    </row>
    <row r="207" spans="1:12" ht="38.25" hidden="1" x14ac:dyDescent="0.25">
      <c r="A207" s="589">
        <v>36</v>
      </c>
      <c r="B207" s="591" t="s">
        <v>314</v>
      </c>
      <c r="C207" s="424"/>
      <c r="D207" s="425" t="s">
        <v>315</v>
      </c>
      <c r="E207" s="602" t="s">
        <v>316</v>
      </c>
      <c r="F207" s="425">
        <v>64094768</v>
      </c>
      <c r="G207" s="604" t="s">
        <v>317</v>
      </c>
      <c r="H207" s="425">
        <v>7091929</v>
      </c>
      <c r="I207" s="425">
        <v>21785</v>
      </c>
      <c r="J207" s="603">
        <v>38734</v>
      </c>
      <c r="K207" s="425" t="s">
        <v>40</v>
      </c>
      <c r="L207" s="429" t="s">
        <v>603</v>
      </c>
    </row>
    <row r="208" spans="1:12" ht="38.25" hidden="1" x14ac:dyDescent="0.25">
      <c r="A208" s="589">
        <v>226</v>
      </c>
      <c r="B208" s="591" t="s">
        <v>14</v>
      </c>
      <c r="C208" s="424"/>
      <c r="D208" s="425" t="s">
        <v>15</v>
      </c>
      <c r="E208" s="602" t="s">
        <v>16</v>
      </c>
      <c r="F208" s="425">
        <v>47514251</v>
      </c>
      <c r="G208" s="604" t="s">
        <v>17</v>
      </c>
      <c r="H208" s="425">
        <v>4631223</v>
      </c>
      <c r="I208" s="425">
        <v>71075</v>
      </c>
      <c r="J208" s="603">
        <v>42306</v>
      </c>
      <c r="K208" s="425" t="s">
        <v>18</v>
      </c>
      <c r="L208" s="429" t="s">
        <v>603</v>
      </c>
    </row>
    <row r="209" spans="1:12" ht="51" hidden="1" x14ac:dyDescent="0.25">
      <c r="A209" s="589">
        <v>156</v>
      </c>
      <c r="B209" s="591" t="s">
        <v>368</v>
      </c>
      <c r="C209" s="424"/>
      <c r="D209" s="425" t="s">
        <v>369</v>
      </c>
      <c r="E209" s="602" t="s">
        <v>370</v>
      </c>
      <c r="F209" s="425">
        <v>64095342</v>
      </c>
      <c r="G209" s="604" t="s">
        <v>371</v>
      </c>
      <c r="H209" s="425">
        <v>9276199</v>
      </c>
      <c r="I209" s="425">
        <v>54185</v>
      </c>
      <c r="J209" s="603">
        <v>41178</v>
      </c>
      <c r="K209" s="425" t="s">
        <v>372</v>
      </c>
      <c r="L209" s="429" t="s">
        <v>603</v>
      </c>
    </row>
    <row r="210" spans="1:12" ht="25.5" hidden="1" x14ac:dyDescent="0.25">
      <c r="A210" s="589">
        <v>284</v>
      </c>
      <c r="B210" s="591" t="s">
        <v>464</v>
      </c>
      <c r="C210" s="424"/>
      <c r="D210" s="425" t="s">
        <v>465</v>
      </c>
      <c r="E210" s="602" t="s">
        <v>466</v>
      </c>
      <c r="F210" s="425">
        <v>47919092</v>
      </c>
      <c r="G210" s="604" t="s">
        <v>467</v>
      </c>
      <c r="H210" s="425">
        <v>4816990</v>
      </c>
      <c r="I210" s="425">
        <v>73537</v>
      </c>
      <c r="J210" s="603">
        <v>42437</v>
      </c>
      <c r="K210" s="425" t="s">
        <v>468</v>
      </c>
      <c r="L210" s="429" t="s">
        <v>603</v>
      </c>
    </row>
    <row r="211" spans="1:12" ht="51" hidden="1" x14ac:dyDescent="0.25">
      <c r="A211" s="589">
        <v>261</v>
      </c>
      <c r="B211" s="591" t="s">
        <v>169</v>
      </c>
      <c r="C211" s="424"/>
      <c r="D211" s="425" t="s">
        <v>170</v>
      </c>
      <c r="E211" s="602" t="s">
        <v>171</v>
      </c>
      <c r="F211" s="425">
        <v>64809752</v>
      </c>
      <c r="G211" s="604" t="s">
        <v>172</v>
      </c>
      <c r="H211" s="425">
        <v>4933900</v>
      </c>
      <c r="I211" s="425">
        <v>75351</v>
      </c>
      <c r="J211" s="603">
        <v>42515</v>
      </c>
      <c r="K211" s="425" t="s">
        <v>173</v>
      </c>
      <c r="L211" s="429" t="s">
        <v>603</v>
      </c>
    </row>
    <row r="212" spans="1:12" ht="38.25" hidden="1" x14ac:dyDescent="0.25">
      <c r="A212" s="589">
        <v>118</v>
      </c>
      <c r="B212" s="591" t="s">
        <v>748</v>
      </c>
      <c r="C212" s="424"/>
      <c r="D212" s="425" t="s">
        <v>1101</v>
      </c>
      <c r="E212" s="602" t="s">
        <v>1102</v>
      </c>
      <c r="F212" s="425">
        <v>47922289</v>
      </c>
      <c r="G212" s="604" t="s">
        <v>1103</v>
      </c>
      <c r="H212" s="425">
        <v>5146974</v>
      </c>
      <c r="I212" s="425">
        <v>76789</v>
      </c>
      <c r="J212" s="603">
        <v>42614</v>
      </c>
      <c r="K212" s="425" t="s">
        <v>194</v>
      </c>
      <c r="L212" s="429" t="s">
        <v>603</v>
      </c>
    </row>
    <row r="213" spans="1:12" ht="38.25" hidden="1" x14ac:dyDescent="0.25">
      <c r="A213" s="589">
        <v>235</v>
      </c>
      <c r="B213" s="591" t="s">
        <v>204</v>
      </c>
      <c r="C213" s="424"/>
      <c r="D213" s="425" t="s">
        <v>205</v>
      </c>
      <c r="E213" s="602">
        <v>15275607</v>
      </c>
      <c r="F213" s="425" t="s">
        <v>1104</v>
      </c>
      <c r="G213" s="604" t="s">
        <v>206</v>
      </c>
      <c r="H213" s="425">
        <v>4561389</v>
      </c>
      <c r="I213" s="425">
        <v>70145</v>
      </c>
      <c r="J213" s="603">
        <v>42228</v>
      </c>
      <c r="K213" s="425" t="s">
        <v>1105</v>
      </c>
      <c r="L213" s="429" t="s">
        <v>603</v>
      </c>
    </row>
    <row r="214" spans="1:12" ht="25.5" hidden="1" x14ac:dyDescent="0.25">
      <c r="A214" s="589">
        <v>386</v>
      </c>
      <c r="B214" s="591" t="s">
        <v>749</v>
      </c>
      <c r="C214" s="424"/>
      <c r="D214" s="425" t="s">
        <v>1106</v>
      </c>
      <c r="E214" s="602">
        <v>34498210</v>
      </c>
      <c r="F214" s="425" t="s">
        <v>1107</v>
      </c>
      <c r="G214" s="604" t="s">
        <v>1108</v>
      </c>
      <c r="H214" s="425">
        <v>1455712</v>
      </c>
      <c r="I214" s="425">
        <v>96251</v>
      </c>
      <c r="J214" s="603">
        <v>43578</v>
      </c>
      <c r="K214" s="425" t="s">
        <v>1109</v>
      </c>
      <c r="L214" s="429" t="s">
        <v>603</v>
      </c>
    </row>
    <row r="215" spans="1:12" hidden="1" x14ac:dyDescent="0.25">
      <c r="A215" s="589">
        <v>337</v>
      </c>
      <c r="B215" s="591" t="s">
        <v>750</v>
      </c>
      <c r="C215" s="424"/>
      <c r="D215" s="425"/>
      <c r="E215" s="602"/>
      <c r="F215" s="425"/>
      <c r="G215" s="604"/>
      <c r="H215" s="425"/>
      <c r="I215" s="425"/>
      <c r="J215" s="603"/>
      <c r="K215" s="425"/>
      <c r="L215" s="429" t="s">
        <v>603</v>
      </c>
    </row>
    <row r="216" spans="1:12" ht="38.25" hidden="1" x14ac:dyDescent="0.25">
      <c r="A216" s="589">
        <v>165</v>
      </c>
      <c r="B216" s="591" t="s">
        <v>751</v>
      </c>
      <c r="C216" s="424"/>
      <c r="D216" s="425" t="s">
        <v>1110</v>
      </c>
      <c r="E216" s="602">
        <v>6528131</v>
      </c>
      <c r="F216" s="425">
        <v>67190916</v>
      </c>
      <c r="G216" s="604" t="s">
        <v>195</v>
      </c>
      <c r="H216" s="425">
        <v>9576614</v>
      </c>
      <c r="I216" s="425">
        <v>57533</v>
      </c>
      <c r="J216" s="603">
        <v>41416</v>
      </c>
      <c r="K216" s="425" t="s">
        <v>1111</v>
      </c>
      <c r="L216" s="429" t="s">
        <v>539</v>
      </c>
    </row>
    <row r="217" spans="1:12" ht="25.5" hidden="1" x14ac:dyDescent="0.25">
      <c r="A217" s="589">
        <v>168</v>
      </c>
      <c r="B217" s="591" t="s">
        <v>752</v>
      </c>
      <c r="C217" s="424"/>
      <c r="D217" s="425" t="s">
        <v>1112</v>
      </c>
      <c r="E217" s="602">
        <v>6528261</v>
      </c>
      <c r="F217" s="425">
        <v>64095416</v>
      </c>
      <c r="G217" s="604" t="s">
        <v>132</v>
      </c>
      <c r="H217" s="425">
        <v>9642142</v>
      </c>
      <c r="I217" s="425">
        <v>57961</v>
      </c>
      <c r="J217" s="603">
        <v>41445</v>
      </c>
      <c r="K217" s="425" t="s">
        <v>1113</v>
      </c>
      <c r="L217" s="429" t="s">
        <v>539</v>
      </c>
    </row>
    <row r="218" spans="1:12" ht="38.25" hidden="1" x14ac:dyDescent="0.25">
      <c r="A218" s="589">
        <v>112</v>
      </c>
      <c r="B218" s="591" t="s">
        <v>753</v>
      </c>
      <c r="C218" s="424"/>
      <c r="D218" s="425" t="s">
        <v>226</v>
      </c>
      <c r="E218" s="602">
        <v>6525117</v>
      </c>
      <c r="F218" s="425">
        <v>67190623</v>
      </c>
      <c r="G218" s="604" t="s">
        <v>1114</v>
      </c>
      <c r="H218" s="425">
        <v>8524606</v>
      </c>
      <c r="I218" s="425">
        <v>45021</v>
      </c>
      <c r="J218" s="603">
        <v>40529</v>
      </c>
      <c r="K218" s="425" t="s">
        <v>1115</v>
      </c>
      <c r="L218" s="429" t="s">
        <v>539</v>
      </c>
    </row>
    <row r="219" spans="1:12" ht="63.75" hidden="1" x14ac:dyDescent="0.25">
      <c r="A219" s="589">
        <v>73</v>
      </c>
      <c r="B219" s="591" t="s">
        <v>239</v>
      </c>
      <c r="C219" s="424"/>
      <c r="D219" s="425" t="s">
        <v>1116</v>
      </c>
      <c r="E219" s="602">
        <v>6522808</v>
      </c>
      <c r="F219" s="425">
        <v>46419011</v>
      </c>
      <c r="G219" s="604" t="s">
        <v>1117</v>
      </c>
      <c r="H219" s="425">
        <v>7868782</v>
      </c>
      <c r="I219" s="425">
        <v>34379</v>
      </c>
      <c r="J219" s="603">
        <v>39595</v>
      </c>
      <c r="K219" s="425" t="s">
        <v>1118</v>
      </c>
      <c r="L219" s="429" t="s">
        <v>539</v>
      </c>
    </row>
    <row r="220" spans="1:12" hidden="1" x14ac:dyDescent="0.25">
      <c r="A220" s="589">
        <v>40</v>
      </c>
      <c r="B220" s="591" t="s">
        <v>754</v>
      </c>
      <c r="C220" s="424"/>
      <c r="D220" s="425" t="s">
        <v>1119</v>
      </c>
      <c r="E220" s="602">
        <v>6508796</v>
      </c>
      <c r="F220" s="425">
        <v>46220115</v>
      </c>
      <c r="G220" s="604" t="s">
        <v>1120</v>
      </c>
      <c r="H220" s="425">
        <v>7235014</v>
      </c>
      <c r="I220" s="425">
        <v>22885</v>
      </c>
      <c r="J220" s="603">
        <v>38808</v>
      </c>
      <c r="K220" s="425" t="s">
        <v>1121</v>
      </c>
      <c r="L220" s="429" t="s">
        <v>539</v>
      </c>
    </row>
    <row r="221" spans="1:12" ht="114.75" hidden="1" x14ac:dyDescent="0.25">
      <c r="A221" s="589">
        <v>136</v>
      </c>
      <c r="B221" s="591" t="s">
        <v>755</v>
      </c>
      <c r="C221" s="424"/>
      <c r="D221" s="425" t="s">
        <v>1122</v>
      </c>
      <c r="E221" s="602">
        <v>6526084</v>
      </c>
      <c r="F221" s="425">
        <v>47557269</v>
      </c>
      <c r="G221" s="604" t="s">
        <v>1123</v>
      </c>
      <c r="H221" s="425">
        <v>8957625</v>
      </c>
      <c r="I221" s="425">
        <v>49621</v>
      </c>
      <c r="J221" s="603">
        <v>40869</v>
      </c>
      <c r="K221" s="425" t="s">
        <v>1124</v>
      </c>
      <c r="L221" s="429" t="s">
        <v>539</v>
      </c>
    </row>
    <row r="222" spans="1:12" hidden="1" x14ac:dyDescent="0.25">
      <c r="A222" s="589">
        <v>278</v>
      </c>
      <c r="B222" s="591" t="s">
        <v>535</v>
      </c>
      <c r="C222" s="424"/>
      <c r="D222" s="425" t="s">
        <v>1125</v>
      </c>
      <c r="E222" s="602">
        <v>18737402</v>
      </c>
      <c r="F222" s="425">
        <v>64494486</v>
      </c>
      <c r="G222" s="604" t="s">
        <v>1126</v>
      </c>
      <c r="H222" s="425">
        <v>4757003</v>
      </c>
      <c r="I222" s="425" t="s">
        <v>1127</v>
      </c>
      <c r="J222" s="603">
        <v>42394</v>
      </c>
      <c r="K222" s="425" t="s">
        <v>1128</v>
      </c>
      <c r="L222" s="429" t="s">
        <v>539</v>
      </c>
    </row>
    <row r="223" spans="1:12" ht="25.5" hidden="1" x14ac:dyDescent="0.25">
      <c r="A223" s="589">
        <v>279</v>
      </c>
      <c r="B223" s="591" t="s">
        <v>537</v>
      </c>
      <c r="C223" s="424"/>
      <c r="D223" s="425" t="s">
        <v>1129</v>
      </c>
      <c r="E223" s="602">
        <v>6503420</v>
      </c>
      <c r="F223" s="425">
        <v>46201140</v>
      </c>
      <c r="G223" s="604" t="s">
        <v>1130</v>
      </c>
      <c r="H223" s="425">
        <v>6057964</v>
      </c>
      <c r="I223" s="425" t="s">
        <v>1131</v>
      </c>
      <c r="J223" s="603">
        <v>36061</v>
      </c>
      <c r="K223" s="425" t="s">
        <v>1132</v>
      </c>
      <c r="L223" s="429" t="s">
        <v>539</v>
      </c>
    </row>
    <row r="224" spans="1:12" ht="51" hidden="1" x14ac:dyDescent="0.25">
      <c r="A224" s="589">
        <v>302</v>
      </c>
      <c r="B224" s="591" t="s">
        <v>756</v>
      </c>
      <c r="C224" s="424"/>
      <c r="D224" s="425" t="s">
        <v>1133</v>
      </c>
      <c r="E224" s="602">
        <v>20700751</v>
      </c>
      <c r="F224" s="425">
        <v>92101746</v>
      </c>
      <c r="G224" s="604" t="s">
        <v>1134</v>
      </c>
      <c r="H224" s="425">
        <v>5246782</v>
      </c>
      <c r="I224" s="425" t="s">
        <v>1135</v>
      </c>
      <c r="J224" s="603">
        <v>42657</v>
      </c>
      <c r="K224" s="425" t="s">
        <v>1136</v>
      </c>
      <c r="L224" s="429" t="s">
        <v>1246</v>
      </c>
    </row>
    <row r="225" spans="1:12" ht="38.25" hidden="1" x14ac:dyDescent="0.25">
      <c r="A225" s="589">
        <v>327</v>
      </c>
      <c r="B225" s="591" t="s">
        <v>757</v>
      </c>
      <c r="C225" s="424"/>
      <c r="D225" s="425" t="s">
        <v>1137</v>
      </c>
      <c r="E225" s="602">
        <v>24814926</v>
      </c>
      <c r="F225" s="425">
        <v>53049243</v>
      </c>
      <c r="G225" s="604" t="s">
        <v>1138</v>
      </c>
      <c r="H225" s="425">
        <v>5565728</v>
      </c>
      <c r="I225" s="425">
        <v>82809</v>
      </c>
      <c r="J225" s="603">
        <v>42887</v>
      </c>
      <c r="K225" s="425" t="s">
        <v>1139</v>
      </c>
      <c r="L225" s="429" t="s">
        <v>539</v>
      </c>
    </row>
    <row r="226" spans="1:12" ht="25.5" hidden="1" x14ac:dyDescent="0.25">
      <c r="A226" s="589">
        <v>338</v>
      </c>
      <c r="B226" s="591" t="s">
        <v>758</v>
      </c>
      <c r="C226" s="424"/>
      <c r="D226" s="425" t="s">
        <v>1140</v>
      </c>
      <c r="E226" s="602">
        <v>25001825</v>
      </c>
      <c r="F226" s="425">
        <v>47520019</v>
      </c>
      <c r="G226" s="604" t="s">
        <v>1141</v>
      </c>
      <c r="H226" s="425">
        <v>5772464</v>
      </c>
      <c r="I226" s="425">
        <v>85855</v>
      </c>
      <c r="J226" s="603">
        <v>43102</v>
      </c>
      <c r="K226" s="425" t="s">
        <v>1142</v>
      </c>
      <c r="L226" s="429" t="s">
        <v>1246</v>
      </c>
    </row>
    <row r="227" spans="1:12" ht="25.5" hidden="1" x14ac:dyDescent="0.25">
      <c r="A227" s="589">
        <v>29</v>
      </c>
      <c r="B227" s="591" t="s">
        <v>240</v>
      </c>
      <c r="C227" s="424"/>
      <c r="D227" s="425" t="s">
        <v>1143</v>
      </c>
      <c r="E227" s="602">
        <v>3304069</v>
      </c>
      <c r="F227" s="425">
        <v>45189723</v>
      </c>
      <c r="G227" s="604" t="s">
        <v>241</v>
      </c>
      <c r="H227" s="425">
        <v>6901187</v>
      </c>
      <c r="I227" s="425">
        <v>62899</v>
      </c>
      <c r="J227" s="603">
        <v>38406</v>
      </c>
      <c r="K227" s="425" t="s">
        <v>242</v>
      </c>
      <c r="L227" s="429" t="s">
        <v>539</v>
      </c>
    </row>
    <row r="228" spans="1:12" ht="25.5" hidden="1" x14ac:dyDescent="0.25">
      <c r="A228" s="589">
        <v>202</v>
      </c>
      <c r="B228" s="591" t="s">
        <v>759</v>
      </c>
      <c r="C228" s="424"/>
      <c r="D228" s="425" t="s">
        <v>1144</v>
      </c>
      <c r="E228" s="602">
        <v>15202336</v>
      </c>
      <c r="F228" s="425">
        <v>45790388</v>
      </c>
      <c r="G228" s="604" t="s">
        <v>299</v>
      </c>
      <c r="H228" s="425">
        <v>4242492</v>
      </c>
      <c r="I228" s="425">
        <v>65125</v>
      </c>
      <c r="J228" s="603">
        <v>41942</v>
      </c>
      <c r="K228" s="425" t="s">
        <v>1145</v>
      </c>
      <c r="L228" s="429" t="s">
        <v>539</v>
      </c>
    </row>
    <row r="229" spans="1:12" ht="63" hidden="1" x14ac:dyDescent="0.25">
      <c r="A229" s="589">
        <v>228</v>
      </c>
      <c r="B229" s="591" t="s">
        <v>303</v>
      </c>
      <c r="C229" s="424"/>
      <c r="D229" s="425" t="s">
        <v>1146</v>
      </c>
      <c r="E229" s="602">
        <v>15223669</v>
      </c>
      <c r="F229" s="425">
        <v>64095792</v>
      </c>
      <c r="G229" s="604" t="s">
        <v>304</v>
      </c>
      <c r="H229" s="425">
        <v>4323101</v>
      </c>
      <c r="I229" s="425">
        <v>66579</v>
      </c>
      <c r="J229" s="603">
        <v>41774</v>
      </c>
      <c r="K229" s="425" t="s">
        <v>1147</v>
      </c>
      <c r="L229" s="429" t="s">
        <v>539</v>
      </c>
    </row>
    <row r="230" spans="1:12" ht="38.25" hidden="1" x14ac:dyDescent="0.25">
      <c r="A230" s="589">
        <v>110</v>
      </c>
      <c r="B230" s="591" t="s">
        <v>760</v>
      </c>
      <c r="C230" s="424"/>
      <c r="D230" s="425" t="s">
        <v>1148</v>
      </c>
      <c r="E230" s="602">
        <v>40239917</v>
      </c>
      <c r="F230" s="425">
        <v>64093036</v>
      </c>
      <c r="G230" s="604" t="s">
        <v>1149</v>
      </c>
      <c r="H230" s="425">
        <v>8557847</v>
      </c>
      <c r="I230" s="425">
        <v>44325</v>
      </c>
      <c r="J230" s="603">
        <v>40476</v>
      </c>
      <c r="K230" s="425" t="s">
        <v>1150</v>
      </c>
      <c r="L230" s="429" t="s">
        <v>539</v>
      </c>
    </row>
    <row r="231" spans="1:12" ht="63.75" hidden="1" x14ac:dyDescent="0.25">
      <c r="A231" s="589">
        <v>7</v>
      </c>
      <c r="B231" s="591" t="s">
        <v>533</v>
      </c>
      <c r="C231" s="424" t="s">
        <v>618</v>
      </c>
      <c r="D231" s="425" t="s">
        <v>187</v>
      </c>
      <c r="E231" s="602">
        <v>70734560</v>
      </c>
      <c r="F231" s="425">
        <v>67130200</v>
      </c>
      <c r="G231" s="604" t="s">
        <v>1151</v>
      </c>
      <c r="H231" s="425" t="s">
        <v>163</v>
      </c>
      <c r="I231" s="425" t="s">
        <v>1152</v>
      </c>
      <c r="J231" s="603">
        <v>35947</v>
      </c>
      <c r="K231" s="425" t="s">
        <v>1153</v>
      </c>
      <c r="L231" s="429" t="s">
        <v>539</v>
      </c>
    </row>
    <row r="232" spans="1:12" ht="38.25" hidden="1" x14ac:dyDescent="0.25">
      <c r="A232" s="589">
        <v>57</v>
      </c>
      <c r="B232" s="591" t="s">
        <v>534</v>
      </c>
      <c r="C232" s="424" t="s">
        <v>618</v>
      </c>
      <c r="D232" s="425" t="s">
        <v>1154</v>
      </c>
      <c r="E232" s="602">
        <v>70710115</v>
      </c>
      <c r="F232" s="425">
        <v>53015505</v>
      </c>
      <c r="G232" s="604" t="s">
        <v>1155</v>
      </c>
      <c r="H232" s="425" t="s">
        <v>163</v>
      </c>
      <c r="I232" s="425">
        <v>97038</v>
      </c>
      <c r="J232" s="603">
        <v>39244</v>
      </c>
      <c r="K232" s="425" t="s">
        <v>1156</v>
      </c>
      <c r="L232" s="429" t="s">
        <v>539</v>
      </c>
    </row>
    <row r="233" spans="1:12" ht="25.5" hidden="1" x14ac:dyDescent="0.25">
      <c r="A233" s="589">
        <v>102</v>
      </c>
      <c r="B233" s="591" t="s">
        <v>144</v>
      </c>
      <c r="C233" s="424"/>
      <c r="D233" s="425" t="s">
        <v>1157</v>
      </c>
      <c r="E233" s="602">
        <v>40146687</v>
      </c>
      <c r="F233" s="425">
        <v>64600225</v>
      </c>
      <c r="G233" s="604" t="s">
        <v>145</v>
      </c>
      <c r="H233" s="425">
        <v>8524151</v>
      </c>
      <c r="I233" s="425">
        <v>41003</v>
      </c>
      <c r="J233" s="603">
        <v>40191</v>
      </c>
      <c r="K233" s="425" t="s">
        <v>1158</v>
      </c>
      <c r="L233" s="429" t="s">
        <v>539</v>
      </c>
    </row>
    <row r="234" spans="1:12" ht="25.5" hidden="1" x14ac:dyDescent="0.25">
      <c r="A234" s="589">
        <v>237</v>
      </c>
      <c r="B234" s="591" t="s">
        <v>13</v>
      </c>
      <c r="C234" s="424"/>
      <c r="D234" s="425" t="s">
        <v>1159</v>
      </c>
      <c r="E234" s="602">
        <v>15231316</v>
      </c>
      <c r="F234" s="425">
        <v>45177851</v>
      </c>
      <c r="G234" s="604" t="s">
        <v>1160</v>
      </c>
      <c r="H234" s="425">
        <v>4384666</v>
      </c>
      <c r="I234" s="425">
        <v>75793</v>
      </c>
      <c r="J234" s="603">
        <v>42058</v>
      </c>
      <c r="K234" s="425" t="s">
        <v>1161</v>
      </c>
      <c r="L234" s="429" t="s">
        <v>539</v>
      </c>
    </row>
    <row r="235" spans="1:12" ht="25.5" hidden="1" x14ac:dyDescent="0.25">
      <c r="A235" s="589">
        <v>259</v>
      </c>
      <c r="B235" s="591" t="s">
        <v>761</v>
      </c>
      <c r="C235" s="424"/>
      <c r="D235" s="425" t="s">
        <v>1162</v>
      </c>
      <c r="E235" s="602">
        <v>18770688</v>
      </c>
      <c r="F235" s="425">
        <v>64400460</v>
      </c>
      <c r="G235" s="604" t="s">
        <v>1163</v>
      </c>
      <c r="H235" s="425">
        <v>4887123</v>
      </c>
      <c r="I235" s="425">
        <v>74449</v>
      </c>
      <c r="J235" s="603">
        <v>42478</v>
      </c>
      <c r="K235" s="425" t="s">
        <v>1164</v>
      </c>
      <c r="L235" s="429" t="s">
        <v>539</v>
      </c>
    </row>
    <row r="236" spans="1:12" ht="38.25" hidden="1" x14ac:dyDescent="0.25">
      <c r="A236" s="589">
        <v>258</v>
      </c>
      <c r="B236" s="591" t="s">
        <v>373</v>
      </c>
      <c r="C236" s="424"/>
      <c r="D236" s="425" t="s">
        <v>1165</v>
      </c>
      <c r="E236" s="602">
        <v>18737380</v>
      </c>
      <c r="F236" s="425">
        <v>46296363</v>
      </c>
      <c r="G236" s="604" t="s">
        <v>374</v>
      </c>
      <c r="H236" s="425">
        <v>4763696</v>
      </c>
      <c r="I236" s="425">
        <v>72559</v>
      </c>
      <c r="J236" s="603">
        <v>42390</v>
      </c>
      <c r="K236" s="425" t="s">
        <v>1166</v>
      </c>
      <c r="L236" s="429" t="s">
        <v>539</v>
      </c>
    </row>
    <row r="237" spans="1:12" hidden="1" x14ac:dyDescent="0.25">
      <c r="A237" s="589">
        <v>244</v>
      </c>
      <c r="B237" s="591" t="s">
        <v>762</v>
      </c>
      <c r="C237" s="424"/>
      <c r="D237" s="425" t="s">
        <v>1167</v>
      </c>
      <c r="E237" s="602">
        <v>6504556</v>
      </c>
      <c r="F237" s="425">
        <v>45106414</v>
      </c>
      <c r="G237" s="604" t="s">
        <v>1168</v>
      </c>
      <c r="H237" s="425">
        <v>2145763</v>
      </c>
      <c r="I237" s="425">
        <v>13223</v>
      </c>
      <c r="J237" s="603">
        <v>37043</v>
      </c>
      <c r="K237" s="425" t="s">
        <v>1169</v>
      </c>
      <c r="L237" s="429" t="s">
        <v>539</v>
      </c>
    </row>
    <row r="238" spans="1:12" ht="63.75" hidden="1" x14ac:dyDescent="0.25">
      <c r="A238" s="589">
        <v>269</v>
      </c>
      <c r="B238" s="591" t="s">
        <v>763</v>
      </c>
      <c r="C238" s="424"/>
      <c r="D238" s="425" t="s">
        <v>1170</v>
      </c>
      <c r="E238" s="602">
        <v>20735319</v>
      </c>
      <c r="F238" s="425">
        <v>64400573</v>
      </c>
      <c r="G238" s="604" t="s">
        <v>1171</v>
      </c>
      <c r="H238" s="425">
        <v>5320536</v>
      </c>
      <c r="I238" s="425">
        <v>79273</v>
      </c>
      <c r="J238" s="603">
        <v>42755</v>
      </c>
      <c r="K238" s="425" t="s">
        <v>1172</v>
      </c>
      <c r="L238" s="429" t="s">
        <v>539</v>
      </c>
    </row>
    <row r="239" spans="1:12" ht="63.75" hidden="1" x14ac:dyDescent="0.25">
      <c r="A239" s="589">
        <v>242</v>
      </c>
      <c r="B239" s="591" t="s">
        <v>536</v>
      </c>
      <c r="C239" s="424"/>
      <c r="D239" s="425" t="s">
        <v>1173</v>
      </c>
      <c r="E239" s="602">
        <v>20717996</v>
      </c>
      <c r="F239" s="425">
        <v>64400546</v>
      </c>
      <c r="G239" s="604" t="s">
        <v>1174</v>
      </c>
      <c r="H239" s="425">
        <v>5265021</v>
      </c>
      <c r="I239" s="425">
        <v>78473</v>
      </c>
      <c r="J239" s="603">
        <v>42695</v>
      </c>
      <c r="K239" s="425" t="s">
        <v>1175</v>
      </c>
      <c r="L239" s="429" t="s">
        <v>539</v>
      </c>
    </row>
    <row r="240" spans="1:12" hidden="1" x14ac:dyDescent="0.25">
      <c r="A240" s="589">
        <v>299</v>
      </c>
      <c r="B240" s="591" t="s">
        <v>538</v>
      </c>
      <c r="C240" s="424"/>
      <c r="D240" s="425"/>
      <c r="E240" s="602"/>
      <c r="F240" s="425"/>
      <c r="G240" s="604"/>
      <c r="H240" s="425"/>
      <c r="I240" s="425"/>
      <c r="J240" s="603"/>
      <c r="K240" s="425"/>
      <c r="L240" s="429" t="s">
        <v>539</v>
      </c>
    </row>
    <row r="241" spans="1:12" hidden="1" x14ac:dyDescent="0.25">
      <c r="A241" s="589">
        <v>222</v>
      </c>
      <c r="B241" s="591" t="s">
        <v>764</v>
      </c>
      <c r="C241" s="424"/>
      <c r="D241" s="425"/>
      <c r="E241" s="602"/>
      <c r="F241" s="425"/>
      <c r="G241" s="604"/>
      <c r="H241" s="425"/>
      <c r="I241" s="425"/>
      <c r="J241" s="603"/>
      <c r="K241" s="425"/>
      <c r="L241" s="429" t="s">
        <v>539</v>
      </c>
    </row>
    <row r="242" spans="1:12" ht="25.5" hidden="1" x14ac:dyDescent="0.25">
      <c r="A242" s="589">
        <v>209</v>
      </c>
      <c r="B242" s="591" t="s">
        <v>559</v>
      </c>
      <c r="C242" s="424"/>
      <c r="D242" s="425" t="s">
        <v>1176</v>
      </c>
      <c r="E242" s="602">
        <v>15226493</v>
      </c>
      <c r="F242" s="425">
        <v>47919014</v>
      </c>
      <c r="G242" s="604" t="s">
        <v>1177</v>
      </c>
      <c r="H242" s="425">
        <v>4347565</v>
      </c>
      <c r="I242" s="425">
        <v>66737</v>
      </c>
      <c r="J242" s="603">
        <v>42048</v>
      </c>
      <c r="K242" s="425" t="s">
        <v>1178</v>
      </c>
      <c r="L242" s="429" t="s">
        <v>564</v>
      </c>
    </row>
    <row r="243" spans="1:12" ht="38.25" hidden="1" x14ac:dyDescent="0.25">
      <c r="A243" s="589">
        <v>203</v>
      </c>
      <c r="B243" s="591" t="s">
        <v>560</v>
      </c>
      <c r="C243" s="424"/>
      <c r="D243" s="425" t="s">
        <v>562</v>
      </c>
      <c r="E243" s="602">
        <v>15206702</v>
      </c>
      <c r="F243" s="425">
        <v>47596845</v>
      </c>
      <c r="G243" s="604" t="s">
        <v>563</v>
      </c>
      <c r="H243" s="425">
        <v>4242781</v>
      </c>
      <c r="I243" s="425">
        <v>65253</v>
      </c>
      <c r="J243" s="603">
        <v>41946</v>
      </c>
      <c r="K243" s="425" t="s">
        <v>12</v>
      </c>
      <c r="L243" s="429" t="s">
        <v>564</v>
      </c>
    </row>
    <row r="244" spans="1:12" ht="38.25" hidden="1" x14ac:dyDescent="0.25">
      <c r="A244" s="589">
        <v>70</v>
      </c>
      <c r="B244" s="591" t="s">
        <v>73</v>
      </c>
      <c r="C244" s="424"/>
      <c r="D244" s="425" t="s">
        <v>74</v>
      </c>
      <c r="E244" s="602">
        <v>6522478</v>
      </c>
      <c r="F244" s="425">
        <v>46295739</v>
      </c>
      <c r="G244" s="604" t="s">
        <v>75</v>
      </c>
      <c r="H244" s="425">
        <v>7758470</v>
      </c>
      <c r="I244" s="425">
        <v>32847</v>
      </c>
      <c r="J244" s="603">
        <v>39553</v>
      </c>
      <c r="K244" s="425" t="s">
        <v>76</v>
      </c>
      <c r="L244" s="429" t="s">
        <v>564</v>
      </c>
    </row>
    <row r="245" spans="1:12" ht="76.5" hidden="1" x14ac:dyDescent="0.25">
      <c r="A245" s="589">
        <v>152</v>
      </c>
      <c r="B245" s="591" t="s">
        <v>116</v>
      </c>
      <c r="C245" s="424"/>
      <c r="D245" s="425" t="s">
        <v>117</v>
      </c>
      <c r="E245" s="602">
        <v>6526981</v>
      </c>
      <c r="F245" s="425">
        <v>92110143</v>
      </c>
      <c r="G245" s="604" t="s">
        <v>118</v>
      </c>
      <c r="H245" s="425">
        <v>9215676</v>
      </c>
      <c r="I245" s="425">
        <v>53031</v>
      </c>
      <c r="J245" s="603">
        <v>41131</v>
      </c>
      <c r="K245" s="425" t="s">
        <v>119</v>
      </c>
      <c r="L245" s="429" t="s">
        <v>564</v>
      </c>
    </row>
    <row r="246" spans="1:12" ht="25.5" hidden="1" x14ac:dyDescent="0.25">
      <c r="A246" s="589">
        <v>219</v>
      </c>
      <c r="B246" s="591" t="s">
        <v>150</v>
      </c>
      <c r="C246" s="424" t="s">
        <v>618</v>
      </c>
      <c r="D246" s="425" t="s">
        <v>151</v>
      </c>
      <c r="E246" s="602">
        <v>71201215</v>
      </c>
      <c r="F246" s="425">
        <v>47940078</v>
      </c>
      <c r="G246" s="604" t="s">
        <v>153</v>
      </c>
      <c r="H246" s="425">
        <v>6899267</v>
      </c>
      <c r="I246" s="425" t="s">
        <v>152</v>
      </c>
      <c r="J246" s="603"/>
      <c r="K246" s="425" t="s">
        <v>154</v>
      </c>
      <c r="L246" s="429" t="s">
        <v>564</v>
      </c>
    </row>
    <row r="247" spans="1:12" ht="38.25" hidden="1" x14ac:dyDescent="0.25">
      <c r="A247" s="589">
        <v>85</v>
      </c>
      <c r="B247" s="591" t="s">
        <v>221</v>
      </c>
      <c r="C247" s="424"/>
      <c r="D247" s="425" t="s">
        <v>222</v>
      </c>
      <c r="E247" s="602">
        <v>40281812</v>
      </c>
      <c r="F247" s="425">
        <v>46219125</v>
      </c>
      <c r="G247" s="604" t="s">
        <v>223</v>
      </c>
      <c r="H247" s="425">
        <v>8021032</v>
      </c>
      <c r="I247" s="425">
        <v>36553</v>
      </c>
      <c r="J247" s="603">
        <v>39842</v>
      </c>
      <c r="K247" s="425" t="s">
        <v>12</v>
      </c>
      <c r="L247" s="429" t="s">
        <v>564</v>
      </c>
    </row>
    <row r="248" spans="1:12" ht="38.25" hidden="1" x14ac:dyDescent="0.25">
      <c r="A248" s="589">
        <v>154</v>
      </c>
      <c r="B248" s="591" t="s">
        <v>410</v>
      </c>
      <c r="C248" s="424"/>
      <c r="D248" s="425" t="s">
        <v>411</v>
      </c>
      <c r="E248" s="602">
        <v>6527114</v>
      </c>
      <c r="F248" s="425">
        <v>92110149</v>
      </c>
      <c r="G248" s="604" t="s">
        <v>412</v>
      </c>
      <c r="H248" s="425">
        <v>9248445</v>
      </c>
      <c r="I248" s="425">
        <v>53997</v>
      </c>
      <c r="J248" s="603">
        <v>41153</v>
      </c>
      <c r="K248" s="425" t="s">
        <v>413</v>
      </c>
      <c r="L248" s="429" t="s">
        <v>564</v>
      </c>
    </row>
    <row r="249" spans="1:12" ht="63.75" hidden="1" x14ac:dyDescent="0.25">
      <c r="A249" s="589">
        <v>158</v>
      </c>
      <c r="B249" s="591" t="s">
        <v>414</v>
      </c>
      <c r="C249" s="424"/>
      <c r="D249" s="425" t="s">
        <v>415</v>
      </c>
      <c r="E249" s="602" t="s">
        <v>1341</v>
      </c>
      <c r="F249" s="425">
        <v>47129496</v>
      </c>
      <c r="G249" s="604" t="s">
        <v>416</v>
      </c>
      <c r="H249" s="425">
        <v>9526502</v>
      </c>
      <c r="I249" s="425">
        <v>6189</v>
      </c>
      <c r="J249" s="603">
        <v>41268</v>
      </c>
      <c r="K249" s="425" t="s">
        <v>417</v>
      </c>
      <c r="L249" s="429" t="s">
        <v>564</v>
      </c>
    </row>
    <row r="250" spans="1:12" hidden="1" x14ac:dyDescent="0.25">
      <c r="A250" s="589">
        <v>277</v>
      </c>
      <c r="B250" s="591" t="s">
        <v>166</v>
      </c>
      <c r="C250" s="424" t="s">
        <v>618</v>
      </c>
      <c r="D250" s="425" t="s">
        <v>167</v>
      </c>
      <c r="E250" s="602">
        <v>15220305</v>
      </c>
      <c r="F250" s="425">
        <v>45139986</v>
      </c>
      <c r="G250" s="604" t="s">
        <v>168</v>
      </c>
      <c r="H250" s="425" t="s">
        <v>163</v>
      </c>
      <c r="I250" s="425" t="s">
        <v>163</v>
      </c>
      <c r="J250" s="603" t="s">
        <v>163</v>
      </c>
      <c r="K250" s="425" t="s">
        <v>159</v>
      </c>
      <c r="L250" s="429" t="s">
        <v>564</v>
      </c>
    </row>
    <row r="251" spans="1:12" ht="25.5" hidden="1" x14ac:dyDescent="0.25">
      <c r="A251" s="589">
        <v>260</v>
      </c>
      <c r="B251" s="591" t="s">
        <v>765</v>
      </c>
      <c r="C251" s="424"/>
      <c r="D251" s="425" t="s">
        <v>311</v>
      </c>
      <c r="E251" s="602">
        <v>18782891</v>
      </c>
      <c r="F251" s="425">
        <v>92130195</v>
      </c>
      <c r="G251" s="604" t="s">
        <v>312</v>
      </c>
      <c r="H251" s="425">
        <v>4889640</v>
      </c>
      <c r="I251" s="425">
        <v>74667</v>
      </c>
      <c r="J251" s="603">
        <v>42492</v>
      </c>
      <c r="K251" s="425" t="s">
        <v>313</v>
      </c>
      <c r="L251" s="429" t="s">
        <v>564</v>
      </c>
    </row>
    <row r="252" spans="1:12" ht="25.5" hidden="1" x14ac:dyDescent="0.25">
      <c r="A252" s="589">
        <v>225</v>
      </c>
      <c r="B252" s="591" t="s">
        <v>766</v>
      </c>
      <c r="C252" s="424"/>
      <c r="D252" s="425" t="s">
        <v>1179</v>
      </c>
      <c r="E252" s="602">
        <v>15255427</v>
      </c>
      <c r="F252" s="425">
        <v>64632417</v>
      </c>
      <c r="G252" s="604" t="s">
        <v>1180</v>
      </c>
      <c r="H252" s="425">
        <v>4460771</v>
      </c>
      <c r="I252" s="425">
        <v>68493</v>
      </c>
      <c r="J252" s="603">
        <v>42128</v>
      </c>
      <c r="K252" s="425" t="s">
        <v>1181</v>
      </c>
      <c r="L252" s="429" t="s">
        <v>1246</v>
      </c>
    </row>
    <row r="253" spans="1:12" ht="25.5" hidden="1" x14ac:dyDescent="0.25">
      <c r="A253" s="589">
        <v>186</v>
      </c>
      <c r="B253" s="591" t="s">
        <v>557</v>
      </c>
      <c r="C253" s="424" t="s">
        <v>618</v>
      </c>
      <c r="D253" s="425" t="s">
        <v>1182</v>
      </c>
      <c r="E253" s="602">
        <v>14492282</v>
      </c>
      <c r="F253" s="425">
        <v>67128449</v>
      </c>
      <c r="G253" s="604" t="s">
        <v>1183</v>
      </c>
      <c r="H253" s="425" t="s">
        <v>163</v>
      </c>
      <c r="I253" s="425">
        <v>116330</v>
      </c>
      <c r="J253" s="603">
        <v>41700</v>
      </c>
      <c r="K253" s="425" t="s">
        <v>1184</v>
      </c>
      <c r="L253" s="429" t="s">
        <v>1246</v>
      </c>
    </row>
    <row r="254" spans="1:12" ht="25.5" hidden="1" x14ac:dyDescent="0.25">
      <c r="A254" s="589">
        <v>150</v>
      </c>
      <c r="B254" s="591" t="s">
        <v>767</v>
      </c>
      <c r="D254" s="425" t="s">
        <v>1185</v>
      </c>
      <c r="E254" s="602">
        <v>6527186</v>
      </c>
      <c r="F254" s="425">
        <v>67190809</v>
      </c>
      <c r="G254" s="604" t="s">
        <v>1186</v>
      </c>
      <c r="H254" s="425">
        <v>9248180</v>
      </c>
      <c r="I254" s="425">
        <v>53767</v>
      </c>
      <c r="J254" s="603">
        <v>41127</v>
      </c>
      <c r="K254" s="425" t="s">
        <v>1187</v>
      </c>
      <c r="L254" s="429" t="s">
        <v>1246</v>
      </c>
    </row>
    <row r="255" spans="1:12" hidden="1" x14ac:dyDescent="0.25">
      <c r="A255" s="589">
        <v>74</v>
      </c>
      <c r="B255" s="591" t="s">
        <v>558</v>
      </c>
      <c r="C255" s="424" t="s">
        <v>618</v>
      </c>
      <c r="D255" s="425" t="s">
        <v>1188</v>
      </c>
      <c r="E255" s="602">
        <v>40157907</v>
      </c>
      <c r="F255" s="425">
        <v>46216137</v>
      </c>
      <c r="G255" s="604" t="s">
        <v>1189</v>
      </c>
      <c r="H255" s="425">
        <v>1260909</v>
      </c>
      <c r="I255" s="425">
        <v>99336</v>
      </c>
      <c r="J255" s="603">
        <v>39448</v>
      </c>
      <c r="K255" s="425" t="s">
        <v>1190</v>
      </c>
      <c r="L255" s="429" t="s">
        <v>564</v>
      </c>
    </row>
    <row r="256" spans="1:12" ht="51" hidden="1" x14ac:dyDescent="0.25">
      <c r="A256" s="589">
        <v>50</v>
      </c>
      <c r="B256" s="591" t="s">
        <v>360</v>
      </c>
      <c r="D256" s="425" t="s">
        <v>1191</v>
      </c>
      <c r="E256" s="602">
        <v>6521142</v>
      </c>
      <c r="F256" s="425">
        <v>47999956</v>
      </c>
      <c r="G256" s="604" t="s">
        <v>1192</v>
      </c>
      <c r="H256" s="425">
        <v>7479951</v>
      </c>
      <c r="I256" s="425">
        <v>27857</v>
      </c>
      <c r="J256" s="603">
        <v>39216</v>
      </c>
      <c r="K256" s="425" t="s">
        <v>1193</v>
      </c>
      <c r="L256" s="429" t="s">
        <v>564</v>
      </c>
    </row>
    <row r="257" spans="1:12" ht="25.5" hidden="1" x14ac:dyDescent="0.25">
      <c r="A257" s="589">
        <v>52</v>
      </c>
      <c r="B257" s="591" t="s">
        <v>384</v>
      </c>
      <c r="D257" s="425" t="s">
        <v>1194</v>
      </c>
      <c r="E257" s="602">
        <v>6510923</v>
      </c>
      <c r="F257" s="425">
        <v>47964020</v>
      </c>
      <c r="G257" s="604" t="s">
        <v>1195</v>
      </c>
      <c r="H257" s="425">
        <v>7479894</v>
      </c>
      <c r="I257" s="425">
        <v>27747</v>
      </c>
      <c r="J257" s="603">
        <v>39227</v>
      </c>
      <c r="K257" s="425" t="s">
        <v>1196</v>
      </c>
      <c r="L257" s="429" t="s">
        <v>590</v>
      </c>
    </row>
    <row r="258" spans="1:12" ht="25.5" hidden="1" x14ac:dyDescent="0.25">
      <c r="A258" s="589">
        <v>91</v>
      </c>
      <c r="B258" s="591" t="s">
        <v>768</v>
      </c>
      <c r="C258" s="424" t="s">
        <v>618</v>
      </c>
      <c r="D258" s="425" t="s">
        <v>1197</v>
      </c>
      <c r="E258" s="602">
        <v>40109771</v>
      </c>
      <c r="F258" s="425"/>
      <c r="G258" s="604" t="s">
        <v>1198</v>
      </c>
      <c r="H258" s="425" t="s">
        <v>163</v>
      </c>
      <c r="I258" s="425">
        <v>104068</v>
      </c>
      <c r="J258" s="603">
        <v>39965</v>
      </c>
      <c r="K258" s="425" t="s">
        <v>1184</v>
      </c>
      <c r="L258" s="429" t="s">
        <v>1246</v>
      </c>
    </row>
    <row r="259" spans="1:12" ht="25.5" hidden="1" x14ac:dyDescent="0.25">
      <c r="A259" s="589">
        <v>72</v>
      </c>
      <c r="B259" s="591" t="s">
        <v>769</v>
      </c>
      <c r="C259" s="424" t="s">
        <v>618</v>
      </c>
      <c r="D259" s="425" t="s">
        <v>1199</v>
      </c>
      <c r="E259" s="602">
        <v>70723293</v>
      </c>
      <c r="F259" s="425">
        <v>46207333</v>
      </c>
      <c r="G259" s="604" t="s">
        <v>1200</v>
      </c>
      <c r="H259" s="425" t="s">
        <v>163</v>
      </c>
      <c r="I259" s="425">
        <v>10778</v>
      </c>
      <c r="J259" s="603">
        <v>39609</v>
      </c>
      <c r="K259" s="425" t="s">
        <v>1184</v>
      </c>
      <c r="L259" s="429" t="s">
        <v>1246</v>
      </c>
    </row>
    <row r="260" spans="1:12" ht="25.5" hidden="1" x14ac:dyDescent="0.25">
      <c r="A260" s="589">
        <v>98</v>
      </c>
      <c r="B260" s="591" t="s">
        <v>770</v>
      </c>
      <c r="C260" s="424" t="s">
        <v>618</v>
      </c>
      <c r="D260" s="425" t="s">
        <v>1201</v>
      </c>
      <c r="E260" s="602">
        <v>40147149</v>
      </c>
      <c r="F260" s="425">
        <v>530002144</v>
      </c>
      <c r="G260" s="604" t="s">
        <v>1202</v>
      </c>
      <c r="H260" s="425" t="s">
        <v>163</v>
      </c>
      <c r="I260" s="425">
        <v>105682</v>
      </c>
      <c r="J260" s="603">
        <v>40179</v>
      </c>
      <c r="K260" s="425" t="s">
        <v>1203</v>
      </c>
      <c r="L260" s="429" t="s">
        <v>1246</v>
      </c>
    </row>
    <row r="261" spans="1:12" ht="38.25" hidden="1" x14ac:dyDescent="0.25">
      <c r="A261" s="589">
        <v>330</v>
      </c>
      <c r="B261" s="591" t="s">
        <v>771</v>
      </c>
      <c r="D261" s="425" t="s">
        <v>1204</v>
      </c>
      <c r="E261" s="602">
        <v>24889421</v>
      </c>
      <c r="F261" s="425">
        <v>46296545</v>
      </c>
      <c r="G261" s="604" t="s">
        <v>1205</v>
      </c>
      <c r="H261" s="425">
        <v>5671088</v>
      </c>
      <c r="I261" s="425">
        <v>84319</v>
      </c>
      <c r="J261" s="603">
        <v>42736</v>
      </c>
      <c r="K261" s="425" t="s">
        <v>1206</v>
      </c>
      <c r="L261" s="429" t="s">
        <v>564</v>
      </c>
    </row>
    <row r="262" spans="1:12" ht="51" hidden="1" x14ac:dyDescent="0.25">
      <c r="A262" s="589">
        <v>357</v>
      </c>
      <c r="B262" s="591" t="s">
        <v>561</v>
      </c>
      <c r="D262" s="425" t="s">
        <v>1207</v>
      </c>
      <c r="E262" s="602">
        <v>26039966</v>
      </c>
      <c r="F262" s="425">
        <v>45101369</v>
      </c>
      <c r="G262" s="604" t="s">
        <v>1208</v>
      </c>
      <c r="H262" s="425">
        <v>1001773</v>
      </c>
      <c r="I262" s="425">
        <v>89567</v>
      </c>
      <c r="J262" s="603">
        <v>43237</v>
      </c>
      <c r="K262" s="425" t="s">
        <v>1209</v>
      </c>
      <c r="L262" s="579" t="s">
        <v>1447</v>
      </c>
    </row>
    <row r="263" spans="1:12" hidden="1" x14ac:dyDescent="0.25">
      <c r="A263" s="589">
        <v>141</v>
      </c>
      <c r="B263" s="591" t="s">
        <v>772</v>
      </c>
      <c r="C263" s="424" t="s">
        <v>618</v>
      </c>
      <c r="D263" s="425" t="s">
        <v>1210</v>
      </c>
      <c r="E263" s="602">
        <v>40490439</v>
      </c>
      <c r="F263" s="425">
        <v>46215555</v>
      </c>
      <c r="G263" s="604" t="s">
        <v>160</v>
      </c>
      <c r="H263" s="425">
        <v>9774599</v>
      </c>
      <c r="I263" s="425" t="s">
        <v>163</v>
      </c>
      <c r="J263" s="603">
        <v>40969</v>
      </c>
      <c r="K263" s="425" t="s">
        <v>159</v>
      </c>
      <c r="L263" s="429" t="s">
        <v>564</v>
      </c>
    </row>
    <row r="264" spans="1:12" hidden="1" x14ac:dyDescent="0.25">
      <c r="A264" s="589">
        <v>255</v>
      </c>
      <c r="B264" s="591" t="s">
        <v>300</v>
      </c>
      <c r="D264" s="425" t="s">
        <v>1211</v>
      </c>
      <c r="E264" s="602">
        <v>15290795</v>
      </c>
      <c r="F264" s="425" t="s">
        <v>301</v>
      </c>
      <c r="G264" s="604" t="s">
        <v>302</v>
      </c>
      <c r="H264" s="425">
        <v>4630879</v>
      </c>
      <c r="I264" s="425">
        <v>70881</v>
      </c>
      <c r="J264" s="603">
        <v>42284</v>
      </c>
      <c r="K264" s="425" t="s">
        <v>1212</v>
      </c>
      <c r="L264" s="429" t="s">
        <v>564</v>
      </c>
    </row>
    <row r="265" spans="1:12" ht="51" hidden="1" x14ac:dyDescent="0.25">
      <c r="A265" s="589">
        <v>378</v>
      </c>
      <c r="B265" s="591" t="s">
        <v>773</v>
      </c>
      <c r="D265" s="425" t="s">
        <v>1213</v>
      </c>
      <c r="E265" s="602">
        <v>34412866</v>
      </c>
      <c r="F265" s="425" t="s">
        <v>1214</v>
      </c>
      <c r="G265" s="604" t="s">
        <v>1215</v>
      </c>
      <c r="H265" s="425">
        <v>1421381</v>
      </c>
      <c r="I265" s="425">
        <v>95339</v>
      </c>
      <c r="J265" s="603">
        <v>43497</v>
      </c>
      <c r="K265" s="425" t="s">
        <v>1216</v>
      </c>
      <c r="L265" s="429" t="s">
        <v>564</v>
      </c>
    </row>
    <row r="266" spans="1:12" ht="25.5" hidden="1" x14ac:dyDescent="0.25">
      <c r="A266" s="589">
        <v>9</v>
      </c>
      <c r="B266" s="591" t="s">
        <v>774</v>
      </c>
      <c r="C266" s="424" t="s">
        <v>618</v>
      </c>
      <c r="D266" s="425" t="s">
        <v>1217</v>
      </c>
      <c r="E266" s="602">
        <v>69707765</v>
      </c>
      <c r="F266" s="425">
        <v>46225125</v>
      </c>
      <c r="G266" s="604" t="s">
        <v>86</v>
      </c>
      <c r="H266" s="425" t="s">
        <v>163</v>
      </c>
      <c r="I266" s="425">
        <v>56580</v>
      </c>
      <c r="J266" s="603">
        <v>36281</v>
      </c>
      <c r="K266" s="425" t="s">
        <v>1218</v>
      </c>
      <c r="L266" s="429" t="s">
        <v>564</v>
      </c>
    </row>
    <row r="267" spans="1:12" ht="25.5" hidden="1" x14ac:dyDescent="0.25">
      <c r="A267" s="589">
        <v>375</v>
      </c>
      <c r="B267" s="591" t="s">
        <v>775</v>
      </c>
      <c r="C267" s="424"/>
      <c r="D267" s="425" t="s">
        <v>1219</v>
      </c>
      <c r="E267" s="602">
        <v>6524088</v>
      </c>
      <c r="F267" s="425">
        <v>47900466</v>
      </c>
      <c r="G267" s="604" t="s">
        <v>1220</v>
      </c>
      <c r="H267" s="425">
        <v>8236813</v>
      </c>
      <c r="I267" s="425">
        <v>40137</v>
      </c>
      <c r="J267" s="603">
        <v>40129</v>
      </c>
      <c r="K267" s="425" t="s">
        <v>1221</v>
      </c>
      <c r="L267" s="429" t="s">
        <v>564</v>
      </c>
    </row>
    <row r="268" spans="1:12" ht="26.25" hidden="1" thickBot="1" x14ac:dyDescent="0.3">
      <c r="A268" s="592">
        <v>374</v>
      </c>
      <c r="B268" s="593" t="s">
        <v>776</v>
      </c>
      <c r="C268" s="424"/>
      <c r="D268" s="605" t="s">
        <v>1222</v>
      </c>
      <c r="E268" s="606">
        <v>15283592</v>
      </c>
      <c r="F268" s="605">
        <v>64622352</v>
      </c>
      <c r="G268" s="607" t="s">
        <v>1223</v>
      </c>
      <c r="H268" s="605">
        <v>4562163</v>
      </c>
      <c r="I268" s="605">
        <v>70413</v>
      </c>
      <c r="J268" s="608">
        <v>42248</v>
      </c>
      <c r="K268" s="605" t="s">
        <v>1221</v>
      </c>
      <c r="L268" s="429" t="s">
        <v>564</v>
      </c>
    </row>
    <row r="269" spans="1:12" ht="26.25" hidden="1" thickBot="1" x14ac:dyDescent="0.3">
      <c r="A269" s="592">
        <v>63</v>
      </c>
      <c r="B269" s="593" t="s">
        <v>736</v>
      </c>
      <c r="C269" s="424" t="s">
        <v>1245</v>
      </c>
      <c r="D269" s="605" t="s">
        <v>1050</v>
      </c>
      <c r="E269" s="606">
        <v>6521840</v>
      </c>
      <c r="F269" s="605">
        <v>67190353</v>
      </c>
      <c r="G269" s="607">
        <v>71708000004</v>
      </c>
      <c r="H269" s="605">
        <v>7651468</v>
      </c>
      <c r="I269" s="605">
        <v>30877</v>
      </c>
      <c r="J269" s="608">
        <v>39406</v>
      </c>
      <c r="K269" s="605" t="s">
        <v>1196</v>
      </c>
      <c r="L269" s="429" t="s">
        <v>530</v>
      </c>
    </row>
    <row r="270" spans="1:12" ht="26.25" thickBot="1" x14ac:dyDescent="0.3">
      <c r="A270" s="592">
        <v>388</v>
      </c>
      <c r="B270" s="593" t="s">
        <v>1320</v>
      </c>
      <c r="C270" s="424" t="s">
        <v>1321</v>
      </c>
      <c r="D270" s="605" t="s">
        <v>1322</v>
      </c>
      <c r="E270" s="606" t="s">
        <v>1323</v>
      </c>
      <c r="F270" s="605">
        <v>46202407</v>
      </c>
      <c r="G270" s="606" t="s">
        <v>1324</v>
      </c>
      <c r="H270" s="605">
        <v>1874859</v>
      </c>
      <c r="I270" s="605">
        <v>101817</v>
      </c>
      <c r="J270" s="608">
        <v>43832</v>
      </c>
      <c r="K270" s="605" t="s">
        <v>1325</v>
      </c>
      <c r="L270" s="579" t="s">
        <v>501</v>
      </c>
    </row>
    <row r="271" spans="1:12" ht="26.25" thickBot="1" x14ac:dyDescent="0.3">
      <c r="A271" s="592">
        <v>400</v>
      </c>
      <c r="B271" s="593" t="s">
        <v>1402</v>
      </c>
      <c r="C271" s="424" t="s">
        <v>1321</v>
      </c>
      <c r="D271" s="605" t="s">
        <v>1403</v>
      </c>
      <c r="E271" s="606" t="s">
        <v>1404</v>
      </c>
      <c r="F271" s="605">
        <v>64601147</v>
      </c>
      <c r="G271" s="606" t="s">
        <v>1405</v>
      </c>
      <c r="H271" s="605">
        <v>1970930</v>
      </c>
      <c r="I271" s="605">
        <v>103779</v>
      </c>
      <c r="J271" s="608">
        <v>43891</v>
      </c>
      <c r="K271" s="605" t="s">
        <v>804</v>
      </c>
      <c r="L271" s="579" t="s">
        <v>501</v>
      </c>
    </row>
    <row r="272" spans="1:12" ht="15.75" thickBot="1" x14ac:dyDescent="0.3">
      <c r="A272" s="592">
        <v>410</v>
      </c>
      <c r="B272" s="593" t="s">
        <v>1411</v>
      </c>
      <c r="C272" s="424" t="s">
        <v>1321</v>
      </c>
      <c r="D272" s="605" t="s">
        <v>1412</v>
      </c>
      <c r="E272" s="606" t="s">
        <v>1413</v>
      </c>
      <c r="F272" s="605">
        <v>53002061</v>
      </c>
      <c r="G272" s="606" t="s">
        <v>1414</v>
      </c>
      <c r="H272" s="605">
        <v>2124027</v>
      </c>
      <c r="I272" s="605">
        <v>106459</v>
      </c>
      <c r="J272" s="608">
        <v>44091</v>
      </c>
      <c r="K272" s="605" t="s">
        <v>1415</v>
      </c>
      <c r="L272" s="579" t="s">
        <v>501</v>
      </c>
    </row>
    <row r="273" spans="1:12" ht="39" thickBot="1" x14ac:dyDescent="0.3">
      <c r="A273" s="592">
        <v>412</v>
      </c>
      <c r="B273" s="593" t="s">
        <v>1416</v>
      </c>
      <c r="C273" s="424" t="s">
        <v>1321</v>
      </c>
      <c r="D273" s="605" t="s">
        <v>1417</v>
      </c>
      <c r="E273" s="606" t="s">
        <v>1418</v>
      </c>
      <c r="F273" s="605">
        <v>45105373</v>
      </c>
      <c r="G273" s="606" t="s">
        <v>1419</v>
      </c>
      <c r="H273" s="605">
        <v>2125738</v>
      </c>
      <c r="I273" s="605">
        <v>106189</v>
      </c>
      <c r="J273" s="608">
        <v>44028</v>
      </c>
      <c r="K273" s="605" t="s">
        <v>1420</v>
      </c>
      <c r="L273" s="579" t="s">
        <v>501</v>
      </c>
    </row>
    <row r="274" spans="1:12" ht="102.75" hidden="1" thickBot="1" x14ac:dyDescent="0.3">
      <c r="A274" s="592">
        <v>391</v>
      </c>
      <c r="B274" s="593" t="s">
        <v>1423</v>
      </c>
      <c r="C274" s="424" t="s">
        <v>1424</v>
      </c>
      <c r="D274" s="605" t="s">
        <v>1417</v>
      </c>
      <c r="E274" s="606" t="s">
        <v>1425</v>
      </c>
      <c r="F274" s="605">
        <v>45104348</v>
      </c>
      <c r="G274" s="607" t="s">
        <v>1426</v>
      </c>
      <c r="H274" s="605">
        <v>1822684</v>
      </c>
      <c r="I274" s="605">
        <v>100887</v>
      </c>
      <c r="J274" s="608">
        <v>43776</v>
      </c>
      <c r="K274" s="605" t="s">
        <v>1427</v>
      </c>
      <c r="L274" s="429" t="s">
        <v>539</v>
      </c>
    </row>
    <row r="275" spans="1:12" ht="51.75" hidden="1" thickBot="1" x14ac:dyDescent="0.3">
      <c r="A275" s="592">
        <v>393</v>
      </c>
      <c r="B275" s="593" t="s">
        <v>1428</v>
      </c>
      <c r="C275" s="424" t="s">
        <v>1321</v>
      </c>
      <c r="D275" s="605" t="s">
        <v>1417</v>
      </c>
      <c r="E275" s="606" t="s">
        <v>1429</v>
      </c>
      <c r="F275" s="605">
        <v>45104350</v>
      </c>
      <c r="G275" s="607" t="s">
        <v>1430</v>
      </c>
      <c r="H275" s="605">
        <v>1822696</v>
      </c>
      <c r="I275" s="605">
        <v>100885</v>
      </c>
      <c r="J275" s="608">
        <v>43776</v>
      </c>
      <c r="K275" s="605" t="s">
        <v>1431</v>
      </c>
      <c r="L275" s="429" t="s">
        <v>539</v>
      </c>
    </row>
    <row r="276" spans="1:12" ht="15.75" hidden="1" thickBot="1" x14ac:dyDescent="0.3">
      <c r="A276" s="592">
        <v>416</v>
      </c>
      <c r="B276" s="593"/>
      <c r="C276" s="424"/>
      <c r="D276" s="605"/>
      <c r="E276" s="606"/>
      <c r="F276" s="605"/>
      <c r="G276" s="607"/>
      <c r="H276" s="605"/>
      <c r="I276" s="605"/>
      <c r="J276" s="608"/>
      <c r="K276" s="605"/>
      <c r="L276" s="429"/>
    </row>
    <row r="277" spans="1:12" ht="15.75" thickBot="1" x14ac:dyDescent="0.3">
      <c r="A277" s="592"/>
      <c r="B277" s="593"/>
      <c r="C277" s="424"/>
      <c r="D277" s="605"/>
      <c r="E277" s="606"/>
      <c r="F277" s="605"/>
      <c r="G277" s="607"/>
      <c r="H277" s="605"/>
      <c r="I277" s="605"/>
      <c r="J277" s="608"/>
      <c r="K277" s="605"/>
      <c r="L277" s="429"/>
    </row>
    <row r="278" spans="1:12" ht="15.75" thickBot="1" x14ac:dyDescent="0.3">
      <c r="A278" s="592"/>
      <c r="B278" s="593"/>
      <c r="C278" s="424"/>
      <c r="D278" s="605"/>
      <c r="E278" s="606"/>
      <c r="F278" s="605"/>
      <c r="G278" s="607"/>
      <c r="H278" s="605"/>
      <c r="I278" s="605"/>
      <c r="J278" s="608"/>
      <c r="K278" s="605"/>
      <c r="L278" s="429"/>
    </row>
    <row r="279" spans="1:12" ht="15.75" thickBot="1" x14ac:dyDescent="0.3">
      <c r="A279" s="592"/>
      <c r="B279" s="593"/>
      <c r="C279" s="424"/>
      <c r="D279" s="605"/>
      <c r="E279" s="606"/>
      <c r="F279" s="605"/>
      <c r="G279" s="607"/>
      <c r="H279" s="605"/>
      <c r="I279" s="605"/>
      <c r="J279" s="608"/>
      <c r="K279" s="605"/>
      <c r="L279" s="429"/>
    </row>
    <row r="280" spans="1:12" ht="15.75" thickBot="1" x14ac:dyDescent="0.3">
      <c r="A280" s="592"/>
      <c r="B280" s="593"/>
      <c r="C280" s="424"/>
      <c r="D280" s="605"/>
      <c r="E280" s="606"/>
      <c r="F280" s="605"/>
      <c r="G280" s="607"/>
      <c r="H280" s="605"/>
      <c r="I280" s="605"/>
      <c r="J280" s="608"/>
      <c r="K280" s="605"/>
      <c r="L280" s="429"/>
    </row>
    <row r="281" spans="1:12" ht="15.75" thickBot="1" x14ac:dyDescent="0.3">
      <c r="A281" s="592"/>
      <c r="B281" s="593"/>
      <c r="C281" s="424"/>
      <c r="D281" s="605"/>
      <c r="E281" s="606"/>
      <c r="F281" s="605"/>
      <c r="G281" s="607"/>
      <c r="H281" s="605"/>
      <c r="I281" s="605"/>
      <c r="J281" s="608"/>
      <c r="K281" s="605"/>
      <c r="L281" s="429"/>
    </row>
  </sheetData>
  <sheetProtection sheet="1" objects="1" scenarios="1" insertColumns="0" deleteColumns="0" deleteRows="0" selectLockedCells="1" autoFilter="0"/>
  <autoFilter ref="A3:L276">
    <filterColumn colId="11">
      <filters>
        <filter val="FATIMA EZZAHRA AIT AHMED"/>
        <filter val="NAJAT SAOUD"/>
      </filters>
    </filterColumn>
  </autoFilter>
  <dataConsolidate/>
  <dataValidations count="2">
    <dataValidation type="list" allowBlank="1" showInputMessage="1" showErrorMessage="1" sqref="C255 C258:C260 C263 C266 C4:C253">
      <formula1>"P. Physique, P. Morale"</formula1>
    </dataValidation>
    <dataValidation type="list" allowBlank="1" showInputMessage="1" sqref="L4:L252">
      <formula1>"KHAMISSA HDIMANE,DAOUD ISSKELA,RACHID NAAIMI ,FATIMA EZZAHRA JAIZI,NAJAT SAOUD,ABDEL AZIZ TABRAMET,MOHAMED ESSAID,Med EGHIZ,HALIMA OUIJANE,FATIMA EZZAHRA AIT AHMED,ZINEB ELKHOUDARI,"</formula1>
    </dataValidation>
  </dataValidations>
  <pageMargins left="0.7" right="0.7" top="0.75" bottom="0.75" header="0.3" footer="0.3"/>
  <pageSetup scale="38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 filterMode="1">
    <tabColor theme="4"/>
  </sheetPr>
  <dimension ref="A1:AQ1556"/>
  <sheetViews>
    <sheetView showGridLines="0" showRowColHeaders="0" zoomScale="80" zoomScaleNormal="80" workbookViewId="0">
      <pane xSplit="3" ySplit="8" topLeftCell="W9" activePane="bottomRight" state="frozen"/>
      <selection pane="topRight" activeCell="D1" sqref="D1"/>
      <selection pane="bottomLeft" activeCell="A4" sqref="A4"/>
      <selection pane="bottomRight" activeCell="AA16" sqref="AA16"/>
    </sheetView>
  </sheetViews>
  <sheetFormatPr baseColWidth="10" defaultColWidth="11.42578125" defaultRowHeight="15" x14ac:dyDescent="0.25"/>
  <cols>
    <col min="1" max="1" width="11.42578125" style="55"/>
    <col min="2" max="2" width="25" style="55" customWidth="1"/>
    <col min="3" max="3" width="20.7109375" style="55" customWidth="1"/>
    <col min="4" max="4" width="13.28515625" style="55" customWidth="1"/>
    <col min="5" max="5" width="17" style="55" bestFit="1" customWidth="1"/>
    <col min="6" max="6" width="13.5703125" style="55" bestFit="1" customWidth="1"/>
    <col min="7" max="7" width="17" style="55" bestFit="1" customWidth="1"/>
    <col min="8" max="8" width="14.5703125" style="55" customWidth="1"/>
    <col min="9" max="9" width="18.140625" style="55" customWidth="1"/>
    <col min="10" max="10" width="13.5703125" style="55" bestFit="1" customWidth="1"/>
    <col min="11" max="11" width="17" style="55" bestFit="1" customWidth="1"/>
    <col min="12" max="12" width="13.5703125" style="55" bestFit="1" customWidth="1"/>
    <col min="13" max="13" width="17" style="55" bestFit="1" customWidth="1"/>
    <col min="14" max="14" width="13.5703125" style="55" bestFit="1" customWidth="1"/>
    <col min="15" max="15" width="17" style="55" bestFit="1" customWidth="1"/>
    <col min="16" max="16" width="13.5703125" style="55" bestFit="1" customWidth="1"/>
    <col min="17" max="17" width="17" style="55" bestFit="1" customWidth="1"/>
    <col min="18" max="18" width="13.5703125" style="55" bestFit="1" customWidth="1"/>
    <col min="19" max="19" width="17" style="55" bestFit="1" customWidth="1"/>
    <col min="20" max="20" width="13.5703125" style="55" bestFit="1" customWidth="1"/>
    <col min="21" max="21" width="17" style="55" bestFit="1" customWidth="1"/>
    <col min="22" max="22" width="13.5703125" style="55" bestFit="1" customWidth="1"/>
    <col min="23" max="23" width="17" style="55" bestFit="1" customWidth="1"/>
    <col min="24" max="24" width="13.5703125" style="55" bestFit="1" customWidth="1"/>
    <col min="25" max="25" width="17" style="55" bestFit="1" customWidth="1"/>
    <col min="26" max="26" width="13.5703125" style="55" bestFit="1" customWidth="1"/>
    <col min="27" max="27" width="17" style="55" bestFit="1" customWidth="1"/>
    <col min="28" max="28" width="5.5703125" style="55" customWidth="1"/>
    <col min="29" max="29" width="11.5703125" style="55" customWidth="1"/>
    <col min="30" max="30" width="12" style="55" customWidth="1"/>
    <col min="31" max="31" width="14.7109375" style="55" customWidth="1"/>
    <col min="32" max="32" width="9" style="55" customWidth="1"/>
    <col min="33" max="33" width="6.85546875" style="55" customWidth="1"/>
    <col min="34" max="34" width="10.7109375" style="55" customWidth="1"/>
    <col min="35" max="35" width="9.85546875" style="55" customWidth="1"/>
    <col min="36" max="16384" width="11.42578125" style="55"/>
  </cols>
  <sheetData>
    <row r="1" spans="1:43" s="73" customFormat="1" ht="12" x14ac:dyDescent="0.2">
      <c r="D1" s="56">
        <f>COUNTA(D9:D361)</f>
        <v>20</v>
      </c>
      <c r="E1" s="57">
        <f>D2/D1</f>
        <v>0.25</v>
      </c>
      <c r="F1" s="56">
        <f>COUNTA(F9:F361)</f>
        <v>18</v>
      </c>
      <c r="G1" s="57">
        <f>F2/F1</f>
        <v>0.66666666666666663</v>
      </c>
      <c r="H1" s="56">
        <f>COUNTA(H9:H361)</f>
        <v>15</v>
      </c>
      <c r="I1" s="290">
        <f>H2/H1</f>
        <v>0.4</v>
      </c>
      <c r="J1" s="56">
        <f>COUNTA(J9:J361)</f>
        <v>15</v>
      </c>
      <c r="K1" s="57">
        <f>J2/J1</f>
        <v>0.46666666666666667</v>
      </c>
      <c r="L1" s="56">
        <f>COUNTA(L9:L361)</f>
        <v>15</v>
      </c>
      <c r="M1" s="57">
        <f>L2/L1</f>
        <v>0.53333333333333333</v>
      </c>
      <c r="N1" s="56">
        <f>COUNTA(N9:N361)</f>
        <v>15</v>
      </c>
      <c r="O1" s="57">
        <f>N2/N1</f>
        <v>0.93333333333333335</v>
      </c>
      <c r="P1" s="56">
        <f>COUNTA(P9:P361)</f>
        <v>14</v>
      </c>
      <c r="Q1" s="57">
        <f>P2/P1</f>
        <v>0.8571428571428571</v>
      </c>
      <c r="R1" s="56">
        <f>COUNTA(R9:R361)</f>
        <v>11</v>
      </c>
      <c r="S1" s="57">
        <f>R2/R1</f>
        <v>0.72727272727272729</v>
      </c>
      <c r="T1" s="56">
        <f>COUNTA(T9:T361)</f>
        <v>7</v>
      </c>
      <c r="U1" s="57">
        <f>T2/T1</f>
        <v>0.42857142857142855</v>
      </c>
      <c r="V1" s="56">
        <f>COUNTA(V9:V361)</f>
        <v>6</v>
      </c>
      <c r="W1" s="57">
        <f>V2/V1</f>
        <v>0.5</v>
      </c>
      <c r="X1" s="56">
        <f>COUNTA(X9:X61)</f>
        <v>6</v>
      </c>
      <c r="Y1" s="57">
        <f>X2/X1</f>
        <v>0.33333333333333331</v>
      </c>
      <c r="Z1" s="56">
        <f>COUNTA(Z9:Z61)</f>
        <v>1</v>
      </c>
      <c r="AA1" s="57">
        <f>Z2/Z1</f>
        <v>1</v>
      </c>
    </row>
    <row r="2" spans="1:43" s="73" customFormat="1" ht="12" x14ac:dyDescent="0.2">
      <c r="D2" s="56">
        <f>COUNTIF(D9:D361,"&lt;="&amp;'Calendrier fiscal'!C8)</f>
        <v>5</v>
      </c>
      <c r="E2" s="57">
        <f>D3/D1</f>
        <v>0.8</v>
      </c>
      <c r="F2" s="56">
        <f>COUNTIF(F9:F361,"&lt;="&amp;'Calendrier fiscal'!C9)</f>
        <v>12</v>
      </c>
      <c r="G2" s="57">
        <f>F3/F1</f>
        <v>0.77777777777777779</v>
      </c>
      <c r="H2" s="56">
        <f>COUNTIF(H9:H361,"&lt;="&amp;'Calendrier fiscal'!C10)</f>
        <v>6</v>
      </c>
      <c r="I2" s="290">
        <f>H3/H1</f>
        <v>0.73333333333333328</v>
      </c>
      <c r="J2" s="56">
        <f>COUNTIF(J9:J361,"&lt;="&amp;'Calendrier fiscal'!C11)</f>
        <v>7</v>
      </c>
      <c r="K2" s="57">
        <f>J3/J1</f>
        <v>0.6</v>
      </c>
      <c r="L2" s="56">
        <f>COUNTIF(L9:L361,"&lt;="&amp;'Calendrier fiscal'!C12)</f>
        <v>8</v>
      </c>
      <c r="M2" s="57">
        <f>L3/L1</f>
        <v>1</v>
      </c>
      <c r="N2" s="56">
        <f>COUNTIF(N9:N361,"&lt;="&amp;'Calendrier fiscal'!C13)</f>
        <v>14</v>
      </c>
      <c r="O2" s="57">
        <f>N3/N1</f>
        <v>0.93333333333333335</v>
      </c>
      <c r="P2" s="56">
        <f>COUNTIF(P9:P361,"&lt;="&amp;'Calendrier fiscal'!C14)</f>
        <v>12</v>
      </c>
      <c r="Q2" s="57">
        <f>P3/P1</f>
        <v>0.8571428571428571</v>
      </c>
      <c r="R2" s="56">
        <f>COUNTIF(R9:R361,"&lt;="&amp;'Calendrier fiscal'!C15)</f>
        <v>8</v>
      </c>
      <c r="S2" s="57">
        <f>R3/R1</f>
        <v>1</v>
      </c>
      <c r="T2" s="56">
        <f>COUNTIF(T9:T361,"&lt;="&amp;'Calendrier fiscal'!C16)</f>
        <v>3</v>
      </c>
      <c r="U2" s="57">
        <f>T3/T1</f>
        <v>0.7142857142857143</v>
      </c>
      <c r="V2" s="56">
        <f>COUNTIF(V9:V361,"&lt;="&amp;'Calendrier fiscal'!C17)</f>
        <v>3</v>
      </c>
      <c r="W2" s="57">
        <f>V3/V1</f>
        <v>1</v>
      </c>
      <c r="X2" s="56">
        <f>COUNTIF(X9:X361,"&lt;="&amp;'Calendrier fiscal'!C18)</f>
        <v>2</v>
      </c>
      <c r="Y2" s="57">
        <f>X3/X1</f>
        <v>0.83333333333333337</v>
      </c>
      <c r="Z2" s="56">
        <f>COUNTIF(Z9:Z361,"&lt;="&amp;'Calendrier fiscal'!C19)</f>
        <v>1</v>
      </c>
      <c r="AA2" s="57">
        <f>Z3/Z1</f>
        <v>1</v>
      </c>
    </row>
    <row r="3" spans="1:43" s="73" customFormat="1" ht="12" x14ac:dyDescent="0.2">
      <c r="A3" s="73">
        <v>70</v>
      </c>
      <c r="D3" s="56">
        <f>COUNTIF(D9:D361,"&lt;="&amp;'Calendrier fiscal'!B8)</f>
        <v>16</v>
      </c>
      <c r="E3" s="57">
        <f>E1</f>
        <v>0.25</v>
      </c>
      <c r="F3" s="56">
        <f>COUNTIF(F9:F361,"&lt;="&amp;'Calendrier fiscal'!B9)</f>
        <v>14</v>
      </c>
      <c r="G3" s="57">
        <f>G1</f>
        <v>0.66666666666666663</v>
      </c>
      <c r="H3" s="56">
        <f>COUNTIF(H9:H361,"&lt;="&amp;'Calendrier fiscal'!B10)</f>
        <v>11</v>
      </c>
      <c r="I3" s="290">
        <f>I1</f>
        <v>0.4</v>
      </c>
      <c r="J3" s="56">
        <f>COUNTIF(J9:J361,"&lt;="&amp;'Calendrier fiscal'!B11)</f>
        <v>9</v>
      </c>
      <c r="K3" s="57">
        <f>K1</f>
        <v>0.46666666666666667</v>
      </c>
      <c r="L3" s="56">
        <f>COUNTIF(L9:L361,"&lt;="&amp;'Calendrier fiscal'!B12)</f>
        <v>15</v>
      </c>
      <c r="M3" s="57">
        <f>M1</f>
        <v>0.53333333333333333</v>
      </c>
      <c r="N3" s="56">
        <f>COUNTIF(N9:N361,"&lt;="&amp;'Calendrier fiscal'!B13)</f>
        <v>14</v>
      </c>
      <c r="O3" s="57">
        <f>O1</f>
        <v>0.93333333333333335</v>
      </c>
      <c r="P3" s="56">
        <f>COUNTIF(P9:P361,"&lt;="&amp;'Calendrier fiscal'!B14)</f>
        <v>12</v>
      </c>
      <c r="Q3" s="57">
        <f>Q1</f>
        <v>0.8571428571428571</v>
      </c>
      <c r="R3" s="56">
        <f>COUNTIF(R9:R361,"&lt;="&amp;'Calendrier fiscal'!B15)</f>
        <v>11</v>
      </c>
      <c r="S3" s="57">
        <f>S1</f>
        <v>0.72727272727272729</v>
      </c>
      <c r="T3" s="56">
        <f>COUNTIF(T9:T361,"&lt;="&amp;'Calendrier fiscal'!B16)</f>
        <v>5</v>
      </c>
      <c r="U3" s="57">
        <f>U1</f>
        <v>0.42857142857142855</v>
      </c>
      <c r="V3" s="56">
        <f>COUNTIF(V9:V361,"&lt;="&amp;'Calendrier fiscal'!B17)</f>
        <v>6</v>
      </c>
      <c r="W3" s="57">
        <f>W1</f>
        <v>0.5</v>
      </c>
      <c r="X3" s="56">
        <f>COUNTIF(X9:X361,"&lt;="&amp;'Calendrier fiscal'!B18)</f>
        <v>5</v>
      </c>
      <c r="Y3" s="57">
        <f>Y1</f>
        <v>0.33333333333333331</v>
      </c>
      <c r="Z3" s="56">
        <f>COUNTIF(Z9:Z361,"&lt;="&amp;'Calendrier fiscal'!B19)</f>
        <v>1</v>
      </c>
      <c r="AA3" s="57">
        <f>AA1</f>
        <v>1</v>
      </c>
    </row>
    <row r="4" spans="1:43" s="73" customFormat="1" ht="12" x14ac:dyDescent="0.2">
      <c r="A4" s="73">
        <v>20</v>
      </c>
      <c r="D4" s="56"/>
      <c r="E4" s="59">
        <v>0.02</v>
      </c>
      <c r="F4" s="58"/>
      <c r="G4" s="59">
        <v>0.02</v>
      </c>
      <c r="H4" s="58"/>
      <c r="I4" s="59">
        <v>0.02</v>
      </c>
      <c r="J4" s="58"/>
      <c r="K4" s="59">
        <v>0.02</v>
      </c>
      <c r="L4" s="58"/>
      <c r="M4" s="59">
        <v>0.01</v>
      </c>
      <c r="N4" s="58"/>
      <c r="O4" s="74">
        <v>0.01</v>
      </c>
      <c r="P4" s="58"/>
      <c r="Q4" s="59">
        <v>0.01</v>
      </c>
      <c r="R4" s="58"/>
      <c r="S4" s="59">
        <v>0.01</v>
      </c>
      <c r="T4" s="58"/>
      <c r="U4" s="59">
        <v>0.01</v>
      </c>
      <c r="V4" s="58"/>
      <c r="W4" s="59">
        <v>0.02</v>
      </c>
      <c r="X4" s="58"/>
      <c r="Y4" s="59">
        <v>0.01</v>
      </c>
      <c r="Z4" s="58"/>
      <c r="AA4" s="59">
        <v>0.01</v>
      </c>
    </row>
    <row r="5" spans="1:43" s="73" customFormat="1" ht="16.5" customHeight="1" x14ac:dyDescent="0.2">
      <c r="A5" s="73">
        <v>10</v>
      </c>
      <c r="D5" s="56"/>
      <c r="E5" s="59">
        <f>102%-SUM(E3:E4)</f>
        <v>0.75</v>
      </c>
      <c r="F5" s="58"/>
      <c r="G5" s="59">
        <f>G6-SUM(G3:G4)</f>
        <v>0.33333333333333337</v>
      </c>
      <c r="H5" s="58"/>
      <c r="I5" s="59">
        <f>1.02-SUM(I3:I4)</f>
        <v>0.6</v>
      </c>
      <c r="J5" s="58"/>
      <c r="K5" s="59">
        <f>1.02-SUM(K3:K4)</f>
        <v>0.53333333333333333</v>
      </c>
      <c r="L5" s="58"/>
      <c r="M5" s="59">
        <f>M6-SUM(M3:M4)</f>
        <v>0.47666666666666668</v>
      </c>
      <c r="N5" s="58"/>
      <c r="O5" s="59">
        <f>1.02-SUM(O3:O4)</f>
        <v>7.6666666666666661E-2</v>
      </c>
      <c r="P5" s="58"/>
      <c r="Q5" s="59">
        <f>1.02-SUM(Q3:Q4)</f>
        <v>0.15285714285714291</v>
      </c>
      <c r="R5" s="58"/>
      <c r="S5" s="59">
        <f>1.02-SUM(S3:S4)</f>
        <v>0.28272727272727272</v>
      </c>
      <c r="T5" s="58"/>
      <c r="U5" s="59">
        <f>1.02-SUM(U3:U4)</f>
        <v>0.58142857142857141</v>
      </c>
      <c r="V5" s="58"/>
      <c r="W5" s="59">
        <f>W6-SUM(W3:W4)</f>
        <v>0.5</v>
      </c>
      <c r="X5" s="58"/>
      <c r="Y5" s="59">
        <f>Y6-SUM(Y3:Y4)</f>
        <v>0.66666666666666674</v>
      </c>
      <c r="Z5" s="58"/>
      <c r="AA5" s="59">
        <f>AA6-SUM(AA3:AA4)</f>
        <v>1.0000000000000009E-2</v>
      </c>
    </row>
    <row r="6" spans="1:43" s="73" customFormat="1" ht="12.75" thickBot="1" x14ac:dyDescent="0.25">
      <c r="A6" s="73">
        <f>SUM(A3:A5)</f>
        <v>100</v>
      </c>
      <c r="D6" s="56"/>
      <c r="E6" s="59">
        <v>1.02</v>
      </c>
      <c r="F6" s="58"/>
      <c r="G6" s="59">
        <v>1.02</v>
      </c>
      <c r="H6" s="58"/>
      <c r="I6" s="59">
        <v>1.02</v>
      </c>
      <c r="J6" s="58"/>
      <c r="K6" s="59">
        <v>1.02</v>
      </c>
      <c r="L6" s="58"/>
      <c r="M6" s="59">
        <v>1.02</v>
      </c>
      <c r="N6" s="58"/>
      <c r="O6" s="59">
        <v>1.02</v>
      </c>
      <c r="P6" s="58"/>
      <c r="Q6" s="59">
        <v>1.02</v>
      </c>
      <c r="R6" s="58"/>
      <c r="S6" s="59">
        <v>1.02</v>
      </c>
      <c r="T6" s="58"/>
      <c r="U6" s="59">
        <v>1.02</v>
      </c>
      <c r="V6" s="58"/>
      <c r="W6" s="59">
        <v>1.02</v>
      </c>
      <c r="X6" s="58"/>
      <c r="Y6" s="59">
        <v>1.01</v>
      </c>
      <c r="Z6" s="58"/>
      <c r="AA6" s="59">
        <v>1.02</v>
      </c>
    </row>
    <row r="7" spans="1:43" ht="16.5" thickTop="1" thickBot="1" x14ac:dyDescent="0.3">
      <c r="D7" s="630" t="s">
        <v>481</v>
      </c>
      <c r="E7" s="631"/>
      <c r="F7" s="632" t="s">
        <v>484</v>
      </c>
      <c r="G7" s="632"/>
      <c r="H7" s="633" t="s">
        <v>485</v>
      </c>
      <c r="I7" s="634"/>
      <c r="J7" s="635" t="s">
        <v>486</v>
      </c>
      <c r="K7" s="635"/>
      <c r="L7" s="636" t="s">
        <v>487</v>
      </c>
      <c r="M7" s="637"/>
      <c r="N7" s="638" t="s">
        <v>488</v>
      </c>
      <c r="O7" s="638"/>
      <c r="P7" s="639" t="s">
        <v>489</v>
      </c>
      <c r="Q7" s="640"/>
      <c r="R7" s="641" t="s">
        <v>490</v>
      </c>
      <c r="S7" s="641"/>
      <c r="T7" s="642" t="s">
        <v>491</v>
      </c>
      <c r="U7" s="643"/>
      <c r="V7" s="644" t="s">
        <v>492</v>
      </c>
      <c r="W7" s="644"/>
      <c r="X7" s="645" t="s">
        <v>493</v>
      </c>
      <c r="Y7" s="646"/>
      <c r="Z7" s="628" t="s">
        <v>494</v>
      </c>
      <c r="AA7" s="629"/>
      <c r="AB7" s="68"/>
      <c r="AG7" s="68"/>
      <c r="AH7" s="627"/>
      <c r="AI7" s="627"/>
      <c r="AJ7" s="627"/>
      <c r="AK7" s="627"/>
      <c r="AL7" s="627"/>
      <c r="AM7" s="627"/>
      <c r="AN7" s="627"/>
      <c r="AO7" s="627"/>
      <c r="AP7" s="627"/>
      <c r="AQ7" s="627"/>
    </row>
    <row r="8" spans="1:43" ht="30.75" thickBot="1" x14ac:dyDescent="0.3">
      <c r="A8" s="32" t="s">
        <v>478</v>
      </c>
      <c r="B8" s="32" t="s">
        <v>479</v>
      </c>
      <c r="C8" s="33" t="s">
        <v>480</v>
      </c>
      <c r="D8" s="8" t="s">
        <v>482</v>
      </c>
      <c r="E8" s="9" t="s">
        <v>483</v>
      </c>
      <c r="F8" s="10" t="s">
        <v>482</v>
      </c>
      <c r="G8" s="11" t="s">
        <v>483</v>
      </c>
      <c r="H8" s="12" t="s">
        <v>482</v>
      </c>
      <c r="I8" s="13" t="s">
        <v>483</v>
      </c>
      <c r="J8" s="14" t="s">
        <v>482</v>
      </c>
      <c r="K8" s="15" t="s">
        <v>483</v>
      </c>
      <c r="L8" s="16" t="s">
        <v>482</v>
      </c>
      <c r="M8" s="17" t="s">
        <v>483</v>
      </c>
      <c r="N8" s="18" t="s">
        <v>482</v>
      </c>
      <c r="O8" s="19" t="s">
        <v>483</v>
      </c>
      <c r="P8" s="20" t="s">
        <v>482</v>
      </c>
      <c r="Q8" s="21" t="s">
        <v>483</v>
      </c>
      <c r="R8" s="22" t="s">
        <v>482</v>
      </c>
      <c r="S8" s="23" t="s">
        <v>483</v>
      </c>
      <c r="T8" s="24" t="s">
        <v>482</v>
      </c>
      <c r="U8" s="25" t="s">
        <v>483</v>
      </c>
      <c r="V8" s="26" t="s">
        <v>482</v>
      </c>
      <c r="W8" s="27" t="s">
        <v>483</v>
      </c>
      <c r="X8" s="28" t="s">
        <v>482</v>
      </c>
      <c r="Y8" s="29" t="s">
        <v>483</v>
      </c>
      <c r="Z8" s="30" t="s">
        <v>482</v>
      </c>
      <c r="AA8" s="31" t="s">
        <v>483</v>
      </c>
      <c r="AD8" s="75" t="s">
        <v>608</v>
      </c>
      <c r="AE8" s="134" t="s">
        <v>539</v>
      </c>
    </row>
    <row r="9" spans="1:43" ht="15.75" hidden="1" thickTop="1" x14ac:dyDescent="0.25">
      <c r="A9" s="430">
        <v>272</v>
      </c>
      <c r="B9" s="6" t="str">
        <f>IF(A9&lt;&gt;"",INDEX('Base de données'!A$4:L$990,MATCH(' TVA M'!A9,'Base de données'!A$4:A$990,0),2),"")</f>
        <v>SOFIA GROUPE INFORMATIQUE</v>
      </c>
      <c r="C9" s="7" t="str">
        <f>IF(A9&lt;&gt;"",INDEX('Base de données'!A$4:L$990,MATCH(' TVA M'!A9,'Base de données'!A$4:A$990,0),12),"")</f>
        <v>HALIMA OUIJANE</v>
      </c>
      <c r="D9" s="437">
        <v>43888</v>
      </c>
      <c r="E9" s="432">
        <v>6864469</v>
      </c>
      <c r="F9" s="433">
        <v>43920</v>
      </c>
      <c r="G9" s="434">
        <v>6967425</v>
      </c>
      <c r="H9" s="431"/>
      <c r="I9" s="432"/>
      <c r="J9" s="431"/>
      <c r="K9" s="434"/>
      <c r="L9" s="431"/>
      <c r="M9" s="432"/>
      <c r="N9" s="433"/>
      <c r="O9" s="434"/>
      <c r="P9" s="431"/>
      <c r="Q9" s="432"/>
      <c r="R9" s="433"/>
      <c r="S9" s="434"/>
      <c r="T9" s="431"/>
      <c r="U9" s="432"/>
      <c r="V9" s="435"/>
      <c r="W9" s="434"/>
      <c r="X9" s="431"/>
      <c r="Y9" s="432"/>
      <c r="Z9" s="431"/>
      <c r="AA9" s="436"/>
      <c r="AH9" s="69"/>
    </row>
    <row r="10" spans="1:43" ht="30.75" hidden="1" thickTop="1" x14ac:dyDescent="0.25">
      <c r="A10" s="430">
        <v>196</v>
      </c>
      <c r="B10" s="6" t="str">
        <f>IF(A10&lt;&gt;"",INDEX('Base de données'!A$4:L$990,MATCH(' TVA M'!A10,'Base de données'!A$4:A$990,0),2),"")</f>
        <v>AZAGHAR AL AQSA</v>
      </c>
      <c r="C10" s="7" t="str">
        <f>IF(A10&lt;&gt;"",INDEX('Base de données'!A$4:L$990,MATCH(' TVA M'!A10,'Base de données'!A$4:A$990,0),12),"")</f>
        <v>HALIMA OUIJANE</v>
      </c>
      <c r="D10" s="437">
        <v>43892</v>
      </c>
      <c r="E10" s="438">
        <v>6897085</v>
      </c>
      <c r="F10" s="435">
        <v>43920</v>
      </c>
      <c r="G10" s="439">
        <v>6967668</v>
      </c>
      <c r="H10" s="437"/>
      <c r="I10" s="438"/>
      <c r="J10" s="437"/>
      <c r="K10" s="439"/>
      <c r="L10" s="437"/>
      <c r="M10" s="438"/>
      <c r="N10" s="435"/>
      <c r="O10" s="439"/>
      <c r="P10" s="437"/>
      <c r="Q10" s="438"/>
      <c r="R10" s="435"/>
      <c r="S10" s="439"/>
      <c r="T10" s="437"/>
      <c r="U10" s="438"/>
      <c r="V10" s="435"/>
      <c r="W10" s="434"/>
      <c r="X10" s="437"/>
      <c r="Y10" s="438"/>
      <c r="Z10" s="437"/>
      <c r="AA10" s="440"/>
      <c r="AC10" s="77" t="s">
        <v>606</v>
      </c>
      <c r="AD10" s="79" t="s">
        <v>605</v>
      </c>
      <c r="AE10" s="79" t="s">
        <v>610</v>
      </c>
      <c r="AF10" s="295" t="s">
        <v>611</v>
      </c>
      <c r="AG10" s="78" t="s">
        <v>609</v>
      </c>
      <c r="AH10" s="279" t="s">
        <v>621</v>
      </c>
      <c r="AI10" s="293" t="s">
        <v>639</v>
      </c>
    </row>
    <row r="11" spans="1:43" ht="15.75" hidden="1" thickTop="1" x14ac:dyDescent="0.25">
      <c r="A11" s="430">
        <v>204</v>
      </c>
      <c r="B11" s="6" t="str">
        <f>IF(A11&lt;&gt;"",INDEX('Base de données'!A$4:L$990,MATCH(' TVA M'!A11,'Base de données'!A$4:A$990,0),2),"")</f>
        <v>LAMHADDAR MUSTAPHA</v>
      </c>
      <c r="C11" s="7" t="str">
        <f>IF(A11&lt;&gt;"",INDEX('Base de données'!A$4:L$990,MATCH(' TVA M'!A11,'Base de données'!A$4:A$990,0),12),"")</f>
        <v>HALIMA OUIJANE</v>
      </c>
      <c r="D11" s="437">
        <v>43889</v>
      </c>
      <c r="E11" s="438">
        <v>6877356</v>
      </c>
      <c r="F11" s="435">
        <v>43910</v>
      </c>
      <c r="G11" s="439">
        <v>6931795</v>
      </c>
      <c r="H11" s="437"/>
      <c r="I11" s="438"/>
      <c r="J11" s="441"/>
      <c r="K11" s="439"/>
      <c r="L11" s="437"/>
      <c r="M11" s="438"/>
      <c r="N11" s="435"/>
      <c r="O11" s="439"/>
      <c r="P11" s="437"/>
      <c r="Q11" s="438"/>
      <c r="R11" s="435"/>
      <c r="S11" s="439"/>
      <c r="T11" s="437"/>
      <c r="U11" s="438"/>
      <c r="V11" s="435"/>
      <c r="W11" s="434"/>
      <c r="X11" s="442"/>
      <c r="Y11" s="438"/>
      <c r="Z11" s="442"/>
      <c r="AA11" s="440"/>
      <c r="AC11" s="80" t="s">
        <v>604</v>
      </c>
      <c r="AD11" s="80">
        <f>COUNTIFS(C9:C361,AE8,D9:D361,"&lt;&gt;"&amp;"")</f>
        <v>7</v>
      </c>
      <c r="AE11" s="80">
        <f>COUNTIFS(C9:C361,AE8,D9:D361,"&lt;="&amp;'Calendrier fiscal'!C8)</f>
        <v>3</v>
      </c>
      <c r="AF11" s="80">
        <f>COUNTIFS(C9:C361,AE8,D9:D361,"&lt;="&amp;'Calendrier fiscal'!B8)</f>
        <v>5</v>
      </c>
      <c r="AG11" s="80">
        <f>AD11-AF11</f>
        <v>2</v>
      </c>
      <c r="AH11" s="280">
        <f>IF(AD11&lt;&gt;0,AE11/AD11,"")</f>
        <v>0.42857142857142855</v>
      </c>
      <c r="AI11" s="294">
        <f>IF(AD11&lt;&gt;0,AF11/AD11,"")</f>
        <v>0.7142857142857143</v>
      </c>
    </row>
    <row r="12" spans="1:43" ht="15.75" hidden="1" thickTop="1" x14ac:dyDescent="0.25">
      <c r="A12" s="430">
        <v>102</v>
      </c>
      <c r="B12" s="6" t="str">
        <f>IF(A12&lt;&gt;"",INDEX('Base de données'!A$4:L$990,MATCH(' TVA M'!A12,'Base de données'!A$4:A$990,0),2),"")</f>
        <v>DIMAG</v>
      </c>
      <c r="C12" s="7" t="str">
        <f>IF(A12&lt;&gt;"",INDEX('Base de données'!A$4:L$990,MATCH(' TVA M'!A12,'Base de données'!A$4:A$990,0),12),"")</f>
        <v>FATIMA EZZAHRA JAIZI</v>
      </c>
      <c r="D12" s="437">
        <v>43889</v>
      </c>
      <c r="E12" s="438">
        <v>6865600</v>
      </c>
      <c r="F12" s="437">
        <v>43910</v>
      </c>
      <c r="G12" s="439">
        <v>6930844</v>
      </c>
      <c r="H12" s="437">
        <v>43947</v>
      </c>
      <c r="I12" s="438">
        <v>7133776</v>
      </c>
      <c r="J12" s="435">
        <v>43974</v>
      </c>
      <c r="K12" s="439">
        <v>7324509</v>
      </c>
      <c r="L12" s="437">
        <v>44008</v>
      </c>
      <c r="M12" s="438">
        <v>7426874</v>
      </c>
      <c r="N12" s="435">
        <v>44035</v>
      </c>
      <c r="O12" s="439">
        <v>7636613</v>
      </c>
      <c r="P12" s="437">
        <v>44055</v>
      </c>
      <c r="Q12" s="438">
        <v>7850345</v>
      </c>
      <c r="R12" s="435">
        <v>44104</v>
      </c>
      <c r="S12" s="439">
        <v>8003730</v>
      </c>
      <c r="T12" s="437">
        <v>44134</v>
      </c>
      <c r="U12" s="438">
        <v>8302359</v>
      </c>
      <c r="V12" s="443"/>
      <c r="W12" s="434"/>
      <c r="X12" s="442"/>
      <c r="Y12" s="438"/>
      <c r="Z12" s="442"/>
      <c r="AA12" s="440"/>
      <c r="AC12" s="80" t="s">
        <v>512</v>
      </c>
      <c r="AD12" s="80">
        <f>COUNTIFS(C9:C361,AE8,F9:F361,"&lt;&gt;"&amp;"")</f>
        <v>7</v>
      </c>
      <c r="AE12" s="80">
        <f>COUNTIFS(C9:C361,AE8,F9:F361,"&lt;="&amp;'Calendrier fiscal'!C9)</f>
        <v>4</v>
      </c>
      <c r="AF12" s="80">
        <f>COUNTIFS(C9:C361,AE8,F9:F361,"&lt;="&amp;'Calendrier fiscal'!B9)</f>
        <v>4</v>
      </c>
      <c r="AG12" s="80">
        <f t="shared" ref="AG12:AG22" si="0">AD12-AF12</f>
        <v>3</v>
      </c>
      <c r="AH12" s="280">
        <f t="shared" ref="AH12:AH22" si="1">IF(AD12&lt;&gt;0,AE12/AD12,"")</f>
        <v>0.5714285714285714</v>
      </c>
      <c r="AI12" s="294">
        <f t="shared" ref="AI12:AI22" si="2">IF(AD12&lt;&gt;0,AF12/AD12,"")</f>
        <v>0.5714285714285714</v>
      </c>
    </row>
    <row r="13" spans="1:43" ht="15.75" hidden="1" thickTop="1" x14ac:dyDescent="0.25">
      <c r="A13" s="430">
        <v>25</v>
      </c>
      <c r="B13" s="6" t="str">
        <f>IF(A13&lt;&gt;"",INDEX('Base de données'!A$4:L$990,MATCH(' TVA M'!A13,'Base de données'!A$4:A$990,0),2),"")</f>
        <v>ZAKARIA LAKTIB</v>
      </c>
      <c r="C13" s="7" t="str">
        <f>IF(A13&lt;&gt;"",INDEX('Base de données'!A$4:L$990,MATCH(' TVA M'!A13,'Base de données'!A$4:A$990,0),12),"")</f>
        <v>HALIMA OUIJANE</v>
      </c>
      <c r="D13" s="437">
        <v>43889</v>
      </c>
      <c r="E13" s="438">
        <v>6873757</v>
      </c>
      <c r="F13" s="443"/>
      <c r="G13" s="439"/>
      <c r="H13" s="442"/>
      <c r="I13" s="438"/>
      <c r="J13" s="435"/>
      <c r="K13" s="439"/>
      <c r="L13" s="442"/>
      <c r="M13" s="438"/>
      <c r="N13" s="443"/>
      <c r="O13" s="439"/>
      <c r="P13" s="442"/>
      <c r="Q13" s="438"/>
      <c r="R13" s="443"/>
      <c r="S13" s="439"/>
      <c r="T13" s="442"/>
      <c r="U13" s="438"/>
      <c r="V13" s="443"/>
      <c r="W13" s="434"/>
      <c r="X13" s="442"/>
      <c r="Y13" s="438"/>
      <c r="Z13" s="442"/>
      <c r="AA13" s="440"/>
      <c r="AC13" s="80" t="s">
        <v>607</v>
      </c>
      <c r="AD13" s="80">
        <f>COUNTIFS(C9:C361,AE8,H9:H361,"&lt;&gt;"&amp;"")</f>
        <v>7</v>
      </c>
      <c r="AE13" s="80">
        <f>COUNTIFS(C9:C361,AE8,H9:H361,"&lt;="&amp;'Calendrier fiscal'!C10)</f>
        <v>4</v>
      </c>
      <c r="AF13" s="80">
        <f>COUNTIFS(C9:C361,AE8,H9:H361,"&lt;="&amp;'Calendrier fiscal'!B10)</f>
        <v>5</v>
      </c>
      <c r="AG13" s="80">
        <f t="shared" si="0"/>
        <v>2</v>
      </c>
      <c r="AH13" s="280">
        <f t="shared" si="1"/>
        <v>0.5714285714285714</v>
      </c>
      <c r="AI13" s="294">
        <f t="shared" si="2"/>
        <v>0.7142857142857143</v>
      </c>
    </row>
    <row r="14" spans="1:43" ht="15.75" hidden="1" thickTop="1" x14ac:dyDescent="0.25">
      <c r="A14" s="430">
        <v>351</v>
      </c>
      <c r="B14" s="6" t="str">
        <f>IF(A14&lt;&gt;"",INDEX('Base de données'!A$4:L$990,MATCH(' TVA M'!A14,'Base de données'!A$4:A$990,0),2),"")</f>
        <v>SABRITEC</v>
      </c>
      <c r="C14" s="7" t="str">
        <f>IF(A14&lt;&gt;"",INDEX('Base de données'!A$4:L$990,MATCH(' TVA M'!A14,'Base de données'!A$4:A$990,0),12),"")</f>
        <v>HALIMA OUIJANE</v>
      </c>
      <c r="D14" s="437">
        <v>43888</v>
      </c>
      <c r="E14" s="438">
        <v>6864354</v>
      </c>
      <c r="F14" s="435"/>
      <c r="G14" s="439"/>
      <c r="H14" s="442"/>
      <c r="I14" s="438"/>
      <c r="J14" s="443"/>
      <c r="K14" s="439"/>
      <c r="L14" s="442"/>
      <c r="M14" s="438"/>
      <c r="N14" s="443"/>
      <c r="O14" s="439"/>
      <c r="P14" s="442"/>
      <c r="Q14" s="438"/>
      <c r="R14" s="443"/>
      <c r="S14" s="439"/>
      <c r="T14" s="442"/>
      <c r="U14" s="438"/>
      <c r="V14" s="443"/>
      <c r="W14" s="434"/>
      <c r="X14" s="442"/>
      <c r="Y14" s="438"/>
      <c r="Z14" s="442"/>
      <c r="AA14" s="440"/>
      <c r="AC14" s="80" t="s">
        <v>486</v>
      </c>
      <c r="AD14" s="80">
        <f>COUNTIFS(C9:C361,AE8,J9:J361,"&lt;&gt;"&amp;"")</f>
        <v>7</v>
      </c>
      <c r="AE14" s="80">
        <f>COUNTIFS(C9:C361,AE8,J9:J361,"&lt;="&amp;'Calendrier fiscal'!C11)</f>
        <v>4</v>
      </c>
      <c r="AF14" s="80">
        <f>COUNTIFS(C9:C361,AE8,J9:J361,"&lt;="&amp;'Calendrier fiscal'!B11)</f>
        <v>4</v>
      </c>
      <c r="AG14" s="80">
        <f t="shared" si="0"/>
        <v>3</v>
      </c>
      <c r="AH14" s="280">
        <f t="shared" si="1"/>
        <v>0.5714285714285714</v>
      </c>
      <c r="AI14" s="294">
        <f t="shared" si="2"/>
        <v>0.5714285714285714</v>
      </c>
    </row>
    <row r="15" spans="1:43" ht="15.75" hidden="1" thickTop="1" x14ac:dyDescent="0.25">
      <c r="A15" s="430">
        <v>172</v>
      </c>
      <c r="B15" s="6" t="str">
        <f>IF(A15&lt;&gt;"",INDEX('Base de données'!A$4:L$990,MATCH(' TVA M'!A15,'Base de données'!A$4:A$990,0),2),"")</f>
        <v xml:space="preserve">WISE CAM  </v>
      </c>
      <c r="C15" s="7" t="str">
        <f>IF(A15&lt;&gt;"",INDEX('Base de données'!A$4:L$990,MATCH(' TVA M'!A15,'Base de données'!A$4:A$990,0),12),"")</f>
        <v>HALIMA OUIJANE</v>
      </c>
      <c r="D15" s="437"/>
      <c r="E15" s="438"/>
      <c r="F15" s="443"/>
      <c r="G15" s="439"/>
      <c r="H15" s="442"/>
      <c r="I15" s="438"/>
      <c r="J15" s="443"/>
      <c r="K15" s="439"/>
      <c r="L15" s="442"/>
      <c r="M15" s="438"/>
      <c r="N15" s="443"/>
      <c r="O15" s="439"/>
      <c r="P15" s="442"/>
      <c r="Q15" s="438"/>
      <c r="R15" s="443"/>
      <c r="S15" s="439"/>
      <c r="T15" s="442"/>
      <c r="U15" s="438"/>
      <c r="V15" s="443"/>
      <c r="W15" s="434"/>
      <c r="X15" s="442"/>
      <c r="Y15" s="438"/>
      <c r="Z15" s="442"/>
      <c r="AA15" s="440"/>
      <c r="AC15" s="80" t="s">
        <v>487</v>
      </c>
      <c r="AD15" s="80">
        <f>COUNTIFS(C9:C361,AE8,L9:L361,"&lt;&gt;"&amp;"")</f>
        <v>7</v>
      </c>
      <c r="AE15" s="80">
        <f>COUNTIFS(C9:C361,AE8,L9:L361,"&lt;="&amp;'Calendrier fiscal'!C12)</f>
        <v>6</v>
      </c>
      <c r="AF15" s="80">
        <f>COUNTIFS(C9:C361,AE8,L9:L361,"&lt;="&amp;'Calendrier fiscal'!B12)</f>
        <v>7</v>
      </c>
      <c r="AG15" s="80">
        <f t="shared" si="0"/>
        <v>0</v>
      </c>
      <c r="AH15" s="280">
        <f t="shared" si="1"/>
        <v>0.8571428571428571</v>
      </c>
      <c r="AI15" s="294">
        <f t="shared" si="2"/>
        <v>1</v>
      </c>
    </row>
    <row r="16" spans="1:43" ht="15.75" thickTop="1" x14ac:dyDescent="0.25">
      <c r="A16" s="430">
        <v>189</v>
      </c>
      <c r="B16" s="6" t="str">
        <f>IF(A16&lt;&gt;"",INDEX('Base de données'!A$4:L$990,MATCH(' TVA M'!A16,'Base de données'!A$4:A$990,0),2),"")</f>
        <v xml:space="preserve">BE MARRAKECH </v>
      </c>
      <c r="C16" s="7" t="str">
        <f>IF(A16&lt;&gt;"",INDEX('Base de données'!A$4:L$990,MATCH(' TVA M'!A16,'Base de données'!A$4:A$990,0),12),"")</f>
        <v>NAJAT SAOUD</v>
      </c>
      <c r="D16" s="437">
        <v>43973</v>
      </c>
      <c r="E16" s="438">
        <v>7323376</v>
      </c>
      <c r="F16" s="435">
        <v>43973</v>
      </c>
      <c r="G16" s="439">
        <v>7323465</v>
      </c>
      <c r="H16" s="437">
        <v>43973</v>
      </c>
      <c r="I16" s="438">
        <v>7323535</v>
      </c>
      <c r="J16" s="435">
        <v>43980</v>
      </c>
      <c r="K16" s="439">
        <v>7354032</v>
      </c>
      <c r="L16" s="437">
        <v>44006</v>
      </c>
      <c r="M16" s="438">
        <v>7415625</v>
      </c>
      <c r="N16" s="435">
        <v>44049</v>
      </c>
      <c r="O16" s="439">
        <v>7843296</v>
      </c>
      <c r="P16" s="437">
        <v>44084</v>
      </c>
      <c r="Q16" s="438">
        <v>7934936</v>
      </c>
      <c r="R16" s="435">
        <v>44091</v>
      </c>
      <c r="S16" s="439">
        <v>7935821</v>
      </c>
      <c r="T16" s="437">
        <v>44125</v>
      </c>
      <c r="U16" s="438">
        <v>8126458</v>
      </c>
      <c r="V16" s="435">
        <v>44163</v>
      </c>
      <c r="W16" s="434">
        <v>8450986</v>
      </c>
      <c r="X16" s="437">
        <v>44223</v>
      </c>
      <c r="Y16" s="438">
        <v>8716083</v>
      </c>
      <c r="Z16" s="437">
        <v>44223</v>
      </c>
      <c r="AA16" s="440">
        <v>8716876</v>
      </c>
      <c r="AC16" s="80" t="s">
        <v>488</v>
      </c>
      <c r="AD16" s="80">
        <f>COUNTIFS(C9:C361,AE8,N9:N361,"&lt;&gt;"&amp;"")</f>
        <v>7</v>
      </c>
      <c r="AE16" s="80">
        <f>COUNTIFS(C9:C361,AE8,N9:N361,"&lt;="&amp;'Calendrier fiscal'!C13)</f>
        <v>7</v>
      </c>
      <c r="AF16" s="80">
        <f>COUNTIFS(C9:C361,AE8,N9:N361,"&lt;="&amp;'Calendrier fiscal'!B13)</f>
        <v>7</v>
      </c>
      <c r="AG16" s="80">
        <f t="shared" si="0"/>
        <v>0</v>
      </c>
      <c r="AH16" s="280">
        <f t="shared" si="1"/>
        <v>1</v>
      </c>
      <c r="AI16" s="294">
        <f t="shared" si="2"/>
        <v>1</v>
      </c>
    </row>
    <row r="17" spans="1:35" hidden="1" x14ac:dyDescent="0.25">
      <c r="A17" s="430">
        <v>278</v>
      </c>
      <c r="B17" s="6" t="str">
        <f>IF(A17&lt;&gt;"",INDEX('Base de données'!A$4:L$990,MATCH(' TVA M'!A17,'Base de données'!A$4:A$990,0),2),"")</f>
        <v>GMARK GROUPE</v>
      </c>
      <c r="C17" s="7" t="str">
        <f>IF(A17&lt;&gt;"",INDEX('Base de données'!A$4:L$990,MATCH(' TVA M'!A17,'Base de données'!A$4:A$990,0),12),"")</f>
        <v>FATIMA EZZAHRA JAIZI</v>
      </c>
      <c r="D17" s="437">
        <v>43892</v>
      </c>
      <c r="E17" s="438">
        <v>6885545</v>
      </c>
      <c r="F17" s="435">
        <v>43993</v>
      </c>
      <c r="G17" s="439">
        <v>7387752</v>
      </c>
      <c r="H17" s="437">
        <v>43997</v>
      </c>
      <c r="I17" s="438">
        <v>7393010</v>
      </c>
      <c r="J17" s="435">
        <v>43998</v>
      </c>
      <c r="K17" s="439">
        <v>7393331</v>
      </c>
      <c r="L17" s="437">
        <v>44012</v>
      </c>
      <c r="M17" s="438">
        <v>7465088</v>
      </c>
      <c r="N17" s="435">
        <v>44035</v>
      </c>
      <c r="O17" s="439">
        <v>7632104</v>
      </c>
      <c r="P17" s="437">
        <v>44057</v>
      </c>
      <c r="Q17" s="438">
        <v>7852948</v>
      </c>
      <c r="R17" s="435">
        <v>44104</v>
      </c>
      <c r="S17" s="439">
        <v>8007268</v>
      </c>
      <c r="T17" s="437">
        <v>44137</v>
      </c>
      <c r="U17" s="438">
        <v>8361582</v>
      </c>
      <c r="V17" s="435">
        <v>44165</v>
      </c>
      <c r="W17" s="434">
        <v>8469032</v>
      </c>
      <c r="X17" s="435">
        <v>44196</v>
      </c>
      <c r="Y17" s="438">
        <v>8569368</v>
      </c>
      <c r="Z17" s="442"/>
      <c r="AA17" s="440"/>
      <c r="AC17" s="80" t="s">
        <v>489</v>
      </c>
      <c r="AD17" s="80">
        <f>COUNTIFS(C9:C361,AE8,P9:P361,"&lt;&gt;"&amp;"")</f>
        <v>7</v>
      </c>
      <c r="AE17" s="80">
        <f>COUNTIFS(C9:C361,AE8,P9:P361,"&lt;="&amp;'Calendrier fiscal'!C14)</f>
        <v>6</v>
      </c>
      <c r="AF17" s="80">
        <f>COUNTIFS(C9:C361,AE8,P9:P361,"&lt;="&amp;'Calendrier fiscal'!B14)</f>
        <v>6</v>
      </c>
      <c r="AG17" s="80">
        <f t="shared" si="0"/>
        <v>1</v>
      </c>
      <c r="AH17" s="280">
        <f t="shared" si="1"/>
        <v>0.8571428571428571</v>
      </c>
      <c r="AI17" s="294">
        <f t="shared" si="2"/>
        <v>0.8571428571428571</v>
      </c>
    </row>
    <row r="18" spans="1:35" hidden="1" x14ac:dyDescent="0.25">
      <c r="A18" s="430">
        <v>29</v>
      </c>
      <c r="B18" s="6" t="str">
        <f>IF(A18&lt;&gt;"",INDEX('Base de données'!A$4:L$990,MATCH(' TVA M'!A18,'Base de données'!A$4:A$990,0),2),"")</f>
        <v>HYDROLEADER</v>
      </c>
      <c r="C18" s="7" t="str">
        <f>IF(A18&lt;&gt;"",INDEX('Base de données'!A$4:L$990,MATCH(' TVA M'!A18,'Base de données'!A$4:A$990,0),12),"")</f>
        <v>FATIMA EZZAHRA JAIZI</v>
      </c>
      <c r="D18" s="437">
        <v>43889</v>
      </c>
      <c r="E18" s="438">
        <v>6878140</v>
      </c>
      <c r="F18" s="435" t="s">
        <v>1255</v>
      </c>
      <c r="G18" s="439">
        <v>6965920</v>
      </c>
      <c r="H18" s="437">
        <v>43946</v>
      </c>
      <c r="I18" s="438">
        <v>7129551</v>
      </c>
      <c r="J18" s="435">
        <v>43978</v>
      </c>
      <c r="K18" s="439">
        <v>7332307</v>
      </c>
      <c r="L18" s="437">
        <v>44009</v>
      </c>
      <c r="M18" s="438">
        <v>7433840</v>
      </c>
      <c r="N18" s="435">
        <v>44039</v>
      </c>
      <c r="O18" s="439">
        <v>7695436</v>
      </c>
      <c r="P18" s="437">
        <v>44057</v>
      </c>
      <c r="Q18" s="438">
        <v>7851214</v>
      </c>
      <c r="R18" s="435">
        <v>44099</v>
      </c>
      <c r="S18" s="439">
        <v>7966588</v>
      </c>
      <c r="T18" s="437" t="s">
        <v>1436</v>
      </c>
      <c r="U18" s="438">
        <v>8355214</v>
      </c>
      <c r="V18" s="435">
        <v>44165</v>
      </c>
      <c r="W18" s="434">
        <v>8468372</v>
      </c>
      <c r="X18" s="435">
        <v>44196</v>
      </c>
      <c r="Y18" s="438">
        <v>8578690</v>
      </c>
      <c r="Z18" s="442"/>
      <c r="AA18" s="440"/>
      <c r="AC18" s="80" t="s">
        <v>490</v>
      </c>
      <c r="AD18" s="80">
        <f>COUNTIFS(C9:C361,AE8,R9:R361,"&lt;&gt;"&amp;"")</f>
        <v>7</v>
      </c>
      <c r="AE18" s="80">
        <f>COUNTIFS(C9:C361,AE8,R9:R361,"&lt;="&amp;'Calendrier fiscal'!C15)</f>
        <v>4</v>
      </c>
      <c r="AF18" s="80">
        <f>COUNTIFS(C9:C361,AE8,R9:R361,"&lt;="&amp;'Calendrier fiscal'!B15)</f>
        <v>7</v>
      </c>
      <c r="AG18" s="80">
        <f t="shared" si="0"/>
        <v>0</v>
      </c>
      <c r="AH18" s="280">
        <f t="shared" si="1"/>
        <v>0.5714285714285714</v>
      </c>
      <c r="AI18" s="294">
        <f t="shared" si="2"/>
        <v>1</v>
      </c>
    </row>
    <row r="19" spans="1:35" hidden="1" x14ac:dyDescent="0.25">
      <c r="A19" s="430">
        <v>279</v>
      </c>
      <c r="B19" s="6" t="str">
        <f>IF(A19&lt;&gt;"",INDEX('Base de données'!A$4:L$990,MATCH(' TVA M'!A19,'Base de données'!A$4:A$990,0),2),"")</f>
        <v>SANICLAIR</v>
      </c>
      <c r="C19" s="7" t="str">
        <f>IF(A19&lt;&gt;"",INDEX('Base de données'!A$4:L$990,MATCH(' TVA M'!A19,'Base de données'!A$4:A$990,0),12),"")</f>
        <v>FATIMA EZZAHRA JAIZI</v>
      </c>
      <c r="D19" s="437">
        <v>43882</v>
      </c>
      <c r="E19" s="438">
        <v>6830849</v>
      </c>
      <c r="F19" s="435">
        <v>43910</v>
      </c>
      <c r="G19" s="439">
        <v>6931020</v>
      </c>
      <c r="H19" s="437">
        <v>43943</v>
      </c>
      <c r="I19" s="438">
        <v>7081058</v>
      </c>
      <c r="J19" s="435">
        <v>43973</v>
      </c>
      <c r="K19" s="439">
        <v>7321309</v>
      </c>
      <c r="L19" s="437">
        <v>44007</v>
      </c>
      <c r="M19" s="438">
        <v>7422583</v>
      </c>
      <c r="N19" s="435">
        <v>44035</v>
      </c>
      <c r="O19" s="439">
        <v>7632104</v>
      </c>
      <c r="P19" s="437">
        <v>44055</v>
      </c>
      <c r="Q19" s="438">
        <v>7850048</v>
      </c>
      <c r="R19" s="435">
        <v>44098</v>
      </c>
      <c r="S19" s="439">
        <v>7964156</v>
      </c>
      <c r="T19" s="437">
        <v>44132</v>
      </c>
      <c r="U19" s="438">
        <v>8252061</v>
      </c>
      <c r="V19" s="435">
        <v>44155</v>
      </c>
      <c r="W19" s="434">
        <v>8409750</v>
      </c>
      <c r="X19" s="435">
        <v>44195</v>
      </c>
      <c r="Y19" s="438">
        <v>8543061</v>
      </c>
      <c r="Z19" s="442"/>
      <c r="AA19" s="440"/>
      <c r="AC19" s="80" t="s">
        <v>491</v>
      </c>
      <c r="AD19" s="80">
        <f>COUNTIFS(C9:C361,AE8,T9:T361,"&lt;&gt;"&amp;"")</f>
        <v>6</v>
      </c>
      <c r="AE19" s="80">
        <f>COUNTIFS(C9:C361,AE8,T9:T361,"&lt;="&amp;'Calendrier fiscal'!C16)</f>
        <v>2</v>
      </c>
      <c r="AF19" s="80">
        <f>COUNTIFS(C9:C361,AE8,T9:T361,"&lt;="&amp;'Calendrier fiscal'!B16)</f>
        <v>4</v>
      </c>
      <c r="AG19" s="80">
        <f t="shared" si="0"/>
        <v>2</v>
      </c>
      <c r="AH19" s="280">
        <f t="shared" si="1"/>
        <v>0.33333333333333331</v>
      </c>
      <c r="AI19" s="294">
        <f t="shared" si="2"/>
        <v>0.66666666666666663</v>
      </c>
    </row>
    <row r="20" spans="1:35" hidden="1" x14ac:dyDescent="0.25">
      <c r="A20" s="430">
        <v>112</v>
      </c>
      <c r="B20" s="6" t="str">
        <f>IF(A20&lt;&gt;"",INDEX('Base de données'!A$4:L$990,MATCH(' TVA M'!A20,'Base de données'!A$4:A$990,0),2),"")</f>
        <v>STE GOUNDA PROPRE</v>
      </c>
      <c r="C20" s="7" t="str">
        <f>IF(A20&lt;&gt;"",INDEX('Base de données'!A$4:L$990,MATCH(' TVA M'!A20,'Base de données'!A$4:A$990,0),12),"")</f>
        <v>FATIMA EZZAHRA JAIZI</v>
      </c>
      <c r="D20" s="437">
        <v>43879</v>
      </c>
      <c r="E20" s="438">
        <v>6825540</v>
      </c>
      <c r="F20" s="435">
        <v>43902</v>
      </c>
      <c r="G20" s="439">
        <v>6915530</v>
      </c>
      <c r="H20" s="437">
        <v>43946</v>
      </c>
      <c r="I20" s="438">
        <v>7125790</v>
      </c>
      <c r="J20" s="435">
        <v>43974</v>
      </c>
      <c r="K20" s="439">
        <v>7324416</v>
      </c>
      <c r="L20" s="437">
        <v>44008</v>
      </c>
      <c r="M20" s="438">
        <v>7427889</v>
      </c>
      <c r="N20" s="435">
        <v>44035</v>
      </c>
      <c r="O20" s="439">
        <v>7639820</v>
      </c>
      <c r="P20" s="437">
        <v>44097</v>
      </c>
      <c r="Q20" s="438">
        <v>7957581</v>
      </c>
      <c r="R20" s="435">
        <v>44097</v>
      </c>
      <c r="S20" s="439">
        <v>7957802</v>
      </c>
      <c r="T20" s="437">
        <v>44132</v>
      </c>
      <c r="U20" s="438">
        <v>8261020</v>
      </c>
      <c r="V20" s="435">
        <v>44160</v>
      </c>
      <c r="W20" s="434">
        <v>8423115</v>
      </c>
      <c r="X20" s="435">
        <v>44188</v>
      </c>
      <c r="Y20" s="438">
        <v>8515946</v>
      </c>
      <c r="Z20" s="442"/>
      <c r="AA20" s="440"/>
      <c r="AC20" s="80" t="s">
        <v>492</v>
      </c>
      <c r="AD20" s="80">
        <f>COUNTIFS(C9:C361,AE8,V9:V361,"&lt;&gt;"&amp;"")</f>
        <v>5</v>
      </c>
      <c r="AE20" s="80">
        <f>COUNTIFS(C9:C361,AE8,V9:V361,"&lt;="&amp;'Calendrier fiscal'!C17)</f>
        <v>2</v>
      </c>
      <c r="AF20" s="80">
        <f>COUNTIFS(C9:C361,AE8,V9:V361,"&lt;="&amp;'Calendrier fiscal'!B17)</f>
        <v>5</v>
      </c>
      <c r="AG20" s="80">
        <f t="shared" si="0"/>
        <v>0</v>
      </c>
      <c r="AH20" s="280">
        <f t="shared" si="1"/>
        <v>0.4</v>
      </c>
      <c r="AI20" s="294">
        <f t="shared" si="2"/>
        <v>1</v>
      </c>
    </row>
    <row r="21" spans="1:35" hidden="1" x14ac:dyDescent="0.25">
      <c r="A21" s="430">
        <v>7</v>
      </c>
      <c r="B21" s="6" t="str">
        <f>IF(A21&lt;&gt;"",INDEX('Base de données'!A$4:L$990,MATCH(' TVA M'!A21,'Base de données'!A$4:A$990,0),2),"")</f>
        <v>ELHADI HENNABOU</v>
      </c>
      <c r="C21" s="7" t="str">
        <f>IF(A21&lt;&gt;"",INDEX('Base de données'!A$4:L$990,MATCH(' TVA M'!A21,'Base de données'!A$4:A$990,0),12),"")</f>
        <v>FATIMA EZZAHRA JAIZI</v>
      </c>
      <c r="D21" s="437">
        <v>43885</v>
      </c>
      <c r="E21" s="438">
        <v>6835846</v>
      </c>
      <c r="F21" s="435">
        <v>43902</v>
      </c>
      <c r="G21" s="439">
        <v>6915563</v>
      </c>
      <c r="H21" s="437">
        <v>43949</v>
      </c>
      <c r="I21" s="438">
        <v>7185334</v>
      </c>
      <c r="J21" s="435">
        <v>43983</v>
      </c>
      <c r="K21" s="439">
        <v>7371169</v>
      </c>
      <c r="L21" s="437">
        <v>44008</v>
      </c>
      <c r="M21" s="438">
        <v>7426647</v>
      </c>
      <c r="N21" s="435">
        <v>44034</v>
      </c>
      <c r="O21" s="439">
        <v>7623919</v>
      </c>
      <c r="P21" s="437">
        <v>44054</v>
      </c>
      <c r="Q21" s="438">
        <v>7848435</v>
      </c>
      <c r="R21" s="435">
        <v>44099</v>
      </c>
      <c r="S21" s="439">
        <v>7957968</v>
      </c>
      <c r="T21" s="437">
        <v>44135</v>
      </c>
      <c r="U21" s="438">
        <v>8323122</v>
      </c>
      <c r="V21" s="435">
        <v>44165</v>
      </c>
      <c r="W21" s="434">
        <v>8466262</v>
      </c>
      <c r="X21" s="435">
        <v>44193</v>
      </c>
      <c r="Y21" s="438">
        <v>8541556</v>
      </c>
      <c r="Z21" s="442"/>
      <c r="AA21" s="440"/>
      <c r="AC21" s="80" t="s">
        <v>493</v>
      </c>
      <c r="AD21" s="80">
        <f>COUNTIFS(C9:C361,AE8,X9:X361,"&lt;&gt;"&amp;"")</f>
        <v>5</v>
      </c>
      <c r="AE21" s="80">
        <f>COUNTIFS(C9:C361,AE8,X9:X361,"&lt;="&amp;'Calendrier fiscal'!C18)</f>
        <v>2</v>
      </c>
      <c r="AF21" s="80">
        <f>COUNTIFS(C9:C361,AE8,X9:X361,"&lt;="&amp;'Calendrier fiscal'!B18)</f>
        <v>5</v>
      </c>
      <c r="AG21" s="80">
        <f t="shared" si="0"/>
        <v>0</v>
      </c>
      <c r="AH21" s="280">
        <f t="shared" si="1"/>
        <v>0.4</v>
      </c>
      <c r="AI21" s="294">
        <f t="shared" si="2"/>
        <v>1</v>
      </c>
    </row>
    <row r="22" spans="1:35" hidden="1" x14ac:dyDescent="0.25">
      <c r="A22" s="430">
        <v>165</v>
      </c>
      <c r="B22" s="6" t="str">
        <f>IF(A22&lt;&gt;"",INDEX('Base de données'!A$4:L$990,MATCH(' TVA M'!A22,'Base de données'!A$4:A$990,0),2),"")</f>
        <v>STE ENVITRA</v>
      </c>
      <c r="C22" s="7" t="str">
        <f>IF(A22&lt;&gt;"",INDEX('Base de données'!A$4:L$990,MATCH(' TVA M'!A22,'Base de données'!A$4:A$990,0),12),"")</f>
        <v>FATIMA EZZAHRA JAIZI</v>
      </c>
      <c r="D22" s="437">
        <v>43969</v>
      </c>
      <c r="E22" s="438">
        <v>7309685</v>
      </c>
      <c r="F22" s="435">
        <v>43969</v>
      </c>
      <c r="G22" s="439">
        <v>7309757</v>
      </c>
      <c r="H22" s="437">
        <v>43969</v>
      </c>
      <c r="I22" s="438">
        <v>7309823</v>
      </c>
      <c r="J22" s="435">
        <v>43983</v>
      </c>
      <c r="K22" s="439">
        <v>7371219</v>
      </c>
      <c r="L22" s="437">
        <v>44008</v>
      </c>
      <c r="M22" s="438">
        <v>7427094</v>
      </c>
      <c r="N22" s="435">
        <v>44029</v>
      </c>
      <c r="O22" s="439">
        <v>7570110</v>
      </c>
      <c r="P22" s="437">
        <v>44055</v>
      </c>
      <c r="Q22" s="438">
        <v>7850265</v>
      </c>
      <c r="R22" s="435">
        <v>44103</v>
      </c>
      <c r="S22" s="439">
        <v>7967007</v>
      </c>
      <c r="T22" s="437"/>
      <c r="U22" s="438"/>
      <c r="V22" s="435"/>
      <c r="W22" s="434"/>
      <c r="X22" s="435"/>
      <c r="Y22" s="438"/>
      <c r="Z22" s="442"/>
      <c r="AA22" s="440"/>
      <c r="AC22" s="80" t="s">
        <v>494</v>
      </c>
      <c r="AD22" s="80">
        <f>COUNTIFS(C9:C361,AE8,Z9:Z361,"&lt;&gt;"&amp;"")</f>
        <v>0</v>
      </c>
      <c r="AE22" s="80">
        <f>COUNTIFS(C9:C361,AE8,Z9:Z361,"&lt;="&amp;'Calendrier fiscal'!C19)</f>
        <v>0</v>
      </c>
      <c r="AF22" s="80">
        <f>COUNTIFS(C9:C361,AE8,Z9:Z361,"&lt;="&amp;'Calendrier fiscal'!B19)</f>
        <v>0</v>
      </c>
      <c r="AG22" s="80">
        <f t="shared" si="0"/>
        <v>0</v>
      </c>
      <c r="AH22" s="280" t="str">
        <f t="shared" si="1"/>
        <v/>
      </c>
      <c r="AI22" s="294" t="str">
        <f t="shared" si="2"/>
        <v/>
      </c>
    </row>
    <row r="23" spans="1:35" hidden="1" x14ac:dyDescent="0.25">
      <c r="A23" s="430">
        <v>331</v>
      </c>
      <c r="B23" s="6" t="str">
        <f>IF(A23&lt;&gt;"",INDEX('Base de données'!A$4:L$990,MATCH(' TVA M'!A23,'Base de données'!A$4:A$990,0),2),"")</f>
        <v xml:space="preserve">SINDY CONFECTION </v>
      </c>
      <c r="C23" s="7" t="str">
        <f>IF(A23&lt;&gt;"",INDEX('Base de données'!A$4:L$990,MATCH(' TVA M'!A23,'Base de données'!A$4:A$990,0),12),"")</f>
        <v>FATIMA EZZAHRA AIT AHMED</v>
      </c>
      <c r="D23" s="437">
        <v>43887</v>
      </c>
      <c r="E23" s="438">
        <v>6850542</v>
      </c>
      <c r="F23" s="435">
        <v>43910</v>
      </c>
      <c r="G23" s="439">
        <v>6931889</v>
      </c>
      <c r="H23" s="437">
        <v>43944</v>
      </c>
      <c r="I23" s="438">
        <v>7107919</v>
      </c>
      <c r="J23" s="435">
        <v>43983</v>
      </c>
      <c r="K23" s="439">
        <v>7371392</v>
      </c>
      <c r="L23" s="437">
        <v>44012</v>
      </c>
      <c r="M23" s="438">
        <v>7460338</v>
      </c>
      <c r="N23" s="435">
        <v>44020</v>
      </c>
      <c r="O23" s="439">
        <v>7504203</v>
      </c>
      <c r="P23" s="437">
        <v>44057</v>
      </c>
      <c r="Q23" s="438">
        <v>7852905</v>
      </c>
      <c r="R23" s="435"/>
      <c r="S23" s="439"/>
      <c r="T23" s="437"/>
      <c r="U23" s="438"/>
      <c r="V23" s="443"/>
      <c r="W23" s="434"/>
      <c r="X23" s="435"/>
      <c r="Y23" s="438"/>
      <c r="Z23" s="442"/>
      <c r="AA23" s="440"/>
    </row>
    <row r="24" spans="1:35" hidden="1" x14ac:dyDescent="0.25">
      <c r="A24" s="430">
        <v>315</v>
      </c>
      <c r="B24" s="6" t="str">
        <f>IF(A24&lt;&gt;"",INDEX('Base de données'!A$4:L$990,MATCH(' TVA M'!A24,'Base de données'!A$4:A$990,0),2),"")</f>
        <v>ZA TECHNOLOGY</v>
      </c>
      <c r="C24" s="7" t="str">
        <f>IF(A24&lt;&gt;"",INDEX('Base de données'!A$4:L$990,MATCH(' TVA M'!A24,'Base de données'!A$4:A$990,0),12),"")</f>
        <v>FATIMA EZZAHRA AIT AHMED</v>
      </c>
      <c r="D24" s="437">
        <v>43889</v>
      </c>
      <c r="E24" s="438">
        <v>6868172</v>
      </c>
      <c r="F24" s="435">
        <v>43910</v>
      </c>
      <c r="G24" s="439">
        <v>6932269</v>
      </c>
      <c r="H24" s="437">
        <v>43951</v>
      </c>
      <c r="I24" s="438">
        <v>7244402</v>
      </c>
      <c r="J24" s="435">
        <v>43983</v>
      </c>
      <c r="K24" s="439">
        <v>7371230</v>
      </c>
      <c r="L24" s="437">
        <v>44011</v>
      </c>
      <c r="M24" s="438">
        <v>7451585</v>
      </c>
      <c r="N24" s="435">
        <v>44036</v>
      </c>
      <c r="O24" s="439">
        <v>7656855</v>
      </c>
      <c r="P24" s="437">
        <v>44057</v>
      </c>
      <c r="Q24" s="438">
        <v>7853147</v>
      </c>
      <c r="R24" s="435"/>
      <c r="S24" s="439"/>
      <c r="T24" s="437"/>
      <c r="U24" s="438"/>
      <c r="V24" s="435"/>
      <c r="W24" s="434"/>
      <c r="X24" s="435"/>
      <c r="Y24" s="438"/>
      <c r="Z24" s="437"/>
      <c r="AA24" s="440"/>
    </row>
    <row r="25" spans="1:35" hidden="1" x14ac:dyDescent="0.25">
      <c r="A25" s="430">
        <v>62</v>
      </c>
      <c r="B25" s="6" t="str">
        <f>IF(A25&lt;&gt;"",INDEX('Base de données'!A$4:L$990,MATCH(' TVA M'!A25,'Base de données'!A$4:A$990,0),2),"")</f>
        <v>CIB INVEST</v>
      </c>
      <c r="C25" s="7" t="str">
        <f>IF(A25&lt;&gt;"",INDEX('Base de données'!A$4:L$990,MATCH(' TVA M'!A25,'Base de données'!A$4:A$990,0),12),"")</f>
        <v>FATIMA EZZAHRA AIT AHMED</v>
      </c>
      <c r="D25" s="437">
        <v>43887</v>
      </c>
      <c r="E25" s="438">
        <v>6851772</v>
      </c>
      <c r="F25" s="435">
        <v>43910</v>
      </c>
      <c r="G25" s="439">
        <v>6932529</v>
      </c>
      <c r="H25" s="437">
        <v>44005</v>
      </c>
      <c r="I25" s="438">
        <v>7245984</v>
      </c>
      <c r="J25" s="435">
        <v>44011</v>
      </c>
      <c r="K25" s="439">
        <v>7452031</v>
      </c>
      <c r="L25" s="437">
        <v>44011</v>
      </c>
      <c r="M25" s="438">
        <v>7452167</v>
      </c>
      <c r="N25" s="435">
        <v>44036</v>
      </c>
      <c r="O25" s="439">
        <v>7659406</v>
      </c>
      <c r="P25" s="437"/>
      <c r="Q25" s="438"/>
      <c r="R25" s="435"/>
      <c r="S25" s="439"/>
      <c r="T25" s="437"/>
      <c r="U25" s="438"/>
      <c r="V25" s="435"/>
      <c r="W25" s="434"/>
      <c r="X25" s="435"/>
      <c r="Y25" s="438"/>
      <c r="Z25" s="442"/>
      <c r="AA25" s="440"/>
    </row>
    <row r="26" spans="1:35" hidden="1" x14ac:dyDescent="0.25">
      <c r="A26" s="430">
        <v>1</v>
      </c>
      <c r="B26" s="6" t="str">
        <f>IF(A26&lt;&gt;"",INDEX('Base de données'!A$4:L$990,MATCH(' TVA M'!A26,'Base de données'!A$4:A$990,0),2),"")</f>
        <v>STE WAY CONSEIL</v>
      </c>
      <c r="C26" s="7" t="str">
        <f>IF(A26&lt;&gt;"",INDEX('Base de données'!A$4:L$990,MATCH(' TVA M'!A26,'Base de données'!A$4:A$990,0),12),"")</f>
        <v>KHAMISSA HDIMANE</v>
      </c>
      <c r="D26" s="437">
        <v>43887</v>
      </c>
      <c r="E26" s="438">
        <v>6852276</v>
      </c>
      <c r="F26" s="435">
        <v>43906</v>
      </c>
      <c r="G26" s="439">
        <v>6920743</v>
      </c>
      <c r="H26" s="437">
        <v>43949</v>
      </c>
      <c r="I26" s="438">
        <v>7184339</v>
      </c>
      <c r="J26" s="435">
        <v>43979</v>
      </c>
      <c r="K26" s="439">
        <v>7344188</v>
      </c>
      <c r="L26" s="437">
        <v>44012</v>
      </c>
      <c r="M26" s="438">
        <v>7461505</v>
      </c>
      <c r="N26" s="435">
        <v>44036</v>
      </c>
      <c r="O26" s="439">
        <v>7663101</v>
      </c>
      <c r="P26" s="437">
        <v>44058</v>
      </c>
      <c r="Q26" s="438">
        <v>7853635</v>
      </c>
      <c r="R26" s="435">
        <v>44095</v>
      </c>
      <c r="S26" s="439">
        <v>7951628</v>
      </c>
      <c r="T26" s="437"/>
      <c r="U26" s="438"/>
      <c r="V26" s="435"/>
      <c r="W26" s="434"/>
      <c r="X26" s="435"/>
      <c r="Y26" s="438"/>
      <c r="Z26" s="437"/>
      <c r="AA26" s="440"/>
    </row>
    <row r="27" spans="1:35" hidden="1" x14ac:dyDescent="0.25">
      <c r="A27" s="430">
        <v>17</v>
      </c>
      <c r="B27" s="6" t="str">
        <f>IF(A27&lt;&gt;"",INDEX('Base de données'!A$4:L$990,MATCH(' TVA M'!A27,'Base de données'!A$4:A$990,0),2),"")</f>
        <v>STE BUREAU D ETUDE
 MANAGEMENT ET
 COMMUNICATION</v>
      </c>
      <c r="C27" s="7" t="str">
        <f>IF(A27&lt;&gt;"",INDEX('Base de données'!A$4:L$990,MATCH(' TVA M'!A27,'Base de données'!A$4:A$990,0),12),"")</f>
        <v>KHAMISSA HDIMANE</v>
      </c>
      <c r="D27" s="437">
        <v>43887</v>
      </c>
      <c r="E27" s="438">
        <v>6853529</v>
      </c>
      <c r="F27" s="435">
        <v>43913</v>
      </c>
      <c r="G27" s="439">
        <v>6936833</v>
      </c>
      <c r="H27" s="437">
        <v>43951</v>
      </c>
      <c r="I27" s="438">
        <v>7224556</v>
      </c>
      <c r="J27" s="435">
        <v>43980</v>
      </c>
      <c r="K27" s="439">
        <v>7349908</v>
      </c>
      <c r="L27" s="437">
        <v>44012</v>
      </c>
      <c r="M27" s="438">
        <v>7463457</v>
      </c>
      <c r="N27" s="435">
        <v>44039</v>
      </c>
      <c r="O27" s="439">
        <v>7704819</v>
      </c>
      <c r="P27" s="437">
        <v>44058</v>
      </c>
      <c r="Q27" s="438">
        <v>7853528</v>
      </c>
      <c r="R27" s="435">
        <v>44097</v>
      </c>
      <c r="S27" s="439">
        <v>7957880</v>
      </c>
      <c r="T27" s="437"/>
      <c r="U27" s="438"/>
      <c r="V27" s="435"/>
      <c r="W27" s="434"/>
      <c r="X27" s="435"/>
      <c r="Y27" s="438"/>
      <c r="Z27" s="437"/>
      <c r="AA27" s="440"/>
    </row>
    <row r="28" spans="1:35" hidden="1" x14ac:dyDescent="0.25">
      <c r="A28" s="430">
        <v>142</v>
      </c>
      <c r="B28" s="6" t="str">
        <f>IF(A28&lt;&gt;"",INDEX('Base de données'!A$4:L$990,MATCH(' TVA M'!A28,'Base de données'!A$4:A$990,0),2),"")</f>
        <v>BATIMAY</v>
      </c>
      <c r="C28" s="7" t="str">
        <f>IF(A28&lt;&gt;"",INDEX('Base de données'!A$4:L$990,MATCH(' TVA M'!A28,'Base de données'!A$4:A$990,0),12),"")</f>
        <v>KHAMISSA HDIMANE</v>
      </c>
      <c r="D28" s="437">
        <v>43885</v>
      </c>
      <c r="E28" s="438">
        <v>6839318</v>
      </c>
      <c r="F28" s="435">
        <v>43909</v>
      </c>
      <c r="G28" s="439">
        <v>6928632</v>
      </c>
      <c r="H28" s="437">
        <v>43951</v>
      </c>
      <c r="I28" s="438">
        <v>7281483</v>
      </c>
      <c r="J28" s="435">
        <v>43978</v>
      </c>
      <c r="K28" s="439">
        <v>7334843</v>
      </c>
      <c r="L28" s="437">
        <v>44012</v>
      </c>
      <c r="M28" s="438">
        <v>7475364</v>
      </c>
      <c r="N28" s="435">
        <v>44023</v>
      </c>
      <c r="O28" s="439">
        <v>7520205</v>
      </c>
      <c r="P28" s="437">
        <v>44057</v>
      </c>
      <c r="Q28" s="438">
        <v>7853000</v>
      </c>
      <c r="R28" s="435"/>
      <c r="S28" s="439"/>
      <c r="T28" s="437"/>
      <c r="U28" s="438"/>
      <c r="V28" s="435"/>
      <c r="W28" s="434"/>
      <c r="X28" s="435"/>
      <c r="Y28" s="438"/>
      <c r="Z28" s="437"/>
      <c r="AA28" s="440"/>
    </row>
    <row r="29" spans="1:35" hidden="1" x14ac:dyDescent="0.25">
      <c r="A29" s="430">
        <v>89</v>
      </c>
      <c r="B29" s="6" t="str">
        <f>IF(A29&lt;&gt;"",INDEX('Base de données'!A$4:L$990,MATCH(' TVA M'!A29,'Base de données'!A$4:A$990,0),2),"")</f>
        <v>STE DE SUD POUR
 L'INGENIERIE 
TOPOGRAPHIQUE</v>
      </c>
      <c r="C29" s="7" t="str">
        <f>IF(A29&lt;&gt;"",INDEX('Base de données'!A$4:L$990,MATCH(' TVA M'!A29,'Base de données'!A$4:A$990,0),12),"")</f>
        <v>KHAMISSA HDIMANE</v>
      </c>
      <c r="D29" s="437">
        <v>43881</v>
      </c>
      <c r="E29" s="438">
        <v>6830542</v>
      </c>
      <c r="F29" s="435">
        <v>43902</v>
      </c>
      <c r="G29" s="439">
        <v>6915291</v>
      </c>
      <c r="H29" s="437">
        <v>43946</v>
      </c>
      <c r="I29" s="438">
        <v>7130209</v>
      </c>
      <c r="J29" s="435">
        <v>43969</v>
      </c>
      <c r="K29" s="439">
        <v>7309344</v>
      </c>
      <c r="L29" s="437">
        <v>44007</v>
      </c>
      <c r="M29" s="438">
        <v>7422807</v>
      </c>
      <c r="N29" s="435">
        <v>44035</v>
      </c>
      <c r="O29" s="439">
        <v>7637071</v>
      </c>
      <c r="P29" s="437">
        <v>44053</v>
      </c>
      <c r="Q29" s="438">
        <v>7846982</v>
      </c>
      <c r="R29" s="435">
        <v>44085</v>
      </c>
      <c r="S29" s="439">
        <v>7936730</v>
      </c>
      <c r="T29" s="437"/>
      <c r="U29" s="438"/>
      <c r="V29" s="443"/>
      <c r="W29" s="434"/>
      <c r="X29" s="435"/>
      <c r="Y29" s="438"/>
      <c r="Z29" s="442"/>
      <c r="AA29" s="440"/>
    </row>
    <row r="30" spans="1:35" hidden="1" x14ac:dyDescent="0.25">
      <c r="A30" s="430"/>
      <c r="B30" s="6" t="str">
        <f>IF(A30&lt;&gt;"",INDEX('Base de données'!A$4:L$990,MATCH(' TVA M'!A30,'Base de données'!A$4:A$990,0),2),"")</f>
        <v/>
      </c>
      <c r="C30" s="7" t="str">
        <f>IF(A30&lt;&gt;"",INDEX('Base de données'!A$4:L$990,MATCH(' TVA M'!A30,'Base de données'!A$4:A$990,0),12),"")</f>
        <v/>
      </c>
      <c r="D30" s="437"/>
      <c r="E30" s="438"/>
      <c r="F30" s="435"/>
      <c r="G30" s="439"/>
      <c r="H30" s="437"/>
      <c r="I30" s="438"/>
      <c r="J30" s="435"/>
      <c r="K30" s="439"/>
      <c r="L30" s="437"/>
      <c r="M30" s="438"/>
      <c r="N30" s="435"/>
      <c r="O30" s="439"/>
      <c r="P30" s="437"/>
      <c r="Q30" s="438"/>
      <c r="R30" s="435"/>
      <c r="S30" s="439"/>
      <c r="T30" s="437"/>
      <c r="U30" s="438"/>
      <c r="V30" s="443"/>
      <c r="W30" s="434"/>
      <c r="X30" s="435"/>
      <c r="Y30" s="438"/>
      <c r="Z30" s="442"/>
      <c r="AA30" s="440"/>
    </row>
    <row r="31" spans="1:35" hidden="1" x14ac:dyDescent="0.25">
      <c r="A31" s="430"/>
      <c r="B31" s="6" t="str">
        <f>IF(A31&lt;&gt;"",INDEX('Base de données'!A$4:L$990,MATCH(' TVA M'!A31,'Base de données'!A$4:A$990,0),2),"")</f>
        <v/>
      </c>
      <c r="C31" s="7" t="str">
        <f>IF(A31&lt;&gt;"",INDEX('Base de données'!A$4:L$990,MATCH(' TVA M'!A31,'Base de données'!A$4:A$990,0),12),"")</f>
        <v/>
      </c>
      <c r="D31" s="437"/>
      <c r="E31" s="438"/>
      <c r="F31" s="435"/>
      <c r="G31" s="439"/>
      <c r="H31" s="437"/>
      <c r="I31" s="438"/>
      <c r="J31" s="435"/>
      <c r="K31" s="439"/>
      <c r="L31" s="437"/>
      <c r="M31" s="438"/>
      <c r="N31" s="435"/>
      <c r="O31" s="439"/>
      <c r="P31" s="437"/>
      <c r="Q31" s="438"/>
      <c r="R31" s="435"/>
      <c r="S31" s="439"/>
      <c r="T31" s="437"/>
      <c r="U31" s="438"/>
      <c r="V31" s="443"/>
      <c r="W31" s="434"/>
      <c r="X31" s="435"/>
      <c r="Y31" s="438"/>
      <c r="Z31" s="442"/>
      <c r="AA31" s="440"/>
    </row>
    <row r="32" spans="1:35" hidden="1" x14ac:dyDescent="0.25">
      <c r="A32" s="430"/>
      <c r="B32" s="6" t="str">
        <f>IF(A32&lt;&gt;"",INDEX('Base de données'!A$4:L$990,MATCH(' TVA M'!A32,'Base de données'!A$4:A$990,0),2),"")</f>
        <v/>
      </c>
      <c r="C32" s="7" t="str">
        <f>IF(A32&lt;&gt;"",INDEX('Base de données'!A$4:L$990,MATCH(' TVA M'!A32,'Base de données'!A$4:A$990,0),12),"")</f>
        <v/>
      </c>
      <c r="D32" s="437"/>
      <c r="E32" s="438"/>
      <c r="F32" s="435"/>
      <c r="G32" s="439"/>
      <c r="H32" s="437"/>
      <c r="I32" s="438"/>
      <c r="J32" s="435"/>
      <c r="K32" s="439"/>
      <c r="L32" s="437"/>
      <c r="M32" s="438"/>
      <c r="N32" s="435"/>
      <c r="O32" s="439"/>
      <c r="P32" s="437"/>
      <c r="Q32" s="438"/>
      <c r="R32" s="435"/>
      <c r="S32" s="439"/>
      <c r="T32" s="442"/>
      <c r="U32" s="438"/>
      <c r="V32" s="443"/>
      <c r="W32" s="434"/>
      <c r="X32" s="435"/>
      <c r="Y32" s="438"/>
      <c r="Z32" s="442"/>
      <c r="AA32" s="440"/>
    </row>
    <row r="33" spans="1:27" hidden="1" x14ac:dyDescent="0.25">
      <c r="A33" s="430"/>
      <c r="B33" s="6" t="str">
        <f>IF(A33&lt;&gt;"",INDEX('Base de données'!A$4:L$990,MATCH(' TVA M'!A33,'Base de données'!A$4:A$990,0),2),"")</f>
        <v/>
      </c>
      <c r="C33" s="7" t="str">
        <f>IF(A33&lt;&gt;"",INDEX('Base de données'!A$4:L$990,MATCH(' TVA M'!A33,'Base de données'!A$4:A$990,0),12),"")</f>
        <v/>
      </c>
      <c r="D33" s="437"/>
      <c r="E33" s="438"/>
      <c r="F33" s="435"/>
      <c r="G33" s="439"/>
      <c r="H33" s="437"/>
      <c r="I33" s="438"/>
      <c r="J33" s="435"/>
      <c r="K33" s="439"/>
      <c r="L33" s="437"/>
      <c r="M33" s="438"/>
      <c r="N33" s="435"/>
      <c r="O33" s="439"/>
      <c r="P33" s="437"/>
      <c r="Q33" s="438"/>
      <c r="R33" s="435"/>
      <c r="S33" s="439"/>
      <c r="T33" s="437"/>
      <c r="U33" s="438"/>
      <c r="V33" s="443"/>
      <c r="W33" s="434"/>
      <c r="X33" s="435"/>
      <c r="Y33" s="438"/>
      <c r="Z33" s="442"/>
      <c r="AA33" s="440"/>
    </row>
    <row r="34" spans="1:27" hidden="1" x14ac:dyDescent="0.25">
      <c r="A34" s="430"/>
      <c r="B34" s="6" t="str">
        <f>IF(A34&lt;&gt;"",INDEX('Base de données'!A$4:L$990,MATCH(' TVA M'!A34,'Base de données'!A$4:A$990,0),2),"")</f>
        <v/>
      </c>
      <c r="C34" s="7" t="str">
        <f>IF(A34&lt;&gt;"",INDEX('Base de données'!A$4:L$990,MATCH(' TVA M'!A34,'Base de données'!A$4:A$990,0),12),"")</f>
        <v/>
      </c>
      <c r="D34" s="437"/>
      <c r="E34" s="438"/>
      <c r="F34" s="435"/>
      <c r="G34" s="439"/>
      <c r="H34" s="437"/>
      <c r="I34" s="438"/>
      <c r="J34" s="435"/>
      <c r="K34" s="439"/>
      <c r="L34" s="437"/>
      <c r="M34" s="438"/>
      <c r="N34" s="435"/>
      <c r="O34" s="439"/>
      <c r="P34" s="437"/>
      <c r="Q34" s="438"/>
      <c r="R34" s="435"/>
      <c r="S34" s="439"/>
      <c r="T34" s="442"/>
      <c r="U34" s="438"/>
      <c r="V34" s="443"/>
      <c r="W34" s="434"/>
      <c r="X34" s="435"/>
      <c r="Y34" s="438"/>
      <c r="Z34" s="442"/>
      <c r="AA34" s="440"/>
    </row>
    <row r="35" spans="1:27" hidden="1" x14ac:dyDescent="0.25">
      <c r="A35" s="430"/>
      <c r="B35" s="6" t="str">
        <f>IF(A35&lt;&gt;"",INDEX('Base de données'!A$4:L$990,MATCH(' TVA M'!A35,'Base de données'!A$4:A$990,0),2),"")</f>
        <v/>
      </c>
      <c r="C35" s="7" t="str">
        <f>IF(A35&lt;&gt;"",INDEX('Base de données'!A$4:L$990,MATCH(' TVA M'!A35,'Base de données'!A$4:A$990,0),12),"")</f>
        <v/>
      </c>
      <c r="D35" s="437"/>
      <c r="E35" s="438"/>
      <c r="F35" s="435"/>
      <c r="G35" s="439"/>
      <c r="H35" s="437"/>
      <c r="I35" s="438"/>
      <c r="J35" s="435"/>
      <c r="K35" s="439"/>
      <c r="L35" s="437"/>
      <c r="M35" s="438"/>
      <c r="N35" s="435"/>
      <c r="O35" s="439"/>
      <c r="P35" s="437"/>
      <c r="Q35" s="438"/>
      <c r="R35" s="435"/>
      <c r="S35" s="439"/>
      <c r="T35" s="437"/>
      <c r="U35" s="438"/>
      <c r="V35" s="443"/>
      <c r="W35" s="434"/>
      <c r="X35" s="435"/>
      <c r="Y35" s="438"/>
      <c r="Z35" s="442"/>
      <c r="AA35" s="440"/>
    </row>
    <row r="36" spans="1:27" hidden="1" x14ac:dyDescent="0.25">
      <c r="A36" s="430"/>
      <c r="B36" s="6" t="str">
        <f>IF(A36&lt;&gt;"",INDEX('Base de données'!A$4:L$990,MATCH(' TVA M'!A36,'Base de données'!A$4:A$990,0),2),"")</f>
        <v/>
      </c>
      <c r="C36" s="7" t="str">
        <f>IF(A36&lt;&gt;"",INDEX('Base de données'!A$4:L$990,MATCH(' TVA M'!A36,'Base de données'!A$4:A$990,0),12),"")</f>
        <v/>
      </c>
      <c r="D36" s="437"/>
      <c r="E36" s="438"/>
      <c r="F36" s="435"/>
      <c r="G36" s="439"/>
      <c r="H36" s="437"/>
      <c r="I36" s="438"/>
      <c r="J36" s="435"/>
      <c r="K36" s="439"/>
      <c r="L36" s="437"/>
      <c r="M36" s="438"/>
      <c r="N36" s="435"/>
      <c r="O36" s="439"/>
      <c r="P36" s="437"/>
      <c r="Q36" s="438"/>
      <c r="R36" s="435"/>
      <c r="S36" s="439"/>
      <c r="T36" s="437"/>
      <c r="U36" s="438"/>
      <c r="V36" s="443"/>
      <c r="W36" s="434"/>
      <c r="X36" s="435"/>
      <c r="Y36" s="438"/>
      <c r="Z36" s="442"/>
      <c r="AA36" s="440"/>
    </row>
    <row r="37" spans="1:27" hidden="1" x14ac:dyDescent="0.25">
      <c r="A37" s="430"/>
      <c r="B37" s="6" t="str">
        <f>IF(A37&lt;&gt;"",INDEX('Base de données'!A$4:L$990,MATCH(' TVA M'!A37,'Base de données'!A$4:A$990,0),2),"")</f>
        <v/>
      </c>
      <c r="C37" s="7" t="str">
        <f>IF(A37&lt;&gt;"",INDEX('Base de données'!A$4:L$990,MATCH(' TVA M'!A37,'Base de données'!A$4:A$990,0),12),"")</f>
        <v/>
      </c>
      <c r="D37" s="437"/>
      <c r="E37" s="438"/>
      <c r="F37" s="435"/>
      <c r="G37" s="439"/>
      <c r="H37" s="437"/>
      <c r="I37" s="438"/>
      <c r="J37" s="435"/>
      <c r="K37" s="439"/>
      <c r="L37" s="437"/>
      <c r="M37" s="438"/>
      <c r="N37" s="435"/>
      <c r="O37" s="439"/>
      <c r="P37" s="437"/>
      <c r="Q37" s="438"/>
      <c r="R37" s="435"/>
      <c r="S37" s="439"/>
      <c r="T37" s="442"/>
      <c r="U37" s="438"/>
      <c r="V37" s="443"/>
      <c r="W37" s="434"/>
      <c r="X37" s="435"/>
      <c r="Y37" s="438"/>
      <c r="Z37" s="442"/>
      <c r="AA37" s="440"/>
    </row>
    <row r="38" spans="1:27" hidden="1" x14ac:dyDescent="0.25">
      <c r="A38" s="430"/>
      <c r="B38" s="6" t="str">
        <f>IF(A38&lt;&gt;"",INDEX('Base de données'!A$4:L$990,MATCH(' TVA M'!A38,'Base de données'!A$4:A$990,0),2),"")</f>
        <v/>
      </c>
      <c r="C38" s="7" t="str">
        <f>IF(A38&lt;&gt;"",INDEX('Base de données'!A$4:L$990,MATCH(' TVA M'!A38,'Base de données'!A$4:A$990,0),12),"")</f>
        <v/>
      </c>
      <c r="D38" s="442"/>
      <c r="E38" s="438"/>
      <c r="F38" s="443"/>
      <c r="G38" s="439"/>
      <c r="H38" s="442"/>
      <c r="I38" s="438"/>
      <c r="J38" s="443"/>
      <c r="K38" s="439"/>
      <c r="L38" s="442"/>
      <c r="M38" s="438"/>
      <c r="N38" s="443"/>
      <c r="O38" s="439"/>
      <c r="P38" s="442"/>
      <c r="Q38" s="438"/>
      <c r="R38" s="443"/>
      <c r="S38" s="439"/>
      <c r="T38" s="442"/>
      <c r="U38" s="438"/>
      <c r="V38" s="443"/>
      <c r="W38" s="434"/>
      <c r="X38" s="435"/>
      <c r="Y38" s="438"/>
      <c r="Z38" s="442"/>
      <c r="AA38" s="440"/>
    </row>
    <row r="39" spans="1:27" hidden="1" x14ac:dyDescent="0.25">
      <c r="A39" s="430"/>
      <c r="B39" s="6" t="str">
        <f>IF(A39&lt;&gt;"",INDEX('Base de données'!A$4:L$990,MATCH(' TVA M'!A39,'Base de données'!A$4:A$990,0),2),"")</f>
        <v/>
      </c>
      <c r="C39" s="7" t="str">
        <f>IF(A39&lt;&gt;"",INDEX('Base de données'!A$4:L$990,MATCH(' TVA M'!A39,'Base de données'!A$4:A$990,0),12),"")</f>
        <v/>
      </c>
      <c r="D39" s="437"/>
      <c r="E39" s="438"/>
      <c r="F39" s="435"/>
      <c r="G39" s="439"/>
      <c r="H39" s="437"/>
      <c r="I39" s="438"/>
      <c r="J39" s="435"/>
      <c r="K39" s="439"/>
      <c r="L39" s="437"/>
      <c r="M39" s="438"/>
      <c r="N39" s="435"/>
      <c r="O39" s="439"/>
      <c r="P39" s="437"/>
      <c r="Q39" s="438"/>
      <c r="R39" s="435"/>
      <c r="S39" s="439"/>
      <c r="T39" s="437"/>
      <c r="U39" s="438"/>
      <c r="V39" s="435"/>
      <c r="W39" s="434"/>
      <c r="X39" s="435"/>
      <c r="Y39" s="438"/>
      <c r="Z39" s="437"/>
      <c r="AA39" s="440"/>
    </row>
    <row r="40" spans="1:27" hidden="1" x14ac:dyDescent="0.25">
      <c r="A40" s="430"/>
      <c r="B40" s="6" t="str">
        <f>IF(A40&lt;&gt;"",INDEX('Base de données'!A$4:L$990,MATCH(' TVA M'!A40,'Base de données'!A$4:A$990,0),2),"")</f>
        <v/>
      </c>
      <c r="C40" s="7" t="str">
        <f>IF(A40&lt;&gt;"",INDEX('Base de données'!A$4:L$990,MATCH(' TVA M'!A40,'Base de données'!A$4:A$990,0),12),"")</f>
        <v/>
      </c>
      <c r="D40" s="437"/>
      <c r="E40" s="438"/>
      <c r="F40" s="435"/>
      <c r="G40" s="439"/>
      <c r="H40" s="437"/>
      <c r="I40" s="438"/>
      <c r="J40" s="435"/>
      <c r="K40" s="439"/>
      <c r="L40" s="437"/>
      <c r="M40" s="438"/>
      <c r="N40" s="435"/>
      <c r="O40" s="439"/>
      <c r="P40" s="437"/>
      <c r="Q40" s="438"/>
      <c r="R40" s="435"/>
      <c r="S40" s="439"/>
      <c r="T40" s="437"/>
      <c r="U40" s="438"/>
      <c r="V40" s="435"/>
      <c r="W40" s="434"/>
      <c r="X40" s="435"/>
      <c r="Y40" s="438"/>
      <c r="Z40" s="442"/>
      <c r="AA40" s="440"/>
    </row>
    <row r="41" spans="1:27" hidden="1" x14ac:dyDescent="0.25">
      <c r="A41" s="430"/>
      <c r="B41" s="6" t="str">
        <f>IF(A41&lt;&gt;"",INDEX('Base de données'!A$4:L$990,MATCH(' TVA M'!A41,'Base de données'!A$4:A$990,0),2),"")</f>
        <v/>
      </c>
      <c r="C41" s="7" t="str">
        <f>IF(A41&lt;&gt;"",INDEX('Base de données'!A$4:L$990,MATCH(' TVA M'!A41,'Base de données'!A$4:A$990,0),12),"")</f>
        <v/>
      </c>
      <c r="D41" s="437"/>
      <c r="E41" s="438"/>
      <c r="F41" s="435"/>
      <c r="G41" s="439"/>
      <c r="H41" s="437"/>
      <c r="I41" s="438"/>
      <c r="J41" s="435"/>
      <c r="K41" s="439"/>
      <c r="L41" s="437"/>
      <c r="M41" s="438"/>
      <c r="N41" s="435"/>
      <c r="O41" s="439"/>
      <c r="P41" s="437"/>
      <c r="Q41" s="438"/>
      <c r="R41" s="435"/>
      <c r="S41" s="439"/>
      <c r="T41" s="437"/>
      <c r="U41" s="438"/>
      <c r="V41" s="435"/>
      <c r="W41" s="434"/>
      <c r="X41" s="435"/>
      <c r="Y41" s="438"/>
      <c r="Z41" s="437"/>
      <c r="AA41" s="440"/>
    </row>
    <row r="42" spans="1:27" hidden="1" x14ac:dyDescent="0.25">
      <c r="A42" s="430"/>
      <c r="B42" s="6" t="str">
        <f>IF(A42&lt;&gt;"",INDEX('Base de données'!A$4:L$990,MATCH(' TVA M'!A42,'Base de données'!A$4:A$990,0),2),"")</f>
        <v/>
      </c>
      <c r="C42" s="7" t="str">
        <f>IF(A42&lt;&gt;"",INDEX('Base de données'!A$4:L$990,MATCH(' TVA M'!A42,'Base de données'!A$4:A$990,0),12),"")</f>
        <v/>
      </c>
      <c r="D42" s="437"/>
      <c r="E42" s="438"/>
      <c r="F42" s="435"/>
      <c r="G42" s="439"/>
      <c r="H42" s="437"/>
      <c r="I42" s="438"/>
      <c r="J42" s="435"/>
      <c r="K42" s="439"/>
      <c r="L42" s="437"/>
      <c r="M42" s="438"/>
      <c r="N42" s="435"/>
      <c r="O42" s="439"/>
      <c r="P42" s="437"/>
      <c r="Q42" s="438"/>
      <c r="R42" s="435"/>
      <c r="S42" s="439"/>
      <c r="T42" s="437"/>
      <c r="U42" s="438"/>
      <c r="V42" s="435"/>
      <c r="W42" s="434"/>
      <c r="X42" s="435"/>
      <c r="Y42" s="438"/>
      <c r="Z42" s="437"/>
      <c r="AA42" s="440"/>
    </row>
    <row r="43" spans="1:27" hidden="1" x14ac:dyDescent="0.25">
      <c r="A43" s="430"/>
      <c r="B43" s="6" t="str">
        <f>IF(A43&lt;&gt;"",INDEX('Base de données'!A$4:L$990,MATCH(' TVA M'!A43,'Base de données'!A$4:A$990,0),2),"")</f>
        <v/>
      </c>
      <c r="C43" s="7" t="str">
        <f>IF(A43&lt;&gt;"",INDEX('Base de données'!A$4:L$990,MATCH(' TVA M'!A43,'Base de données'!A$4:A$990,0),12),"")</f>
        <v/>
      </c>
      <c r="D43" s="437"/>
      <c r="E43" s="438"/>
      <c r="F43" s="435"/>
      <c r="G43" s="439"/>
      <c r="H43" s="437"/>
      <c r="I43" s="438"/>
      <c r="J43" s="435"/>
      <c r="K43" s="439"/>
      <c r="L43" s="437"/>
      <c r="M43" s="438"/>
      <c r="N43" s="435"/>
      <c r="O43" s="439"/>
      <c r="P43" s="437"/>
      <c r="Q43" s="438"/>
      <c r="R43" s="435"/>
      <c r="S43" s="439"/>
      <c r="T43" s="437"/>
      <c r="U43" s="438"/>
      <c r="V43" s="435"/>
      <c r="W43" s="434"/>
      <c r="X43" s="435"/>
      <c r="Y43" s="438"/>
      <c r="Z43" s="437"/>
      <c r="AA43" s="440"/>
    </row>
    <row r="44" spans="1:27" hidden="1" x14ac:dyDescent="0.25">
      <c r="A44" s="430"/>
      <c r="B44" s="6" t="str">
        <f>IF(A44&lt;&gt;"",INDEX('Base de données'!A$4:L$990,MATCH(' TVA M'!A44,'Base de données'!A$4:A$990,0),2),"")</f>
        <v/>
      </c>
      <c r="C44" s="7" t="str">
        <f>IF(A44&lt;&gt;"",INDEX('Base de données'!A$4:L$990,MATCH(' TVA M'!A44,'Base de données'!A$4:A$990,0),12),"")</f>
        <v/>
      </c>
      <c r="D44" s="437"/>
      <c r="E44" s="438"/>
      <c r="F44" s="435"/>
      <c r="G44" s="439"/>
      <c r="H44" s="437"/>
      <c r="I44" s="438"/>
      <c r="J44" s="435"/>
      <c r="K44" s="439"/>
      <c r="L44" s="437"/>
      <c r="M44" s="438"/>
      <c r="N44" s="435"/>
      <c r="O44" s="439"/>
      <c r="P44" s="437"/>
      <c r="Q44" s="438"/>
      <c r="R44" s="435"/>
      <c r="S44" s="439"/>
      <c r="T44" s="437"/>
      <c r="U44" s="438"/>
      <c r="V44" s="435"/>
      <c r="W44" s="434"/>
      <c r="X44" s="435"/>
      <c r="Y44" s="438"/>
      <c r="Z44" s="437"/>
      <c r="AA44" s="440"/>
    </row>
    <row r="45" spans="1:27" hidden="1" x14ac:dyDescent="0.25">
      <c r="A45" s="430"/>
      <c r="B45" s="6" t="str">
        <f>IF(A45&lt;&gt;"",INDEX('Base de données'!A$4:L$990,MATCH(' TVA M'!A45,'Base de données'!A$4:A$990,0),2),"")</f>
        <v/>
      </c>
      <c r="C45" s="7" t="str">
        <f>IF(A45&lt;&gt;"",INDEX('Base de données'!A$4:L$990,MATCH(' TVA M'!A45,'Base de données'!A$4:A$990,0),12),"")</f>
        <v/>
      </c>
      <c r="D45" s="437"/>
      <c r="E45" s="438"/>
      <c r="F45" s="435"/>
      <c r="G45" s="439"/>
      <c r="H45" s="437"/>
      <c r="I45" s="438"/>
      <c r="J45" s="435"/>
      <c r="K45" s="439"/>
      <c r="L45" s="437"/>
      <c r="M45" s="438"/>
      <c r="N45" s="435"/>
      <c r="O45" s="439"/>
      <c r="P45" s="437"/>
      <c r="Q45" s="438"/>
      <c r="R45" s="435"/>
      <c r="S45" s="439"/>
      <c r="T45" s="437"/>
      <c r="U45" s="438"/>
      <c r="V45" s="443"/>
      <c r="W45" s="434"/>
      <c r="X45" s="435"/>
      <c r="Y45" s="438"/>
      <c r="Z45" s="442"/>
      <c r="AA45" s="440"/>
    </row>
    <row r="46" spans="1:27" hidden="1" x14ac:dyDescent="0.25">
      <c r="A46" s="430"/>
      <c r="B46" s="6" t="str">
        <f>IF(A46&lt;&gt;"",INDEX('Base de données'!A$4:L$990,MATCH(' TVA M'!A46,'Base de données'!A$4:A$990,0),2),"")</f>
        <v/>
      </c>
      <c r="C46" s="7" t="str">
        <f>IF(A46&lt;&gt;"",INDEX('Base de données'!A$4:L$990,MATCH(' TVA M'!A46,'Base de données'!A$4:A$990,0),12),"")</f>
        <v/>
      </c>
      <c r="D46" s="437"/>
      <c r="E46" s="438"/>
      <c r="F46" s="435"/>
      <c r="G46" s="439"/>
      <c r="H46" s="437"/>
      <c r="I46" s="438"/>
      <c r="J46" s="435"/>
      <c r="K46" s="439"/>
      <c r="L46" s="437"/>
      <c r="M46" s="438"/>
      <c r="N46" s="435"/>
      <c r="O46" s="439"/>
      <c r="P46" s="437"/>
      <c r="Q46" s="438"/>
      <c r="R46" s="435"/>
      <c r="S46" s="439"/>
      <c r="T46" s="437"/>
      <c r="U46" s="438"/>
      <c r="V46" s="443"/>
      <c r="W46" s="434"/>
      <c r="X46" s="435"/>
      <c r="Y46" s="438"/>
      <c r="Z46" s="442"/>
      <c r="AA46" s="440"/>
    </row>
    <row r="47" spans="1:27" hidden="1" x14ac:dyDescent="0.25">
      <c r="A47" s="430"/>
      <c r="B47" s="6" t="str">
        <f>IF(A47&lt;&gt;"",INDEX('Base de données'!A$4:L$990,MATCH(' TVA M'!A47,'Base de données'!A$4:A$990,0),2),"")</f>
        <v/>
      </c>
      <c r="C47" s="7" t="str">
        <f>IF(A47&lt;&gt;"",INDEX('Base de données'!A$4:L$990,MATCH(' TVA M'!A47,'Base de données'!A$4:A$990,0),12),"")</f>
        <v/>
      </c>
      <c r="D47" s="437"/>
      <c r="E47" s="438"/>
      <c r="F47" s="435"/>
      <c r="G47" s="439"/>
      <c r="H47" s="437"/>
      <c r="I47" s="438"/>
      <c r="J47" s="435"/>
      <c r="K47" s="439"/>
      <c r="L47" s="437"/>
      <c r="M47" s="438"/>
      <c r="N47" s="435"/>
      <c r="O47" s="439"/>
      <c r="P47" s="437"/>
      <c r="Q47" s="438"/>
      <c r="R47" s="435"/>
      <c r="S47" s="439"/>
      <c r="T47" s="437"/>
      <c r="U47" s="438"/>
      <c r="V47" s="443"/>
      <c r="W47" s="434"/>
      <c r="X47" s="435"/>
      <c r="Y47" s="438"/>
      <c r="Z47" s="442"/>
      <c r="AA47" s="440"/>
    </row>
    <row r="48" spans="1:27" hidden="1" x14ac:dyDescent="0.25">
      <c r="A48" s="430"/>
      <c r="B48" s="6" t="str">
        <f>IF(A48&lt;&gt;"",INDEX('Base de données'!A$4:L$990,MATCH(' TVA M'!A48,'Base de données'!A$4:A$990,0),2),"")</f>
        <v/>
      </c>
      <c r="C48" s="7" t="str">
        <f>IF(A48&lt;&gt;"",INDEX('Base de données'!A$4:L$990,MATCH(' TVA M'!A48,'Base de données'!A$4:A$990,0),12),"")</f>
        <v/>
      </c>
      <c r="D48" s="437"/>
      <c r="E48" s="438"/>
      <c r="F48" s="435"/>
      <c r="G48" s="439"/>
      <c r="H48" s="437"/>
      <c r="I48" s="438"/>
      <c r="J48" s="435"/>
      <c r="K48" s="439"/>
      <c r="L48" s="437"/>
      <c r="M48" s="438"/>
      <c r="N48" s="435"/>
      <c r="O48" s="439"/>
      <c r="P48" s="437"/>
      <c r="Q48" s="438"/>
      <c r="R48" s="435"/>
      <c r="S48" s="439"/>
      <c r="T48" s="437"/>
      <c r="U48" s="438"/>
      <c r="V48" s="443"/>
      <c r="W48" s="434"/>
      <c r="X48" s="435"/>
      <c r="Y48" s="438"/>
      <c r="Z48" s="442"/>
      <c r="AA48" s="440"/>
    </row>
    <row r="49" spans="1:27" hidden="1" x14ac:dyDescent="0.25">
      <c r="A49" s="430"/>
      <c r="B49" s="6" t="str">
        <f>IF(A49&lt;&gt;"",INDEX('Base de données'!A$4:L$990,MATCH(' TVA M'!A49,'Base de données'!A$4:A$990,0),2),"")</f>
        <v/>
      </c>
      <c r="C49" s="7" t="str">
        <f>IF(A49&lt;&gt;"",INDEX('Base de données'!A$4:L$990,MATCH(' TVA M'!A49,'Base de données'!A$4:A$990,0),12),"")</f>
        <v/>
      </c>
      <c r="D49" s="437"/>
      <c r="E49" s="438"/>
      <c r="F49" s="435"/>
      <c r="G49" s="439"/>
      <c r="H49" s="437"/>
      <c r="I49" s="438"/>
      <c r="J49" s="435"/>
      <c r="K49" s="439"/>
      <c r="L49" s="437"/>
      <c r="M49" s="438"/>
      <c r="N49" s="435"/>
      <c r="O49" s="439"/>
      <c r="P49" s="437"/>
      <c r="Q49" s="438"/>
      <c r="R49" s="435"/>
      <c r="S49" s="439"/>
      <c r="T49" s="437"/>
      <c r="U49" s="438"/>
      <c r="V49" s="443"/>
      <c r="W49" s="434"/>
      <c r="X49" s="435"/>
      <c r="Y49" s="438"/>
      <c r="Z49" s="442"/>
      <c r="AA49" s="440"/>
    </row>
    <row r="50" spans="1:27" hidden="1" x14ac:dyDescent="0.25">
      <c r="A50" s="430"/>
      <c r="B50" s="6" t="str">
        <f>IF(A50&lt;&gt;"",INDEX('Base de données'!A$4:L$990,MATCH(' TVA M'!A50,'Base de données'!A$4:A$990,0),2),"")</f>
        <v/>
      </c>
      <c r="C50" s="7" t="str">
        <f>IF(A50&lt;&gt;"",INDEX('Base de données'!A$4:L$990,MATCH(' TVA M'!A50,'Base de données'!A$4:A$990,0),12),"")</f>
        <v/>
      </c>
      <c r="D50" s="437"/>
      <c r="E50" s="438"/>
      <c r="F50" s="435"/>
      <c r="G50" s="439"/>
      <c r="H50" s="437"/>
      <c r="I50" s="438"/>
      <c r="J50" s="435"/>
      <c r="K50" s="439"/>
      <c r="L50" s="437"/>
      <c r="M50" s="438"/>
      <c r="N50" s="435"/>
      <c r="O50" s="439"/>
      <c r="P50" s="437"/>
      <c r="Q50" s="438"/>
      <c r="R50" s="435"/>
      <c r="S50" s="439"/>
      <c r="T50" s="437"/>
      <c r="U50" s="438"/>
      <c r="V50" s="443"/>
      <c r="W50" s="434"/>
      <c r="X50" s="435"/>
      <c r="Y50" s="438"/>
      <c r="Z50" s="442"/>
      <c r="AA50" s="440"/>
    </row>
    <row r="51" spans="1:27" hidden="1" x14ac:dyDescent="0.25">
      <c r="A51" s="430"/>
      <c r="B51" s="6" t="str">
        <f>IF(A51&lt;&gt;"",INDEX('Base de données'!A$4:L$990,MATCH(' TVA M'!A51,'Base de données'!A$4:A$990,0),2),"")</f>
        <v/>
      </c>
      <c r="C51" s="7" t="str">
        <f>IF(A51&lt;&gt;"",INDEX('Base de données'!A$4:L$990,MATCH(' TVA M'!A51,'Base de données'!A$4:A$990,0),12),"")</f>
        <v/>
      </c>
      <c r="D51" s="437"/>
      <c r="E51" s="438"/>
      <c r="F51" s="435"/>
      <c r="G51" s="439"/>
      <c r="H51" s="437"/>
      <c r="I51" s="438"/>
      <c r="J51" s="435"/>
      <c r="K51" s="439"/>
      <c r="L51" s="437"/>
      <c r="M51" s="438"/>
      <c r="N51" s="435"/>
      <c r="O51" s="439"/>
      <c r="P51" s="437"/>
      <c r="Q51" s="438"/>
      <c r="R51" s="435"/>
      <c r="S51" s="439"/>
      <c r="T51" s="437"/>
      <c r="U51" s="438"/>
      <c r="V51" s="443"/>
      <c r="W51" s="434"/>
      <c r="X51" s="435"/>
      <c r="Y51" s="438"/>
      <c r="Z51" s="442"/>
      <c r="AA51" s="440"/>
    </row>
    <row r="52" spans="1:27" hidden="1" x14ac:dyDescent="0.25">
      <c r="A52" s="430"/>
      <c r="B52" s="6" t="str">
        <f>IF(A52&lt;&gt;"",INDEX('Base de données'!A$4:L$990,MATCH(' TVA M'!A52,'Base de données'!A$4:A$990,0),2),"")</f>
        <v/>
      </c>
      <c r="C52" s="7" t="str">
        <f>IF(A52&lt;&gt;"",INDEX('Base de données'!A$4:L$990,MATCH(' TVA M'!A52,'Base de données'!A$4:A$990,0),12),"")</f>
        <v/>
      </c>
      <c r="D52" s="437"/>
      <c r="E52" s="438"/>
      <c r="F52" s="435"/>
      <c r="G52" s="439"/>
      <c r="H52" s="437"/>
      <c r="I52" s="438"/>
      <c r="J52" s="435"/>
      <c r="K52" s="439"/>
      <c r="L52" s="437"/>
      <c r="M52" s="438"/>
      <c r="N52" s="435"/>
      <c r="O52" s="439"/>
      <c r="P52" s="437"/>
      <c r="Q52" s="438"/>
      <c r="R52" s="435"/>
      <c r="S52" s="439"/>
      <c r="T52" s="437"/>
      <c r="U52" s="438"/>
      <c r="V52" s="443"/>
      <c r="W52" s="434"/>
      <c r="X52" s="435"/>
      <c r="Y52" s="438"/>
      <c r="Z52" s="442"/>
      <c r="AA52" s="440"/>
    </row>
    <row r="53" spans="1:27" hidden="1" x14ac:dyDescent="0.25">
      <c r="A53" s="430"/>
      <c r="B53" s="6" t="str">
        <f>IF(A53&lt;&gt;"",INDEX('Base de données'!A$4:L$990,MATCH(' TVA M'!A53,'Base de données'!A$4:A$990,0),2),"")</f>
        <v/>
      </c>
      <c r="C53" s="7" t="str">
        <f>IF(A53&lt;&gt;"",INDEX('Base de données'!A$4:L$990,MATCH(' TVA M'!A53,'Base de données'!A$4:A$990,0),12),"")</f>
        <v/>
      </c>
      <c r="D53" s="437"/>
      <c r="E53" s="438"/>
      <c r="F53" s="443"/>
      <c r="G53" s="439"/>
      <c r="H53" s="442"/>
      <c r="I53" s="438"/>
      <c r="J53" s="443"/>
      <c r="K53" s="439"/>
      <c r="L53" s="437"/>
      <c r="M53" s="438"/>
      <c r="N53" s="435"/>
      <c r="O53" s="439"/>
      <c r="P53" s="437"/>
      <c r="Q53" s="438"/>
      <c r="R53" s="435"/>
      <c r="S53" s="439"/>
      <c r="T53" s="437"/>
      <c r="U53" s="438"/>
      <c r="V53" s="443"/>
      <c r="W53" s="434"/>
      <c r="X53" s="435"/>
      <c r="Y53" s="438"/>
      <c r="Z53" s="442"/>
      <c r="AA53" s="440"/>
    </row>
    <row r="54" spans="1:27" hidden="1" x14ac:dyDescent="0.25">
      <c r="A54" s="430"/>
      <c r="B54" s="6" t="str">
        <f>IF(A54&lt;&gt;"",INDEX('Base de données'!A$4:L$990,MATCH(' TVA M'!A54,'Base de données'!A$4:A$990,0),2),"")</f>
        <v/>
      </c>
      <c r="C54" s="7" t="str">
        <f>IF(A54&lt;&gt;"",INDEX('Base de données'!A$4:L$990,MATCH(' TVA M'!A54,'Base de données'!A$4:A$990,0),12),"")</f>
        <v/>
      </c>
      <c r="D54" s="437"/>
      <c r="E54" s="438"/>
      <c r="F54" s="435"/>
      <c r="G54" s="439"/>
      <c r="H54" s="437"/>
      <c r="I54" s="438"/>
      <c r="J54" s="435"/>
      <c r="K54" s="439"/>
      <c r="L54" s="437"/>
      <c r="M54" s="438"/>
      <c r="N54" s="435"/>
      <c r="O54" s="439"/>
      <c r="P54" s="437"/>
      <c r="Q54" s="438"/>
      <c r="R54" s="435"/>
      <c r="S54" s="439"/>
      <c r="T54" s="437"/>
      <c r="U54" s="438"/>
      <c r="V54" s="435"/>
      <c r="W54" s="434"/>
      <c r="X54" s="435"/>
      <c r="Y54" s="438"/>
      <c r="Z54" s="442"/>
      <c r="AA54" s="440"/>
    </row>
    <row r="55" spans="1:27" hidden="1" x14ac:dyDescent="0.25">
      <c r="A55" s="430"/>
      <c r="B55" s="6" t="str">
        <f>IF(A55&lt;&gt;"",INDEX('Base de données'!A$4:L$990,MATCH(' TVA M'!A55,'Base de données'!A$4:A$990,0),2),"")</f>
        <v/>
      </c>
      <c r="C55" s="7" t="str">
        <f>IF(A55&lt;&gt;"",INDEX('Base de données'!A$4:L$990,MATCH(' TVA M'!A55,'Base de données'!A$4:A$990,0),12),"")</f>
        <v/>
      </c>
      <c r="D55" s="437"/>
      <c r="E55" s="438"/>
      <c r="F55" s="435"/>
      <c r="G55" s="439"/>
      <c r="H55" s="437"/>
      <c r="I55" s="438"/>
      <c r="J55" s="435"/>
      <c r="K55" s="439"/>
      <c r="L55" s="437"/>
      <c r="M55" s="438"/>
      <c r="N55" s="435"/>
      <c r="O55" s="439"/>
      <c r="P55" s="437"/>
      <c r="Q55" s="438"/>
      <c r="R55" s="435"/>
      <c r="S55" s="439"/>
      <c r="T55" s="437"/>
      <c r="U55" s="438"/>
      <c r="V55" s="435"/>
      <c r="W55" s="434"/>
      <c r="X55" s="435"/>
      <c r="Y55" s="438"/>
      <c r="Z55" s="442"/>
      <c r="AA55" s="440"/>
    </row>
    <row r="56" spans="1:27" hidden="1" x14ac:dyDescent="0.25">
      <c r="A56" s="430"/>
      <c r="B56" s="6" t="str">
        <f>IF(A56&lt;&gt;"",INDEX('Base de données'!A$4:L$990,MATCH(' TVA M'!A56,'Base de données'!A$4:A$990,0),2),"")</f>
        <v/>
      </c>
      <c r="C56" s="7" t="str">
        <f>IF(A56&lt;&gt;"",INDEX('Base de données'!A$4:L$990,MATCH(' TVA M'!A56,'Base de données'!A$4:A$990,0),12),"")</f>
        <v/>
      </c>
      <c r="D56" s="437"/>
      <c r="E56" s="438"/>
      <c r="F56" s="435"/>
      <c r="G56" s="439"/>
      <c r="H56" s="437"/>
      <c r="I56" s="438"/>
      <c r="J56" s="435"/>
      <c r="K56" s="439"/>
      <c r="L56" s="437"/>
      <c r="M56" s="438"/>
      <c r="N56" s="435"/>
      <c r="O56" s="439"/>
      <c r="P56" s="437"/>
      <c r="Q56" s="438"/>
      <c r="R56" s="435"/>
      <c r="S56" s="439"/>
      <c r="T56" s="437"/>
      <c r="U56" s="438"/>
      <c r="V56" s="435"/>
      <c r="W56" s="434"/>
      <c r="X56" s="435"/>
      <c r="Y56" s="438"/>
      <c r="Z56" s="442"/>
      <c r="AA56" s="440"/>
    </row>
    <row r="57" spans="1:27" hidden="1" x14ac:dyDescent="0.25">
      <c r="A57" s="430"/>
      <c r="B57" s="6" t="str">
        <f>IF(A57&lt;&gt;"",INDEX('Base de données'!A$4:L$990,MATCH(' TVA M'!A57,'Base de données'!A$4:A$990,0),2),"")</f>
        <v/>
      </c>
      <c r="C57" s="7" t="str">
        <f>IF(A57&lt;&gt;"",INDEX('Base de données'!A$4:L$990,MATCH(' TVA M'!A57,'Base de données'!A$4:A$990,0),12),"")</f>
        <v/>
      </c>
      <c r="D57" s="437"/>
      <c r="E57" s="438"/>
      <c r="F57" s="435"/>
      <c r="G57" s="439"/>
      <c r="H57" s="437"/>
      <c r="I57" s="438"/>
      <c r="J57" s="435"/>
      <c r="K57" s="439"/>
      <c r="L57" s="437"/>
      <c r="M57" s="438"/>
      <c r="N57" s="435"/>
      <c r="O57" s="439"/>
      <c r="P57" s="437"/>
      <c r="Q57" s="438"/>
      <c r="R57" s="435"/>
      <c r="S57" s="439"/>
      <c r="T57" s="437"/>
      <c r="U57" s="438"/>
      <c r="V57" s="435"/>
      <c r="W57" s="434"/>
      <c r="X57" s="435"/>
      <c r="Y57" s="438"/>
      <c r="Z57" s="442"/>
      <c r="AA57" s="440"/>
    </row>
    <row r="58" spans="1:27" hidden="1" x14ac:dyDescent="0.25">
      <c r="A58" s="430"/>
      <c r="B58" s="6" t="str">
        <f>IF(A58&lt;&gt;"",INDEX('Base de données'!A$4:L$990,MATCH(' TVA M'!A58,'Base de données'!A$4:A$990,0),2),"")</f>
        <v/>
      </c>
      <c r="C58" s="7" t="str">
        <f>IF(A58&lt;&gt;"",INDEX('Base de données'!A$4:L$990,MATCH(' TVA M'!A58,'Base de données'!A$4:A$990,0),12),"")</f>
        <v/>
      </c>
      <c r="D58" s="437"/>
      <c r="E58" s="438"/>
      <c r="F58" s="435"/>
      <c r="G58" s="439"/>
      <c r="H58" s="437"/>
      <c r="I58" s="438"/>
      <c r="J58" s="435"/>
      <c r="K58" s="439"/>
      <c r="L58" s="437"/>
      <c r="M58" s="438"/>
      <c r="N58" s="435"/>
      <c r="O58" s="439"/>
      <c r="P58" s="437"/>
      <c r="Q58" s="438"/>
      <c r="R58" s="435"/>
      <c r="S58" s="439"/>
      <c r="T58" s="437"/>
      <c r="U58" s="438"/>
      <c r="V58" s="435"/>
      <c r="W58" s="434"/>
      <c r="X58" s="435"/>
      <c r="Y58" s="438"/>
      <c r="Z58" s="442"/>
      <c r="AA58" s="440"/>
    </row>
    <row r="59" spans="1:27" hidden="1" x14ac:dyDescent="0.25">
      <c r="A59" s="430"/>
      <c r="B59" s="6" t="str">
        <f>IF(A59&lt;&gt;"",INDEX('Base de données'!A$4:L$990,MATCH(' TVA M'!A59,'Base de données'!A$4:A$990,0),2),"")</f>
        <v/>
      </c>
      <c r="C59" s="7" t="str">
        <f>IF(A59&lt;&gt;"",INDEX('Base de données'!A$4:L$990,MATCH(' TVA M'!A59,'Base de données'!A$4:A$990,0),12),"")</f>
        <v/>
      </c>
      <c r="D59" s="437"/>
      <c r="E59" s="438"/>
      <c r="F59" s="443"/>
      <c r="G59" s="439"/>
      <c r="H59" s="442"/>
      <c r="I59" s="438"/>
      <c r="J59" s="443"/>
      <c r="K59" s="439"/>
      <c r="L59" s="437"/>
      <c r="M59" s="438"/>
      <c r="N59" s="435"/>
      <c r="O59" s="439"/>
      <c r="P59" s="437"/>
      <c r="Q59" s="438"/>
      <c r="R59" s="443"/>
      <c r="S59" s="439"/>
      <c r="T59" s="442"/>
      <c r="U59" s="438"/>
      <c r="V59" s="443"/>
      <c r="W59" s="434"/>
      <c r="X59" s="442"/>
      <c r="Y59" s="438"/>
      <c r="Z59" s="442"/>
      <c r="AA59" s="440"/>
    </row>
    <row r="60" spans="1:27" hidden="1" x14ac:dyDescent="0.25">
      <c r="A60" s="430"/>
      <c r="B60" s="6" t="str">
        <f>IF(A60&lt;&gt;"",INDEX('Base de données'!A$4:L$990,MATCH(' TVA M'!A60,'Base de données'!A$4:A$990,0),2),"")</f>
        <v/>
      </c>
      <c r="C60" s="7" t="str">
        <f>IF(A60&lt;&gt;"",INDEX('Base de données'!A$4:L$990,MATCH(' TVA M'!A60,'Base de données'!A$4:A$990,0),12),"")</f>
        <v/>
      </c>
      <c r="D60" s="442"/>
      <c r="E60" s="438"/>
      <c r="F60" s="443"/>
      <c r="G60" s="439"/>
      <c r="H60" s="442"/>
      <c r="I60" s="438"/>
      <c r="J60" s="443"/>
      <c r="K60" s="439"/>
      <c r="L60" s="442"/>
      <c r="M60" s="438"/>
      <c r="N60" s="443"/>
      <c r="O60" s="439"/>
      <c r="P60" s="442"/>
      <c r="Q60" s="438"/>
      <c r="R60" s="443"/>
      <c r="S60" s="439"/>
      <c r="T60" s="442"/>
      <c r="U60" s="438"/>
      <c r="V60" s="443"/>
      <c r="W60" s="434"/>
      <c r="X60" s="442"/>
      <c r="Y60" s="438"/>
      <c r="Z60" s="442"/>
      <c r="AA60" s="440"/>
    </row>
    <row r="61" spans="1:27" hidden="1" x14ac:dyDescent="0.25">
      <c r="A61" s="430"/>
      <c r="B61" s="6" t="str">
        <f>IF(A61&lt;&gt;"",INDEX('Base de données'!A$4:L$990,MATCH(' TVA M'!A61,'Base de données'!A$4:A$990,0),2),"")</f>
        <v/>
      </c>
      <c r="C61" s="7" t="str">
        <f>IF(A61&lt;&gt;"",INDEX('Base de données'!A$4:L$990,MATCH(' TVA M'!A61,'Base de données'!A$4:A$990,0),12),"")</f>
        <v/>
      </c>
      <c r="D61" s="442"/>
      <c r="E61" s="438"/>
      <c r="F61" s="443"/>
      <c r="G61" s="439"/>
      <c r="H61" s="442"/>
      <c r="I61" s="438"/>
      <c r="J61" s="443"/>
      <c r="K61" s="439"/>
      <c r="L61" s="442"/>
      <c r="M61" s="438"/>
      <c r="N61" s="443"/>
      <c r="O61" s="439"/>
      <c r="P61" s="442"/>
      <c r="Q61" s="438"/>
      <c r="R61" s="443"/>
      <c r="S61" s="439"/>
      <c r="T61" s="442"/>
      <c r="U61" s="438"/>
      <c r="V61" s="443"/>
      <c r="W61" s="434"/>
      <c r="X61" s="442"/>
      <c r="Y61" s="438"/>
      <c r="Z61" s="442"/>
      <c r="AA61" s="440"/>
    </row>
    <row r="62" spans="1:27" hidden="1" x14ac:dyDescent="0.25">
      <c r="A62" s="430"/>
      <c r="B62" s="6" t="str">
        <f>IF(A62&lt;&gt;"",INDEX('Base de données'!A$4:L$990,MATCH(' TVA M'!A62,'Base de données'!A$4:A$990,0),2),"")</f>
        <v/>
      </c>
      <c r="C62" s="7" t="str">
        <f>IF(A62&lt;&gt;"",INDEX('Base de données'!A$4:L$990,MATCH(' TVA M'!A62,'Base de données'!A$4:A$990,0),12),"")</f>
        <v/>
      </c>
      <c r="D62" s="442"/>
      <c r="E62" s="438"/>
      <c r="F62" s="443"/>
      <c r="G62" s="439"/>
      <c r="H62" s="442"/>
      <c r="I62" s="438"/>
      <c r="J62" s="443"/>
      <c r="K62" s="439"/>
      <c r="L62" s="442"/>
      <c r="M62" s="438"/>
      <c r="N62" s="443"/>
      <c r="O62" s="439"/>
      <c r="P62" s="442"/>
      <c r="Q62" s="438"/>
      <c r="R62" s="443"/>
      <c r="S62" s="439"/>
      <c r="T62" s="442"/>
      <c r="U62" s="438"/>
      <c r="V62" s="443"/>
      <c r="W62" s="434"/>
      <c r="X62" s="442"/>
      <c r="Y62" s="438"/>
      <c r="Z62" s="442"/>
      <c r="AA62" s="440"/>
    </row>
    <row r="63" spans="1:27" hidden="1" x14ac:dyDescent="0.25">
      <c r="A63" s="430"/>
      <c r="B63" s="6" t="str">
        <f>IF(A63&lt;&gt;"",INDEX('Base de données'!A$4:L$990,MATCH(' TVA M'!A63,'Base de données'!A$4:A$990,0),2),"")</f>
        <v/>
      </c>
      <c r="C63" s="7" t="str">
        <f>IF(A63&lt;&gt;"",INDEX('Base de données'!A$4:L$990,MATCH(' TVA M'!A63,'Base de données'!A$4:A$990,0),12),"")</f>
        <v/>
      </c>
      <c r="D63" s="442"/>
      <c r="E63" s="438"/>
      <c r="F63" s="443"/>
      <c r="G63" s="439"/>
      <c r="H63" s="442"/>
      <c r="I63" s="438"/>
      <c r="J63" s="443"/>
      <c r="K63" s="439"/>
      <c r="L63" s="442"/>
      <c r="M63" s="438"/>
      <c r="N63" s="443"/>
      <c r="O63" s="439"/>
      <c r="P63" s="442"/>
      <c r="Q63" s="438"/>
      <c r="R63" s="443"/>
      <c r="S63" s="439"/>
      <c r="T63" s="442"/>
      <c r="U63" s="438"/>
      <c r="V63" s="443"/>
      <c r="W63" s="434"/>
      <c r="X63" s="442"/>
      <c r="Y63" s="438"/>
      <c r="Z63" s="442"/>
      <c r="AA63" s="440"/>
    </row>
    <row r="64" spans="1:27" hidden="1" x14ac:dyDescent="0.25">
      <c r="A64" s="430"/>
      <c r="B64" s="6" t="str">
        <f>IF(A64&lt;&gt;"",INDEX('Base de données'!A$4:L$990,MATCH(' TVA M'!A64,'Base de données'!A$4:A$990,0),2),"")</f>
        <v/>
      </c>
      <c r="C64" s="7" t="str">
        <f>IF(A64&lt;&gt;"",INDEX('Base de données'!A$4:L$990,MATCH(' TVA M'!A64,'Base de données'!A$4:A$990,0),12),"")</f>
        <v/>
      </c>
      <c r="D64" s="442"/>
      <c r="E64" s="438"/>
      <c r="F64" s="443"/>
      <c r="G64" s="439"/>
      <c r="H64" s="442"/>
      <c r="I64" s="438"/>
      <c r="J64" s="443"/>
      <c r="K64" s="439"/>
      <c r="L64" s="442"/>
      <c r="M64" s="438"/>
      <c r="N64" s="443"/>
      <c r="O64" s="439"/>
      <c r="P64" s="442"/>
      <c r="Q64" s="438"/>
      <c r="R64" s="443"/>
      <c r="S64" s="439"/>
      <c r="T64" s="442"/>
      <c r="U64" s="438"/>
      <c r="V64" s="443"/>
      <c r="W64" s="434"/>
      <c r="X64" s="442"/>
      <c r="Y64" s="438"/>
      <c r="Z64" s="442"/>
      <c r="AA64" s="440"/>
    </row>
    <row r="65" spans="1:27" hidden="1" x14ac:dyDescent="0.25">
      <c r="A65" s="430"/>
      <c r="B65" s="6" t="str">
        <f>IF(A65&lt;&gt;"",INDEX('Base de données'!A$4:L$990,MATCH(' TVA M'!A65,'Base de données'!A$4:A$990,0),2),"")</f>
        <v/>
      </c>
      <c r="C65" s="7" t="str">
        <f>IF(A65&lt;&gt;"",INDEX('Base de données'!A$4:L$990,MATCH(' TVA M'!A65,'Base de données'!A$4:A$990,0),12),"")</f>
        <v/>
      </c>
      <c r="D65" s="442"/>
      <c r="E65" s="438"/>
      <c r="F65" s="443"/>
      <c r="G65" s="439"/>
      <c r="H65" s="442"/>
      <c r="I65" s="438"/>
      <c r="J65" s="443"/>
      <c r="K65" s="439"/>
      <c r="L65" s="442"/>
      <c r="M65" s="438"/>
      <c r="N65" s="443"/>
      <c r="O65" s="439"/>
      <c r="P65" s="442"/>
      <c r="Q65" s="438"/>
      <c r="R65" s="443"/>
      <c r="S65" s="439"/>
      <c r="T65" s="442"/>
      <c r="U65" s="438"/>
      <c r="V65" s="443"/>
      <c r="W65" s="434"/>
      <c r="X65" s="442"/>
      <c r="Y65" s="438"/>
      <c r="Z65" s="442"/>
      <c r="AA65" s="440"/>
    </row>
    <row r="66" spans="1:27" hidden="1" x14ac:dyDescent="0.25">
      <c r="A66" s="430"/>
      <c r="B66" s="6" t="str">
        <f>IF(A66&lt;&gt;"",INDEX('Base de données'!A$4:L$990,MATCH(' TVA M'!A66,'Base de données'!A$4:A$990,0),2),"")</f>
        <v/>
      </c>
      <c r="C66" s="7" t="str">
        <f>IF(A66&lt;&gt;"",INDEX('Base de données'!A$4:L$990,MATCH(' TVA M'!A66,'Base de données'!A$4:A$990,0),12),"")</f>
        <v/>
      </c>
      <c r="D66" s="442"/>
      <c r="E66" s="438"/>
      <c r="F66" s="443"/>
      <c r="G66" s="439"/>
      <c r="H66" s="442"/>
      <c r="I66" s="438"/>
      <c r="J66" s="443"/>
      <c r="K66" s="439"/>
      <c r="L66" s="442"/>
      <c r="M66" s="438"/>
      <c r="N66" s="443"/>
      <c r="O66" s="439"/>
      <c r="P66" s="442"/>
      <c r="Q66" s="438"/>
      <c r="R66" s="443"/>
      <c r="S66" s="439"/>
      <c r="T66" s="442"/>
      <c r="U66" s="438"/>
      <c r="V66" s="443"/>
      <c r="W66" s="434"/>
      <c r="X66" s="442"/>
      <c r="Y66" s="438"/>
      <c r="Z66" s="442"/>
      <c r="AA66" s="440"/>
    </row>
    <row r="67" spans="1:27" hidden="1" x14ac:dyDescent="0.25">
      <c r="A67" s="430"/>
      <c r="B67" s="6" t="str">
        <f>IF(A67&lt;&gt;"",INDEX('Base de données'!A$4:L$990,MATCH(' TVA M'!A67,'Base de données'!A$4:A$990,0),2),"")</f>
        <v/>
      </c>
      <c r="C67" s="7" t="str">
        <f>IF(A67&lt;&gt;"",INDEX('Base de données'!A$4:L$990,MATCH(' TVA M'!A67,'Base de données'!A$4:A$990,0),12),"")</f>
        <v/>
      </c>
      <c r="D67" s="442"/>
      <c r="E67" s="438"/>
      <c r="F67" s="443"/>
      <c r="G67" s="439"/>
      <c r="H67" s="442"/>
      <c r="I67" s="438"/>
      <c r="J67" s="443"/>
      <c r="K67" s="439"/>
      <c r="L67" s="442"/>
      <c r="M67" s="438"/>
      <c r="N67" s="443"/>
      <c r="O67" s="439"/>
      <c r="P67" s="442"/>
      <c r="Q67" s="438"/>
      <c r="R67" s="443"/>
      <c r="S67" s="439"/>
      <c r="T67" s="442"/>
      <c r="U67" s="438"/>
      <c r="V67" s="443"/>
      <c r="W67" s="434"/>
      <c r="X67" s="442"/>
      <c r="Y67" s="438"/>
      <c r="Z67" s="442"/>
      <c r="AA67" s="440"/>
    </row>
    <row r="68" spans="1:27" hidden="1" x14ac:dyDescent="0.25">
      <c r="A68" s="430"/>
      <c r="B68" s="6" t="str">
        <f>IF(A68&lt;&gt;"",INDEX('Base de données'!A$4:L$990,MATCH(' TVA M'!A68,'Base de données'!A$4:A$990,0),2),"")</f>
        <v/>
      </c>
      <c r="C68" s="7" t="str">
        <f>IF(A68&lt;&gt;"",INDEX('Base de données'!A$4:L$990,MATCH(' TVA M'!A68,'Base de données'!A$4:A$990,0),12),"")</f>
        <v/>
      </c>
      <c r="D68" s="442"/>
      <c r="E68" s="438"/>
      <c r="F68" s="443"/>
      <c r="G68" s="439"/>
      <c r="H68" s="442"/>
      <c r="I68" s="438"/>
      <c r="J68" s="443"/>
      <c r="K68" s="439"/>
      <c r="L68" s="442"/>
      <c r="M68" s="438"/>
      <c r="N68" s="443"/>
      <c r="O68" s="439"/>
      <c r="P68" s="442"/>
      <c r="Q68" s="438"/>
      <c r="R68" s="443"/>
      <c r="S68" s="439"/>
      <c r="T68" s="442"/>
      <c r="U68" s="438"/>
      <c r="V68" s="443"/>
      <c r="W68" s="434"/>
      <c r="X68" s="442"/>
      <c r="Y68" s="438"/>
      <c r="Z68" s="442"/>
      <c r="AA68" s="440"/>
    </row>
    <row r="69" spans="1:27" hidden="1" x14ac:dyDescent="0.25">
      <c r="A69" s="430"/>
      <c r="B69" s="6" t="str">
        <f>IF(A69&lt;&gt;"",INDEX('Base de données'!A$4:L$990,MATCH(' TVA M'!A69,'Base de données'!A$4:A$990,0),2),"")</f>
        <v/>
      </c>
      <c r="C69" s="7" t="str">
        <f>IF(A69&lt;&gt;"",INDEX('Base de données'!A$4:L$990,MATCH(' TVA M'!A69,'Base de données'!A$4:A$990,0),12),"")</f>
        <v/>
      </c>
      <c r="D69" s="442"/>
      <c r="E69" s="438"/>
      <c r="F69" s="443"/>
      <c r="G69" s="439"/>
      <c r="H69" s="442"/>
      <c r="I69" s="438"/>
      <c r="J69" s="443"/>
      <c r="K69" s="439"/>
      <c r="L69" s="442"/>
      <c r="M69" s="438"/>
      <c r="N69" s="443"/>
      <c r="O69" s="439"/>
      <c r="P69" s="442"/>
      <c r="Q69" s="438"/>
      <c r="R69" s="443"/>
      <c r="S69" s="439"/>
      <c r="T69" s="442"/>
      <c r="U69" s="438"/>
      <c r="V69" s="443"/>
      <c r="W69" s="434"/>
      <c r="X69" s="442"/>
      <c r="Y69" s="438"/>
      <c r="Z69" s="442"/>
      <c r="AA69" s="440"/>
    </row>
    <row r="70" spans="1:27" hidden="1" x14ac:dyDescent="0.25">
      <c r="A70" s="430"/>
      <c r="B70" s="6" t="str">
        <f>IF(A70&lt;&gt;"",INDEX('Base de données'!A$4:L$990,MATCH(' TVA M'!A70,'Base de données'!A$4:A$990,0),2),"")</f>
        <v/>
      </c>
      <c r="C70" s="7" t="str">
        <f>IF(A70&lt;&gt;"",INDEX('Base de données'!A$4:L$990,MATCH(' TVA M'!A70,'Base de données'!A$4:A$990,0),12),"")</f>
        <v/>
      </c>
      <c r="D70" s="442"/>
      <c r="E70" s="438"/>
      <c r="F70" s="443"/>
      <c r="G70" s="439"/>
      <c r="H70" s="442"/>
      <c r="I70" s="438"/>
      <c r="J70" s="443"/>
      <c r="K70" s="439"/>
      <c r="L70" s="442"/>
      <c r="M70" s="438"/>
      <c r="N70" s="443"/>
      <c r="O70" s="439"/>
      <c r="P70" s="442"/>
      <c r="Q70" s="438"/>
      <c r="R70" s="443"/>
      <c r="S70" s="439"/>
      <c r="T70" s="442"/>
      <c r="U70" s="438"/>
      <c r="V70" s="443"/>
      <c r="W70" s="434"/>
      <c r="X70" s="442"/>
      <c r="Y70" s="438"/>
      <c r="Z70" s="442"/>
      <c r="AA70" s="440"/>
    </row>
    <row r="71" spans="1:27" hidden="1" x14ac:dyDescent="0.25">
      <c r="A71" s="430"/>
      <c r="B71" s="6" t="str">
        <f>IF(A71&lt;&gt;"",INDEX('Base de données'!A$4:L$990,MATCH(' TVA M'!A71,'Base de données'!A$4:A$990,0),2),"")</f>
        <v/>
      </c>
      <c r="C71" s="7" t="str">
        <f>IF(A71&lt;&gt;"",INDEX('Base de données'!A$4:L$990,MATCH(' TVA M'!A71,'Base de données'!A$4:A$990,0),12),"")</f>
        <v/>
      </c>
      <c r="D71" s="442"/>
      <c r="E71" s="438"/>
      <c r="F71" s="443"/>
      <c r="G71" s="439"/>
      <c r="H71" s="442"/>
      <c r="I71" s="438"/>
      <c r="J71" s="443"/>
      <c r="K71" s="439"/>
      <c r="L71" s="442"/>
      <c r="M71" s="438"/>
      <c r="N71" s="443"/>
      <c r="O71" s="439"/>
      <c r="P71" s="442"/>
      <c r="Q71" s="438"/>
      <c r="R71" s="443"/>
      <c r="S71" s="439"/>
      <c r="T71" s="442"/>
      <c r="U71" s="438"/>
      <c r="V71" s="443"/>
      <c r="W71" s="434"/>
      <c r="X71" s="442"/>
      <c r="Y71" s="438"/>
      <c r="Z71" s="442"/>
      <c r="AA71" s="440"/>
    </row>
    <row r="72" spans="1:27" hidden="1" x14ac:dyDescent="0.25">
      <c r="A72" s="430"/>
      <c r="B72" s="6" t="str">
        <f>IF(A72&lt;&gt;"",INDEX('Base de données'!A$4:L$990,MATCH(' TVA M'!A72,'Base de données'!A$4:A$990,0),2),"")</f>
        <v/>
      </c>
      <c r="C72" s="7" t="str">
        <f>IF(A72&lt;&gt;"",INDEX('Base de données'!A$4:L$990,MATCH(' TVA M'!A72,'Base de données'!A$4:A$990,0),12),"")</f>
        <v/>
      </c>
      <c r="D72" s="442"/>
      <c r="E72" s="438"/>
      <c r="F72" s="443"/>
      <c r="G72" s="439"/>
      <c r="H72" s="442"/>
      <c r="I72" s="438"/>
      <c r="J72" s="443"/>
      <c r="K72" s="439"/>
      <c r="L72" s="442"/>
      <c r="M72" s="438"/>
      <c r="N72" s="443"/>
      <c r="O72" s="439"/>
      <c r="P72" s="442"/>
      <c r="Q72" s="438"/>
      <c r="R72" s="443"/>
      <c r="S72" s="439"/>
      <c r="T72" s="442"/>
      <c r="U72" s="438"/>
      <c r="V72" s="443"/>
      <c r="W72" s="434"/>
      <c r="X72" s="442"/>
      <c r="Y72" s="438"/>
      <c r="Z72" s="442"/>
      <c r="AA72" s="440"/>
    </row>
    <row r="73" spans="1:27" hidden="1" x14ac:dyDescent="0.25">
      <c r="A73" s="430"/>
      <c r="B73" s="6" t="str">
        <f>IF(A73&lt;&gt;"",INDEX('Base de données'!A$4:L$990,MATCH(' TVA M'!A73,'Base de données'!A$4:A$990,0),2),"")</f>
        <v/>
      </c>
      <c r="C73" s="7" t="str">
        <f>IF(A73&lt;&gt;"",INDEX('Base de données'!A$4:L$990,MATCH(' TVA M'!A73,'Base de données'!A$4:A$990,0),12),"")</f>
        <v/>
      </c>
      <c r="D73" s="442"/>
      <c r="E73" s="438"/>
      <c r="F73" s="443"/>
      <c r="G73" s="439"/>
      <c r="H73" s="442"/>
      <c r="I73" s="438"/>
      <c r="J73" s="443"/>
      <c r="K73" s="439"/>
      <c r="L73" s="442"/>
      <c r="M73" s="438"/>
      <c r="N73" s="443"/>
      <c r="O73" s="439"/>
      <c r="P73" s="442"/>
      <c r="Q73" s="438"/>
      <c r="R73" s="443"/>
      <c r="S73" s="439"/>
      <c r="T73" s="442"/>
      <c r="U73" s="438"/>
      <c r="V73" s="443"/>
      <c r="W73" s="434"/>
      <c r="X73" s="442"/>
      <c r="Y73" s="438"/>
      <c r="Z73" s="442"/>
      <c r="AA73" s="440"/>
    </row>
    <row r="74" spans="1:27" hidden="1" x14ac:dyDescent="0.25">
      <c r="A74" s="430"/>
      <c r="B74" s="6" t="str">
        <f>IF(A74&lt;&gt;"",INDEX('Base de données'!A$4:L$990,MATCH(' TVA M'!A74,'Base de données'!A$4:A$990,0),2),"")</f>
        <v/>
      </c>
      <c r="C74" s="7" t="str">
        <f>IF(A74&lt;&gt;"",INDEX('Base de données'!A$4:L$990,MATCH(' TVA M'!A74,'Base de données'!A$4:A$990,0),12),"")</f>
        <v/>
      </c>
      <c r="D74" s="442"/>
      <c r="E74" s="438"/>
      <c r="F74" s="443"/>
      <c r="G74" s="439"/>
      <c r="H74" s="442"/>
      <c r="I74" s="438"/>
      <c r="J74" s="443"/>
      <c r="K74" s="439"/>
      <c r="L74" s="442"/>
      <c r="M74" s="438"/>
      <c r="N74" s="443"/>
      <c r="O74" s="439"/>
      <c r="P74" s="442"/>
      <c r="Q74" s="438"/>
      <c r="R74" s="443"/>
      <c r="S74" s="439"/>
      <c r="T74" s="442"/>
      <c r="U74" s="438"/>
      <c r="V74" s="443"/>
      <c r="W74" s="434"/>
      <c r="X74" s="442"/>
      <c r="Y74" s="438"/>
      <c r="Z74" s="442"/>
      <c r="AA74" s="440"/>
    </row>
    <row r="75" spans="1:27" hidden="1" x14ac:dyDescent="0.25">
      <c r="A75" s="430"/>
      <c r="B75" s="6" t="str">
        <f>IF(A75&lt;&gt;"",INDEX('Base de données'!A$4:L$990,MATCH(' TVA M'!A75,'Base de données'!A$4:A$990,0),2),"")</f>
        <v/>
      </c>
      <c r="C75" s="7" t="str">
        <f>IF(A75&lt;&gt;"",INDEX('Base de données'!A$4:L$990,MATCH(' TVA M'!A75,'Base de données'!A$4:A$990,0),12),"")</f>
        <v/>
      </c>
      <c r="D75" s="442"/>
      <c r="E75" s="438"/>
      <c r="F75" s="443"/>
      <c r="G75" s="439"/>
      <c r="H75" s="442"/>
      <c r="I75" s="438"/>
      <c r="J75" s="443"/>
      <c r="K75" s="439"/>
      <c r="L75" s="442"/>
      <c r="M75" s="438"/>
      <c r="N75" s="443"/>
      <c r="O75" s="439"/>
      <c r="P75" s="442"/>
      <c r="Q75" s="438"/>
      <c r="R75" s="443"/>
      <c r="S75" s="439"/>
      <c r="T75" s="442"/>
      <c r="U75" s="438"/>
      <c r="V75" s="443"/>
      <c r="W75" s="434"/>
      <c r="X75" s="442"/>
      <c r="Y75" s="438"/>
      <c r="Z75" s="442"/>
      <c r="AA75" s="440"/>
    </row>
    <row r="76" spans="1:27" hidden="1" x14ac:dyDescent="0.25">
      <c r="A76" s="430"/>
      <c r="B76" s="6" t="str">
        <f>IF(A76&lt;&gt;"",INDEX('Base de données'!A$4:L$990,MATCH(' TVA M'!A76,'Base de données'!A$4:A$990,0),2),"")</f>
        <v/>
      </c>
      <c r="C76" s="7" t="str">
        <f>IF(A76&lt;&gt;"",INDEX('Base de données'!A$4:L$990,MATCH(' TVA M'!A76,'Base de données'!A$4:A$990,0),12),"")</f>
        <v/>
      </c>
      <c r="D76" s="442"/>
      <c r="E76" s="438"/>
      <c r="F76" s="443"/>
      <c r="G76" s="439"/>
      <c r="H76" s="442"/>
      <c r="I76" s="438"/>
      <c r="J76" s="443"/>
      <c r="K76" s="439"/>
      <c r="L76" s="442"/>
      <c r="M76" s="438"/>
      <c r="N76" s="443"/>
      <c r="O76" s="439"/>
      <c r="P76" s="442"/>
      <c r="Q76" s="438"/>
      <c r="R76" s="443"/>
      <c r="S76" s="439"/>
      <c r="T76" s="442"/>
      <c r="U76" s="438"/>
      <c r="V76" s="443"/>
      <c r="W76" s="434"/>
      <c r="X76" s="442"/>
      <c r="Y76" s="438"/>
      <c r="Z76" s="442"/>
      <c r="AA76" s="440"/>
    </row>
    <row r="77" spans="1:27" hidden="1" x14ac:dyDescent="0.25">
      <c r="A77" s="430"/>
      <c r="B77" s="6" t="str">
        <f>IF(A77&lt;&gt;"",INDEX('Base de données'!A$4:L$990,MATCH(' TVA M'!A77,'Base de données'!A$4:A$990,0),2),"")</f>
        <v/>
      </c>
      <c r="C77" s="7" t="str">
        <f>IF(A77&lt;&gt;"",INDEX('Base de données'!A$4:L$990,MATCH(' TVA M'!A77,'Base de données'!A$4:A$990,0),12),"")</f>
        <v/>
      </c>
      <c r="D77" s="442"/>
      <c r="E77" s="438"/>
      <c r="F77" s="443"/>
      <c r="G77" s="439"/>
      <c r="H77" s="442"/>
      <c r="I77" s="438"/>
      <c r="J77" s="443"/>
      <c r="K77" s="439"/>
      <c r="L77" s="442"/>
      <c r="M77" s="438"/>
      <c r="N77" s="443"/>
      <c r="O77" s="439"/>
      <c r="P77" s="442"/>
      <c r="Q77" s="438"/>
      <c r="R77" s="443"/>
      <c r="S77" s="439"/>
      <c r="T77" s="442"/>
      <c r="U77" s="438"/>
      <c r="V77" s="443"/>
      <c r="W77" s="434"/>
      <c r="X77" s="442"/>
      <c r="Y77" s="438"/>
      <c r="Z77" s="442"/>
      <c r="AA77" s="440"/>
    </row>
    <row r="78" spans="1:27" hidden="1" x14ac:dyDescent="0.25">
      <c r="A78" s="430"/>
      <c r="B78" s="6" t="str">
        <f>IF(A78&lt;&gt;"",INDEX('Base de données'!A$4:L$990,MATCH(' TVA M'!A78,'Base de données'!A$4:A$990,0),2),"")</f>
        <v/>
      </c>
      <c r="C78" s="7" t="str">
        <f>IF(A78&lt;&gt;"",INDEX('Base de données'!A$4:L$990,MATCH(' TVA M'!A78,'Base de données'!A$4:A$990,0),12),"")</f>
        <v/>
      </c>
      <c r="D78" s="442"/>
      <c r="E78" s="438"/>
      <c r="F78" s="443"/>
      <c r="G78" s="439"/>
      <c r="H78" s="442"/>
      <c r="I78" s="438"/>
      <c r="J78" s="443"/>
      <c r="K78" s="439"/>
      <c r="L78" s="442"/>
      <c r="M78" s="438"/>
      <c r="N78" s="443"/>
      <c r="O78" s="439"/>
      <c r="P78" s="442"/>
      <c r="Q78" s="438"/>
      <c r="R78" s="443"/>
      <c r="S78" s="439"/>
      <c r="T78" s="442"/>
      <c r="U78" s="438"/>
      <c r="V78" s="443"/>
      <c r="W78" s="434"/>
      <c r="X78" s="442"/>
      <c r="Y78" s="438"/>
      <c r="Z78" s="442"/>
      <c r="AA78" s="440"/>
    </row>
    <row r="79" spans="1:27" hidden="1" x14ac:dyDescent="0.25">
      <c r="A79" s="430"/>
      <c r="B79" s="6" t="str">
        <f>IF(A79&lt;&gt;"",INDEX('Base de données'!A$4:L$990,MATCH(' TVA M'!A79,'Base de données'!A$4:A$990,0),2),"")</f>
        <v/>
      </c>
      <c r="C79" s="7" t="str">
        <f>IF(A79&lt;&gt;"",INDEX('Base de données'!A$4:L$990,MATCH(' TVA M'!A79,'Base de données'!A$4:A$990,0),12),"")</f>
        <v/>
      </c>
      <c r="D79" s="442"/>
      <c r="E79" s="438"/>
      <c r="F79" s="443"/>
      <c r="G79" s="439"/>
      <c r="H79" s="442"/>
      <c r="I79" s="438"/>
      <c r="J79" s="443"/>
      <c r="K79" s="439"/>
      <c r="L79" s="442"/>
      <c r="M79" s="438"/>
      <c r="N79" s="443"/>
      <c r="O79" s="439"/>
      <c r="P79" s="442"/>
      <c r="Q79" s="438"/>
      <c r="R79" s="443"/>
      <c r="S79" s="439"/>
      <c r="T79" s="442"/>
      <c r="U79" s="438"/>
      <c r="V79" s="443"/>
      <c r="W79" s="434"/>
      <c r="X79" s="442"/>
      <c r="Y79" s="438"/>
      <c r="Z79" s="442"/>
      <c r="AA79" s="440"/>
    </row>
    <row r="80" spans="1:27" hidden="1" x14ac:dyDescent="0.25">
      <c r="A80" s="430"/>
      <c r="B80" s="6" t="str">
        <f>IF(A80&lt;&gt;"",INDEX('Base de données'!A$4:L$990,MATCH(' TVA M'!A80,'Base de données'!A$4:A$990,0),2),"")</f>
        <v/>
      </c>
      <c r="C80" s="7" t="str">
        <f>IF(A80&lt;&gt;"",INDEX('Base de données'!A$4:L$990,MATCH(' TVA M'!A80,'Base de données'!A$4:A$990,0),12),"")</f>
        <v/>
      </c>
      <c r="D80" s="442"/>
      <c r="E80" s="438"/>
      <c r="F80" s="443"/>
      <c r="G80" s="439"/>
      <c r="H80" s="442"/>
      <c r="I80" s="438"/>
      <c r="J80" s="443"/>
      <c r="K80" s="439"/>
      <c r="L80" s="442"/>
      <c r="M80" s="438"/>
      <c r="N80" s="443"/>
      <c r="O80" s="439"/>
      <c r="P80" s="442"/>
      <c r="Q80" s="438"/>
      <c r="R80" s="443"/>
      <c r="S80" s="439"/>
      <c r="T80" s="442"/>
      <c r="U80" s="438"/>
      <c r="V80" s="443"/>
      <c r="W80" s="434"/>
      <c r="X80" s="442"/>
      <c r="Y80" s="438"/>
      <c r="Z80" s="442"/>
      <c r="AA80" s="440"/>
    </row>
    <row r="81" spans="1:27" hidden="1" x14ac:dyDescent="0.25">
      <c r="A81" s="430"/>
      <c r="B81" s="6" t="str">
        <f>IF(A81&lt;&gt;"",INDEX('Base de données'!A$4:L$990,MATCH(' TVA M'!A81,'Base de données'!A$4:A$990,0),2),"")</f>
        <v/>
      </c>
      <c r="C81" s="7" t="str">
        <f>IF(A81&lt;&gt;"",INDEX('Base de données'!A$4:L$990,MATCH(' TVA M'!A81,'Base de données'!A$4:A$990,0),12),"")</f>
        <v/>
      </c>
      <c r="D81" s="442"/>
      <c r="E81" s="438"/>
      <c r="F81" s="443"/>
      <c r="G81" s="439"/>
      <c r="H81" s="442"/>
      <c r="I81" s="438"/>
      <c r="J81" s="443"/>
      <c r="K81" s="439"/>
      <c r="L81" s="442"/>
      <c r="M81" s="438"/>
      <c r="N81" s="443"/>
      <c r="O81" s="439"/>
      <c r="P81" s="442"/>
      <c r="Q81" s="438"/>
      <c r="R81" s="443"/>
      <c r="S81" s="439"/>
      <c r="T81" s="442"/>
      <c r="U81" s="438"/>
      <c r="V81" s="443"/>
      <c r="W81" s="434"/>
      <c r="X81" s="442"/>
      <c r="Y81" s="438"/>
      <c r="Z81" s="442"/>
      <c r="AA81" s="440"/>
    </row>
    <row r="82" spans="1:27" hidden="1" x14ac:dyDescent="0.25">
      <c r="A82" s="430"/>
      <c r="B82" s="6" t="str">
        <f>IF(A82&lt;&gt;"",INDEX('Base de données'!A$4:L$990,MATCH(' TVA M'!A82,'Base de données'!A$4:A$990,0),2),"")</f>
        <v/>
      </c>
      <c r="C82" s="7" t="str">
        <f>IF(A82&lt;&gt;"",INDEX('Base de données'!A$4:L$990,MATCH(' TVA M'!A82,'Base de données'!A$4:A$990,0),12),"")</f>
        <v/>
      </c>
      <c r="D82" s="442"/>
      <c r="E82" s="438"/>
      <c r="F82" s="443"/>
      <c r="G82" s="439"/>
      <c r="H82" s="442"/>
      <c r="I82" s="438"/>
      <c r="J82" s="443"/>
      <c r="K82" s="439"/>
      <c r="L82" s="442"/>
      <c r="M82" s="438"/>
      <c r="N82" s="443"/>
      <c r="O82" s="439"/>
      <c r="P82" s="442"/>
      <c r="Q82" s="438"/>
      <c r="R82" s="443"/>
      <c r="S82" s="439"/>
      <c r="T82" s="442"/>
      <c r="U82" s="438"/>
      <c r="V82" s="443"/>
      <c r="W82" s="434"/>
      <c r="X82" s="442"/>
      <c r="Y82" s="438"/>
      <c r="Z82" s="442"/>
      <c r="AA82" s="440"/>
    </row>
    <row r="83" spans="1:27" hidden="1" x14ac:dyDescent="0.25">
      <c r="A83" s="430"/>
      <c r="B83" s="6" t="str">
        <f>IF(A83&lt;&gt;"",INDEX('Base de données'!A$4:L$990,MATCH(' TVA M'!A83,'Base de données'!A$4:A$990,0),2),"")</f>
        <v/>
      </c>
      <c r="C83" s="7" t="str">
        <f>IF(A83&lt;&gt;"",INDEX('Base de données'!A$4:L$990,MATCH(' TVA M'!A83,'Base de données'!A$4:A$990,0),12),"")</f>
        <v/>
      </c>
      <c r="D83" s="442"/>
      <c r="E83" s="438"/>
      <c r="F83" s="443"/>
      <c r="G83" s="439"/>
      <c r="H83" s="442"/>
      <c r="I83" s="438"/>
      <c r="J83" s="443"/>
      <c r="K83" s="439"/>
      <c r="L83" s="442"/>
      <c r="M83" s="438"/>
      <c r="N83" s="443"/>
      <c r="O83" s="439"/>
      <c r="P83" s="442"/>
      <c r="Q83" s="438"/>
      <c r="R83" s="443"/>
      <c r="S83" s="439"/>
      <c r="T83" s="442"/>
      <c r="U83" s="438"/>
      <c r="V83" s="443"/>
      <c r="W83" s="434"/>
      <c r="X83" s="442"/>
      <c r="Y83" s="438"/>
      <c r="Z83" s="442"/>
      <c r="AA83" s="440"/>
    </row>
    <row r="84" spans="1:27" hidden="1" x14ac:dyDescent="0.25">
      <c r="A84" s="430"/>
      <c r="B84" s="6" t="str">
        <f>IF(A84&lt;&gt;"",INDEX('Base de données'!A$4:L$990,MATCH(' TVA M'!A84,'Base de données'!A$4:A$990,0),2),"")</f>
        <v/>
      </c>
      <c r="C84" s="7" t="str">
        <f>IF(A84&lt;&gt;"",INDEX('Base de données'!A$4:L$990,MATCH(' TVA M'!A84,'Base de données'!A$4:A$990,0),12),"")</f>
        <v/>
      </c>
      <c r="D84" s="442"/>
      <c r="E84" s="438"/>
      <c r="F84" s="443"/>
      <c r="G84" s="439"/>
      <c r="H84" s="442"/>
      <c r="I84" s="438"/>
      <c r="J84" s="443"/>
      <c r="K84" s="439"/>
      <c r="L84" s="442"/>
      <c r="M84" s="438"/>
      <c r="N84" s="443"/>
      <c r="O84" s="439"/>
      <c r="P84" s="442"/>
      <c r="Q84" s="438"/>
      <c r="R84" s="443"/>
      <c r="S84" s="439"/>
      <c r="T84" s="442"/>
      <c r="U84" s="438"/>
      <c r="V84" s="443"/>
      <c r="W84" s="434"/>
      <c r="X84" s="442"/>
      <c r="Y84" s="438"/>
      <c r="Z84" s="442"/>
      <c r="AA84" s="440"/>
    </row>
    <row r="85" spans="1:27" hidden="1" x14ac:dyDescent="0.25">
      <c r="A85" s="430"/>
      <c r="B85" s="6" t="str">
        <f>IF(A85&lt;&gt;"",INDEX('Base de données'!A$4:L$990,MATCH(' TVA M'!A85,'Base de données'!A$4:A$990,0),2),"")</f>
        <v/>
      </c>
      <c r="C85" s="7" t="str">
        <f>IF(A85&lt;&gt;"",INDEX('Base de données'!A$4:L$990,MATCH(' TVA M'!A85,'Base de données'!A$4:A$990,0),12),"")</f>
        <v/>
      </c>
      <c r="D85" s="442"/>
      <c r="E85" s="438"/>
      <c r="F85" s="443"/>
      <c r="G85" s="439"/>
      <c r="H85" s="442"/>
      <c r="I85" s="438"/>
      <c r="J85" s="443"/>
      <c r="K85" s="439"/>
      <c r="L85" s="442"/>
      <c r="M85" s="438"/>
      <c r="N85" s="443"/>
      <c r="O85" s="439"/>
      <c r="P85" s="442"/>
      <c r="Q85" s="438"/>
      <c r="R85" s="443"/>
      <c r="S85" s="439"/>
      <c r="T85" s="442"/>
      <c r="U85" s="438"/>
      <c r="V85" s="443"/>
      <c r="W85" s="434"/>
      <c r="X85" s="442"/>
      <c r="Y85" s="438"/>
      <c r="Z85" s="442"/>
      <c r="AA85" s="440"/>
    </row>
    <row r="86" spans="1:27" hidden="1" x14ac:dyDescent="0.25">
      <c r="A86" s="430"/>
      <c r="B86" s="6" t="str">
        <f>IF(A86&lt;&gt;"",INDEX('Base de données'!A$4:L$990,MATCH(' TVA M'!A86,'Base de données'!A$4:A$990,0),2),"")</f>
        <v/>
      </c>
      <c r="C86" s="7" t="str">
        <f>IF(A86&lt;&gt;"",INDEX('Base de données'!A$4:L$990,MATCH(' TVA M'!A86,'Base de données'!A$4:A$990,0),12),"")</f>
        <v/>
      </c>
      <c r="D86" s="442"/>
      <c r="E86" s="438"/>
      <c r="F86" s="443"/>
      <c r="G86" s="439"/>
      <c r="H86" s="442"/>
      <c r="I86" s="438"/>
      <c r="J86" s="443"/>
      <c r="K86" s="439"/>
      <c r="L86" s="442"/>
      <c r="M86" s="438"/>
      <c r="N86" s="443"/>
      <c r="O86" s="439"/>
      <c r="P86" s="442"/>
      <c r="Q86" s="438"/>
      <c r="R86" s="443"/>
      <c r="S86" s="439"/>
      <c r="T86" s="442"/>
      <c r="U86" s="438"/>
      <c r="V86" s="443"/>
      <c r="W86" s="434"/>
      <c r="X86" s="442"/>
      <c r="Y86" s="438"/>
      <c r="Z86" s="442"/>
      <c r="AA86" s="440"/>
    </row>
    <row r="87" spans="1:27" hidden="1" x14ac:dyDescent="0.25">
      <c r="A87" s="430"/>
      <c r="B87" s="6" t="str">
        <f>IF(A87&lt;&gt;"",INDEX('Base de données'!A$4:L$990,MATCH(' TVA M'!A87,'Base de données'!A$4:A$990,0),2),"")</f>
        <v/>
      </c>
      <c r="C87" s="7" t="str">
        <f>IF(A87&lt;&gt;"",INDEX('Base de données'!A$4:L$990,MATCH(' TVA M'!A87,'Base de données'!A$4:A$990,0),12),"")</f>
        <v/>
      </c>
      <c r="D87" s="442"/>
      <c r="E87" s="438"/>
      <c r="F87" s="443"/>
      <c r="G87" s="439"/>
      <c r="H87" s="442"/>
      <c r="I87" s="438"/>
      <c r="J87" s="443"/>
      <c r="K87" s="439"/>
      <c r="L87" s="442"/>
      <c r="M87" s="438"/>
      <c r="N87" s="443"/>
      <c r="O87" s="439"/>
      <c r="P87" s="442"/>
      <c r="Q87" s="438"/>
      <c r="R87" s="443"/>
      <c r="S87" s="439"/>
      <c r="T87" s="442"/>
      <c r="U87" s="438"/>
      <c r="V87" s="443"/>
      <c r="W87" s="434"/>
      <c r="X87" s="442"/>
      <c r="Y87" s="438"/>
      <c r="Z87" s="442"/>
      <c r="AA87" s="440"/>
    </row>
    <row r="88" spans="1:27" hidden="1" x14ac:dyDescent="0.25">
      <c r="A88" s="430"/>
      <c r="B88" s="6" t="str">
        <f>IF(A88&lt;&gt;"",INDEX('Base de données'!A$4:L$990,MATCH(' TVA M'!A88,'Base de données'!A$4:A$990,0),2),"")</f>
        <v/>
      </c>
      <c r="C88" s="7" t="str">
        <f>IF(A88&lt;&gt;"",INDEX('Base de données'!A$4:L$990,MATCH(' TVA M'!A88,'Base de données'!A$4:A$990,0),12),"")</f>
        <v/>
      </c>
      <c r="D88" s="442"/>
      <c r="E88" s="438"/>
      <c r="F88" s="443"/>
      <c r="G88" s="439"/>
      <c r="H88" s="442"/>
      <c r="I88" s="438"/>
      <c r="J88" s="443"/>
      <c r="K88" s="439"/>
      <c r="L88" s="442"/>
      <c r="M88" s="438"/>
      <c r="N88" s="443"/>
      <c r="O88" s="439"/>
      <c r="P88" s="442"/>
      <c r="Q88" s="438"/>
      <c r="R88" s="443"/>
      <c r="S88" s="439"/>
      <c r="T88" s="442"/>
      <c r="U88" s="438"/>
      <c r="V88" s="443"/>
      <c r="W88" s="434"/>
      <c r="X88" s="442"/>
      <c r="Y88" s="438"/>
      <c r="Z88" s="442"/>
      <c r="AA88" s="440"/>
    </row>
    <row r="89" spans="1:27" hidden="1" x14ac:dyDescent="0.25">
      <c r="A89" s="430"/>
      <c r="B89" s="6" t="str">
        <f>IF(A89&lt;&gt;"",INDEX('Base de données'!A$4:L$990,MATCH(' TVA M'!A89,'Base de données'!A$4:A$990,0),2),"")</f>
        <v/>
      </c>
      <c r="C89" s="7" t="str">
        <f>IF(A89&lt;&gt;"",INDEX('Base de données'!A$4:L$990,MATCH(' TVA M'!A89,'Base de données'!A$4:A$990,0),12),"")</f>
        <v/>
      </c>
      <c r="D89" s="442"/>
      <c r="E89" s="438"/>
      <c r="F89" s="443"/>
      <c r="G89" s="439"/>
      <c r="H89" s="442"/>
      <c r="I89" s="438"/>
      <c r="J89" s="443"/>
      <c r="K89" s="439"/>
      <c r="L89" s="442"/>
      <c r="M89" s="438"/>
      <c r="N89" s="443"/>
      <c r="O89" s="439"/>
      <c r="P89" s="442"/>
      <c r="Q89" s="438"/>
      <c r="R89" s="443"/>
      <c r="S89" s="439"/>
      <c r="T89" s="442"/>
      <c r="U89" s="438"/>
      <c r="V89" s="443"/>
      <c r="W89" s="434"/>
      <c r="X89" s="442"/>
      <c r="Y89" s="438"/>
      <c r="Z89" s="442"/>
      <c r="AA89" s="440"/>
    </row>
    <row r="90" spans="1:27" hidden="1" x14ac:dyDescent="0.25">
      <c r="A90" s="430"/>
      <c r="B90" s="6" t="str">
        <f>IF(A90&lt;&gt;"",INDEX('Base de données'!A$4:L$990,MATCH(' TVA M'!A90,'Base de données'!A$4:A$990,0),2),"")</f>
        <v/>
      </c>
      <c r="C90" s="7" t="str">
        <f>IF(A90&lt;&gt;"",INDEX('Base de données'!A$4:L$990,MATCH(' TVA M'!A90,'Base de données'!A$4:A$990,0),12),"")</f>
        <v/>
      </c>
      <c r="D90" s="442"/>
      <c r="E90" s="438"/>
      <c r="F90" s="443"/>
      <c r="G90" s="439"/>
      <c r="H90" s="442"/>
      <c r="I90" s="438"/>
      <c r="J90" s="443"/>
      <c r="K90" s="439"/>
      <c r="L90" s="442"/>
      <c r="M90" s="438"/>
      <c r="N90" s="443"/>
      <c r="O90" s="439"/>
      <c r="P90" s="442"/>
      <c r="Q90" s="438"/>
      <c r="R90" s="443"/>
      <c r="S90" s="439"/>
      <c r="T90" s="442"/>
      <c r="U90" s="438"/>
      <c r="V90" s="443"/>
      <c r="W90" s="434"/>
      <c r="X90" s="442"/>
      <c r="Y90" s="438"/>
      <c r="Z90" s="442"/>
      <c r="AA90" s="440"/>
    </row>
    <row r="91" spans="1:27" hidden="1" x14ac:dyDescent="0.25">
      <c r="A91" s="430"/>
      <c r="B91" s="6" t="str">
        <f>IF(A91&lt;&gt;"",INDEX('Base de données'!A$4:L$990,MATCH(' TVA M'!A91,'Base de données'!A$4:A$990,0),2),"")</f>
        <v/>
      </c>
      <c r="C91" s="7" t="str">
        <f>IF(A91&lt;&gt;"",INDEX('Base de données'!A$4:L$990,MATCH(' TVA M'!A91,'Base de données'!A$4:A$990,0),12),"")</f>
        <v/>
      </c>
      <c r="D91" s="442"/>
      <c r="E91" s="438"/>
      <c r="F91" s="443"/>
      <c r="G91" s="439"/>
      <c r="H91" s="442"/>
      <c r="I91" s="438"/>
      <c r="J91" s="443"/>
      <c r="K91" s="439"/>
      <c r="L91" s="442"/>
      <c r="M91" s="438"/>
      <c r="N91" s="443"/>
      <c r="O91" s="439"/>
      <c r="P91" s="442"/>
      <c r="Q91" s="438"/>
      <c r="R91" s="443"/>
      <c r="S91" s="439"/>
      <c r="T91" s="442"/>
      <c r="U91" s="438"/>
      <c r="V91" s="443"/>
      <c r="W91" s="434"/>
      <c r="X91" s="442"/>
      <c r="Y91" s="438"/>
      <c r="Z91" s="442"/>
      <c r="AA91" s="440"/>
    </row>
    <row r="92" spans="1:27" hidden="1" x14ac:dyDescent="0.25">
      <c r="A92" s="430"/>
      <c r="B92" s="6" t="str">
        <f>IF(A92&lt;&gt;"",INDEX('Base de données'!A$4:L$990,MATCH(' TVA M'!A92,'Base de données'!A$4:A$990,0),2),"")</f>
        <v/>
      </c>
      <c r="C92" s="7" t="str">
        <f>IF(A92&lt;&gt;"",INDEX('Base de données'!A$4:L$990,MATCH(' TVA M'!A92,'Base de données'!A$4:A$990,0),12),"")</f>
        <v/>
      </c>
      <c r="D92" s="442"/>
      <c r="E92" s="438"/>
      <c r="F92" s="443"/>
      <c r="G92" s="439"/>
      <c r="H92" s="442"/>
      <c r="I92" s="438"/>
      <c r="J92" s="443"/>
      <c r="K92" s="439"/>
      <c r="L92" s="442"/>
      <c r="M92" s="438"/>
      <c r="N92" s="443"/>
      <c r="O92" s="439"/>
      <c r="P92" s="442"/>
      <c r="Q92" s="438"/>
      <c r="R92" s="443"/>
      <c r="S92" s="439"/>
      <c r="T92" s="442"/>
      <c r="U92" s="438"/>
      <c r="V92" s="443"/>
      <c r="W92" s="434"/>
      <c r="X92" s="442"/>
      <c r="Y92" s="438"/>
      <c r="Z92" s="442"/>
      <c r="AA92" s="440"/>
    </row>
    <row r="93" spans="1:27" hidden="1" x14ac:dyDescent="0.25">
      <c r="A93" s="430"/>
      <c r="B93" s="6" t="str">
        <f>IF(A93&lt;&gt;"",INDEX('Base de données'!A$4:L$990,MATCH(' TVA M'!A93,'Base de données'!A$4:A$990,0),2),"")</f>
        <v/>
      </c>
      <c r="C93" s="7" t="str">
        <f>IF(A93&lt;&gt;"",INDEX('Base de données'!A$4:L$990,MATCH(' TVA M'!A93,'Base de données'!A$4:A$990,0),12),"")</f>
        <v/>
      </c>
      <c r="D93" s="442"/>
      <c r="E93" s="438"/>
      <c r="F93" s="443"/>
      <c r="G93" s="439"/>
      <c r="H93" s="442"/>
      <c r="I93" s="438"/>
      <c r="J93" s="443"/>
      <c r="K93" s="439"/>
      <c r="L93" s="442"/>
      <c r="M93" s="438"/>
      <c r="N93" s="443"/>
      <c r="O93" s="439"/>
      <c r="P93" s="442"/>
      <c r="Q93" s="438"/>
      <c r="R93" s="443"/>
      <c r="S93" s="439"/>
      <c r="T93" s="442"/>
      <c r="U93" s="438"/>
      <c r="V93" s="443"/>
      <c r="W93" s="434"/>
      <c r="X93" s="442"/>
      <c r="Y93" s="438"/>
      <c r="Z93" s="442"/>
      <c r="AA93" s="440"/>
    </row>
    <row r="94" spans="1:27" hidden="1" x14ac:dyDescent="0.25">
      <c r="A94" s="430"/>
      <c r="B94" s="6" t="str">
        <f>IF(A94&lt;&gt;"",INDEX('Base de données'!A$4:L$990,MATCH(' TVA M'!A94,'Base de données'!A$4:A$990,0),2),"")</f>
        <v/>
      </c>
      <c r="C94" s="7" t="str">
        <f>IF(A94&lt;&gt;"",INDEX('Base de données'!A$4:L$990,MATCH(' TVA M'!A94,'Base de données'!A$4:A$990,0),12),"")</f>
        <v/>
      </c>
      <c r="D94" s="442"/>
      <c r="E94" s="438"/>
      <c r="F94" s="443"/>
      <c r="G94" s="439"/>
      <c r="H94" s="442"/>
      <c r="I94" s="438"/>
      <c r="J94" s="443"/>
      <c r="K94" s="439"/>
      <c r="L94" s="442"/>
      <c r="M94" s="438"/>
      <c r="N94" s="443"/>
      <c r="O94" s="439"/>
      <c r="P94" s="442"/>
      <c r="Q94" s="438"/>
      <c r="R94" s="443"/>
      <c r="S94" s="439"/>
      <c r="T94" s="442"/>
      <c r="U94" s="438"/>
      <c r="V94" s="443"/>
      <c r="W94" s="434"/>
      <c r="X94" s="442"/>
      <c r="Y94" s="438"/>
      <c r="Z94" s="442"/>
      <c r="AA94" s="440"/>
    </row>
    <row r="95" spans="1:27" hidden="1" x14ac:dyDescent="0.25">
      <c r="A95" s="430"/>
      <c r="B95" s="6" t="str">
        <f>IF(A95&lt;&gt;"",INDEX('Base de données'!A$4:L$990,MATCH(' TVA M'!A95,'Base de données'!A$4:A$990,0),2),"")</f>
        <v/>
      </c>
      <c r="C95" s="7" t="str">
        <f>IF(A95&lt;&gt;"",INDEX('Base de données'!A$4:L$990,MATCH(' TVA M'!A95,'Base de données'!A$4:A$990,0),12),"")</f>
        <v/>
      </c>
      <c r="D95" s="442"/>
      <c r="E95" s="438"/>
      <c r="F95" s="443"/>
      <c r="G95" s="439"/>
      <c r="H95" s="442"/>
      <c r="I95" s="438"/>
      <c r="J95" s="443"/>
      <c r="K95" s="439"/>
      <c r="L95" s="442"/>
      <c r="M95" s="438"/>
      <c r="N95" s="443"/>
      <c r="O95" s="439"/>
      <c r="P95" s="442"/>
      <c r="Q95" s="438"/>
      <c r="R95" s="443"/>
      <c r="S95" s="439"/>
      <c r="T95" s="442"/>
      <c r="U95" s="438"/>
      <c r="V95" s="443"/>
      <c r="W95" s="434"/>
      <c r="X95" s="442"/>
      <c r="Y95" s="438"/>
      <c r="Z95" s="442"/>
      <c r="AA95" s="440"/>
    </row>
    <row r="96" spans="1:27" hidden="1" x14ac:dyDescent="0.25">
      <c r="A96" s="430"/>
      <c r="B96" s="6" t="str">
        <f>IF(A96&lt;&gt;"",INDEX('Base de données'!A$4:L$990,MATCH(' TVA M'!A96,'Base de données'!A$4:A$990,0),2),"")</f>
        <v/>
      </c>
      <c r="C96" s="7" t="str">
        <f>IF(A96&lt;&gt;"",INDEX('Base de données'!A$4:L$990,MATCH(' TVA M'!A96,'Base de données'!A$4:A$990,0),12),"")</f>
        <v/>
      </c>
      <c r="D96" s="442"/>
      <c r="E96" s="438"/>
      <c r="F96" s="443"/>
      <c r="G96" s="439"/>
      <c r="H96" s="442"/>
      <c r="I96" s="438"/>
      <c r="J96" s="443"/>
      <c r="K96" s="439"/>
      <c r="L96" s="442"/>
      <c r="M96" s="438"/>
      <c r="N96" s="443"/>
      <c r="O96" s="439"/>
      <c r="P96" s="442"/>
      <c r="Q96" s="438"/>
      <c r="R96" s="443"/>
      <c r="S96" s="439"/>
      <c r="T96" s="442"/>
      <c r="U96" s="438"/>
      <c r="V96" s="443"/>
      <c r="W96" s="434"/>
      <c r="X96" s="442"/>
      <c r="Y96" s="438"/>
      <c r="Z96" s="442"/>
      <c r="AA96" s="440"/>
    </row>
    <row r="97" spans="1:27" hidden="1" x14ac:dyDescent="0.25">
      <c r="A97" s="430"/>
      <c r="B97" s="6" t="str">
        <f>IF(A97&lt;&gt;"",INDEX('Base de données'!A$4:L$990,MATCH(' TVA M'!A97,'Base de données'!A$4:A$990,0),2),"")</f>
        <v/>
      </c>
      <c r="C97" s="7" t="str">
        <f>IF(A97&lt;&gt;"",INDEX('Base de données'!A$4:L$990,MATCH(' TVA M'!A97,'Base de données'!A$4:A$990,0),12),"")</f>
        <v/>
      </c>
      <c r="D97" s="442"/>
      <c r="E97" s="438"/>
      <c r="F97" s="443"/>
      <c r="G97" s="439"/>
      <c r="H97" s="442"/>
      <c r="I97" s="438"/>
      <c r="J97" s="443"/>
      <c r="K97" s="439"/>
      <c r="L97" s="442"/>
      <c r="M97" s="438"/>
      <c r="N97" s="443"/>
      <c r="O97" s="439"/>
      <c r="P97" s="442"/>
      <c r="Q97" s="438"/>
      <c r="R97" s="443"/>
      <c r="S97" s="439"/>
      <c r="T97" s="442"/>
      <c r="U97" s="438"/>
      <c r="V97" s="443"/>
      <c r="W97" s="434"/>
      <c r="X97" s="442"/>
      <c r="Y97" s="438"/>
      <c r="Z97" s="442"/>
      <c r="AA97" s="440"/>
    </row>
    <row r="98" spans="1:27" hidden="1" x14ac:dyDescent="0.25">
      <c r="A98" s="430"/>
      <c r="B98" s="6" t="str">
        <f>IF(A98&lt;&gt;"",INDEX('Base de données'!A$4:L$990,MATCH(' TVA M'!A98,'Base de données'!A$4:A$990,0),2),"")</f>
        <v/>
      </c>
      <c r="C98" s="7" t="str">
        <f>IF(A98&lt;&gt;"",INDEX('Base de données'!A$4:L$990,MATCH(' TVA M'!A98,'Base de données'!A$4:A$990,0),12),"")</f>
        <v/>
      </c>
      <c r="D98" s="442"/>
      <c r="E98" s="438"/>
      <c r="F98" s="443"/>
      <c r="G98" s="439"/>
      <c r="H98" s="442"/>
      <c r="I98" s="438"/>
      <c r="J98" s="443"/>
      <c r="K98" s="439"/>
      <c r="L98" s="442"/>
      <c r="M98" s="438"/>
      <c r="N98" s="443"/>
      <c r="O98" s="439"/>
      <c r="P98" s="442"/>
      <c r="Q98" s="438"/>
      <c r="R98" s="443"/>
      <c r="S98" s="439"/>
      <c r="T98" s="442"/>
      <c r="U98" s="438"/>
      <c r="V98" s="443"/>
      <c r="W98" s="434"/>
      <c r="X98" s="442"/>
      <c r="Y98" s="438"/>
      <c r="Z98" s="442"/>
      <c r="AA98" s="440"/>
    </row>
    <row r="99" spans="1:27" hidden="1" x14ac:dyDescent="0.25">
      <c r="A99" s="430"/>
      <c r="B99" s="6" t="str">
        <f>IF(A99&lt;&gt;"",INDEX('Base de données'!A$4:L$990,MATCH(' TVA M'!A99,'Base de données'!A$4:A$990,0),2),"")</f>
        <v/>
      </c>
      <c r="C99" s="7" t="str">
        <f>IF(A99&lt;&gt;"",INDEX('Base de données'!A$4:L$990,MATCH(' TVA M'!A99,'Base de données'!A$4:A$990,0),12),"")</f>
        <v/>
      </c>
      <c r="D99" s="442"/>
      <c r="E99" s="438"/>
      <c r="F99" s="443"/>
      <c r="G99" s="439"/>
      <c r="H99" s="442"/>
      <c r="I99" s="438"/>
      <c r="J99" s="443"/>
      <c r="K99" s="439"/>
      <c r="L99" s="442"/>
      <c r="M99" s="438"/>
      <c r="N99" s="443"/>
      <c r="O99" s="439"/>
      <c r="P99" s="442"/>
      <c r="Q99" s="438"/>
      <c r="R99" s="443"/>
      <c r="S99" s="439"/>
      <c r="T99" s="442"/>
      <c r="U99" s="438"/>
      <c r="V99" s="443"/>
      <c r="W99" s="434"/>
      <c r="X99" s="442"/>
      <c r="Y99" s="438"/>
      <c r="Z99" s="442"/>
      <c r="AA99" s="440"/>
    </row>
    <row r="100" spans="1:27" hidden="1" x14ac:dyDescent="0.25">
      <c r="A100" s="430"/>
      <c r="B100" s="6" t="str">
        <f>IF(A100&lt;&gt;"",INDEX('Base de données'!A$4:L$990,MATCH(' TVA M'!A100,'Base de données'!A$4:A$990,0),2),"")</f>
        <v/>
      </c>
      <c r="C100" s="7" t="str">
        <f>IF(A100&lt;&gt;"",INDEX('Base de données'!A$4:L$990,MATCH(' TVA M'!A100,'Base de données'!A$4:A$990,0),12),"")</f>
        <v/>
      </c>
      <c r="D100" s="442"/>
      <c r="E100" s="438"/>
      <c r="F100" s="443"/>
      <c r="G100" s="439"/>
      <c r="H100" s="442"/>
      <c r="I100" s="438"/>
      <c r="J100" s="443"/>
      <c r="K100" s="439"/>
      <c r="L100" s="442"/>
      <c r="M100" s="438"/>
      <c r="N100" s="443"/>
      <c r="O100" s="439"/>
      <c r="P100" s="442"/>
      <c r="Q100" s="438"/>
      <c r="R100" s="443"/>
      <c r="S100" s="439"/>
      <c r="T100" s="442"/>
      <c r="U100" s="438"/>
      <c r="V100" s="443"/>
      <c r="W100" s="434"/>
      <c r="X100" s="442"/>
      <c r="Y100" s="438"/>
      <c r="Z100" s="442"/>
      <c r="AA100" s="440"/>
    </row>
    <row r="101" spans="1:27" hidden="1" x14ac:dyDescent="0.25">
      <c r="A101" s="430"/>
      <c r="B101" s="6" t="str">
        <f>IF(A101&lt;&gt;"",INDEX('Base de données'!A$4:L$990,MATCH(' TVA M'!A101,'Base de données'!A$4:A$990,0),2),"")</f>
        <v/>
      </c>
      <c r="C101" s="7" t="str">
        <f>IF(A101&lt;&gt;"",INDEX('Base de données'!A$4:L$990,MATCH(' TVA M'!A101,'Base de données'!A$4:A$990,0),12),"")</f>
        <v/>
      </c>
      <c r="D101" s="442"/>
      <c r="E101" s="438"/>
      <c r="F101" s="443"/>
      <c r="G101" s="439"/>
      <c r="H101" s="442"/>
      <c r="I101" s="438"/>
      <c r="J101" s="443"/>
      <c r="K101" s="439"/>
      <c r="L101" s="442"/>
      <c r="M101" s="438"/>
      <c r="N101" s="443"/>
      <c r="O101" s="439"/>
      <c r="P101" s="442"/>
      <c r="Q101" s="438"/>
      <c r="R101" s="443"/>
      <c r="S101" s="439"/>
      <c r="T101" s="442"/>
      <c r="U101" s="438"/>
      <c r="V101" s="443"/>
      <c r="W101" s="434"/>
      <c r="X101" s="442"/>
      <c r="Y101" s="438"/>
      <c r="Z101" s="442"/>
      <c r="AA101" s="440"/>
    </row>
    <row r="102" spans="1:27" hidden="1" x14ac:dyDescent="0.25">
      <c r="A102" s="430"/>
      <c r="B102" s="6" t="str">
        <f>IF(A102&lt;&gt;"",INDEX('Base de données'!A$4:L$990,MATCH(' TVA M'!A102,'Base de données'!A$4:A$990,0),2),"")</f>
        <v/>
      </c>
      <c r="C102" s="7" t="str">
        <f>IF(A102&lt;&gt;"",INDEX('Base de données'!A$4:L$990,MATCH(' TVA M'!A102,'Base de données'!A$4:A$990,0),12),"")</f>
        <v/>
      </c>
      <c r="D102" s="442"/>
      <c r="E102" s="438"/>
      <c r="F102" s="443"/>
      <c r="G102" s="439"/>
      <c r="H102" s="442"/>
      <c r="I102" s="438"/>
      <c r="J102" s="443"/>
      <c r="K102" s="439"/>
      <c r="L102" s="442"/>
      <c r="M102" s="438"/>
      <c r="N102" s="443"/>
      <c r="O102" s="439"/>
      <c r="P102" s="442"/>
      <c r="Q102" s="438"/>
      <c r="R102" s="443"/>
      <c r="S102" s="439"/>
      <c r="T102" s="442"/>
      <c r="U102" s="438"/>
      <c r="V102" s="443"/>
      <c r="W102" s="434"/>
      <c r="X102" s="442"/>
      <c r="Y102" s="438"/>
      <c r="Z102" s="442"/>
      <c r="AA102" s="440"/>
    </row>
    <row r="103" spans="1:27" hidden="1" x14ac:dyDescent="0.25">
      <c r="A103" s="430"/>
      <c r="B103" s="6" t="str">
        <f>IF(A103&lt;&gt;"",INDEX('Base de données'!A$4:L$990,MATCH(' TVA M'!A103,'Base de données'!A$4:A$990,0),2),"")</f>
        <v/>
      </c>
      <c r="C103" s="7" t="str">
        <f>IF(A103&lt;&gt;"",INDEX('Base de données'!A$4:L$990,MATCH(' TVA M'!A103,'Base de données'!A$4:A$990,0),12),"")</f>
        <v/>
      </c>
      <c r="D103" s="442"/>
      <c r="E103" s="438"/>
      <c r="F103" s="443"/>
      <c r="G103" s="439"/>
      <c r="H103" s="442"/>
      <c r="I103" s="438"/>
      <c r="J103" s="443"/>
      <c r="K103" s="439"/>
      <c r="L103" s="442"/>
      <c r="M103" s="438"/>
      <c r="N103" s="443"/>
      <c r="O103" s="439"/>
      <c r="P103" s="442"/>
      <c r="Q103" s="438"/>
      <c r="R103" s="443"/>
      <c r="S103" s="439"/>
      <c r="T103" s="442"/>
      <c r="U103" s="438"/>
      <c r="V103" s="443"/>
      <c r="W103" s="434"/>
      <c r="X103" s="442"/>
      <c r="Y103" s="438"/>
      <c r="Z103" s="442"/>
      <c r="AA103" s="440"/>
    </row>
    <row r="104" spans="1:27" hidden="1" x14ac:dyDescent="0.25">
      <c r="A104" s="430"/>
      <c r="B104" s="6" t="str">
        <f>IF(A104&lt;&gt;"",INDEX('Base de données'!A$4:L$990,MATCH(' TVA M'!A104,'Base de données'!A$4:A$990,0),2),"")</f>
        <v/>
      </c>
      <c r="C104" s="7" t="str">
        <f>IF(A104&lt;&gt;"",INDEX('Base de données'!A$4:L$990,MATCH(' TVA M'!A104,'Base de données'!A$4:A$990,0),12),"")</f>
        <v/>
      </c>
      <c r="D104" s="442"/>
      <c r="E104" s="438"/>
      <c r="F104" s="443"/>
      <c r="G104" s="439"/>
      <c r="H104" s="442"/>
      <c r="I104" s="438"/>
      <c r="J104" s="443"/>
      <c r="K104" s="439"/>
      <c r="L104" s="442"/>
      <c r="M104" s="438"/>
      <c r="N104" s="443"/>
      <c r="O104" s="439"/>
      <c r="P104" s="442"/>
      <c r="Q104" s="438"/>
      <c r="R104" s="443"/>
      <c r="S104" s="439"/>
      <c r="T104" s="442"/>
      <c r="U104" s="438"/>
      <c r="V104" s="443"/>
      <c r="W104" s="434"/>
      <c r="X104" s="442"/>
      <c r="Y104" s="438"/>
      <c r="Z104" s="442"/>
      <c r="AA104" s="440"/>
    </row>
    <row r="105" spans="1:27" hidden="1" x14ac:dyDescent="0.25">
      <c r="A105" s="430"/>
      <c r="B105" s="6" t="str">
        <f>IF(A105&lt;&gt;"",INDEX('Base de données'!A$4:L$990,MATCH(' TVA M'!A105,'Base de données'!A$4:A$990,0),2),"")</f>
        <v/>
      </c>
      <c r="C105" s="7" t="str">
        <f>IF(A105&lt;&gt;"",INDEX('Base de données'!A$4:L$990,MATCH(' TVA M'!A105,'Base de données'!A$4:A$990,0),12),"")</f>
        <v/>
      </c>
      <c r="D105" s="442"/>
      <c r="E105" s="438"/>
      <c r="F105" s="443"/>
      <c r="G105" s="439"/>
      <c r="H105" s="442"/>
      <c r="I105" s="438"/>
      <c r="J105" s="443"/>
      <c r="K105" s="439"/>
      <c r="L105" s="442"/>
      <c r="M105" s="438"/>
      <c r="N105" s="443"/>
      <c r="O105" s="439"/>
      <c r="P105" s="442"/>
      <c r="Q105" s="438"/>
      <c r="R105" s="443"/>
      <c r="S105" s="439"/>
      <c r="T105" s="442"/>
      <c r="U105" s="438"/>
      <c r="V105" s="443"/>
      <c r="W105" s="434"/>
      <c r="X105" s="442"/>
      <c r="Y105" s="438"/>
      <c r="Z105" s="442"/>
      <c r="AA105" s="440"/>
    </row>
    <row r="106" spans="1:27" hidden="1" x14ac:dyDescent="0.25">
      <c r="A106" s="430"/>
      <c r="B106" s="6" t="str">
        <f>IF(A106&lt;&gt;"",INDEX('Base de données'!A$4:L$990,MATCH(' TVA M'!A106,'Base de données'!A$4:A$990,0),2),"")</f>
        <v/>
      </c>
      <c r="C106" s="7" t="str">
        <f>IF(A106&lt;&gt;"",INDEX('Base de données'!A$4:L$990,MATCH(' TVA M'!A106,'Base de données'!A$4:A$990,0),12),"")</f>
        <v/>
      </c>
      <c r="D106" s="442"/>
      <c r="E106" s="438"/>
      <c r="F106" s="443"/>
      <c r="G106" s="439"/>
      <c r="H106" s="442"/>
      <c r="I106" s="438"/>
      <c r="J106" s="443"/>
      <c r="K106" s="439"/>
      <c r="L106" s="442"/>
      <c r="M106" s="438"/>
      <c r="N106" s="443"/>
      <c r="O106" s="439"/>
      <c r="P106" s="442"/>
      <c r="Q106" s="438"/>
      <c r="R106" s="443"/>
      <c r="S106" s="439"/>
      <c r="T106" s="442"/>
      <c r="U106" s="438"/>
      <c r="V106" s="443"/>
      <c r="W106" s="434"/>
      <c r="X106" s="442"/>
      <c r="Y106" s="438"/>
      <c r="Z106" s="442"/>
      <c r="AA106" s="440"/>
    </row>
    <row r="107" spans="1:27" hidden="1" x14ac:dyDescent="0.25">
      <c r="A107" s="430"/>
      <c r="B107" s="6" t="str">
        <f>IF(A107&lt;&gt;"",INDEX('Base de données'!A$4:L$990,MATCH(' TVA M'!A107,'Base de données'!A$4:A$990,0),2),"")</f>
        <v/>
      </c>
      <c r="C107" s="7" t="str">
        <f>IF(A107&lt;&gt;"",INDEX('Base de données'!A$4:L$990,MATCH(' TVA M'!A107,'Base de données'!A$4:A$990,0),12),"")</f>
        <v/>
      </c>
      <c r="D107" s="442"/>
      <c r="E107" s="438"/>
      <c r="F107" s="443"/>
      <c r="G107" s="439"/>
      <c r="H107" s="442"/>
      <c r="I107" s="438"/>
      <c r="J107" s="443"/>
      <c r="K107" s="439"/>
      <c r="L107" s="442"/>
      <c r="M107" s="438"/>
      <c r="N107" s="443"/>
      <c r="O107" s="439"/>
      <c r="P107" s="442"/>
      <c r="Q107" s="438"/>
      <c r="R107" s="443"/>
      <c r="S107" s="439"/>
      <c r="T107" s="442"/>
      <c r="U107" s="438"/>
      <c r="V107" s="443"/>
      <c r="W107" s="434"/>
      <c r="X107" s="442"/>
      <c r="Y107" s="438"/>
      <c r="Z107" s="442"/>
      <c r="AA107" s="440"/>
    </row>
    <row r="108" spans="1:27" hidden="1" x14ac:dyDescent="0.25">
      <c r="A108" s="430"/>
      <c r="B108" s="6" t="str">
        <f>IF(A108&lt;&gt;"",INDEX('Base de données'!A$4:L$990,MATCH(' TVA M'!A108,'Base de données'!A$4:A$990,0),2),"")</f>
        <v/>
      </c>
      <c r="C108" s="7" t="str">
        <f>IF(A108&lt;&gt;"",INDEX('Base de données'!A$4:L$990,MATCH(' TVA M'!A108,'Base de données'!A$4:A$990,0),12),"")</f>
        <v/>
      </c>
      <c r="D108" s="442"/>
      <c r="E108" s="438"/>
      <c r="F108" s="443"/>
      <c r="G108" s="439"/>
      <c r="H108" s="442"/>
      <c r="I108" s="438"/>
      <c r="J108" s="443"/>
      <c r="K108" s="439"/>
      <c r="L108" s="442"/>
      <c r="M108" s="438"/>
      <c r="N108" s="443"/>
      <c r="O108" s="439"/>
      <c r="P108" s="442"/>
      <c r="Q108" s="438"/>
      <c r="R108" s="443"/>
      <c r="S108" s="439"/>
      <c r="T108" s="442"/>
      <c r="U108" s="438"/>
      <c r="V108" s="443"/>
      <c r="W108" s="434"/>
      <c r="X108" s="442"/>
      <c r="Y108" s="438"/>
      <c r="Z108" s="442"/>
      <c r="AA108" s="440"/>
    </row>
    <row r="109" spans="1:27" hidden="1" x14ac:dyDescent="0.25">
      <c r="A109" s="430"/>
      <c r="B109" s="6" t="str">
        <f>IF(A109&lt;&gt;"",INDEX('Base de données'!A$4:L$990,MATCH(' TVA M'!A109,'Base de données'!A$4:A$990,0),2),"")</f>
        <v/>
      </c>
      <c r="C109" s="7" t="str">
        <f>IF(A109&lt;&gt;"",INDEX('Base de données'!A$4:L$990,MATCH(' TVA M'!A109,'Base de données'!A$4:A$990,0),12),"")</f>
        <v/>
      </c>
      <c r="D109" s="442"/>
      <c r="E109" s="438"/>
      <c r="F109" s="443"/>
      <c r="G109" s="439"/>
      <c r="H109" s="442"/>
      <c r="I109" s="438"/>
      <c r="J109" s="443"/>
      <c r="K109" s="439"/>
      <c r="L109" s="442"/>
      <c r="M109" s="438"/>
      <c r="N109" s="443"/>
      <c r="O109" s="439"/>
      <c r="P109" s="442"/>
      <c r="Q109" s="438"/>
      <c r="R109" s="443"/>
      <c r="S109" s="439"/>
      <c r="T109" s="442"/>
      <c r="U109" s="438"/>
      <c r="V109" s="443"/>
      <c r="W109" s="434"/>
      <c r="X109" s="442"/>
      <c r="Y109" s="438"/>
      <c r="Z109" s="442"/>
      <c r="AA109" s="440"/>
    </row>
    <row r="110" spans="1:27" hidden="1" x14ac:dyDescent="0.25">
      <c r="A110" s="430"/>
      <c r="B110" s="6" t="str">
        <f>IF(A110&lt;&gt;"",INDEX('Base de données'!A$4:L$990,MATCH(' TVA M'!A110,'Base de données'!A$4:A$990,0),2),"")</f>
        <v/>
      </c>
      <c r="C110" s="7" t="str">
        <f>IF(A110&lt;&gt;"",INDEX('Base de données'!A$4:L$990,MATCH(' TVA M'!A110,'Base de données'!A$4:A$990,0),12),"")</f>
        <v/>
      </c>
      <c r="D110" s="442"/>
      <c r="E110" s="438"/>
      <c r="F110" s="443"/>
      <c r="G110" s="439"/>
      <c r="H110" s="442"/>
      <c r="I110" s="438"/>
      <c r="J110" s="443"/>
      <c r="K110" s="439"/>
      <c r="L110" s="442"/>
      <c r="M110" s="438"/>
      <c r="N110" s="443"/>
      <c r="O110" s="439"/>
      <c r="P110" s="442"/>
      <c r="Q110" s="438"/>
      <c r="R110" s="443"/>
      <c r="S110" s="439"/>
      <c r="T110" s="442"/>
      <c r="U110" s="438"/>
      <c r="V110" s="443"/>
      <c r="W110" s="434"/>
      <c r="X110" s="442"/>
      <c r="Y110" s="438"/>
      <c r="Z110" s="442"/>
      <c r="AA110" s="440"/>
    </row>
    <row r="111" spans="1:27" hidden="1" x14ac:dyDescent="0.25">
      <c r="A111" s="430"/>
      <c r="B111" s="6" t="str">
        <f>IF(A111&lt;&gt;"",INDEX('Base de données'!A$4:L$990,MATCH(' TVA M'!A111,'Base de données'!A$4:A$990,0),2),"")</f>
        <v/>
      </c>
      <c r="C111" s="7" t="str">
        <f>IF(A111&lt;&gt;"",INDEX('Base de données'!A$4:L$990,MATCH(' TVA M'!A111,'Base de données'!A$4:A$990,0),12),"")</f>
        <v/>
      </c>
      <c r="D111" s="442"/>
      <c r="E111" s="438"/>
      <c r="F111" s="443"/>
      <c r="G111" s="439"/>
      <c r="H111" s="442"/>
      <c r="I111" s="438"/>
      <c r="J111" s="443"/>
      <c r="K111" s="439"/>
      <c r="L111" s="442"/>
      <c r="M111" s="438"/>
      <c r="N111" s="443"/>
      <c r="O111" s="439"/>
      <c r="P111" s="442"/>
      <c r="Q111" s="438"/>
      <c r="R111" s="443"/>
      <c r="S111" s="439"/>
      <c r="T111" s="442"/>
      <c r="U111" s="438"/>
      <c r="V111" s="443"/>
      <c r="W111" s="434"/>
      <c r="X111" s="442"/>
      <c r="Y111" s="438"/>
      <c r="Z111" s="442"/>
      <c r="AA111" s="440"/>
    </row>
    <row r="112" spans="1:27" hidden="1" x14ac:dyDescent="0.25">
      <c r="A112" s="430"/>
      <c r="B112" s="6" t="str">
        <f>IF(A112&lt;&gt;"",INDEX('Base de données'!A$4:L$990,MATCH(' TVA M'!A112,'Base de données'!A$4:A$990,0),2),"")</f>
        <v/>
      </c>
      <c r="C112" s="7" t="str">
        <f>IF(A112&lt;&gt;"",INDEX('Base de données'!A$4:L$990,MATCH(' TVA M'!A112,'Base de données'!A$4:A$990,0),12),"")</f>
        <v/>
      </c>
      <c r="D112" s="442"/>
      <c r="E112" s="438"/>
      <c r="F112" s="443"/>
      <c r="G112" s="439"/>
      <c r="H112" s="442"/>
      <c r="I112" s="438"/>
      <c r="J112" s="443"/>
      <c r="K112" s="439"/>
      <c r="L112" s="442"/>
      <c r="M112" s="438"/>
      <c r="N112" s="443"/>
      <c r="O112" s="439"/>
      <c r="P112" s="442"/>
      <c r="Q112" s="438"/>
      <c r="R112" s="443"/>
      <c r="S112" s="439"/>
      <c r="T112" s="442"/>
      <c r="U112" s="438"/>
      <c r="V112" s="443"/>
      <c r="W112" s="434"/>
      <c r="X112" s="442"/>
      <c r="Y112" s="438"/>
      <c r="Z112" s="442"/>
      <c r="AA112" s="440"/>
    </row>
    <row r="113" spans="1:27" hidden="1" x14ac:dyDescent="0.25">
      <c r="A113" s="430"/>
      <c r="B113" s="6" t="str">
        <f>IF(A113&lt;&gt;"",INDEX('Base de données'!A$4:L$990,MATCH(' TVA M'!A113,'Base de données'!A$4:A$990,0),2),"")</f>
        <v/>
      </c>
      <c r="C113" s="7" t="str">
        <f>IF(A113&lt;&gt;"",INDEX('Base de données'!A$4:L$990,MATCH(' TVA M'!A113,'Base de données'!A$4:A$990,0),12),"")</f>
        <v/>
      </c>
      <c r="D113" s="442"/>
      <c r="E113" s="438"/>
      <c r="F113" s="443"/>
      <c r="G113" s="439"/>
      <c r="H113" s="442"/>
      <c r="I113" s="438"/>
      <c r="J113" s="443"/>
      <c r="K113" s="439"/>
      <c r="L113" s="442"/>
      <c r="M113" s="438"/>
      <c r="N113" s="443"/>
      <c r="O113" s="439"/>
      <c r="P113" s="442"/>
      <c r="Q113" s="438"/>
      <c r="R113" s="443"/>
      <c r="S113" s="439"/>
      <c r="T113" s="442"/>
      <c r="U113" s="438"/>
      <c r="V113" s="443"/>
      <c r="W113" s="434"/>
      <c r="X113" s="442"/>
      <c r="Y113" s="438"/>
      <c r="Z113" s="442"/>
      <c r="AA113" s="440"/>
    </row>
    <row r="114" spans="1:27" hidden="1" x14ac:dyDescent="0.25">
      <c r="A114" s="430"/>
      <c r="B114" s="6" t="str">
        <f>IF(A114&lt;&gt;"",INDEX('Base de données'!A$4:L$990,MATCH(' TVA M'!A114,'Base de données'!A$4:A$990,0),2),"")</f>
        <v/>
      </c>
      <c r="C114" s="7" t="str">
        <f>IF(A114&lt;&gt;"",INDEX('Base de données'!A$4:L$990,MATCH(' TVA M'!A114,'Base de données'!A$4:A$990,0),12),"")</f>
        <v/>
      </c>
      <c r="D114" s="442"/>
      <c r="E114" s="438"/>
      <c r="F114" s="443"/>
      <c r="G114" s="439"/>
      <c r="H114" s="442"/>
      <c r="I114" s="438"/>
      <c r="J114" s="443"/>
      <c r="K114" s="439"/>
      <c r="L114" s="442"/>
      <c r="M114" s="438"/>
      <c r="N114" s="443"/>
      <c r="O114" s="439"/>
      <c r="P114" s="442"/>
      <c r="Q114" s="438"/>
      <c r="R114" s="443"/>
      <c r="S114" s="439"/>
      <c r="T114" s="442"/>
      <c r="U114" s="438"/>
      <c r="V114" s="443"/>
      <c r="W114" s="434"/>
      <c r="X114" s="442"/>
      <c r="Y114" s="438"/>
      <c r="Z114" s="442"/>
      <c r="AA114" s="440"/>
    </row>
    <row r="115" spans="1:27" hidden="1" x14ac:dyDescent="0.25">
      <c r="A115" s="430"/>
      <c r="B115" s="6" t="str">
        <f>IF(A115&lt;&gt;"",INDEX('Base de données'!A$4:L$990,MATCH(' TVA M'!A115,'Base de données'!A$4:A$990,0),2),"")</f>
        <v/>
      </c>
      <c r="C115" s="7" t="str">
        <f>IF(A115&lt;&gt;"",INDEX('Base de données'!A$4:L$990,MATCH(' TVA M'!A115,'Base de données'!A$4:A$990,0),12),"")</f>
        <v/>
      </c>
      <c r="D115" s="442"/>
      <c r="E115" s="438"/>
      <c r="F115" s="443"/>
      <c r="G115" s="439"/>
      <c r="H115" s="442"/>
      <c r="I115" s="438"/>
      <c r="J115" s="443"/>
      <c r="K115" s="439"/>
      <c r="L115" s="442"/>
      <c r="M115" s="438"/>
      <c r="N115" s="443"/>
      <c r="O115" s="439"/>
      <c r="P115" s="442"/>
      <c r="Q115" s="438"/>
      <c r="R115" s="443"/>
      <c r="S115" s="439"/>
      <c r="T115" s="442"/>
      <c r="U115" s="438"/>
      <c r="V115" s="443"/>
      <c r="W115" s="434"/>
      <c r="X115" s="442"/>
      <c r="Y115" s="438"/>
      <c r="Z115" s="442"/>
      <c r="AA115" s="440"/>
    </row>
    <row r="116" spans="1:27" hidden="1" x14ac:dyDescent="0.25">
      <c r="A116" s="430"/>
      <c r="B116" s="6" t="str">
        <f>IF(A116&lt;&gt;"",INDEX('Base de données'!A$4:L$990,MATCH(' TVA M'!A116,'Base de données'!A$4:A$990,0),2),"")</f>
        <v/>
      </c>
      <c r="C116" s="7" t="str">
        <f>IF(A116&lt;&gt;"",INDEX('Base de données'!A$4:L$990,MATCH(' TVA M'!A116,'Base de données'!A$4:A$990,0),12),"")</f>
        <v/>
      </c>
      <c r="D116" s="442"/>
      <c r="E116" s="438"/>
      <c r="F116" s="443"/>
      <c r="G116" s="439"/>
      <c r="H116" s="442"/>
      <c r="I116" s="438"/>
      <c r="J116" s="443"/>
      <c r="K116" s="439"/>
      <c r="L116" s="442"/>
      <c r="M116" s="438"/>
      <c r="N116" s="443"/>
      <c r="O116" s="439"/>
      <c r="P116" s="442"/>
      <c r="Q116" s="438"/>
      <c r="R116" s="443"/>
      <c r="S116" s="439"/>
      <c r="T116" s="442"/>
      <c r="U116" s="438"/>
      <c r="V116" s="443"/>
      <c r="W116" s="434"/>
      <c r="X116" s="442"/>
      <c r="Y116" s="438"/>
      <c r="Z116" s="442"/>
      <c r="AA116" s="440"/>
    </row>
    <row r="117" spans="1:27" hidden="1" x14ac:dyDescent="0.25">
      <c r="A117" s="430"/>
      <c r="B117" s="6" t="str">
        <f>IF(A117&lt;&gt;"",INDEX('Base de données'!A$4:L$990,MATCH(' TVA M'!A117,'Base de données'!A$4:A$990,0),2),"")</f>
        <v/>
      </c>
      <c r="C117" s="7" t="str">
        <f>IF(A117&lt;&gt;"",INDEX('Base de données'!A$4:L$990,MATCH(' TVA M'!A117,'Base de données'!A$4:A$990,0),12),"")</f>
        <v/>
      </c>
      <c r="D117" s="442"/>
      <c r="E117" s="438"/>
      <c r="F117" s="443"/>
      <c r="G117" s="439"/>
      <c r="H117" s="442"/>
      <c r="I117" s="438"/>
      <c r="J117" s="443"/>
      <c r="K117" s="439"/>
      <c r="L117" s="442"/>
      <c r="M117" s="438"/>
      <c r="N117" s="443"/>
      <c r="O117" s="439"/>
      <c r="P117" s="442"/>
      <c r="Q117" s="438"/>
      <c r="R117" s="443"/>
      <c r="S117" s="439"/>
      <c r="T117" s="442"/>
      <c r="U117" s="438"/>
      <c r="V117" s="443"/>
      <c r="W117" s="434"/>
      <c r="X117" s="442"/>
      <c r="Y117" s="438"/>
      <c r="Z117" s="442"/>
      <c r="AA117" s="440"/>
    </row>
    <row r="118" spans="1:27" hidden="1" x14ac:dyDescent="0.25">
      <c r="A118" s="430"/>
      <c r="B118" s="6" t="str">
        <f>IF(A118&lt;&gt;"",INDEX('Base de données'!A$4:L$990,MATCH(' TVA M'!A118,'Base de données'!A$4:A$990,0),2),"")</f>
        <v/>
      </c>
      <c r="C118" s="7" t="str">
        <f>IF(A118&lt;&gt;"",INDEX('Base de données'!A$4:L$990,MATCH(' TVA M'!A118,'Base de données'!A$4:A$990,0),12),"")</f>
        <v/>
      </c>
      <c r="D118" s="442"/>
      <c r="E118" s="438"/>
      <c r="F118" s="443"/>
      <c r="G118" s="439"/>
      <c r="H118" s="442"/>
      <c r="I118" s="438"/>
      <c r="J118" s="443"/>
      <c r="K118" s="439"/>
      <c r="L118" s="442"/>
      <c r="M118" s="438"/>
      <c r="N118" s="443"/>
      <c r="O118" s="439"/>
      <c r="P118" s="442"/>
      <c r="Q118" s="438"/>
      <c r="R118" s="443"/>
      <c r="S118" s="439"/>
      <c r="T118" s="442"/>
      <c r="U118" s="438"/>
      <c r="V118" s="443"/>
      <c r="W118" s="434"/>
      <c r="X118" s="442"/>
      <c r="Y118" s="438"/>
      <c r="Z118" s="442"/>
      <c r="AA118" s="440"/>
    </row>
    <row r="119" spans="1:27" hidden="1" x14ac:dyDescent="0.25">
      <c r="A119" s="430"/>
      <c r="B119" s="6" t="str">
        <f>IF(A119&lt;&gt;"",INDEX('Base de données'!A$4:L$990,MATCH(' TVA M'!A119,'Base de données'!A$4:A$990,0),2),"")</f>
        <v/>
      </c>
      <c r="C119" s="7" t="str">
        <f>IF(A119&lt;&gt;"",INDEX('Base de données'!A$4:L$990,MATCH(' TVA M'!A119,'Base de données'!A$4:A$990,0),12),"")</f>
        <v/>
      </c>
      <c r="D119" s="442"/>
      <c r="E119" s="438"/>
      <c r="F119" s="443"/>
      <c r="G119" s="439"/>
      <c r="H119" s="442"/>
      <c r="I119" s="438"/>
      <c r="J119" s="443"/>
      <c r="K119" s="439"/>
      <c r="L119" s="442"/>
      <c r="M119" s="438"/>
      <c r="N119" s="443"/>
      <c r="O119" s="439"/>
      <c r="P119" s="442"/>
      <c r="Q119" s="438"/>
      <c r="R119" s="443"/>
      <c r="S119" s="439"/>
      <c r="T119" s="442"/>
      <c r="U119" s="438"/>
      <c r="V119" s="443"/>
      <c r="W119" s="434"/>
      <c r="X119" s="442"/>
      <c r="Y119" s="438"/>
      <c r="Z119" s="442"/>
      <c r="AA119" s="440"/>
    </row>
    <row r="120" spans="1:27" hidden="1" x14ac:dyDescent="0.25">
      <c r="A120" s="430"/>
      <c r="B120" s="6" t="str">
        <f>IF(A120&lt;&gt;"",INDEX('Base de données'!A$4:L$990,MATCH(' TVA M'!A120,'Base de données'!A$4:A$990,0),2),"")</f>
        <v/>
      </c>
      <c r="C120" s="7" t="str">
        <f>IF(A120&lt;&gt;"",INDEX('Base de données'!A$4:L$990,MATCH(' TVA M'!A120,'Base de données'!A$4:A$990,0),12),"")</f>
        <v/>
      </c>
      <c r="D120" s="442"/>
      <c r="E120" s="438"/>
      <c r="F120" s="443"/>
      <c r="G120" s="439"/>
      <c r="H120" s="442"/>
      <c r="I120" s="438"/>
      <c r="J120" s="443"/>
      <c r="K120" s="439"/>
      <c r="L120" s="442"/>
      <c r="M120" s="438"/>
      <c r="N120" s="443"/>
      <c r="O120" s="439"/>
      <c r="P120" s="442"/>
      <c r="Q120" s="438"/>
      <c r="R120" s="443"/>
      <c r="S120" s="439"/>
      <c r="T120" s="442"/>
      <c r="U120" s="438"/>
      <c r="V120" s="443"/>
      <c r="W120" s="434"/>
      <c r="X120" s="442"/>
      <c r="Y120" s="438"/>
      <c r="Z120" s="442"/>
      <c r="AA120" s="440"/>
    </row>
    <row r="121" spans="1:27" hidden="1" x14ac:dyDescent="0.25">
      <c r="A121" s="430"/>
      <c r="B121" s="6" t="str">
        <f>IF(A121&lt;&gt;"",INDEX('Base de données'!A$4:L$990,MATCH(' TVA M'!A121,'Base de données'!A$4:A$990,0),2),"")</f>
        <v/>
      </c>
      <c r="C121" s="7" t="str">
        <f>IF(A121&lt;&gt;"",INDEX('Base de données'!A$4:L$990,MATCH(' TVA M'!A121,'Base de données'!A$4:A$990,0),12),"")</f>
        <v/>
      </c>
      <c r="D121" s="442"/>
      <c r="E121" s="438"/>
      <c r="F121" s="443"/>
      <c r="G121" s="439"/>
      <c r="H121" s="442"/>
      <c r="I121" s="438"/>
      <c r="J121" s="443"/>
      <c r="K121" s="439"/>
      <c r="L121" s="442"/>
      <c r="M121" s="438"/>
      <c r="N121" s="443"/>
      <c r="O121" s="439"/>
      <c r="P121" s="442"/>
      <c r="Q121" s="438"/>
      <c r="R121" s="443"/>
      <c r="S121" s="439"/>
      <c r="T121" s="442"/>
      <c r="U121" s="438"/>
      <c r="V121" s="443"/>
      <c r="W121" s="434"/>
      <c r="X121" s="442"/>
      <c r="Y121" s="438"/>
      <c r="Z121" s="442"/>
      <c r="AA121" s="440"/>
    </row>
    <row r="122" spans="1:27" hidden="1" x14ac:dyDescent="0.25">
      <c r="A122" s="430"/>
      <c r="B122" s="6" t="str">
        <f>IF(A122&lt;&gt;"",INDEX('Base de données'!A$4:L$990,MATCH(' TVA M'!A122,'Base de données'!A$4:A$990,0),2),"")</f>
        <v/>
      </c>
      <c r="C122" s="7" t="str">
        <f>IF(A122&lt;&gt;"",INDEX('Base de données'!A$4:L$990,MATCH(' TVA M'!A122,'Base de données'!A$4:A$990,0),12),"")</f>
        <v/>
      </c>
      <c r="D122" s="442"/>
      <c r="E122" s="438"/>
      <c r="F122" s="443"/>
      <c r="G122" s="439"/>
      <c r="H122" s="442"/>
      <c r="I122" s="438"/>
      <c r="J122" s="443"/>
      <c r="K122" s="439"/>
      <c r="L122" s="442"/>
      <c r="M122" s="438"/>
      <c r="N122" s="443"/>
      <c r="O122" s="439"/>
      <c r="P122" s="442"/>
      <c r="Q122" s="438"/>
      <c r="R122" s="443"/>
      <c r="S122" s="439"/>
      <c r="T122" s="442"/>
      <c r="U122" s="438"/>
      <c r="V122" s="443"/>
      <c r="W122" s="434"/>
      <c r="X122" s="442"/>
      <c r="Y122" s="438"/>
      <c r="Z122" s="442"/>
      <c r="AA122" s="440"/>
    </row>
    <row r="123" spans="1:27" hidden="1" x14ac:dyDescent="0.25">
      <c r="A123" s="430"/>
      <c r="B123" s="6" t="str">
        <f>IF(A123&lt;&gt;"",INDEX('Base de données'!A$4:L$990,MATCH(' TVA M'!A123,'Base de données'!A$4:A$990,0),2),"")</f>
        <v/>
      </c>
      <c r="C123" s="7" t="str">
        <f>IF(A123&lt;&gt;"",INDEX('Base de données'!A$4:L$990,MATCH(' TVA M'!A123,'Base de données'!A$4:A$990,0),12),"")</f>
        <v/>
      </c>
      <c r="D123" s="442"/>
      <c r="E123" s="438"/>
      <c r="F123" s="443"/>
      <c r="G123" s="439"/>
      <c r="H123" s="442"/>
      <c r="I123" s="438"/>
      <c r="J123" s="443"/>
      <c r="K123" s="439"/>
      <c r="L123" s="442"/>
      <c r="M123" s="438"/>
      <c r="N123" s="443"/>
      <c r="O123" s="439"/>
      <c r="P123" s="442"/>
      <c r="Q123" s="438"/>
      <c r="R123" s="443"/>
      <c r="S123" s="439"/>
      <c r="T123" s="442"/>
      <c r="U123" s="438"/>
      <c r="V123" s="443"/>
      <c r="W123" s="434"/>
      <c r="X123" s="442"/>
      <c r="Y123" s="438"/>
      <c r="Z123" s="442"/>
      <c r="AA123" s="440"/>
    </row>
    <row r="124" spans="1:27" hidden="1" x14ac:dyDescent="0.25">
      <c r="A124" s="430"/>
      <c r="B124" s="6" t="str">
        <f>IF(A124&lt;&gt;"",INDEX('Base de données'!A$4:L$990,MATCH(' TVA M'!A124,'Base de données'!A$4:A$990,0),2),"")</f>
        <v/>
      </c>
      <c r="C124" s="7" t="str">
        <f>IF(A124&lt;&gt;"",INDEX('Base de données'!A$4:L$990,MATCH(' TVA M'!A124,'Base de données'!A$4:A$990,0),12),"")</f>
        <v/>
      </c>
      <c r="D124" s="442"/>
      <c r="E124" s="438"/>
      <c r="F124" s="443"/>
      <c r="G124" s="439"/>
      <c r="H124" s="442"/>
      <c r="I124" s="438"/>
      <c r="J124" s="443"/>
      <c r="K124" s="439"/>
      <c r="L124" s="442"/>
      <c r="M124" s="438"/>
      <c r="N124" s="443"/>
      <c r="O124" s="439"/>
      <c r="P124" s="442"/>
      <c r="Q124" s="438"/>
      <c r="R124" s="443"/>
      <c r="S124" s="439"/>
      <c r="T124" s="442"/>
      <c r="U124" s="438"/>
      <c r="V124" s="443"/>
      <c r="W124" s="434"/>
      <c r="X124" s="442"/>
      <c r="Y124" s="438"/>
      <c r="Z124" s="442"/>
      <c r="AA124" s="440"/>
    </row>
    <row r="125" spans="1:27" hidden="1" x14ac:dyDescent="0.25">
      <c r="A125" s="430"/>
      <c r="B125" s="6" t="str">
        <f>IF(A125&lt;&gt;"",INDEX('Base de données'!A$4:L$990,MATCH(' TVA M'!A125,'Base de données'!A$4:A$990,0),2),"")</f>
        <v/>
      </c>
      <c r="C125" s="7" t="str">
        <f>IF(A125&lt;&gt;"",INDEX('Base de données'!A$4:L$990,MATCH(' TVA M'!A125,'Base de données'!A$4:A$990,0),12),"")</f>
        <v/>
      </c>
      <c r="D125" s="442"/>
      <c r="E125" s="438"/>
      <c r="F125" s="443"/>
      <c r="G125" s="439"/>
      <c r="H125" s="442"/>
      <c r="I125" s="438"/>
      <c r="J125" s="443"/>
      <c r="K125" s="439"/>
      <c r="L125" s="442"/>
      <c r="M125" s="438"/>
      <c r="N125" s="443"/>
      <c r="O125" s="439"/>
      <c r="P125" s="442"/>
      <c r="Q125" s="438"/>
      <c r="R125" s="443"/>
      <c r="S125" s="439"/>
      <c r="T125" s="442"/>
      <c r="U125" s="438"/>
      <c r="V125" s="443"/>
      <c r="W125" s="434"/>
      <c r="X125" s="442"/>
      <c r="Y125" s="438"/>
      <c r="Z125" s="442"/>
      <c r="AA125" s="440"/>
    </row>
    <row r="126" spans="1:27" hidden="1" x14ac:dyDescent="0.25">
      <c r="A126" s="430"/>
      <c r="B126" s="6" t="str">
        <f>IF(A126&lt;&gt;"",INDEX('Base de données'!A$4:L$990,MATCH(' TVA M'!A126,'Base de données'!A$4:A$990,0),2),"")</f>
        <v/>
      </c>
      <c r="C126" s="7" t="str">
        <f>IF(A126&lt;&gt;"",INDEX('Base de données'!A$4:L$990,MATCH(' TVA M'!A126,'Base de données'!A$4:A$990,0),12),"")</f>
        <v/>
      </c>
      <c r="D126" s="442"/>
      <c r="E126" s="438"/>
      <c r="F126" s="443"/>
      <c r="G126" s="439"/>
      <c r="H126" s="442"/>
      <c r="I126" s="438"/>
      <c r="J126" s="443"/>
      <c r="K126" s="439"/>
      <c r="L126" s="442"/>
      <c r="M126" s="438"/>
      <c r="N126" s="443"/>
      <c r="O126" s="439"/>
      <c r="P126" s="442"/>
      <c r="Q126" s="438"/>
      <c r="R126" s="443"/>
      <c r="S126" s="439"/>
      <c r="T126" s="442"/>
      <c r="U126" s="438"/>
      <c r="V126" s="443"/>
      <c r="W126" s="434"/>
      <c r="X126" s="442"/>
      <c r="Y126" s="438"/>
      <c r="Z126" s="442"/>
      <c r="AA126" s="440"/>
    </row>
    <row r="127" spans="1:27" hidden="1" x14ac:dyDescent="0.25">
      <c r="A127" s="430"/>
      <c r="B127" s="6" t="str">
        <f>IF(A127&lt;&gt;"",INDEX('Base de données'!A$4:L$990,MATCH(' TVA M'!A127,'Base de données'!A$4:A$990,0),2),"")</f>
        <v/>
      </c>
      <c r="C127" s="7" t="str">
        <f>IF(A127&lt;&gt;"",INDEX('Base de données'!A$4:L$990,MATCH(' TVA M'!A127,'Base de données'!A$4:A$990,0),12),"")</f>
        <v/>
      </c>
      <c r="D127" s="442"/>
      <c r="E127" s="438"/>
      <c r="F127" s="443"/>
      <c r="G127" s="439"/>
      <c r="H127" s="442"/>
      <c r="I127" s="438"/>
      <c r="J127" s="443"/>
      <c r="K127" s="439"/>
      <c r="L127" s="442"/>
      <c r="M127" s="438"/>
      <c r="N127" s="443"/>
      <c r="O127" s="439"/>
      <c r="P127" s="442"/>
      <c r="Q127" s="438"/>
      <c r="R127" s="443"/>
      <c r="S127" s="439"/>
      <c r="T127" s="442"/>
      <c r="U127" s="438"/>
      <c r="V127" s="443"/>
      <c r="W127" s="434"/>
      <c r="X127" s="442"/>
      <c r="Y127" s="438"/>
      <c r="Z127" s="442"/>
      <c r="AA127" s="440"/>
    </row>
    <row r="128" spans="1:27" hidden="1" x14ac:dyDescent="0.25">
      <c r="A128" s="430"/>
      <c r="B128" s="6" t="str">
        <f>IF(A128&lt;&gt;"",INDEX('Base de données'!A$4:L$990,MATCH(' TVA M'!A128,'Base de données'!A$4:A$990,0),2),"")</f>
        <v/>
      </c>
      <c r="C128" s="7" t="str">
        <f>IF(A128&lt;&gt;"",INDEX('Base de données'!A$4:L$990,MATCH(' TVA M'!A128,'Base de données'!A$4:A$990,0),12),"")</f>
        <v/>
      </c>
      <c r="D128" s="442"/>
      <c r="E128" s="438"/>
      <c r="F128" s="443"/>
      <c r="G128" s="439"/>
      <c r="H128" s="442"/>
      <c r="I128" s="438"/>
      <c r="J128" s="443"/>
      <c r="K128" s="439"/>
      <c r="L128" s="442"/>
      <c r="M128" s="438"/>
      <c r="N128" s="443"/>
      <c r="O128" s="439"/>
      <c r="P128" s="442"/>
      <c r="Q128" s="438"/>
      <c r="R128" s="443"/>
      <c r="S128" s="439"/>
      <c r="T128" s="442"/>
      <c r="U128" s="438"/>
      <c r="V128" s="443"/>
      <c r="W128" s="434"/>
      <c r="X128" s="442"/>
      <c r="Y128" s="438"/>
      <c r="Z128" s="442"/>
      <c r="AA128" s="440"/>
    </row>
    <row r="129" spans="1:27" hidden="1" x14ac:dyDescent="0.25">
      <c r="A129" s="430"/>
      <c r="B129" s="6" t="str">
        <f>IF(A129&lt;&gt;"",INDEX('Base de données'!A$4:L$990,MATCH(' TVA M'!A129,'Base de données'!A$4:A$990,0),2),"")</f>
        <v/>
      </c>
      <c r="C129" s="7" t="str">
        <f>IF(A129&lt;&gt;"",INDEX('Base de données'!A$4:L$990,MATCH(' TVA M'!A129,'Base de données'!A$4:A$990,0),12),"")</f>
        <v/>
      </c>
      <c r="D129" s="442"/>
      <c r="E129" s="438"/>
      <c r="F129" s="443"/>
      <c r="G129" s="439"/>
      <c r="H129" s="442"/>
      <c r="I129" s="438"/>
      <c r="J129" s="443"/>
      <c r="K129" s="439"/>
      <c r="L129" s="442"/>
      <c r="M129" s="438"/>
      <c r="N129" s="443"/>
      <c r="O129" s="439"/>
      <c r="P129" s="442"/>
      <c r="Q129" s="438"/>
      <c r="R129" s="443"/>
      <c r="S129" s="439"/>
      <c r="T129" s="442"/>
      <c r="U129" s="438"/>
      <c r="V129" s="443"/>
      <c r="W129" s="434"/>
      <c r="X129" s="442"/>
      <c r="Y129" s="438"/>
      <c r="Z129" s="442"/>
      <c r="AA129" s="440"/>
    </row>
    <row r="130" spans="1:27" hidden="1" x14ac:dyDescent="0.25">
      <c r="A130" s="430"/>
      <c r="B130" s="6" t="str">
        <f>IF(A130&lt;&gt;"",INDEX('Base de données'!A$4:L$990,MATCH(' TVA M'!A130,'Base de données'!A$4:A$990,0),2),"")</f>
        <v/>
      </c>
      <c r="C130" s="7" t="str">
        <f>IF(A130&lt;&gt;"",INDEX('Base de données'!A$4:L$990,MATCH(' TVA M'!A130,'Base de données'!A$4:A$990,0),12),"")</f>
        <v/>
      </c>
      <c r="D130" s="442"/>
      <c r="E130" s="438"/>
      <c r="F130" s="443"/>
      <c r="G130" s="439"/>
      <c r="H130" s="442"/>
      <c r="I130" s="438"/>
      <c r="J130" s="443"/>
      <c r="K130" s="439"/>
      <c r="L130" s="442"/>
      <c r="M130" s="438"/>
      <c r="N130" s="443"/>
      <c r="O130" s="439"/>
      <c r="P130" s="442"/>
      <c r="Q130" s="438"/>
      <c r="R130" s="443"/>
      <c r="S130" s="439"/>
      <c r="T130" s="442"/>
      <c r="U130" s="438"/>
      <c r="V130" s="443"/>
      <c r="W130" s="434"/>
      <c r="X130" s="442"/>
      <c r="Y130" s="438"/>
      <c r="Z130" s="442"/>
      <c r="AA130" s="440"/>
    </row>
    <row r="131" spans="1:27" hidden="1" x14ac:dyDescent="0.25">
      <c r="A131" s="430"/>
      <c r="B131" s="6" t="str">
        <f>IF(A131&lt;&gt;"",INDEX('Base de données'!A$4:L$990,MATCH(' TVA M'!A131,'Base de données'!A$4:A$990,0),2),"")</f>
        <v/>
      </c>
      <c r="C131" s="7" t="str">
        <f>IF(A131&lt;&gt;"",INDEX('Base de données'!A$4:L$990,MATCH(' TVA M'!A131,'Base de données'!A$4:A$990,0),12),"")</f>
        <v/>
      </c>
      <c r="D131" s="442"/>
      <c r="E131" s="438"/>
      <c r="F131" s="443"/>
      <c r="G131" s="439"/>
      <c r="H131" s="442"/>
      <c r="I131" s="438"/>
      <c r="J131" s="443"/>
      <c r="K131" s="439"/>
      <c r="L131" s="442"/>
      <c r="M131" s="438"/>
      <c r="N131" s="443"/>
      <c r="O131" s="439"/>
      <c r="P131" s="442"/>
      <c r="Q131" s="438"/>
      <c r="R131" s="443"/>
      <c r="S131" s="439"/>
      <c r="T131" s="442"/>
      <c r="U131" s="438"/>
      <c r="V131" s="443"/>
      <c r="W131" s="434"/>
      <c r="X131" s="442"/>
      <c r="Y131" s="438"/>
      <c r="Z131" s="442"/>
      <c r="AA131" s="440"/>
    </row>
    <row r="132" spans="1:27" hidden="1" x14ac:dyDescent="0.25">
      <c r="A132" s="430"/>
      <c r="B132" s="6" t="str">
        <f>IF(A132&lt;&gt;"",INDEX('Base de données'!A$4:L$990,MATCH(' TVA M'!A132,'Base de données'!A$4:A$990,0),2),"")</f>
        <v/>
      </c>
      <c r="C132" s="7" t="str">
        <f>IF(A132&lt;&gt;"",INDEX('Base de données'!A$4:L$990,MATCH(' TVA M'!A132,'Base de données'!A$4:A$990,0),12),"")</f>
        <v/>
      </c>
      <c r="D132" s="442"/>
      <c r="E132" s="438"/>
      <c r="F132" s="443"/>
      <c r="G132" s="439"/>
      <c r="H132" s="442"/>
      <c r="I132" s="438"/>
      <c r="J132" s="443"/>
      <c r="K132" s="439"/>
      <c r="L132" s="442"/>
      <c r="M132" s="438"/>
      <c r="N132" s="443"/>
      <c r="O132" s="439"/>
      <c r="P132" s="442"/>
      <c r="Q132" s="438"/>
      <c r="R132" s="443"/>
      <c r="S132" s="439"/>
      <c r="T132" s="442"/>
      <c r="U132" s="438"/>
      <c r="V132" s="443"/>
      <c r="W132" s="434"/>
      <c r="X132" s="442"/>
      <c r="Y132" s="438"/>
      <c r="Z132" s="442"/>
      <c r="AA132" s="440"/>
    </row>
    <row r="133" spans="1:27" hidden="1" x14ac:dyDescent="0.25">
      <c r="A133" s="430"/>
      <c r="B133" s="6" t="str">
        <f>IF(A133&lt;&gt;"",INDEX('Base de données'!A$4:L$990,MATCH(' TVA M'!A133,'Base de données'!A$4:A$990,0),2),"")</f>
        <v/>
      </c>
      <c r="C133" s="7" t="str">
        <f>IF(A133&lt;&gt;"",INDEX('Base de données'!A$4:L$990,MATCH(' TVA M'!A133,'Base de données'!A$4:A$990,0),12),"")</f>
        <v/>
      </c>
      <c r="D133" s="442"/>
      <c r="E133" s="438"/>
      <c r="F133" s="443"/>
      <c r="G133" s="439"/>
      <c r="H133" s="442"/>
      <c r="I133" s="438"/>
      <c r="J133" s="443"/>
      <c r="K133" s="439"/>
      <c r="L133" s="442"/>
      <c r="M133" s="438"/>
      <c r="N133" s="443"/>
      <c r="O133" s="439"/>
      <c r="P133" s="442"/>
      <c r="Q133" s="438"/>
      <c r="R133" s="443"/>
      <c r="S133" s="439"/>
      <c r="T133" s="442"/>
      <c r="U133" s="438"/>
      <c r="V133" s="443"/>
      <c r="W133" s="434"/>
      <c r="X133" s="442"/>
      <c r="Y133" s="438"/>
      <c r="Z133" s="442"/>
      <c r="AA133" s="440"/>
    </row>
    <row r="134" spans="1:27" hidden="1" x14ac:dyDescent="0.25">
      <c r="A134" s="430"/>
      <c r="B134" s="6" t="str">
        <f>IF(A134&lt;&gt;"",INDEX('Base de données'!A$4:L$990,MATCH(' TVA M'!A134,'Base de données'!A$4:A$990,0),2),"")</f>
        <v/>
      </c>
      <c r="C134" s="7" t="str">
        <f>IF(A134&lt;&gt;"",INDEX('Base de données'!A$4:L$990,MATCH(' TVA M'!A134,'Base de données'!A$4:A$990,0),12),"")</f>
        <v/>
      </c>
      <c r="D134" s="442"/>
      <c r="E134" s="438"/>
      <c r="F134" s="443"/>
      <c r="G134" s="439"/>
      <c r="H134" s="442"/>
      <c r="I134" s="438"/>
      <c r="J134" s="443"/>
      <c r="K134" s="439"/>
      <c r="L134" s="442"/>
      <c r="M134" s="438"/>
      <c r="N134" s="443"/>
      <c r="O134" s="439"/>
      <c r="P134" s="442"/>
      <c r="Q134" s="438"/>
      <c r="R134" s="443"/>
      <c r="S134" s="439"/>
      <c r="T134" s="442"/>
      <c r="U134" s="438"/>
      <c r="V134" s="443"/>
      <c r="W134" s="434"/>
      <c r="X134" s="442"/>
      <c r="Y134" s="438"/>
      <c r="Z134" s="442"/>
      <c r="AA134" s="440"/>
    </row>
    <row r="135" spans="1:27" hidden="1" x14ac:dyDescent="0.25">
      <c r="A135" s="430"/>
      <c r="B135" s="6" t="str">
        <f>IF(A135&lt;&gt;"",INDEX('Base de données'!A$4:L$990,MATCH(' TVA M'!A135,'Base de données'!A$4:A$990,0),2),"")</f>
        <v/>
      </c>
      <c r="C135" s="7" t="str">
        <f>IF(A135&lt;&gt;"",INDEX('Base de données'!A$4:L$990,MATCH(' TVA M'!A135,'Base de données'!A$4:A$990,0),12),"")</f>
        <v/>
      </c>
      <c r="D135" s="442"/>
      <c r="E135" s="438"/>
      <c r="F135" s="443"/>
      <c r="G135" s="439"/>
      <c r="H135" s="442"/>
      <c r="I135" s="438"/>
      <c r="J135" s="443"/>
      <c r="K135" s="439"/>
      <c r="L135" s="442"/>
      <c r="M135" s="438"/>
      <c r="N135" s="443"/>
      <c r="O135" s="439"/>
      <c r="P135" s="442"/>
      <c r="Q135" s="438"/>
      <c r="R135" s="443"/>
      <c r="S135" s="439"/>
      <c r="T135" s="442"/>
      <c r="U135" s="438"/>
      <c r="V135" s="443"/>
      <c r="W135" s="434"/>
      <c r="X135" s="442"/>
      <c r="Y135" s="438"/>
      <c r="Z135" s="442"/>
      <c r="AA135" s="440"/>
    </row>
    <row r="136" spans="1:27" hidden="1" x14ac:dyDescent="0.25">
      <c r="A136" s="430"/>
      <c r="B136" s="6" t="str">
        <f>IF(A136&lt;&gt;"",INDEX('Base de données'!A$4:L$990,MATCH(' TVA M'!A136,'Base de données'!A$4:A$990,0),2),"")</f>
        <v/>
      </c>
      <c r="C136" s="7" t="str">
        <f>IF(A136&lt;&gt;"",INDEX('Base de données'!A$4:L$990,MATCH(' TVA M'!A136,'Base de données'!A$4:A$990,0),12),"")</f>
        <v/>
      </c>
      <c r="D136" s="442"/>
      <c r="E136" s="438"/>
      <c r="F136" s="443"/>
      <c r="G136" s="439"/>
      <c r="H136" s="442"/>
      <c r="I136" s="438"/>
      <c r="J136" s="443"/>
      <c r="K136" s="439"/>
      <c r="L136" s="442"/>
      <c r="M136" s="438"/>
      <c r="N136" s="443"/>
      <c r="O136" s="439"/>
      <c r="P136" s="442"/>
      <c r="Q136" s="438"/>
      <c r="R136" s="443"/>
      <c r="S136" s="439"/>
      <c r="T136" s="442"/>
      <c r="U136" s="438"/>
      <c r="V136" s="443"/>
      <c r="W136" s="434"/>
      <c r="X136" s="442"/>
      <c r="Y136" s="438"/>
      <c r="Z136" s="442"/>
      <c r="AA136" s="440"/>
    </row>
    <row r="137" spans="1:27" hidden="1" x14ac:dyDescent="0.25">
      <c r="A137" s="430"/>
      <c r="B137" s="6" t="str">
        <f>IF(A137&lt;&gt;"",INDEX('Base de données'!A$4:L$990,MATCH(' TVA M'!A137,'Base de données'!A$4:A$990,0),2),"")</f>
        <v/>
      </c>
      <c r="C137" s="7" t="str">
        <f>IF(A137&lt;&gt;"",INDEX('Base de données'!A$4:L$990,MATCH(' TVA M'!A137,'Base de données'!A$4:A$990,0),12),"")</f>
        <v/>
      </c>
      <c r="D137" s="442"/>
      <c r="E137" s="438"/>
      <c r="F137" s="443"/>
      <c r="G137" s="439"/>
      <c r="H137" s="442"/>
      <c r="I137" s="438"/>
      <c r="J137" s="443"/>
      <c r="K137" s="439"/>
      <c r="L137" s="442"/>
      <c r="M137" s="438"/>
      <c r="N137" s="443"/>
      <c r="O137" s="439"/>
      <c r="P137" s="442"/>
      <c r="Q137" s="438"/>
      <c r="R137" s="443"/>
      <c r="S137" s="439"/>
      <c r="T137" s="442"/>
      <c r="U137" s="438"/>
      <c r="V137" s="443"/>
      <c r="W137" s="434"/>
      <c r="X137" s="442"/>
      <c r="Y137" s="438"/>
      <c r="Z137" s="442"/>
      <c r="AA137" s="440"/>
    </row>
    <row r="138" spans="1:27" hidden="1" x14ac:dyDescent="0.25">
      <c r="A138" s="430"/>
      <c r="B138" s="6" t="str">
        <f>IF(A138&lt;&gt;"",INDEX('Base de données'!A$4:L$990,MATCH(' TVA M'!A138,'Base de données'!A$4:A$990,0),2),"")</f>
        <v/>
      </c>
      <c r="C138" s="7" t="str">
        <f>IF(A138&lt;&gt;"",INDEX('Base de données'!A$4:L$990,MATCH(' TVA M'!A138,'Base de données'!A$4:A$990,0),12),"")</f>
        <v/>
      </c>
      <c r="D138" s="442"/>
      <c r="E138" s="438"/>
      <c r="F138" s="443"/>
      <c r="G138" s="439"/>
      <c r="H138" s="442"/>
      <c r="I138" s="438"/>
      <c r="J138" s="443"/>
      <c r="K138" s="439"/>
      <c r="L138" s="442"/>
      <c r="M138" s="438"/>
      <c r="N138" s="443"/>
      <c r="O138" s="439"/>
      <c r="P138" s="442"/>
      <c r="Q138" s="438"/>
      <c r="R138" s="443"/>
      <c r="S138" s="439"/>
      <c r="T138" s="442"/>
      <c r="U138" s="438"/>
      <c r="V138" s="443"/>
      <c r="W138" s="434"/>
      <c r="X138" s="442"/>
      <c r="Y138" s="438"/>
      <c r="Z138" s="442"/>
      <c r="AA138" s="440"/>
    </row>
    <row r="139" spans="1:27" hidden="1" x14ac:dyDescent="0.25">
      <c r="A139" s="430"/>
      <c r="B139" s="6" t="str">
        <f>IF(A139&lt;&gt;"",INDEX('Base de données'!A$4:L$990,MATCH(' TVA M'!A139,'Base de données'!A$4:A$990,0),2),"")</f>
        <v/>
      </c>
      <c r="C139" s="7" t="str">
        <f>IF(A139&lt;&gt;"",INDEX('Base de données'!A$4:L$990,MATCH(' TVA M'!A139,'Base de données'!A$4:A$990,0),12),"")</f>
        <v/>
      </c>
      <c r="D139" s="442"/>
      <c r="E139" s="438"/>
      <c r="F139" s="443"/>
      <c r="G139" s="439"/>
      <c r="H139" s="442"/>
      <c r="I139" s="438"/>
      <c r="J139" s="443"/>
      <c r="K139" s="439"/>
      <c r="L139" s="442"/>
      <c r="M139" s="438"/>
      <c r="N139" s="443"/>
      <c r="O139" s="439"/>
      <c r="P139" s="442"/>
      <c r="Q139" s="438"/>
      <c r="R139" s="443"/>
      <c r="S139" s="439"/>
      <c r="T139" s="442"/>
      <c r="U139" s="438"/>
      <c r="V139" s="443"/>
      <c r="W139" s="434"/>
      <c r="X139" s="442"/>
      <c r="Y139" s="438"/>
      <c r="Z139" s="442"/>
      <c r="AA139" s="440"/>
    </row>
    <row r="140" spans="1:27" hidden="1" x14ac:dyDescent="0.25">
      <c r="A140" s="430"/>
      <c r="B140" s="6" t="str">
        <f>IF(A140&lt;&gt;"",INDEX('Base de données'!A$4:L$990,MATCH(' TVA M'!A140,'Base de données'!A$4:A$990,0),2),"")</f>
        <v/>
      </c>
      <c r="C140" s="7" t="str">
        <f>IF(A140&lt;&gt;"",INDEX('Base de données'!A$4:L$990,MATCH(' TVA M'!A140,'Base de données'!A$4:A$990,0),12),"")</f>
        <v/>
      </c>
      <c r="D140" s="442"/>
      <c r="E140" s="438"/>
      <c r="F140" s="443"/>
      <c r="G140" s="439"/>
      <c r="H140" s="442"/>
      <c r="I140" s="438"/>
      <c r="J140" s="443"/>
      <c r="K140" s="439"/>
      <c r="L140" s="442"/>
      <c r="M140" s="438"/>
      <c r="N140" s="443"/>
      <c r="O140" s="439"/>
      <c r="P140" s="442"/>
      <c r="Q140" s="438"/>
      <c r="R140" s="443"/>
      <c r="S140" s="439"/>
      <c r="T140" s="442"/>
      <c r="U140" s="438"/>
      <c r="V140" s="443"/>
      <c r="W140" s="434"/>
      <c r="X140" s="442"/>
      <c r="Y140" s="438"/>
      <c r="Z140" s="442"/>
      <c r="AA140" s="440"/>
    </row>
    <row r="141" spans="1:27" hidden="1" x14ac:dyDescent="0.25">
      <c r="A141" s="430"/>
      <c r="B141" s="6" t="str">
        <f>IF(A141&lt;&gt;"",INDEX('Base de données'!A$4:L$990,MATCH(' TVA M'!A141,'Base de données'!A$4:A$990,0),2),"")</f>
        <v/>
      </c>
      <c r="C141" s="7" t="str">
        <f>IF(A141&lt;&gt;"",INDEX('Base de données'!A$4:L$990,MATCH(' TVA M'!A141,'Base de données'!A$4:A$990,0),12),"")</f>
        <v/>
      </c>
      <c r="D141" s="442"/>
      <c r="E141" s="438"/>
      <c r="F141" s="443"/>
      <c r="G141" s="439"/>
      <c r="H141" s="442"/>
      <c r="I141" s="438"/>
      <c r="J141" s="443"/>
      <c r="K141" s="439"/>
      <c r="L141" s="442"/>
      <c r="M141" s="438"/>
      <c r="N141" s="443"/>
      <c r="O141" s="439"/>
      <c r="P141" s="442"/>
      <c r="Q141" s="438"/>
      <c r="R141" s="443"/>
      <c r="S141" s="439"/>
      <c r="T141" s="442"/>
      <c r="U141" s="438"/>
      <c r="V141" s="443"/>
      <c r="W141" s="434"/>
      <c r="X141" s="442"/>
      <c r="Y141" s="438"/>
      <c r="Z141" s="442"/>
      <c r="AA141" s="440"/>
    </row>
    <row r="142" spans="1:27" hidden="1" x14ac:dyDescent="0.25">
      <c r="A142" s="430"/>
      <c r="B142" s="6" t="str">
        <f>IF(A142&lt;&gt;"",INDEX('Base de données'!A$4:L$990,MATCH(' TVA M'!A142,'Base de données'!A$4:A$990,0),2),"")</f>
        <v/>
      </c>
      <c r="C142" s="7" t="str">
        <f>IF(A142&lt;&gt;"",INDEX('Base de données'!A$4:L$990,MATCH(' TVA M'!A142,'Base de données'!A$4:A$990,0),12),"")</f>
        <v/>
      </c>
      <c r="D142" s="442"/>
      <c r="E142" s="438"/>
      <c r="F142" s="443"/>
      <c r="G142" s="439"/>
      <c r="H142" s="442"/>
      <c r="I142" s="438"/>
      <c r="J142" s="443"/>
      <c r="K142" s="439"/>
      <c r="L142" s="442"/>
      <c r="M142" s="438"/>
      <c r="N142" s="443"/>
      <c r="O142" s="439"/>
      <c r="P142" s="442"/>
      <c r="Q142" s="438"/>
      <c r="R142" s="443"/>
      <c r="S142" s="439"/>
      <c r="T142" s="442"/>
      <c r="U142" s="438"/>
      <c r="V142" s="443"/>
      <c r="W142" s="434"/>
      <c r="X142" s="442"/>
      <c r="Y142" s="438"/>
      <c r="Z142" s="442"/>
      <c r="AA142" s="440"/>
    </row>
    <row r="143" spans="1:27" hidden="1" x14ac:dyDescent="0.25">
      <c r="A143" s="430"/>
      <c r="B143" s="6" t="str">
        <f>IF(A143&lt;&gt;"",INDEX('Base de données'!A$4:L$990,MATCH(' TVA M'!A143,'Base de données'!A$4:A$990,0),2),"")</f>
        <v/>
      </c>
      <c r="C143" s="7" t="str">
        <f>IF(A143&lt;&gt;"",INDEX('Base de données'!A$4:L$990,MATCH(' TVA M'!A143,'Base de données'!A$4:A$990,0),12),"")</f>
        <v/>
      </c>
      <c r="D143" s="442"/>
      <c r="E143" s="438"/>
      <c r="F143" s="443"/>
      <c r="G143" s="439"/>
      <c r="H143" s="442"/>
      <c r="I143" s="438"/>
      <c r="J143" s="443"/>
      <c r="K143" s="439"/>
      <c r="L143" s="442"/>
      <c r="M143" s="438"/>
      <c r="N143" s="443"/>
      <c r="O143" s="439"/>
      <c r="P143" s="442"/>
      <c r="Q143" s="438"/>
      <c r="R143" s="443"/>
      <c r="S143" s="439"/>
      <c r="T143" s="442"/>
      <c r="U143" s="438"/>
      <c r="V143" s="443"/>
      <c r="W143" s="434"/>
      <c r="X143" s="442"/>
      <c r="Y143" s="438"/>
      <c r="Z143" s="442"/>
      <c r="AA143" s="440"/>
    </row>
    <row r="144" spans="1:27" hidden="1" x14ac:dyDescent="0.25">
      <c r="A144" s="430"/>
      <c r="B144" s="6" t="str">
        <f>IF(A144&lt;&gt;"",INDEX('Base de données'!A$4:L$990,MATCH(' TVA M'!A144,'Base de données'!A$4:A$990,0),2),"")</f>
        <v/>
      </c>
      <c r="C144" s="7" t="str">
        <f>IF(A144&lt;&gt;"",INDEX('Base de données'!A$4:L$990,MATCH(' TVA M'!A144,'Base de données'!A$4:A$990,0),12),"")</f>
        <v/>
      </c>
      <c r="D144" s="442"/>
      <c r="E144" s="438"/>
      <c r="F144" s="443"/>
      <c r="G144" s="439"/>
      <c r="H144" s="442"/>
      <c r="I144" s="438"/>
      <c r="J144" s="443"/>
      <c r="K144" s="439"/>
      <c r="L144" s="442"/>
      <c r="M144" s="438"/>
      <c r="N144" s="443"/>
      <c r="O144" s="439"/>
      <c r="P144" s="442"/>
      <c r="Q144" s="438"/>
      <c r="R144" s="443"/>
      <c r="S144" s="439"/>
      <c r="T144" s="442"/>
      <c r="U144" s="438"/>
      <c r="V144" s="443"/>
      <c r="W144" s="434"/>
      <c r="X144" s="442"/>
      <c r="Y144" s="438"/>
      <c r="Z144" s="442"/>
      <c r="AA144" s="440"/>
    </row>
    <row r="145" spans="1:27" hidden="1" x14ac:dyDescent="0.25">
      <c r="A145" s="430"/>
      <c r="B145" s="6" t="str">
        <f>IF(A145&lt;&gt;"",INDEX('Base de données'!A$4:L$990,MATCH(' TVA M'!A145,'Base de données'!A$4:A$990,0),2),"")</f>
        <v/>
      </c>
      <c r="C145" s="7" t="str">
        <f>IF(A145&lt;&gt;"",INDEX('Base de données'!A$4:L$990,MATCH(' TVA M'!A145,'Base de données'!A$4:A$990,0),12),"")</f>
        <v/>
      </c>
      <c r="D145" s="442"/>
      <c r="E145" s="438"/>
      <c r="F145" s="443"/>
      <c r="G145" s="439"/>
      <c r="H145" s="442"/>
      <c r="I145" s="438"/>
      <c r="J145" s="443"/>
      <c r="K145" s="439"/>
      <c r="L145" s="442"/>
      <c r="M145" s="438"/>
      <c r="N145" s="443"/>
      <c r="O145" s="439"/>
      <c r="P145" s="442"/>
      <c r="Q145" s="438"/>
      <c r="R145" s="443"/>
      <c r="S145" s="439"/>
      <c r="T145" s="442"/>
      <c r="U145" s="438"/>
      <c r="V145" s="443"/>
      <c r="W145" s="434"/>
      <c r="X145" s="442"/>
      <c r="Y145" s="438"/>
      <c r="Z145" s="442"/>
      <c r="AA145" s="440"/>
    </row>
    <row r="146" spans="1:27" hidden="1" x14ac:dyDescent="0.25">
      <c r="A146" s="430"/>
      <c r="B146" s="6" t="str">
        <f>IF(A146&lt;&gt;"",INDEX('Base de données'!A$4:L$990,MATCH(' TVA M'!A146,'Base de données'!A$4:A$990,0),2),"")</f>
        <v/>
      </c>
      <c r="C146" s="7" t="str">
        <f>IF(A146&lt;&gt;"",INDEX('Base de données'!A$4:L$990,MATCH(' TVA M'!A146,'Base de données'!A$4:A$990,0),12),"")</f>
        <v/>
      </c>
      <c r="D146" s="442"/>
      <c r="E146" s="438"/>
      <c r="F146" s="443"/>
      <c r="G146" s="439"/>
      <c r="H146" s="442"/>
      <c r="I146" s="438"/>
      <c r="J146" s="443"/>
      <c r="K146" s="439"/>
      <c r="L146" s="442"/>
      <c r="M146" s="438"/>
      <c r="N146" s="443"/>
      <c r="O146" s="439"/>
      <c r="P146" s="442"/>
      <c r="Q146" s="438"/>
      <c r="R146" s="443"/>
      <c r="S146" s="439"/>
      <c r="T146" s="442"/>
      <c r="U146" s="438"/>
      <c r="V146" s="443"/>
      <c r="W146" s="434"/>
      <c r="X146" s="442"/>
      <c r="Y146" s="438"/>
      <c r="Z146" s="442"/>
      <c r="AA146" s="440"/>
    </row>
    <row r="147" spans="1:27" hidden="1" x14ac:dyDescent="0.25">
      <c r="A147" s="430"/>
      <c r="B147" s="6" t="str">
        <f>IF(A147&lt;&gt;"",INDEX('Base de données'!A$4:L$990,MATCH(' TVA M'!A147,'Base de données'!A$4:A$990,0),2),"")</f>
        <v/>
      </c>
      <c r="C147" s="7" t="str">
        <f>IF(A147&lt;&gt;"",INDEX('Base de données'!A$4:L$990,MATCH(' TVA M'!A147,'Base de données'!A$4:A$990,0),12),"")</f>
        <v/>
      </c>
      <c r="D147" s="442"/>
      <c r="E147" s="438"/>
      <c r="F147" s="443"/>
      <c r="G147" s="439"/>
      <c r="H147" s="442"/>
      <c r="I147" s="438"/>
      <c r="J147" s="443"/>
      <c r="K147" s="439"/>
      <c r="L147" s="442"/>
      <c r="M147" s="438"/>
      <c r="N147" s="443"/>
      <c r="O147" s="439"/>
      <c r="P147" s="442"/>
      <c r="Q147" s="438"/>
      <c r="R147" s="443"/>
      <c r="S147" s="439"/>
      <c r="T147" s="442"/>
      <c r="U147" s="438"/>
      <c r="V147" s="443"/>
      <c r="W147" s="434"/>
      <c r="X147" s="442"/>
      <c r="Y147" s="438"/>
      <c r="Z147" s="442"/>
      <c r="AA147" s="440"/>
    </row>
    <row r="148" spans="1:27" hidden="1" x14ac:dyDescent="0.25">
      <c r="A148" s="430"/>
      <c r="B148" s="6" t="str">
        <f>IF(A148&lt;&gt;"",INDEX('Base de données'!A$4:L$990,MATCH(' TVA M'!A148,'Base de données'!A$4:A$990,0),2),"")</f>
        <v/>
      </c>
      <c r="C148" s="7" t="str">
        <f>IF(A148&lt;&gt;"",INDEX('Base de données'!A$4:L$990,MATCH(' TVA M'!A148,'Base de données'!A$4:A$990,0),12),"")</f>
        <v/>
      </c>
      <c r="D148" s="442"/>
      <c r="E148" s="438"/>
      <c r="F148" s="443"/>
      <c r="G148" s="439"/>
      <c r="H148" s="442"/>
      <c r="I148" s="438"/>
      <c r="J148" s="443"/>
      <c r="K148" s="439"/>
      <c r="L148" s="442"/>
      <c r="M148" s="438"/>
      <c r="N148" s="443"/>
      <c r="O148" s="439"/>
      <c r="P148" s="442"/>
      <c r="Q148" s="438"/>
      <c r="R148" s="443"/>
      <c r="S148" s="439"/>
      <c r="T148" s="442"/>
      <c r="U148" s="438"/>
      <c r="V148" s="443"/>
      <c r="W148" s="434"/>
      <c r="X148" s="442"/>
      <c r="Y148" s="438"/>
      <c r="Z148" s="442"/>
      <c r="AA148" s="440"/>
    </row>
    <row r="149" spans="1:27" hidden="1" x14ac:dyDescent="0.25">
      <c r="A149" s="430"/>
      <c r="B149" s="6" t="str">
        <f>IF(A149&lt;&gt;"",INDEX('Base de données'!A$4:L$990,MATCH(' TVA M'!A149,'Base de données'!A$4:A$990,0),2),"")</f>
        <v/>
      </c>
      <c r="C149" s="7" t="str">
        <f>IF(A149&lt;&gt;"",INDEX('Base de données'!A$4:L$990,MATCH(' TVA M'!A149,'Base de données'!A$4:A$990,0),12),"")</f>
        <v/>
      </c>
      <c r="D149" s="442"/>
      <c r="E149" s="438"/>
      <c r="F149" s="443"/>
      <c r="G149" s="439"/>
      <c r="H149" s="442"/>
      <c r="I149" s="438"/>
      <c r="J149" s="443"/>
      <c r="K149" s="439"/>
      <c r="L149" s="442"/>
      <c r="M149" s="438"/>
      <c r="N149" s="443"/>
      <c r="O149" s="439"/>
      <c r="P149" s="442"/>
      <c r="Q149" s="438"/>
      <c r="R149" s="443"/>
      <c r="S149" s="439"/>
      <c r="T149" s="442"/>
      <c r="U149" s="438"/>
      <c r="V149" s="443"/>
      <c r="W149" s="434"/>
      <c r="X149" s="442"/>
      <c r="Y149" s="438"/>
      <c r="Z149" s="442"/>
      <c r="AA149" s="440"/>
    </row>
    <row r="150" spans="1:27" hidden="1" x14ac:dyDescent="0.25">
      <c r="A150" s="430"/>
      <c r="B150" s="6" t="str">
        <f>IF(A150&lt;&gt;"",INDEX('Base de données'!A$4:L$990,MATCH(' TVA M'!A150,'Base de données'!A$4:A$990,0),2),"")</f>
        <v/>
      </c>
      <c r="C150" s="7" t="str">
        <f>IF(A150&lt;&gt;"",INDEX('Base de données'!A$4:L$990,MATCH(' TVA M'!A150,'Base de données'!A$4:A$990,0),12),"")</f>
        <v/>
      </c>
      <c r="D150" s="442"/>
      <c r="E150" s="438"/>
      <c r="F150" s="443"/>
      <c r="G150" s="439"/>
      <c r="H150" s="442"/>
      <c r="I150" s="438"/>
      <c r="J150" s="443"/>
      <c r="K150" s="439"/>
      <c r="L150" s="442"/>
      <c r="M150" s="438"/>
      <c r="N150" s="443"/>
      <c r="O150" s="439"/>
      <c r="P150" s="442"/>
      <c r="Q150" s="438"/>
      <c r="R150" s="443"/>
      <c r="S150" s="439"/>
      <c r="T150" s="442"/>
      <c r="U150" s="438"/>
      <c r="V150" s="443"/>
      <c r="W150" s="434"/>
      <c r="X150" s="442"/>
      <c r="Y150" s="438"/>
      <c r="Z150" s="442"/>
      <c r="AA150" s="440"/>
    </row>
    <row r="151" spans="1:27" hidden="1" x14ac:dyDescent="0.25">
      <c r="A151" s="430"/>
      <c r="B151" s="6" t="str">
        <f>IF(A151&lt;&gt;"",INDEX('Base de données'!A$4:L$990,MATCH(' TVA M'!A151,'Base de données'!A$4:A$990,0),2),"")</f>
        <v/>
      </c>
      <c r="C151" s="7" t="str">
        <f>IF(A151&lt;&gt;"",INDEX('Base de données'!A$4:L$990,MATCH(' TVA M'!A151,'Base de données'!A$4:A$990,0),12),"")</f>
        <v/>
      </c>
      <c r="D151" s="442"/>
      <c r="E151" s="438"/>
      <c r="F151" s="443"/>
      <c r="G151" s="439"/>
      <c r="H151" s="442"/>
      <c r="I151" s="438"/>
      <c r="J151" s="443"/>
      <c r="K151" s="439"/>
      <c r="L151" s="442"/>
      <c r="M151" s="438"/>
      <c r="N151" s="443"/>
      <c r="O151" s="439"/>
      <c r="P151" s="442"/>
      <c r="Q151" s="438"/>
      <c r="R151" s="443"/>
      <c r="S151" s="439"/>
      <c r="T151" s="442"/>
      <c r="U151" s="438"/>
      <c r="V151" s="443"/>
      <c r="W151" s="434"/>
      <c r="X151" s="442"/>
      <c r="Y151" s="438"/>
      <c r="Z151" s="442"/>
      <c r="AA151" s="440"/>
    </row>
    <row r="152" spans="1:27" hidden="1" x14ac:dyDescent="0.25">
      <c r="A152" s="430"/>
      <c r="B152" s="6" t="str">
        <f>IF(A152&lt;&gt;"",INDEX('Base de données'!A$4:L$990,MATCH(' TVA M'!A152,'Base de données'!A$4:A$990,0),2),"")</f>
        <v/>
      </c>
      <c r="C152" s="7" t="str">
        <f>IF(A152&lt;&gt;"",INDEX('Base de données'!A$4:L$990,MATCH(' TVA M'!A152,'Base de données'!A$4:A$990,0),12),"")</f>
        <v/>
      </c>
      <c r="D152" s="442"/>
      <c r="E152" s="438"/>
      <c r="F152" s="443"/>
      <c r="G152" s="439"/>
      <c r="H152" s="442"/>
      <c r="I152" s="438"/>
      <c r="J152" s="443"/>
      <c r="K152" s="439"/>
      <c r="L152" s="442"/>
      <c r="M152" s="438"/>
      <c r="N152" s="443"/>
      <c r="O152" s="439"/>
      <c r="P152" s="442"/>
      <c r="Q152" s="438"/>
      <c r="R152" s="443"/>
      <c r="S152" s="439"/>
      <c r="T152" s="442"/>
      <c r="U152" s="438"/>
      <c r="V152" s="443"/>
      <c r="W152" s="434"/>
      <c r="X152" s="442"/>
      <c r="Y152" s="438"/>
      <c r="Z152" s="442"/>
      <c r="AA152" s="440"/>
    </row>
    <row r="153" spans="1:27" hidden="1" x14ac:dyDescent="0.25">
      <c r="A153" s="430"/>
      <c r="B153" s="6" t="str">
        <f>IF(A153&lt;&gt;"",INDEX('Base de données'!A$4:L$990,MATCH(' TVA M'!A153,'Base de données'!A$4:A$990,0),2),"")</f>
        <v/>
      </c>
      <c r="C153" s="7" t="str">
        <f>IF(A153&lt;&gt;"",INDEX('Base de données'!A$4:L$990,MATCH(' TVA M'!A153,'Base de données'!A$4:A$990,0),12),"")</f>
        <v/>
      </c>
      <c r="D153" s="442"/>
      <c r="E153" s="438"/>
      <c r="F153" s="443"/>
      <c r="G153" s="439"/>
      <c r="H153" s="442"/>
      <c r="I153" s="438"/>
      <c r="J153" s="443"/>
      <c r="K153" s="439"/>
      <c r="L153" s="442"/>
      <c r="M153" s="438"/>
      <c r="N153" s="443"/>
      <c r="O153" s="439"/>
      <c r="P153" s="442"/>
      <c r="Q153" s="438"/>
      <c r="R153" s="443"/>
      <c r="S153" s="439"/>
      <c r="T153" s="442"/>
      <c r="U153" s="438"/>
      <c r="V153" s="443"/>
      <c r="W153" s="434"/>
      <c r="X153" s="442"/>
      <c r="Y153" s="438"/>
      <c r="Z153" s="442"/>
      <c r="AA153" s="440"/>
    </row>
    <row r="154" spans="1:27" hidden="1" x14ac:dyDescent="0.25">
      <c r="A154" s="430"/>
      <c r="B154" s="6" t="str">
        <f>IF(A154&lt;&gt;"",INDEX('Base de données'!A$4:L$990,MATCH(' TVA M'!A154,'Base de données'!A$4:A$990,0),2),"")</f>
        <v/>
      </c>
      <c r="C154" s="7" t="str">
        <f>IF(A154&lt;&gt;"",INDEX('Base de données'!A$4:L$990,MATCH(' TVA M'!A154,'Base de données'!A$4:A$990,0),12),"")</f>
        <v/>
      </c>
      <c r="D154" s="442"/>
      <c r="E154" s="438"/>
      <c r="F154" s="443"/>
      <c r="G154" s="439"/>
      <c r="H154" s="442"/>
      <c r="I154" s="438"/>
      <c r="J154" s="443"/>
      <c r="K154" s="439"/>
      <c r="L154" s="442"/>
      <c r="M154" s="438"/>
      <c r="N154" s="443"/>
      <c r="O154" s="439"/>
      <c r="P154" s="442"/>
      <c r="Q154" s="438"/>
      <c r="R154" s="443"/>
      <c r="S154" s="439"/>
      <c r="T154" s="442"/>
      <c r="U154" s="438"/>
      <c r="V154" s="443"/>
      <c r="W154" s="434"/>
      <c r="X154" s="442"/>
      <c r="Y154" s="438"/>
      <c r="Z154" s="442"/>
      <c r="AA154" s="440"/>
    </row>
    <row r="155" spans="1:27" hidden="1" x14ac:dyDescent="0.25">
      <c r="A155" s="430"/>
      <c r="B155" s="6" t="str">
        <f>IF(A155&lt;&gt;"",INDEX('Base de données'!A$4:L$990,MATCH(' TVA M'!A155,'Base de données'!A$4:A$990,0),2),"")</f>
        <v/>
      </c>
      <c r="C155" s="7" t="str">
        <f>IF(A155&lt;&gt;"",INDEX('Base de données'!A$4:L$990,MATCH(' TVA M'!A155,'Base de données'!A$4:A$990,0),12),"")</f>
        <v/>
      </c>
      <c r="D155" s="442"/>
      <c r="E155" s="438"/>
      <c r="F155" s="443"/>
      <c r="G155" s="439"/>
      <c r="H155" s="442"/>
      <c r="I155" s="438"/>
      <c r="J155" s="443"/>
      <c r="K155" s="439"/>
      <c r="L155" s="442"/>
      <c r="M155" s="438"/>
      <c r="N155" s="443"/>
      <c r="O155" s="439"/>
      <c r="P155" s="442"/>
      <c r="Q155" s="438"/>
      <c r="R155" s="443"/>
      <c r="S155" s="439"/>
      <c r="T155" s="442"/>
      <c r="U155" s="438"/>
      <c r="V155" s="443"/>
      <c r="W155" s="434"/>
      <c r="X155" s="442"/>
      <c r="Y155" s="438"/>
      <c r="Z155" s="442"/>
      <c r="AA155" s="440"/>
    </row>
    <row r="156" spans="1:27" hidden="1" x14ac:dyDescent="0.25">
      <c r="A156" s="430"/>
      <c r="B156" s="6" t="str">
        <f>IF(A156&lt;&gt;"",INDEX('Base de données'!A$4:L$990,MATCH(' TVA M'!A156,'Base de données'!A$4:A$990,0),2),"")</f>
        <v/>
      </c>
      <c r="C156" s="7" t="str">
        <f>IF(A156&lt;&gt;"",INDEX('Base de données'!A$4:L$990,MATCH(' TVA M'!A156,'Base de données'!A$4:A$990,0),12),"")</f>
        <v/>
      </c>
      <c r="D156" s="442"/>
      <c r="E156" s="438"/>
      <c r="F156" s="443"/>
      <c r="G156" s="439"/>
      <c r="H156" s="442"/>
      <c r="I156" s="438"/>
      <c r="J156" s="443"/>
      <c r="K156" s="439"/>
      <c r="L156" s="442"/>
      <c r="M156" s="438"/>
      <c r="N156" s="443"/>
      <c r="O156" s="439"/>
      <c r="P156" s="442"/>
      <c r="Q156" s="438"/>
      <c r="R156" s="443"/>
      <c r="S156" s="439"/>
      <c r="T156" s="442"/>
      <c r="U156" s="438"/>
      <c r="V156" s="443"/>
      <c r="W156" s="434"/>
      <c r="X156" s="442"/>
      <c r="Y156" s="438"/>
      <c r="Z156" s="442"/>
      <c r="AA156" s="440"/>
    </row>
    <row r="157" spans="1:27" hidden="1" x14ac:dyDescent="0.25">
      <c r="A157" s="430"/>
      <c r="B157" s="6" t="str">
        <f>IF(A157&lt;&gt;"",INDEX('Base de données'!A$4:L$990,MATCH(' TVA M'!A157,'Base de données'!A$4:A$990,0),2),"")</f>
        <v/>
      </c>
      <c r="C157" s="7" t="str">
        <f>IF(A157&lt;&gt;"",INDEX('Base de données'!A$4:L$990,MATCH(' TVA M'!A157,'Base de données'!A$4:A$990,0),12),"")</f>
        <v/>
      </c>
      <c r="D157" s="442"/>
      <c r="E157" s="438"/>
      <c r="F157" s="443"/>
      <c r="G157" s="439"/>
      <c r="H157" s="442"/>
      <c r="I157" s="438"/>
      <c r="J157" s="443"/>
      <c r="K157" s="439"/>
      <c r="L157" s="442"/>
      <c r="M157" s="438"/>
      <c r="N157" s="443"/>
      <c r="O157" s="439"/>
      <c r="P157" s="442"/>
      <c r="Q157" s="438"/>
      <c r="R157" s="443"/>
      <c r="S157" s="439"/>
      <c r="T157" s="442"/>
      <c r="U157" s="438"/>
      <c r="V157" s="443"/>
      <c r="W157" s="434"/>
      <c r="X157" s="442"/>
      <c r="Y157" s="438"/>
      <c r="Z157" s="442"/>
      <c r="AA157" s="440"/>
    </row>
    <row r="158" spans="1:27" hidden="1" x14ac:dyDescent="0.25">
      <c r="A158" s="430"/>
      <c r="B158" s="6" t="str">
        <f>IF(A158&lt;&gt;"",INDEX('Base de données'!A$4:L$990,MATCH(' TVA M'!A158,'Base de données'!A$4:A$990,0),2),"")</f>
        <v/>
      </c>
      <c r="C158" s="7" t="str">
        <f>IF(A158&lt;&gt;"",INDEX('Base de données'!A$4:L$990,MATCH(' TVA M'!A158,'Base de données'!A$4:A$990,0),12),"")</f>
        <v/>
      </c>
      <c r="D158" s="442"/>
      <c r="E158" s="438"/>
      <c r="F158" s="443"/>
      <c r="G158" s="439"/>
      <c r="H158" s="442"/>
      <c r="I158" s="438"/>
      <c r="J158" s="443"/>
      <c r="K158" s="439"/>
      <c r="L158" s="442"/>
      <c r="M158" s="438"/>
      <c r="N158" s="443"/>
      <c r="O158" s="439"/>
      <c r="P158" s="442"/>
      <c r="Q158" s="438"/>
      <c r="R158" s="443"/>
      <c r="S158" s="439"/>
      <c r="T158" s="442"/>
      <c r="U158" s="438"/>
      <c r="V158" s="443"/>
      <c r="W158" s="434"/>
      <c r="X158" s="442"/>
      <c r="Y158" s="438"/>
      <c r="Z158" s="442"/>
      <c r="AA158" s="440"/>
    </row>
    <row r="159" spans="1:27" hidden="1" x14ac:dyDescent="0.25">
      <c r="A159" s="430"/>
      <c r="B159" s="6" t="str">
        <f>IF(A159&lt;&gt;"",INDEX('Base de données'!A$4:L$990,MATCH(' TVA M'!A159,'Base de données'!A$4:A$990,0),2),"")</f>
        <v/>
      </c>
      <c r="C159" s="7" t="str">
        <f>IF(A159&lt;&gt;"",INDEX('Base de données'!A$4:L$990,MATCH(' TVA M'!A159,'Base de données'!A$4:A$990,0),12),"")</f>
        <v/>
      </c>
      <c r="D159" s="442"/>
      <c r="E159" s="438"/>
      <c r="F159" s="443"/>
      <c r="G159" s="439"/>
      <c r="H159" s="442"/>
      <c r="I159" s="438"/>
      <c r="J159" s="443"/>
      <c r="K159" s="439"/>
      <c r="L159" s="442"/>
      <c r="M159" s="438"/>
      <c r="N159" s="443"/>
      <c r="O159" s="439"/>
      <c r="P159" s="442"/>
      <c r="Q159" s="438"/>
      <c r="R159" s="443"/>
      <c r="S159" s="439"/>
      <c r="T159" s="442"/>
      <c r="U159" s="438"/>
      <c r="V159" s="443"/>
      <c r="W159" s="434"/>
      <c r="X159" s="442"/>
      <c r="Y159" s="438"/>
      <c r="Z159" s="442"/>
      <c r="AA159" s="440"/>
    </row>
    <row r="160" spans="1:27" hidden="1" x14ac:dyDescent="0.25">
      <c r="A160" s="430"/>
      <c r="B160" s="6" t="str">
        <f>IF(A160&lt;&gt;"",INDEX('Base de données'!A$4:L$990,MATCH(' TVA M'!A160,'Base de données'!A$4:A$990,0),2),"")</f>
        <v/>
      </c>
      <c r="C160" s="7" t="str">
        <f>IF(A160&lt;&gt;"",INDEX('Base de données'!A$4:L$990,MATCH(' TVA M'!A160,'Base de données'!A$4:A$990,0),12),"")</f>
        <v/>
      </c>
      <c r="D160" s="442"/>
      <c r="E160" s="438"/>
      <c r="F160" s="443"/>
      <c r="G160" s="439"/>
      <c r="H160" s="442"/>
      <c r="I160" s="438"/>
      <c r="J160" s="443"/>
      <c r="K160" s="439"/>
      <c r="L160" s="442"/>
      <c r="M160" s="438"/>
      <c r="N160" s="443"/>
      <c r="O160" s="439"/>
      <c r="P160" s="442"/>
      <c r="Q160" s="438"/>
      <c r="R160" s="443"/>
      <c r="S160" s="439"/>
      <c r="T160" s="442"/>
      <c r="U160" s="438"/>
      <c r="V160" s="443"/>
      <c r="W160" s="434"/>
      <c r="X160" s="442"/>
      <c r="Y160" s="438"/>
      <c r="Z160" s="442"/>
      <c r="AA160" s="440"/>
    </row>
    <row r="161" spans="1:27" hidden="1" x14ac:dyDescent="0.25">
      <c r="A161" s="430"/>
      <c r="B161" s="6" t="str">
        <f>IF(A161&lt;&gt;"",INDEX('Base de données'!A$4:L$990,MATCH(' TVA M'!A161,'Base de données'!A$4:A$990,0),2),"")</f>
        <v/>
      </c>
      <c r="C161" s="7" t="str">
        <f>IF(A161&lt;&gt;"",INDEX('Base de données'!A$4:L$990,MATCH(' TVA M'!A161,'Base de données'!A$4:A$990,0),12),"")</f>
        <v/>
      </c>
      <c r="D161" s="442"/>
      <c r="E161" s="438"/>
      <c r="F161" s="443"/>
      <c r="G161" s="439"/>
      <c r="H161" s="442"/>
      <c r="I161" s="438"/>
      <c r="J161" s="443"/>
      <c r="K161" s="439"/>
      <c r="L161" s="442"/>
      <c r="M161" s="438"/>
      <c r="N161" s="443"/>
      <c r="O161" s="439"/>
      <c r="P161" s="442"/>
      <c r="Q161" s="438"/>
      <c r="R161" s="443"/>
      <c r="S161" s="439"/>
      <c r="T161" s="442"/>
      <c r="U161" s="438"/>
      <c r="V161" s="443"/>
      <c r="W161" s="434"/>
      <c r="X161" s="442"/>
      <c r="Y161" s="438"/>
      <c r="Z161" s="442"/>
      <c r="AA161" s="440"/>
    </row>
    <row r="162" spans="1:27" hidden="1" x14ac:dyDescent="0.25">
      <c r="A162" s="430"/>
      <c r="B162" s="6" t="str">
        <f>IF(A162&lt;&gt;"",INDEX('Base de données'!A$4:L$990,MATCH(' TVA M'!A162,'Base de données'!A$4:A$990,0),2),"")</f>
        <v/>
      </c>
      <c r="C162" s="7" t="str">
        <f>IF(A162&lt;&gt;"",INDEX('Base de données'!A$4:L$990,MATCH(' TVA M'!A162,'Base de données'!A$4:A$990,0),12),"")</f>
        <v/>
      </c>
      <c r="D162" s="442"/>
      <c r="E162" s="438"/>
      <c r="F162" s="443"/>
      <c r="G162" s="439"/>
      <c r="H162" s="442"/>
      <c r="I162" s="438"/>
      <c r="J162" s="443"/>
      <c r="K162" s="439"/>
      <c r="L162" s="442"/>
      <c r="M162" s="438"/>
      <c r="N162" s="443"/>
      <c r="O162" s="439"/>
      <c r="P162" s="442"/>
      <c r="Q162" s="438"/>
      <c r="R162" s="443"/>
      <c r="S162" s="439"/>
      <c r="T162" s="442"/>
      <c r="U162" s="438"/>
      <c r="V162" s="443"/>
      <c r="W162" s="434"/>
      <c r="X162" s="442"/>
      <c r="Y162" s="438"/>
      <c r="Z162" s="442"/>
      <c r="AA162" s="440"/>
    </row>
    <row r="163" spans="1:27" hidden="1" x14ac:dyDescent="0.25">
      <c r="A163" s="430"/>
      <c r="B163" s="6" t="str">
        <f>IF(A163&lt;&gt;"",INDEX('Base de données'!A$4:L$990,MATCH(' TVA M'!A163,'Base de données'!A$4:A$990,0),2),"")</f>
        <v/>
      </c>
      <c r="C163" s="7" t="str">
        <f>IF(A163&lt;&gt;"",INDEX('Base de données'!A$4:L$990,MATCH(' TVA M'!A163,'Base de données'!A$4:A$990,0),12),"")</f>
        <v/>
      </c>
      <c r="D163" s="442"/>
      <c r="E163" s="438"/>
      <c r="F163" s="443"/>
      <c r="G163" s="439"/>
      <c r="H163" s="442"/>
      <c r="I163" s="438"/>
      <c r="J163" s="443"/>
      <c r="K163" s="439"/>
      <c r="L163" s="442"/>
      <c r="M163" s="438"/>
      <c r="N163" s="443"/>
      <c r="O163" s="439"/>
      <c r="P163" s="442"/>
      <c r="Q163" s="438"/>
      <c r="R163" s="443"/>
      <c r="S163" s="439"/>
      <c r="T163" s="442"/>
      <c r="U163" s="438"/>
      <c r="V163" s="443"/>
      <c r="W163" s="434"/>
      <c r="X163" s="442"/>
      <c r="Y163" s="438"/>
      <c r="Z163" s="442"/>
      <c r="AA163" s="440"/>
    </row>
    <row r="164" spans="1:27" hidden="1" x14ac:dyDescent="0.25">
      <c r="A164" s="430"/>
      <c r="B164" s="6" t="str">
        <f>IF(A164&lt;&gt;"",INDEX('Base de données'!A$4:L$990,MATCH(' TVA M'!A164,'Base de données'!A$4:A$990,0),2),"")</f>
        <v/>
      </c>
      <c r="C164" s="7" t="str">
        <f>IF(A164&lt;&gt;"",INDEX('Base de données'!A$4:L$990,MATCH(' TVA M'!A164,'Base de données'!A$4:A$990,0),12),"")</f>
        <v/>
      </c>
      <c r="D164" s="442"/>
      <c r="E164" s="438"/>
      <c r="F164" s="443"/>
      <c r="G164" s="439"/>
      <c r="H164" s="442"/>
      <c r="I164" s="438"/>
      <c r="J164" s="443"/>
      <c r="K164" s="439"/>
      <c r="L164" s="442"/>
      <c r="M164" s="438"/>
      <c r="N164" s="443"/>
      <c r="O164" s="439"/>
      <c r="P164" s="442"/>
      <c r="Q164" s="438"/>
      <c r="R164" s="443"/>
      <c r="S164" s="439"/>
      <c r="T164" s="442"/>
      <c r="U164" s="438"/>
      <c r="V164" s="443"/>
      <c r="W164" s="434"/>
      <c r="X164" s="442"/>
      <c r="Y164" s="438"/>
      <c r="Z164" s="442"/>
      <c r="AA164" s="440"/>
    </row>
    <row r="165" spans="1:27" hidden="1" x14ac:dyDescent="0.25">
      <c r="A165" s="430"/>
      <c r="B165" s="6" t="str">
        <f>IF(A165&lt;&gt;"",INDEX('Base de données'!A$4:L$990,MATCH(' TVA M'!A165,'Base de données'!A$4:A$990,0),2),"")</f>
        <v/>
      </c>
      <c r="C165" s="7" t="str">
        <f>IF(A165&lt;&gt;"",INDEX('Base de données'!A$4:L$990,MATCH(' TVA M'!A165,'Base de données'!A$4:A$990,0),12),"")</f>
        <v/>
      </c>
      <c r="D165" s="442"/>
      <c r="E165" s="438"/>
      <c r="F165" s="443"/>
      <c r="G165" s="439"/>
      <c r="H165" s="442"/>
      <c r="I165" s="438"/>
      <c r="J165" s="443"/>
      <c r="K165" s="439"/>
      <c r="L165" s="442"/>
      <c r="M165" s="438"/>
      <c r="N165" s="443"/>
      <c r="O165" s="439"/>
      <c r="P165" s="442"/>
      <c r="Q165" s="438"/>
      <c r="R165" s="443"/>
      <c r="S165" s="439"/>
      <c r="T165" s="442"/>
      <c r="U165" s="438"/>
      <c r="V165" s="443"/>
      <c r="W165" s="434"/>
      <c r="X165" s="442"/>
      <c r="Y165" s="438"/>
      <c r="Z165" s="442"/>
      <c r="AA165" s="440"/>
    </row>
    <row r="166" spans="1:27" hidden="1" x14ac:dyDescent="0.25">
      <c r="A166" s="430"/>
      <c r="B166" s="6" t="str">
        <f>IF(A166&lt;&gt;"",INDEX('Base de données'!A$4:L$990,MATCH(' TVA M'!A166,'Base de données'!A$4:A$990,0),2),"")</f>
        <v/>
      </c>
      <c r="C166" s="7" t="str">
        <f>IF(A166&lt;&gt;"",INDEX('Base de données'!A$4:L$990,MATCH(' TVA M'!A166,'Base de données'!A$4:A$990,0),12),"")</f>
        <v/>
      </c>
      <c r="D166" s="442"/>
      <c r="E166" s="438"/>
      <c r="F166" s="443"/>
      <c r="G166" s="439"/>
      <c r="H166" s="442"/>
      <c r="I166" s="438"/>
      <c r="J166" s="443"/>
      <c r="K166" s="439"/>
      <c r="L166" s="442"/>
      <c r="M166" s="438"/>
      <c r="N166" s="443"/>
      <c r="O166" s="439"/>
      <c r="P166" s="442"/>
      <c r="Q166" s="438"/>
      <c r="R166" s="443"/>
      <c r="S166" s="439"/>
      <c r="T166" s="442"/>
      <c r="U166" s="438"/>
      <c r="V166" s="443"/>
      <c r="W166" s="434"/>
      <c r="X166" s="442"/>
      <c r="Y166" s="438"/>
      <c r="Z166" s="442"/>
      <c r="AA166" s="440"/>
    </row>
    <row r="167" spans="1:27" hidden="1" x14ac:dyDescent="0.25">
      <c r="A167" s="430"/>
      <c r="B167" s="6" t="str">
        <f>IF(A167&lt;&gt;"",INDEX('Base de données'!A$4:L$990,MATCH(' TVA M'!A167,'Base de données'!A$4:A$990,0),2),"")</f>
        <v/>
      </c>
      <c r="C167" s="7" t="str">
        <f>IF(A167&lt;&gt;"",INDEX('Base de données'!A$4:L$990,MATCH(' TVA M'!A167,'Base de données'!A$4:A$990,0),12),"")</f>
        <v/>
      </c>
      <c r="D167" s="442"/>
      <c r="E167" s="438"/>
      <c r="F167" s="443"/>
      <c r="G167" s="439"/>
      <c r="H167" s="442"/>
      <c r="I167" s="438"/>
      <c r="J167" s="443"/>
      <c r="K167" s="439"/>
      <c r="L167" s="442"/>
      <c r="M167" s="438"/>
      <c r="N167" s="443"/>
      <c r="O167" s="439"/>
      <c r="P167" s="442"/>
      <c r="Q167" s="438"/>
      <c r="R167" s="443"/>
      <c r="S167" s="439"/>
      <c r="T167" s="442"/>
      <c r="U167" s="438"/>
      <c r="V167" s="443"/>
      <c r="W167" s="434"/>
      <c r="X167" s="442"/>
      <c r="Y167" s="438"/>
      <c r="Z167" s="442"/>
      <c r="AA167" s="440"/>
    </row>
    <row r="168" spans="1:27" hidden="1" x14ac:dyDescent="0.25">
      <c r="A168" s="430"/>
      <c r="B168" s="6" t="str">
        <f>IF(A168&lt;&gt;"",INDEX('Base de données'!A$4:L$990,MATCH(' TVA M'!A168,'Base de données'!A$4:A$990,0),2),"")</f>
        <v/>
      </c>
      <c r="C168" s="7" t="str">
        <f>IF(A168&lt;&gt;"",INDEX('Base de données'!A$4:L$990,MATCH(' TVA M'!A168,'Base de données'!A$4:A$990,0),12),"")</f>
        <v/>
      </c>
      <c r="D168" s="442"/>
      <c r="E168" s="438"/>
      <c r="F168" s="443"/>
      <c r="G168" s="439"/>
      <c r="H168" s="442"/>
      <c r="I168" s="438"/>
      <c r="J168" s="443"/>
      <c r="K168" s="439"/>
      <c r="L168" s="442"/>
      <c r="M168" s="438"/>
      <c r="N168" s="443"/>
      <c r="O168" s="439"/>
      <c r="P168" s="442"/>
      <c r="Q168" s="438"/>
      <c r="R168" s="443"/>
      <c r="S168" s="439"/>
      <c r="T168" s="442"/>
      <c r="U168" s="438"/>
      <c r="V168" s="443"/>
      <c r="W168" s="434"/>
      <c r="X168" s="442"/>
      <c r="Y168" s="438"/>
      <c r="Z168" s="442"/>
      <c r="AA168" s="440"/>
    </row>
    <row r="169" spans="1:27" hidden="1" x14ac:dyDescent="0.25">
      <c r="A169" s="430"/>
      <c r="B169" s="6" t="str">
        <f>IF(A169&lt;&gt;"",INDEX('Base de données'!A$4:L$990,MATCH(' TVA M'!A169,'Base de données'!A$4:A$990,0),2),"")</f>
        <v/>
      </c>
      <c r="C169" s="7" t="str">
        <f>IF(A169&lt;&gt;"",INDEX('Base de données'!A$4:L$990,MATCH(' TVA M'!A169,'Base de données'!A$4:A$990,0),12),"")</f>
        <v/>
      </c>
      <c r="D169" s="442"/>
      <c r="E169" s="438"/>
      <c r="F169" s="443"/>
      <c r="G169" s="439"/>
      <c r="H169" s="442"/>
      <c r="I169" s="438"/>
      <c r="J169" s="443"/>
      <c r="K169" s="439"/>
      <c r="L169" s="442"/>
      <c r="M169" s="438"/>
      <c r="N169" s="443"/>
      <c r="O169" s="439"/>
      <c r="P169" s="442"/>
      <c r="Q169" s="438"/>
      <c r="R169" s="443"/>
      <c r="S169" s="439"/>
      <c r="T169" s="442"/>
      <c r="U169" s="438"/>
      <c r="V169" s="443"/>
      <c r="W169" s="434"/>
      <c r="X169" s="442"/>
      <c r="Y169" s="438"/>
      <c r="Z169" s="442"/>
      <c r="AA169" s="440"/>
    </row>
    <row r="170" spans="1:27" hidden="1" x14ac:dyDescent="0.25">
      <c r="A170" s="430"/>
      <c r="B170" s="6" t="str">
        <f>IF(A170&lt;&gt;"",INDEX('Base de données'!A$4:L$990,MATCH(' TVA M'!A170,'Base de données'!A$4:A$990,0),2),"")</f>
        <v/>
      </c>
      <c r="C170" s="7" t="str">
        <f>IF(A170&lt;&gt;"",INDEX('Base de données'!A$4:L$990,MATCH(' TVA M'!A170,'Base de données'!A$4:A$990,0),12),"")</f>
        <v/>
      </c>
      <c r="D170" s="442"/>
      <c r="E170" s="438"/>
      <c r="F170" s="443"/>
      <c r="G170" s="439"/>
      <c r="H170" s="442"/>
      <c r="I170" s="438"/>
      <c r="J170" s="443"/>
      <c r="K170" s="439"/>
      <c r="L170" s="442"/>
      <c r="M170" s="438"/>
      <c r="N170" s="443"/>
      <c r="O170" s="439"/>
      <c r="P170" s="442"/>
      <c r="Q170" s="438"/>
      <c r="R170" s="443"/>
      <c r="S170" s="439"/>
      <c r="T170" s="442"/>
      <c r="U170" s="438"/>
      <c r="V170" s="443"/>
      <c r="W170" s="434"/>
      <c r="X170" s="442"/>
      <c r="Y170" s="438"/>
      <c r="Z170" s="442"/>
      <c r="AA170" s="440"/>
    </row>
    <row r="171" spans="1:27" hidden="1" x14ac:dyDescent="0.25">
      <c r="A171" s="430"/>
      <c r="B171" s="6" t="str">
        <f>IF(A171&lt;&gt;"",INDEX('Base de données'!A$4:L$990,MATCH(' TVA M'!A171,'Base de données'!A$4:A$990,0),2),"")</f>
        <v/>
      </c>
      <c r="C171" s="7" t="str">
        <f>IF(A171&lt;&gt;"",INDEX('Base de données'!A$4:L$990,MATCH(' TVA M'!A171,'Base de données'!A$4:A$990,0),12),"")</f>
        <v/>
      </c>
      <c r="D171" s="442"/>
      <c r="E171" s="438"/>
      <c r="F171" s="443"/>
      <c r="G171" s="439"/>
      <c r="H171" s="442"/>
      <c r="I171" s="438"/>
      <c r="J171" s="443"/>
      <c r="K171" s="439"/>
      <c r="L171" s="442"/>
      <c r="M171" s="438"/>
      <c r="N171" s="443"/>
      <c r="O171" s="439"/>
      <c r="P171" s="442"/>
      <c r="Q171" s="438"/>
      <c r="R171" s="443"/>
      <c r="S171" s="439"/>
      <c r="T171" s="442"/>
      <c r="U171" s="438"/>
      <c r="V171" s="443"/>
      <c r="W171" s="434"/>
      <c r="X171" s="442"/>
      <c r="Y171" s="438"/>
      <c r="Z171" s="442"/>
      <c r="AA171" s="440"/>
    </row>
    <row r="172" spans="1:27" hidden="1" x14ac:dyDescent="0.25">
      <c r="A172" s="430"/>
      <c r="B172" s="6" t="str">
        <f>IF(A172&lt;&gt;"",INDEX('Base de données'!A$4:L$990,MATCH(' TVA M'!A172,'Base de données'!A$4:A$990,0),2),"")</f>
        <v/>
      </c>
      <c r="C172" s="7" t="str">
        <f>IF(A172&lt;&gt;"",INDEX('Base de données'!A$4:L$990,MATCH(' TVA M'!A172,'Base de données'!A$4:A$990,0),12),"")</f>
        <v/>
      </c>
      <c r="D172" s="442"/>
      <c r="E172" s="438"/>
      <c r="F172" s="443"/>
      <c r="G172" s="439"/>
      <c r="H172" s="442"/>
      <c r="I172" s="438"/>
      <c r="J172" s="443"/>
      <c r="K172" s="439"/>
      <c r="L172" s="442"/>
      <c r="M172" s="438"/>
      <c r="N172" s="443"/>
      <c r="O172" s="439"/>
      <c r="P172" s="442"/>
      <c r="Q172" s="438"/>
      <c r="R172" s="443"/>
      <c r="S172" s="439"/>
      <c r="T172" s="442"/>
      <c r="U172" s="438"/>
      <c r="V172" s="443"/>
      <c r="W172" s="434"/>
      <c r="X172" s="442"/>
      <c r="Y172" s="438"/>
      <c r="Z172" s="442"/>
      <c r="AA172" s="440"/>
    </row>
    <row r="173" spans="1:27" hidden="1" x14ac:dyDescent="0.25">
      <c r="A173" s="430"/>
      <c r="B173" s="6" t="str">
        <f>IF(A173&lt;&gt;"",INDEX('Base de données'!A$4:L$990,MATCH(' TVA M'!A173,'Base de données'!A$4:A$990,0),2),"")</f>
        <v/>
      </c>
      <c r="C173" s="7" t="str">
        <f>IF(A173&lt;&gt;"",INDEX('Base de données'!A$4:L$990,MATCH(' TVA M'!A173,'Base de données'!A$4:A$990,0),12),"")</f>
        <v/>
      </c>
      <c r="D173" s="442"/>
      <c r="E173" s="438"/>
      <c r="F173" s="443"/>
      <c r="G173" s="439"/>
      <c r="H173" s="442"/>
      <c r="I173" s="438"/>
      <c r="J173" s="443"/>
      <c r="K173" s="439"/>
      <c r="L173" s="442"/>
      <c r="M173" s="438"/>
      <c r="N173" s="443"/>
      <c r="O173" s="439"/>
      <c r="P173" s="442"/>
      <c r="Q173" s="438"/>
      <c r="R173" s="443"/>
      <c r="S173" s="439"/>
      <c r="T173" s="442"/>
      <c r="U173" s="438"/>
      <c r="V173" s="443"/>
      <c r="W173" s="434"/>
      <c r="X173" s="442"/>
      <c r="Y173" s="438"/>
      <c r="Z173" s="442"/>
      <c r="AA173" s="440"/>
    </row>
    <row r="174" spans="1:27" hidden="1" x14ac:dyDescent="0.25">
      <c r="A174" s="430"/>
      <c r="B174" s="6" t="str">
        <f>IF(A174&lt;&gt;"",INDEX('Base de données'!A$4:L$990,MATCH(' TVA M'!A174,'Base de données'!A$4:A$990,0),2),"")</f>
        <v/>
      </c>
      <c r="C174" s="7" t="str">
        <f>IF(A174&lt;&gt;"",INDEX('Base de données'!A$4:L$990,MATCH(' TVA M'!A174,'Base de données'!A$4:A$990,0),12),"")</f>
        <v/>
      </c>
      <c r="D174" s="442"/>
      <c r="E174" s="438"/>
      <c r="F174" s="443"/>
      <c r="G174" s="439"/>
      <c r="H174" s="442"/>
      <c r="I174" s="438"/>
      <c r="J174" s="443"/>
      <c r="K174" s="439"/>
      <c r="L174" s="442"/>
      <c r="M174" s="438"/>
      <c r="N174" s="443"/>
      <c r="O174" s="439"/>
      <c r="P174" s="442"/>
      <c r="Q174" s="438"/>
      <c r="R174" s="443"/>
      <c r="S174" s="439"/>
      <c r="T174" s="442"/>
      <c r="U174" s="438"/>
      <c r="V174" s="443"/>
      <c r="W174" s="434"/>
      <c r="X174" s="442"/>
      <c r="Y174" s="438"/>
      <c r="Z174" s="442"/>
      <c r="AA174" s="440"/>
    </row>
    <row r="175" spans="1:27" hidden="1" x14ac:dyDescent="0.25">
      <c r="A175" s="430"/>
      <c r="B175" s="6" t="str">
        <f>IF(A175&lt;&gt;"",INDEX('Base de données'!A$4:L$990,MATCH(' TVA M'!A175,'Base de données'!A$4:A$990,0),2),"")</f>
        <v/>
      </c>
      <c r="C175" s="7" t="str">
        <f>IF(A175&lt;&gt;"",INDEX('Base de données'!A$4:L$990,MATCH(' TVA M'!A175,'Base de données'!A$4:A$990,0),12),"")</f>
        <v/>
      </c>
      <c r="D175" s="442"/>
      <c r="E175" s="438"/>
      <c r="F175" s="443"/>
      <c r="G175" s="439"/>
      <c r="H175" s="442"/>
      <c r="I175" s="438"/>
      <c r="J175" s="443"/>
      <c r="K175" s="439"/>
      <c r="L175" s="442"/>
      <c r="M175" s="438"/>
      <c r="N175" s="443"/>
      <c r="O175" s="439"/>
      <c r="P175" s="442"/>
      <c r="Q175" s="438"/>
      <c r="R175" s="443"/>
      <c r="S175" s="439"/>
      <c r="T175" s="442"/>
      <c r="U175" s="438"/>
      <c r="V175" s="443"/>
      <c r="W175" s="434"/>
      <c r="X175" s="442"/>
      <c r="Y175" s="438"/>
      <c r="Z175" s="442"/>
      <c r="AA175" s="440"/>
    </row>
    <row r="176" spans="1:27" hidden="1" x14ac:dyDescent="0.25">
      <c r="A176" s="430"/>
      <c r="B176" s="6" t="str">
        <f>IF(A176&lt;&gt;"",INDEX('Base de données'!A$4:L$990,MATCH(' TVA M'!A176,'Base de données'!A$4:A$990,0),2),"")</f>
        <v/>
      </c>
      <c r="C176" s="7" t="str">
        <f>IF(A176&lt;&gt;"",INDEX('Base de données'!A$4:L$990,MATCH(' TVA M'!A176,'Base de données'!A$4:A$990,0),12),"")</f>
        <v/>
      </c>
      <c r="D176" s="442"/>
      <c r="E176" s="438"/>
      <c r="F176" s="443"/>
      <c r="G176" s="439"/>
      <c r="H176" s="442"/>
      <c r="I176" s="438"/>
      <c r="J176" s="443"/>
      <c r="K176" s="439"/>
      <c r="L176" s="442"/>
      <c r="M176" s="438"/>
      <c r="N176" s="443"/>
      <c r="O176" s="439"/>
      <c r="P176" s="442"/>
      <c r="Q176" s="438"/>
      <c r="R176" s="443"/>
      <c r="S176" s="439"/>
      <c r="T176" s="442"/>
      <c r="U176" s="438"/>
      <c r="V176" s="443"/>
      <c r="W176" s="434"/>
      <c r="X176" s="442"/>
      <c r="Y176" s="438"/>
      <c r="Z176" s="442"/>
      <c r="AA176" s="440"/>
    </row>
    <row r="177" spans="1:27" hidden="1" x14ac:dyDescent="0.25">
      <c r="A177" s="430"/>
      <c r="B177" s="6" t="str">
        <f>IF(A177&lt;&gt;"",INDEX('Base de données'!A$4:L$990,MATCH(' TVA M'!A177,'Base de données'!A$4:A$990,0),2),"")</f>
        <v/>
      </c>
      <c r="C177" s="7" t="str">
        <f>IF(A177&lt;&gt;"",INDEX('Base de données'!A$4:L$990,MATCH(' TVA M'!A177,'Base de données'!A$4:A$990,0),12),"")</f>
        <v/>
      </c>
      <c r="D177" s="442"/>
      <c r="E177" s="438"/>
      <c r="F177" s="443"/>
      <c r="G177" s="439"/>
      <c r="H177" s="442"/>
      <c r="I177" s="438"/>
      <c r="J177" s="443"/>
      <c r="K177" s="439"/>
      <c r="L177" s="442"/>
      <c r="M177" s="438"/>
      <c r="N177" s="443"/>
      <c r="O177" s="439"/>
      <c r="P177" s="442"/>
      <c r="Q177" s="438"/>
      <c r="R177" s="443"/>
      <c r="S177" s="439"/>
      <c r="T177" s="442"/>
      <c r="U177" s="438"/>
      <c r="V177" s="443"/>
      <c r="W177" s="434"/>
      <c r="X177" s="442"/>
      <c r="Y177" s="438"/>
      <c r="Z177" s="442"/>
      <c r="AA177" s="440"/>
    </row>
    <row r="178" spans="1:27" hidden="1" x14ac:dyDescent="0.25">
      <c r="A178" s="430"/>
      <c r="B178" s="6" t="str">
        <f>IF(A178&lt;&gt;"",INDEX('Base de données'!A$4:L$990,MATCH(' TVA M'!A178,'Base de données'!A$4:A$990,0),2),"")</f>
        <v/>
      </c>
      <c r="C178" s="7" t="str">
        <f>IF(A178&lt;&gt;"",INDEX('Base de données'!A$4:L$990,MATCH(' TVA M'!A178,'Base de données'!A$4:A$990,0),12),"")</f>
        <v/>
      </c>
      <c r="D178" s="442"/>
      <c r="E178" s="438"/>
      <c r="F178" s="443"/>
      <c r="G178" s="439"/>
      <c r="H178" s="442"/>
      <c r="I178" s="438"/>
      <c r="J178" s="443"/>
      <c r="K178" s="439"/>
      <c r="L178" s="442"/>
      <c r="M178" s="438"/>
      <c r="N178" s="443"/>
      <c r="O178" s="439"/>
      <c r="P178" s="442"/>
      <c r="Q178" s="438"/>
      <c r="R178" s="443"/>
      <c r="S178" s="439"/>
      <c r="T178" s="442"/>
      <c r="U178" s="438"/>
      <c r="V178" s="443"/>
      <c r="W178" s="434"/>
      <c r="X178" s="442"/>
      <c r="Y178" s="438"/>
      <c r="Z178" s="442"/>
      <c r="AA178" s="440"/>
    </row>
    <row r="179" spans="1:27" hidden="1" x14ac:dyDescent="0.25">
      <c r="A179" s="430"/>
      <c r="B179" s="6" t="str">
        <f>IF(A179&lt;&gt;"",INDEX('Base de données'!A$4:L$990,MATCH(' TVA M'!A179,'Base de données'!A$4:A$990,0),2),"")</f>
        <v/>
      </c>
      <c r="C179" s="7" t="str">
        <f>IF(A179&lt;&gt;"",INDEX('Base de données'!A$4:L$990,MATCH(' TVA M'!A179,'Base de données'!A$4:A$990,0),12),"")</f>
        <v/>
      </c>
      <c r="D179" s="442"/>
      <c r="E179" s="438"/>
      <c r="F179" s="443"/>
      <c r="G179" s="439"/>
      <c r="H179" s="442"/>
      <c r="I179" s="438"/>
      <c r="J179" s="443"/>
      <c r="K179" s="439"/>
      <c r="L179" s="442"/>
      <c r="M179" s="438"/>
      <c r="N179" s="443"/>
      <c r="O179" s="439"/>
      <c r="P179" s="442"/>
      <c r="Q179" s="438"/>
      <c r="R179" s="443"/>
      <c r="S179" s="439"/>
      <c r="T179" s="442"/>
      <c r="U179" s="438"/>
      <c r="V179" s="443"/>
      <c r="W179" s="434"/>
      <c r="X179" s="442"/>
      <c r="Y179" s="438"/>
      <c r="Z179" s="442"/>
      <c r="AA179" s="440"/>
    </row>
    <row r="180" spans="1:27" hidden="1" x14ac:dyDescent="0.25">
      <c r="A180" s="430"/>
      <c r="B180" s="6" t="str">
        <f>IF(A180&lt;&gt;"",INDEX('Base de données'!A$4:L$990,MATCH(' TVA M'!A180,'Base de données'!A$4:A$990,0),2),"")</f>
        <v/>
      </c>
      <c r="C180" s="7" t="str">
        <f>IF(A180&lt;&gt;"",INDEX('Base de données'!A$4:L$990,MATCH(' TVA M'!A180,'Base de données'!A$4:A$990,0),12),"")</f>
        <v/>
      </c>
      <c r="D180" s="442"/>
      <c r="E180" s="438"/>
      <c r="F180" s="443"/>
      <c r="G180" s="439"/>
      <c r="H180" s="442"/>
      <c r="I180" s="438"/>
      <c r="J180" s="443"/>
      <c r="K180" s="439"/>
      <c r="L180" s="442"/>
      <c r="M180" s="438"/>
      <c r="N180" s="443"/>
      <c r="O180" s="439"/>
      <c r="P180" s="442"/>
      <c r="Q180" s="438"/>
      <c r="R180" s="443"/>
      <c r="S180" s="439"/>
      <c r="T180" s="442"/>
      <c r="U180" s="438"/>
      <c r="V180" s="443"/>
      <c r="W180" s="434"/>
      <c r="X180" s="442"/>
      <c r="Y180" s="438"/>
      <c r="Z180" s="442"/>
      <c r="AA180" s="440"/>
    </row>
    <row r="181" spans="1:27" hidden="1" x14ac:dyDescent="0.25">
      <c r="A181" s="430"/>
      <c r="B181" s="6" t="str">
        <f>IF(A181&lt;&gt;"",INDEX('Base de données'!A$4:L$990,MATCH(' TVA M'!A181,'Base de données'!A$4:A$990,0),2),"")</f>
        <v/>
      </c>
      <c r="C181" s="7" t="str">
        <f>IF(A181&lt;&gt;"",INDEX('Base de données'!A$4:L$990,MATCH(' TVA M'!A181,'Base de données'!A$4:A$990,0),12),"")</f>
        <v/>
      </c>
      <c r="D181" s="442"/>
      <c r="E181" s="438"/>
      <c r="F181" s="443"/>
      <c r="G181" s="439"/>
      <c r="H181" s="442"/>
      <c r="I181" s="438"/>
      <c r="J181" s="443"/>
      <c r="K181" s="439"/>
      <c r="L181" s="442"/>
      <c r="M181" s="438"/>
      <c r="N181" s="443"/>
      <c r="O181" s="439"/>
      <c r="P181" s="442"/>
      <c r="Q181" s="438"/>
      <c r="R181" s="443"/>
      <c r="S181" s="439"/>
      <c r="T181" s="442"/>
      <c r="U181" s="438"/>
      <c r="V181" s="443"/>
      <c r="W181" s="434"/>
      <c r="X181" s="442"/>
      <c r="Y181" s="438"/>
      <c r="Z181" s="442"/>
      <c r="AA181" s="440"/>
    </row>
    <row r="182" spans="1:27" hidden="1" x14ac:dyDescent="0.25">
      <c r="A182" s="430"/>
      <c r="B182" s="6" t="str">
        <f>IF(A182&lt;&gt;"",INDEX('Base de données'!A$4:L$990,MATCH(' TVA M'!A182,'Base de données'!A$4:A$990,0),2),"")</f>
        <v/>
      </c>
      <c r="C182" s="7" t="str">
        <f>IF(A182&lt;&gt;"",INDEX('Base de données'!A$4:L$990,MATCH(' TVA M'!A182,'Base de données'!A$4:A$990,0),12),"")</f>
        <v/>
      </c>
      <c r="D182" s="442"/>
      <c r="E182" s="438"/>
      <c r="F182" s="443"/>
      <c r="G182" s="439"/>
      <c r="H182" s="442"/>
      <c r="I182" s="438"/>
      <c r="J182" s="443"/>
      <c r="K182" s="439"/>
      <c r="L182" s="442"/>
      <c r="M182" s="438"/>
      <c r="N182" s="443"/>
      <c r="O182" s="439"/>
      <c r="P182" s="442"/>
      <c r="Q182" s="438"/>
      <c r="R182" s="443"/>
      <c r="S182" s="439"/>
      <c r="T182" s="442"/>
      <c r="U182" s="438"/>
      <c r="V182" s="443"/>
      <c r="W182" s="434"/>
      <c r="X182" s="442"/>
      <c r="Y182" s="438"/>
      <c r="Z182" s="442"/>
      <c r="AA182" s="440"/>
    </row>
    <row r="183" spans="1:27" hidden="1" x14ac:dyDescent="0.25">
      <c r="A183" s="430"/>
      <c r="B183" s="6" t="str">
        <f>IF(A183&lt;&gt;"",INDEX('Base de données'!A$4:L$990,MATCH(' TVA M'!A183,'Base de données'!A$4:A$990,0),2),"")</f>
        <v/>
      </c>
      <c r="C183" s="7" t="str">
        <f>IF(A183&lt;&gt;"",INDEX('Base de données'!A$4:L$990,MATCH(' TVA M'!A183,'Base de données'!A$4:A$990,0),12),"")</f>
        <v/>
      </c>
      <c r="D183" s="442"/>
      <c r="E183" s="438"/>
      <c r="F183" s="443"/>
      <c r="G183" s="439"/>
      <c r="H183" s="442"/>
      <c r="I183" s="438"/>
      <c r="J183" s="443"/>
      <c r="K183" s="439"/>
      <c r="L183" s="442"/>
      <c r="M183" s="438"/>
      <c r="N183" s="443"/>
      <c r="O183" s="439"/>
      <c r="P183" s="442"/>
      <c r="Q183" s="438"/>
      <c r="R183" s="443"/>
      <c r="S183" s="439"/>
      <c r="T183" s="442"/>
      <c r="U183" s="438"/>
      <c r="V183" s="443"/>
      <c r="W183" s="434"/>
      <c r="X183" s="442"/>
      <c r="Y183" s="438"/>
      <c r="Z183" s="442"/>
      <c r="AA183" s="440"/>
    </row>
    <row r="184" spans="1:27" hidden="1" x14ac:dyDescent="0.25">
      <c r="A184" s="430"/>
      <c r="B184" s="6" t="str">
        <f>IF(A184&lt;&gt;"",INDEX('Base de données'!A$4:L$990,MATCH(' TVA M'!A184,'Base de données'!A$4:A$990,0),2),"")</f>
        <v/>
      </c>
      <c r="C184" s="7" t="str">
        <f>IF(A184&lt;&gt;"",INDEX('Base de données'!A$4:L$990,MATCH(' TVA M'!A184,'Base de données'!A$4:A$990,0),12),"")</f>
        <v/>
      </c>
      <c r="D184" s="442"/>
      <c r="E184" s="438"/>
      <c r="F184" s="443"/>
      <c r="G184" s="439"/>
      <c r="H184" s="442"/>
      <c r="I184" s="438"/>
      <c r="J184" s="443"/>
      <c r="K184" s="439"/>
      <c r="L184" s="442"/>
      <c r="M184" s="438"/>
      <c r="N184" s="443"/>
      <c r="O184" s="439"/>
      <c r="P184" s="442"/>
      <c r="Q184" s="438"/>
      <c r="R184" s="443"/>
      <c r="S184" s="439"/>
      <c r="T184" s="442"/>
      <c r="U184" s="438"/>
      <c r="V184" s="443"/>
      <c r="W184" s="434"/>
      <c r="X184" s="442"/>
      <c r="Y184" s="438"/>
      <c r="Z184" s="442"/>
      <c r="AA184" s="440"/>
    </row>
    <row r="185" spans="1:27" hidden="1" x14ac:dyDescent="0.25">
      <c r="A185" s="430"/>
      <c r="B185" s="6" t="str">
        <f>IF(A185&lt;&gt;"",INDEX('Base de données'!A$4:L$990,MATCH(' TVA M'!A185,'Base de données'!A$4:A$990,0),2),"")</f>
        <v/>
      </c>
      <c r="C185" s="7" t="str">
        <f>IF(A185&lt;&gt;"",INDEX('Base de données'!A$4:L$990,MATCH(' TVA M'!A185,'Base de données'!A$4:A$990,0),12),"")</f>
        <v/>
      </c>
      <c r="D185" s="442"/>
      <c r="E185" s="438"/>
      <c r="F185" s="443"/>
      <c r="G185" s="439"/>
      <c r="H185" s="442"/>
      <c r="I185" s="438"/>
      <c r="J185" s="443"/>
      <c r="K185" s="439"/>
      <c r="L185" s="442"/>
      <c r="M185" s="438"/>
      <c r="N185" s="443"/>
      <c r="O185" s="439"/>
      <c r="P185" s="442"/>
      <c r="Q185" s="438"/>
      <c r="R185" s="443"/>
      <c r="S185" s="439"/>
      <c r="T185" s="442"/>
      <c r="U185" s="438"/>
      <c r="V185" s="443"/>
      <c r="W185" s="434"/>
      <c r="X185" s="442"/>
      <c r="Y185" s="438"/>
      <c r="Z185" s="442"/>
      <c r="AA185" s="440"/>
    </row>
    <row r="186" spans="1:27" hidden="1" x14ac:dyDescent="0.25">
      <c r="A186" s="430"/>
      <c r="B186" s="6" t="str">
        <f>IF(A186&lt;&gt;"",INDEX('Base de données'!A$4:L$990,MATCH(' TVA M'!A186,'Base de données'!A$4:A$990,0),2),"")</f>
        <v/>
      </c>
      <c r="C186" s="7" t="str">
        <f>IF(A186&lt;&gt;"",INDEX('Base de données'!A$4:L$990,MATCH(' TVA M'!A186,'Base de données'!A$4:A$990,0),12),"")</f>
        <v/>
      </c>
      <c r="D186" s="442"/>
      <c r="E186" s="438"/>
      <c r="F186" s="443"/>
      <c r="G186" s="439"/>
      <c r="H186" s="442"/>
      <c r="I186" s="438"/>
      <c r="J186" s="443"/>
      <c r="K186" s="439"/>
      <c r="L186" s="442"/>
      <c r="M186" s="438"/>
      <c r="N186" s="443"/>
      <c r="O186" s="439"/>
      <c r="P186" s="442"/>
      <c r="Q186" s="438"/>
      <c r="R186" s="443"/>
      <c r="S186" s="439"/>
      <c r="T186" s="442"/>
      <c r="U186" s="438"/>
      <c r="V186" s="443"/>
      <c r="W186" s="434"/>
      <c r="X186" s="442"/>
      <c r="Y186" s="438"/>
      <c r="Z186" s="442"/>
      <c r="AA186" s="440"/>
    </row>
    <row r="187" spans="1:27" hidden="1" x14ac:dyDescent="0.25">
      <c r="A187" s="430"/>
      <c r="B187" s="6" t="str">
        <f>IF(A187&lt;&gt;"",INDEX('Base de données'!A$4:L$990,MATCH(' TVA M'!A187,'Base de données'!A$4:A$990,0),2),"")</f>
        <v/>
      </c>
      <c r="C187" s="7" t="str">
        <f>IF(A187&lt;&gt;"",INDEX('Base de données'!A$4:L$990,MATCH(' TVA M'!A187,'Base de données'!A$4:A$990,0),12),"")</f>
        <v/>
      </c>
      <c r="D187" s="442"/>
      <c r="E187" s="438"/>
      <c r="F187" s="443"/>
      <c r="G187" s="439"/>
      <c r="H187" s="442"/>
      <c r="I187" s="438"/>
      <c r="J187" s="443"/>
      <c r="K187" s="439"/>
      <c r="L187" s="442"/>
      <c r="M187" s="438"/>
      <c r="N187" s="443"/>
      <c r="O187" s="439"/>
      <c r="P187" s="442"/>
      <c r="Q187" s="438"/>
      <c r="R187" s="443"/>
      <c r="S187" s="439"/>
      <c r="T187" s="442"/>
      <c r="U187" s="438"/>
      <c r="V187" s="443"/>
      <c r="W187" s="434"/>
      <c r="X187" s="442"/>
      <c r="Y187" s="438"/>
      <c r="Z187" s="442"/>
      <c r="AA187" s="440"/>
    </row>
    <row r="188" spans="1:27" hidden="1" x14ac:dyDescent="0.25">
      <c r="A188" s="430"/>
      <c r="B188" s="6" t="str">
        <f>IF(A188&lt;&gt;"",INDEX('Base de données'!A$4:L$990,MATCH(' TVA M'!A188,'Base de données'!A$4:A$990,0),2),"")</f>
        <v/>
      </c>
      <c r="C188" s="7" t="str">
        <f>IF(A188&lt;&gt;"",INDEX('Base de données'!A$4:L$990,MATCH(' TVA M'!A188,'Base de données'!A$4:A$990,0),12),"")</f>
        <v/>
      </c>
      <c r="D188" s="442"/>
      <c r="E188" s="438"/>
      <c r="F188" s="443"/>
      <c r="G188" s="439"/>
      <c r="H188" s="442"/>
      <c r="I188" s="438"/>
      <c r="J188" s="443"/>
      <c r="K188" s="439"/>
      <c r="L188" s="442"/>
      <c r="M188" s="438"/>
      <c r="N188" s="443"/>
      <c r="O188" s="439"/>
      <c r="P188" s="442"/>
      <c r="Q188" s="438"/>
      <c r="R188" s="443"/>
      <c r="S188" s="439"/>
      <c r="T188" s="442"/>
      <c r="U188" s="438"/>
      <c r="V188" s="443"/>
      <c r="W188" s="434"/>
      <c r="X188" s="442"/>
      <c r="Y188" s="438"/>
      <c r="Z188" s="442"/>
      <c r="AA188" s="440"/>
    </row>
    <row r="189" spans="1:27" hidden="1" x14ac:dyDescent="0.25">
      <c r="A189" s="430"/>
      <c r="B189" s="6" t="str">
        <f>IF(A189&lt;&gt;"",INDEX('Base de données'!A$4:L$990,MATCH(' TVA M'!A189,'Base de données'!A$4:A$990,0),2),"")</f>
        <v/>
      </c>
      <c r="C189" s="7" t="str">
        <f>IF(A189&lt;&gt;"",INDEX('Base de données'!A$4:L$990,MATCH(' TVA M'!A189,'Base de données'!A$4:A$990,0),12),"")</f>
        <v/>
      </c>
      <c r="D189" s="442"/>
      <c r="E189" s="438"/>
      <c r="F189" s="443"/>
      <c r="G189" s="439"/>
      <c r="H189" s="442"/>
      <c r="I189" s="438"/>
      <c r="J189" s="443"/>
      <c r="K189" s="439"/>
      <c r="L189" s="442"/>
      <c r="M189" s="438"/>
      <c r="N189" s="443"/>
      <c r="O189" s="439"/>
      <c r="P189" s="442"/>
      <c r="Q189" s="438"/>
      <c r="R189" s="443"/>
      <c r="S189" s="439"/>
      <c r="T189" s="442"/>
      <c r="U189" s="438"/>
      <c r="V189" s="443"/>
      <c r="W189" s="434"/>
      <c r="X189" s="442"/>
      <c r="Y189" s="438"/>
      <c r="Z189" s="442"/>
      <c r="AA189" s="440"/>
    </row>
    <row r="190" spans="1:27" hidden="1" x14ac:dyDescent="0.25">
      <c r="A190" s="430"/>
      <c r="B190" s="6" t="str">
        <f>IF(A190&lt;&gt;"",INDEX('Base de données'!A$4:L$990,MATCH(' TVA M'!A190,'Base de données'!A$4:A$990,0),2),"")</f>
        <v/>
      </c>
      <c r="C190" s="7" t="str">
        <f>IF(A190&lt;&gt;"",INDEX('Base de données'!A$4:L$990,MATCH(' TVA M'!A190,'Base de données'!A$4:A$990,0),12),"")</f>
        <v/>
      </c>
      <c r="D190" s="442"/>
      <c r="E190" s="438"/>
      <c r="F190" s="443"/>
      <c r="G190" s="439"/>
      <c r="H190" s="442"/>
      <c r="I190" s="438"/>
      <c r="J190" s="443"/>
      <c r="K190" s="439"/>
      <c r="L190" s="442"/>
      <c r="M190" s="438"/>
      <c r="N190" s="443"/>
      <c r="O190" s="439"/>
      <c r="P190" s="442"/>
      <c r="Q190" s="438"/>
      <c r="R190" s="443"/>
      <c r="S190" s="439"/>
      <c r="T190" s="442"/>
      <c r="U190" s="438"/>
      <c r="V190" s="443"/>
      <c r="W190" s="434"/>
      <c r="X190" s="442"/>
      <c r="Y190" s="438"/>
      <c r="Z190" s="442"/>
      <c r="AA190" s="440"/>
    </row>
    <row r="191" spans="1:27" hidden="1" x14ac:dyDescent="0.25">
      <c r="A191" s="430"/>
      <c r="B191" s="6" t="str">
        <f>IF(A191&lt;&gt;"",INDEX('Base de données'!A$4:L$990,MATCH(' TVA M'!A191,'Base de données'!A$4:A$990,0),2),"")</f>
        <v/>
      </c>
      <c r="C191" s="7" t="str">
        <f>IF(A191&lt;&gt;"",INDEX('Base de données'!A$4:L$990,MATCH(' TVA M'!A191,'Base de données'!A$4:A$990,0),12),"")</f>
        <v/>
      </c>
      <c r="D191" s="442"/>
      <c r="E191" s="438"/>
      <c r="F191" s="443"/>
      <c r="G191" s="439"/>
      <c r="H191" s="442"/>
      <c r="I191" s="438"/>
      <c r="J191" s="443"/>
      <c r="K191" s="439"/>
      <c r="L191" s="442"/>
      <c r="M191" s="438"/>
      <c r="N191" s="443"/>
      <c r="O191" s="439"/>
      <c r="P191" s="442"/>
      <c r="Q191" s="438"/>
      <c r="R191" s="443"/>
      <c r="S191" s="439"/>
      <c r="T191" s="442"/>
      <c r="U191" s="438"/>
      <c r="V191" s="443"/>
      <c r="W191" s="434"/>
      <c r="X191" s="442"/>
      <c r="Y191" s="438"/>
      <c r="Z191" s="442"/>
      <c r="AA191" s="440"/>
    </row>
    <row r="192" spans="1:27" hidden="1" x14ac:dyDescent="0.25">
      <c r="A192" s="430"/>
      <c r="B192" s="6" t="str">
        <f>IF(A192&lt;&gt;"",INDEX('Base de données'!A$4:L$990,MATCH(' TVA M'!A192,'Base de données'!A$4:A$990,0),2),"")</f>
        <v/>
      </c>
      <c r="C192" s="7" t="str">
        <f>IF(A192&lt;&gt;"",INDEX('Base de données'!A$4:L$990,MATCH(' TVA M'!A192,'Base de données'!A$4:A$990,0),12),"")</f>
        <v/>
      </c>
      <c r="D192" s="442"/>
      <c r="E192" s="438"/>
      <c r="F192" s="443"/>
      <c r="G192" s="439"/>
      <c r="H192" s="442"/>
      <c r="I192" s="438"/>
      <c r="J192" s="443"/>
      <c r="K192" s="439"/>
      <c r="L192" s="442"/>
      <c r="M192" s="438"/>
      <c r="N192" s="443"/>
      <c r="O192" s="439"/>
      <c r="P192" s="442"/>
      <c r="Q192" s="438"/>
      <c r="R192" s="443"/>
      <c r="S192" s="439"/>
      <c r="T192" s="442"/>
      <c r="U192" s="438"/>
      <c r="V192" s="443"/>
      <c r="W192" s="434"/>
      <c r="X192" s="442"/>
      <c r="Y192" s="438"/>
      <c r="Z192" s="442"/>
      <c r="AA192" s="440"/>
    </row>
    <row r="193" spans="1:27" hidden="1" x14ac:dyDescent="0.25">
      <c r="A193" s="430"/>
      <c r="B193" s="6" t="str">
        <f>IF(A193&lt;&gt;"",INDEX('Base de données'!A$4:L$990,MATCH(' TVA M'!A193,'Base de données'!A$4:A$990,0),2),"")</f>
        <v/>
      </c>
      <c r="C193" s="7" t="str">
        <f>IF(A193&lt;&gt;"",INDEX('Base de données'!A$4:L$990,MATCH(' TVA M'!A193,'Base de données'!A$4:A$990,0),12),"")</f>
        <v/>
      </c>
      <c r="D193" s="442"/>
      <c r="E193" s="438"/>
      <c r="F193" s="443"/>
      <c r="G193" s="439"/>
      <c r="H193" s="442"/>
      <c r="I193" s="438"/>
      <c r="J193" s="443"/>
      <c r="K193" s="439"/>
      <c r="L193" s="442"/>
      <c r="M193" s="438"/>
      <c r="N193" s="443"/>
      <c r="O193" s="439"/>
      <c r="P193" s="442"/>
      <c r="Q193" s="438"/>
      <c r="R193" s="443"/>
      <c r="S193" s="439"/>
      <c r="T193" s="442"/>
      <c r="U193" s="438"/>
      <c r="V193" s="443"/>
      <c r="W193" s="434"/>
      <c r="X193" s="442"/>
      <c r="Y193" s="438"/>
      <c r="Z193" s="442"/>
      <c r="AA193" s="440"/>
    </row>
    <row r="194" spans="1:27" hidden="1" x14ac:dyDescent="0.25">
      <c r="A194" s="430"/>
      <c r="B194" s="6" t="str">
        <f>IF(A194&lt;&gt;"",INDEX('Base de données'!A$4:L$990,MATCH(' TVA M'!A194,'Base de données'!A$4:A$990,0),2),"")</f>
        <v/>
      </c>
      <c r="C194" s="7" t="str">
        <f>IF(A194&lt;&gt;"",INDEX('Base de données'!A$4:L$990,MATCH(' TVA M'!A194,'Base de données'!A$4:A$990,0),12),"")</f>
        <v/>
      </c>
      <c r="D194" s="442"/>
      <c r="E194" s="438"/>
      <c r="F194" s="443"/>
      <c r="G194" s="439"/>
      <c r="H194" s="442"/>
      <c r="I194" s="438"/>
      <c r="J194" s="443"/>
      <c r="K194" s="439"/>
      <c r="L194" s="442"/>
      <c r="M194" s="438"/>
      <c r="N194" s="443"/>
      <c r="O194" s="439"/>
      <c r="P194" s="442"/>
      <c r="Q194" s="438"/>
      <c r="R194" s="443"/>
      <c r="S194" s="439"/>
      <c r="T194" s="442"/>
      <c r="U194" s="438"/>
      <c r="V194" s="443"/>
      <c r="W194" s="434"/>
      <c r="X194" s="442"/>
      <c r="Y194" s="438"/>
      <c r="Z194" s="442"/>
      <c r="AA194" s="440"/>
    </row>
    <row r="195" spans="1:27" hidden="1" x14ac:dyDescent="0.25">
      <c r="A195" s="430"/>
      <c r="B195" s="6" t="str">
        <f>IF(A195&lt;&gt;"",INDEX('Base de données'!A$4:L$990,MATCH(' TVA M'!A195,'Base de données'!A$4:A$990,0),2),"")</f>
        <v/>
      </c>
      <c r="C195" s="7" t="str">
        <f>IF(A195&lt;&gt;"",INDEX('Base de données'!A$4:L$990,MATCH(' TVA M'!A195,'Base de données'!A$4:A$990,0),12),"")</f>
        <v/>
      </c>
      <c r="D195" s="442"/>
      <c r="E195" s="438"/>
      <c r="F195" s="443"/>
      <c r="G195" s="439"/>
      <c r="H195" s="442"/>
      <c r="I195" s="438"/>
      <c r="J195" s="443"/>
      <c r="K195" s="439"/>
      <c r="L195" s="442"/>
      <c r="M195" s="438"/>
      <c r="N195" s="443"/>
      <c r="O195" s="439"/>
      <c r="P195" s="442"/>
      <c r="Q195" s="438"/>
      <c r="R195" s="443"/>
      <c r="S195" s="439"/>
      <c r="T195" s="442"/>
      <c r="U195" s="438"/>
      <c r="V195" s="443"/>
      <c r="W195" s="434"/>
      <c r="X195" s="442"/>
      <c r="Y195" s="438"/>
      <c r="Z195" s="442"/>
      <c r="AA195" s="440"/>
    </row>
    <row r="196" spans="1:27" hidden="1" x14ac:dyDescent="0.25">
      <c r="A196" s="430"/>
      <c r="B196" s="6" t="str">
        <f>IF(A196&lt;&gt;"",INDEX('Base de données'!A$4:L$990,MATCH(' TVA M'!A196,'Base de données'!A$4:A$990,0),2),"")</f>
        <v/>
      </c>
      <c r="C196" s="7" t="str">
        <f>IF(A196&lt;&gt;"",INDEX('Base de données'!A$4:L$990,MATCH(' TVA M'!A196,'Base de données'!A$4:A$990,0),12),"")</f>
        <v/>
      </c>
      <c r="D196" s="442"/>
      <c r="E196" s="438"/>
      <c r="F196" s="443"/>
      <c r="G196" s="439"/>
      <c r="H196" s="442"/>
      <c r="I196" s="438"/>
      <c r="J196" s="443"/>
      <c r="K196" s="439"/>
      <c r="L196" s="442"/>
      <c r="M196" s="438"/>
      <c r="N196" s="443"/>
      <c r="O196" s="439"/>
      <c r="P196" s="442"/>
      <c r="Q196" s="438"/>
      <c r="R196" s="443"/>
      <c r="S196" s="439"/>
      <c r="T196" s="442"/>
      <c r="U196" s="438"/>
      <c r="V196" s="443"/>
      <c r="W196" s="434"/>
      <c r="X196" s="442"/>
      <c r="Y196" s="438"/>
      <c r="Z196" s="442"/>
      <c r="AA196" s="440"/>
    </row>
    <row r="197" spans="1:27" hidden="1" x14ac:dyDescent="0.25">
      <c r="A197" s="430"/>
      <c r="B197" s="6" t="str">
        <f>IF(A197&lt;&gt;"",INDEX('Base de données'!A$4:L$990,MATCH(' TVA M'!A197,'Base de données'!A$4:A$990,0),2),"")</f>
        <v/>
      </c>
      <c r="C197" s="7" t="str">
        <f>IF(A197&lt;&gt;"",INDEX('Base de données'!A$4:L$990,MATCH(' TVA M'!A197,'Base de données'!A$4:A$990,0),12),"")</f>
        <v/>
      </c>
      <c r="D197" s="442"/>
      <c r="E197" s="438"/>
      <c r="F197" s="443"/>
      <c r="G197" s="439"/>
      <c r="H197" s="442"/>
      <c r="I197" s="438"/>
      <c r="J197" s="443"/>
      <c r="K197" s="439"/>
      <c r="L197" s="442"/>
      <c r="M197" s="438"/>
      <c r="N197" s="443"/>
      <c r="O197" s="439"/>
      <c r="P197" s="442"/>
      <c r="Q197" s="438"/>
      <c r="R197" s="443"/>
      <c r="S197" s="439"/>
      <c r="T197" s="442"/>
      <c r="U197" s="438"/>
      <c r="V197" s="443"/>
      <c r="W197" s="434"/>
      <c r="X197" s="442"/>
      <c r="Y197" s="438"/>
      <c r="Z197" s="442"/>
      <c r="AA197" s="440"/>
    </row>
    <row r="198" spans="1:27" hidden="1" x14ac:dyDescent="0.25">
      <c r="A198" s="430"/>
      <c r="B198" s="6" t="str">
        <f>IF(A198&lt;&gt;"",INDEX('Base de données'!A$4:L$990,MATCH(' TVA M'!A198,'Base de données'!A$4:A$990,0),2),"")</f>
        <v/>
      </c>
      <c r="C198" s="7" t="str">
        <f>IF(A198&lt;&gt;"",INDEX('Base de données'!A$4:L$990,MATCH(' TVA M'!A198,'Base de données'!A$4:A$990,0),12),"")</f>
        <v/>
      </c>
      <c r="D198" s="442"/>
      <c r="E198" s="438"/>
      <c r="F198" s="443"/>
      <c r="G198" s="439"/>
      <c r="H198" s="442"/>
      <c r="I198" s="438"/>
      <c r="J198" s="443"/>
      <c r="K198" s="439"/>
      <c r="L198" s="442"/>
      <c r="M198" s="438"/>
      <c r="N198" s="443"/>
      <c r="O198" s="439"/>
      <c r="P198" s="442"/>
      <c r="Q198" s="438"/>
      <c r="R198" s="443"/>
      <c r="S198" s="439"/>
      <c r="T198" s="442"/>
      <c r="U198" s="438"/>
      <c r="V198" s="443"/>
      <c r="W198" s="434"/>
      <c r="X198" s="442"/>
      <c r="Y198" s="438"/>
      <c r="Z198" s="442"/>
      <c r="AA198" s="440"/>
    </row>
    <row r="199" spans="1:27" hidden="1" x14ac:dyDescent="0.25">
      <c r="A199" s="430"/>
      <c r="B199" s="6" t="str">
        <f>IF(A199&lt;&gt;"",INDEX('Base de données'!A$4:L$990,MATCH(' TVA M'!A199,'Base de données'!A$4:A$990,0),2),"")</f>
        <v/>
      </c>
      <c r="C199" s="7" t="str">
        <f>IF(A199&lt;&gt;"",INDEX('Base de données'!A$4:L$990,MATCH(' TVA M'!A199,'Base de données'!A$4:A$990,0),12),"")</f>
        <v/>
      </c>
      <c r="D199" s="442"/>
      <c r="E199" s="438"/>
      <c r="F199" s="443"/>
      <c r="G199" s="439"/>
      <c r="H199" s="442"/>
      <c r="I199" s="438"/>
      <c r="J199" s="443"/>
      <c r="K199" s="439"/>
      <c r="L199" s="442"/>
      <c r="M199" s="438"/>
      <c r="N199" s="443"/>
      <c r="O199" s="439"/>
      <c r="P199" s="442"/>
      <c r="Q199" s="438"/>
      <c r="R199" s="443"/>
      <c r="S199" s="439"/>
      <c r="T199" s="442"/>
      <c r="U199" s="438"/>
      <c r="V199" s="443"/>
      <c r="W199" s="434"/>
      <c r="X199" s="442"/>
      <c r="Y199" s="438"/>
      <c r="Z199" s="442"/>
      <c r="AA199" s="440"/>
    </row>
    <row r="200" spans="1:27" hidden="1" x14ac:dyDescent="0.25">
      <c r="A200" s="430"/>
      <c r="B200" s="6" t="str">
        <f>IF(A200&lt;&gt;"",INDEX('Base de données'!A$4:L$990,MATCH(' TVA M'!A200,'Base de données'!A$4:A$990,0),2),"")</f>
        <v/>
      </c>
      <c r="C200" s="7" t="str">
        <f>IF(A200&lt;&gt;"",INDEX('Base de données'!A$4:L$990,MATCH(' TVA M'!A200,'Base de données'!A$4:A$990,0),12),"")</f>
        <v/>
      </c>
      <c r="D200" s="442"/>
      <c r="E200" s="438"/>
      <c r="F200" s="443"/>
      <c r="G200" s="439"/>
      <c r="H200" s="442"/>
      <c r="I200" s="438"/>
      <c r="J200" s="443"/>
      <c r="K200" s="439"/>
      <c r="L200" s="442"/>
      <c r="M200" s="438"/>
      <c r="N200" s="443"/>
      <c r="O200" s="439"/>
      <c r="P200" s="442"/>
      <c r="Q200" s="438"/>
      <c r="R200" s="443"/>
      <c r="S200" s="439"/>
      <c r="T200" s="442"/>
      <c r="U200" s="438"/>
      <c r="V200" s="443"/>
      <c r="W200" s="434"/>
      <c r="X200" s="442"/>
      <c r="Y200" s="438"/>
      <c r="Z200" s="442"/>
      <c r="AA200" s="440"/>
    </row>
    <row r="201" spans="1:27" hidden="1" x14ac:dyDescent="0.25">
      <c r="A201" s="430"/>
      <c r="B201" s="6" t="str">
        <f>IF(A201&lt;&gt;"",INDEX('Base de données'!A$4:L$990,MATCH(' TVA M'!A201,'Base de données'!A$4:A$990,0),2),"")</f>
        <v/>
      </c>
      <c r="C201" s="7" t="str">
        <f>IF(A201&lt;&gt;"",INDEX('Base de données'!A$4:L$990,MATCH(' TVA M'!A201,'Base de données'!A$4:A$990,0),12),"")</f>
        <v/>
      </c>
      <c r="D201" s="442"/>
      <c r="E201" s="438"/>
      <c r="F201" s="443"/>
      <c r="G201" s="439"/>
      <c r="H201" s="442"/>
      <c r="I201" s="438"/>
      <c r="J201" s="443"/>
      <c r="K201" s="439"/>
      <c r="L201" s="442"/>
      <c r="M201" s="438"/>
      <c r="N201" s="443"/>
      <c r="O201" s="439"/>
      <c r="P201" s="442"/>
      <c r="Q201" s="438"/>
      <c r="R201" s="443"/>
      <c r="S201" s="439"/>
      <c r="T201" s="442"/>
      <c r="U201" s="438"/>
      <c r="V201" s="443"/>
      <c r="W201" s="434"/>
      <c r="X201" s="442"/>
      <c r="Y201" s="438"/>
      <c r="Z201" s="442"/>
      <c r="AA201" s="440"/>
    </row>
    <row r="202" spans="1:27" hidden="1" x14ac:dyDescent="0.25">
      <c r="A202" s="430"/>
      <c r="B202" s="6" t="str">
        <f>IF(A202&lt;&gt;"",INDEX('Base de données'!A$4:L$990,MATCH(' TVA M'!A202,'Base de données'!A$4:A$990,0),2),"")</f>
        <v/>
      </c>
      <c r="C202" s="7" t="str">
        <f>IF(A202&lt;&gt;"",INDEX('Base de données'!A$4:L$990,MATCH(' TVA M'!A202,'Base de données'!A$4:A$990,0),12),"")</f>
        <v/>
      </c>
      <c r="D202" s="442"/>
      <c r="E202" s="438"/>
      <c r="F202" s="443"/>
      <c r="G202" s="439"/>
      <c r="H202" s="442"/>
      <c r="I202" s="438"/>
      <c r="J202" s="443"/>
      <c r="K202" s="439"/>
      <c r="L202" s="442"/>
      <c r="M202" s="438"/>
      <c r="N202" s="443"/>
      <c r="O202" s="439"/>
      <c r="P202" s="442"/>
      <c r="Q202" s="438"/>
      <c r="R202" s="443"/>
      <c r="S202" s="439"/>
      <c r="T202" s="442"/>
      <c r="U202" s="438"/>
      <c r="V202" s="443"/>
      <c r="W202" s="434"/>
      <c r="X202" s="442"/>
      <c r="Y202" s="438"/>
      <c r="Z202" s="442"/>
      <c r="AA202" s="440"/>
    </row>
    <row r="203" spans="1:27" hidden="1" x14ac:dyDescent="0.25">
      <c r="A203" s="430"/>
      <c r="B203" s="6" t="str">
        <f>IF(A203&lt;&gt;"",INDEX('Base de données'!A$4:L$990,MATCH(' TVA M'!A203,'Base de données'!A$4:A$990,0),2),"")</f>
        <v/>
      </c>
      <c r="C203" s="7" t="str">
        <f>IF(A203&lt;&gt;"",INDEX('Base de données'!A$4:L$990,MATCH(' TVA M'!A203,'Base de données'!A$4:A$990,0),12),"")</f>
        <v/>
      </c>
      <c r="D203" s="442"/>
      <c r="E203" s="438"/>
      <c r="F203" s="443"/>
      <c r="G203" s="439"/>
      <c r="H203" s="442"/>
      <c r="I203" s="438"/>
      <c r="J203" s="443"/>
      <c r="K203" s="439"/>
      <c r="L203" s="442"/>
      <c r="M203" s="438"/>
      <c r="N203" s="443"/>
      <c r="O203" s="439"/>
      <c r="P203" s="442"/>
      <c r="Q203" s="438"/>
      <c r="R203" s="443"/>
      <c r="S203" s="439"/>
      <c r="T203" s="442"/>
      <c r="U203" s="438"/>
      <c r="V203" s="443"/>
      <c r="W203" s="434"/>
      <c r="X203" s="442"/>
      <c r="Y203" s="438"/>
      <c r="Z203" s="442"/>
      <c r="AA203" s="440"/>
    </row>
    <row r="204" spans="1:27" hidden="1" x14ac:dyDescent="0.25">
      <c r="A204" s="430"/>
      <c r="B204" s="6" t="str">
        <f>IF(A204&lt;&gt;"",INDEX('Base de données'!A$4:L$990,MATCH(' TVA M'!A204,'Base de données'!A$4:A$990,0),2),"")</f>
        <v/>
      </c>
      <c r="C204" s="7" t="str">
        <f>IF(A204&lt;&gt;"",INDEX('Base de données'!A$4:L$990,MATCH(' TVA M'!A204,'Base de données'!A$4:A$990,0),12),"")</f>
        <v/>
      </c>
      <c r="D204" s="442"/>
      <c r="E204" s="438"/>
      <c r="F204" s="443"/>
      <c r="G204" s="439"/>
      <c r="H204" s="442"/>
      <c r="I204" s="438"/>
      <c r="J204" s="443"/>
      <c r="K204" s="439"/>
      <c r="L204" s="442"/>
      <c r="M204" s="438"/>
      <c r="N204" s="443"/>
      <c r="O204" s="439"/>
      <c r="P204" s="442"/>
      <c r="Q204" s="438"/>
      <c r="R204" s="443"/>
      <c r="S204" s="439"/>
      <c r="T204" s="442"/>
      <c r="U204" s="438"/>
      <c r="V204" s="443"/>
      <c r="W204" s="434"/>
      <c r="X204" s="442"/>
      <c r="Y204" s="438"/>
      <c r="Z204" s="442"/>
      <c r="AA204" s="440"/>
    </row>
    <row r="205" spans="1:27" hidden="1" x14ac:dyDescent="0.25">
      <c r="A205" s="430"/>
      <c r="B205" s="6" t="str">
        <f>IF(A205&lt;&gt;"",INDEX('Base de données'!A$4:L$990,MATCH(' TVA M'!A205,'Base de données'!A$4:A$990,0),2),"")</f>
        <v/>
      </c>
      <c r="C205" s="7" t="str">
        <f>IF(A205&lt;&gt;"",INDEX('Base de données'!A$4:L$990,MATCH(' TVA M'!A205,'Base de données'!A$4:A$990,0),12),"")</f>
        <v/>
      </c>
      <c r="D205" s="442"/>
      <c r="E205" s="438"/>
      <c r="F205" s="443"/>
      <c r="G205" s="439"/>
      <c r="H205" s="442"/>
      <c r="I205" s="438"/>
      <c r="J205" s="443"/>
      <c r="K205" s="439"/>
      <c r="L205" s="442"/>
      <c r="M205" s="438"/>
      <c r="N205" s="443"/>
      <c r="O205" s="439"/>
      <c r="P205" s="442"/>
      <c r="Q205" s="438"/>
      <c r="R205" s="443"/>
      <c r="S205" s="439"/>
      <c r="T205" s="442"/>
      <c r="U205" s="438"/>
      <c r="V205" s="443"/>
      <c r="W205" s="434"/>
      <c r="X205" s="442"/>
      <c r="Y205" s="438"/>
      <c r="Z205" s="442"/>
      <c r="AA205" s="440"/>
    </row>
    <row r="206" spans="1:27" hidden="1" x14ac:dyDescent="0.25">
      <c r="A206" s="430"/>
      <c r="B206" s="6" t="str">
        <f>IF(A206&lt;&gt;"",INDEX('Base de données'!A$4:L$990,MATCH(' TVA M'!A206,'Base de données'!A$4:A$990,0),2),"")</f>
        <v/>
      </c>
      <c r="C206" s="7" t="str">
        <f>IF(A206&lt;&gt;"",INDEX('Base de données'!A$4:L$990,MATCH(' TVA M'!A206,'Base de données'!A$4:A$990,0),12),"")</f>
        <v/>
      </c>
      <c r="D206" s="442"/>
      <c r="E206" s="438"/>
      <c r="F206" s="443"/>
      <c r="G206" s="439"/>
      <c r="H206" s="442"/>
      <c r="I206" s="438"/>
      <c r="J206" s="443"/>
      <c r="K206" s="439"/>
      <c r="L206" s="442"/>
      <c r="M206" s="438"/>
      <c r="N206" s="443"/>
      <c r="O206" s="439"/>
      <c r="P206" s="442"/>
      <c r="Q206" s="438"/>
      <c r="R206" s="443"/>
      <c r="S206" s="439"/>
      <c r="T206" s="442"/>
      <c r="U206" s="438"/>
      <c r="V206" s="443"/>
      <c r="W206" s="434"/>
      <c r="X206" s="442"/>
      <c r="Y206" s="438"/>
      <c r="Z206" s="442"/>
      <c r="AA206" s="440"/>
    </row>
    <row r="207" spans="1:27" hidden="1" x14ac:dyDescent="0.25">
      <c r="A207" s="430"/>
      <c r="B207" s="6" t="str">
        <f>IF(A207&lt;&gt;"",INDEX('Base de données'!A$4:L$990,MATCH(' TVA M'!A207,'Base de données'!A$4:A$990,0),2),"")</f>
        <v/>
      </c>
      <c r="C207" s="7" t="str">
        <f>IF(A207&lt;&gt;"",INDEX('Base de données'!A$4:L$990,MATCH(' TVA M'!A207,'Base de données'!A$4:A$990,0),12),"")</f>
        <v/>
      </c>
      <c r="D207" s="442"/>
      <c r="E207" s="438"/>
      <c r="F207" s="443"/>
      <c r="G207" s="439"/>
      <c r="H207" s="442"/>
      <c r="I207" s="438"/>
      <c r="J207" s="443"/>
      <c r="K207" s="439"/>
      <c r="L207" s="442"/>
      <c r="M207" s="438"/>
      <c r="N207" s="443"/>
      <c r="O207" s="439"/>
      <c r="P207" s="442"/>
      <c r="Q207" s="438"/>
      <c r="R207" s="443"/>
      <c r="S207" s="439"/>
      <c r="T207" s="442"/>
      <c r="U207" s="438"/>
      <c r="V207" s="443"/>
      <c r="W207" s="434"/>
      <c r="X207" s="442"/>
      <c r="Y207" s="438"/>
      <c r="Z207" s="442"/>
      <c r="AA207" s="440"/>
    </row>
    <row r="208" spans="1:27" hidden="1" x14ac:dyDescent="0.25">
      <c r="A208" s="430"/>
      <c r="B208" s="6" t="str">
        <f>IF(A208&lt;&gt;"",INDEX('Base de données'!A$4:L$990,MATCH(' TVA M'!A208,'Base de données'!A$4:A$990,0),2),"")</f>
        <v/>
      </c>
      <c r="C208" s="7" t="str">
        <f>IF(A208&lt;&gt;"",INDEX('Base de données'!A$4:L$990,MATCH(' TVA M'!A208,'Base de données'!A$4:A$990,0),12),"")</f>
        <v/>
      </c>
      <c r="D208" s="442"/>
      <c r="E208" s="438"/>
      <c r="F208" s="443"/>
      <c r="G208" s="439"/>
      <c r="H208" s="442"/>
      <c r="I208" s="438"/>
      <c r="J208" s="443"/>
      <c r="K208" s="439"/>
      <c r="L208" s="442"/>
      <c r="M208" s="438"/>
      <c r="N208" s="443"/>
      <c r="O208" s="439"/>
      <c r="P208" s="442"/>
      <c r="Q208" s="438"/>
      <c r="R208" s="443"/>
      <c r="S208" s="439"/>
      <c r="T208" s="442"/>
      <c r="U208" s="438"/>
      <c r="V208" s="443"/>
      <c r="W208" s="434"/>
      <c r="X208" s="442"/>
      <c r="Y208" s="438"/>
      <c r="Z208" s="442"/>
      <c r="AA208" s="440"/>
    </row>
    <row r="209" spans="1:27" hidden="1" x14ac:dyDescent="0.25">
      <c r="A209" s="430"/>
      <c r="B209" s="6" t="str">
        <f>IF(A209&lt;&gt;"",INDEX('Base de données'!A$4:L$990,MATCH(' TVA M'!A209,'Base de données'!A$4:A$990,0),2),"")</f>
        <v/>
      </c>
      <c r="C209" s="7" t="str">
        <f>IF(A209&lt;&gt;"",INDEX('Base de données'!A$4:L$990,MATCH(' TVA M'!A209,'Base de données'!A$4:A$990,0),12),"")</f>
        <v/>
      </c>
      <c r="D209" s="442"/>
      <c r="E209" s="438"/>
      <c r="F209" s="443"/>
      <c r="G209" s="439"/>
      <c r="H209" s="442"/>
      <c r="I209" s="438"/>
      <c r="J209" s="443"/>
      <c r="K209" s="439"/>
      <c r="L209" s="442"/>
      <c r="M209" s="438"/>
      <c r="N209" s="443"/>
      <c r="O209" s="439"/>
      <c r="P209" s="442"/>
      <c r="Q209" s="438"/>
      <c r="R209" s="443"/>
      <c r="S209" s="439"/>
      <c r="T209" s="442"/>
      <c r="U209" s="438"/>
      <c r="V209" s="443"/>
      <c r="W209" s="434"/>
      <c r="X209" s="442"/>
      <c r="Y209" s="438"/>
      <c r="Z209" s="442"/>
      <c r="AA209" s="440"/>
    </row>
    <row r="210" spans="1:27" hidden="1" x14ac:dyDescent="0.25">
      <c r="A210" s="430"/>
      <c r="B210" s="6" t="str">
        <f>IF(A210&lt;&gt;"",INDEX('Base de données'!A$4:L$990,MATCH(' TVA M'!A210,'Base de données'!A$4:A$990,0),2),"")</f>
        <v/>
      </c>
      <c r="C210" s="7" t="str">
        <f>IF(A210&lt;&gt;"",INDEX('Base de données'!A$4:L$990,MATCH(' TVA M'!A210,'Base de données'!A$4:A$990,0),12),"")</f>
        <v/>
      </c>
      <c r="D210" s="442"/>
      <c r="E210" s="438"/>
      <c r="F210" s="443"/>
      <c r="G210" s="439"/>
      <c r="H210" s="442"/>
      <c r="I210" s="438"/>
      <c r="J210" s="443"/>
      <c r="K210" s="439"/>
      <c r="L210" s="442"/>
      <c r="M210" s="438"/>
      <c r="N210" s="443"/>
      <c r="O210" s="439"/>
      <c r="P210" s="442"/>
      <c r="Q210" s="438"/>
      <c r="R210" s="443"/>
      <c r="S210" s="439"/>
      <c r="T210" s="442"/>
      <c r="U210" s="438"/>
      <c r="V210" s="443"/>
      <c r="W210" s="434"/>
      <c r="X210" s="442"/>
      <c r="Y210" s="438"/>
      <c r="Z210" s="442"/>
      <c r="AA210" s="440"/>
    </row>
    <row r="211" spans="1:27" hidden="1" x14ac:dyDescent="0.25">
      <c r="A211" s="430"/>
      <c r="B211" s="6" t="str">
        <f>IF(A211&lt;&gt;"",INDEX('Base de données'!A$4:L$990,MATCH(' TVA M'!A211,'Base de données'!A$4:A$990,0),2),"")</f>
        <v/>
      </c>
      <c r="C211" s="7" t="str">
        <f>IF(A211&lt;&gt;"",INDEX('Base de données'!A$4:L$990,MATCH(' TVA M'!A211,'Base de données'!A$4:A$990,0),12),"")</f>
        <v/>
      </c>
      <c r="D211" s="442"/>
      <c r="E211" s="438"/>
      <c r="F211" s="443"/>
      <c r="G211" s="439"/>
      <c r="H211" s="442"/>
      <c r="I211" s="438"/>
      <c r="J211" s="443"/>
      <c r="K211" s="439"/>
      <c r="L211" s="442"/>
      <c r="M211" s="438"/>
      <c r="N211" s="443"/>
      <c r="O211" s="439"/>
      <c r="P211" s="442"/>
      <c r="Q211" s="438"/>
      <c r="R211" s="443"/>
      <c r="S211" s="439"/>
      <c r="T211" s="442"/>
      <c r="U211" s="438"/>
      <c r="V211" s="443"/>
      <c r="W211" s="434"/>
      <c r="X211" s="442"/>
      <c r="Y211" s="438"/>
      <c r="Z211" s="442"/>
      <c r="AA211" s="440"/>
    </row>
    <row r="212" spans="1:27" hidden="1" x14ac:dyDescent="0.25">
      <c r="A212" s="430"/>
      <c r="B212" s="6" t="str">
        <f>IF(A212&lt;&gt;"",INDEX('Base de données'!A$4:L$990,MATCH(' TVA M'!A212,'Base de données'!A$4:A$990,0),2),"")</f>
        <v/>
      </c>
      <c r="C212" s="7" t="str">
        <f>IF(A212&lt;&gt;"",INDEX('Base de données'!A$4:L$990,MATCH(' TVA M'!A212,'Base de données'!A$4:A$990,0),12),"")</f>
        <v/>
      </c>
      <c r="D212" s="442"/>
      <c r="E212" s="438"/>
      <c r="F212" s="443"/>
      <c r="G212" s="439"/>
      <c r="H212" s="442"/>
      <c r="I212" s="438"/>
      <c r="J212" s="443"/>
      <c r="K212" s="439"/>
      <c r="L212" s="442"/>
      <c r="M212" s="438"/>
      <c r="N212" s="443"/>
      <c r="O212" s="439"/>
      <c r="P212" s="442"/>
      <c r="Q212" s="438"/>
      <c r="R212" s="443"/>
      <c r="S212" s="439"/>
      <c r="T212" s="442"/>
      <c r="U212" s="438"/>
      <c r="V212" s="443"/>
      <c r="W212" s="434"/>
      <c r="X212" s="442"/>
      <c r="Y212" s="438"/>
      <c r="Z212" s="442"/>
      <c r="AA212" s="440"/>
    </row>
    <row r="213" spans="1:27" hidden="1" x14ac:dyDescent="0.25">
      <c r="A213" s="430"/>
      <c r="B213" s="6" t="str">
        <f>IF(A213&lt;&gt;"",INDEX('Base de données'!A$4:L$990,MATCH(' TVA M'!A213,'Base de données'!A$4:A$990,0),2),"")</f>
        <v/>
      </c>
      <c r="C213" s="7" t="str">
        <f>IF(A213&lt;&gt;"",INDEX('Base de données'!A$4:L$990,MATCH(' TVA M'!A213,'Base de données'!A$4:A$990,0),12),"")</f>
        <v/>
      </c>
      <c r="D213" s="442"/>
      <c r="E213" s="438"/>
      <c r="F213" s="443"/>
      <c r="G213" s="439"/>
      <c r="H213" s="442"/>
      <c r="I213" s="438"/>
      <c r="J213" s="443"/>
      <c r="K213" s="439"/>
      <c r="L213" s="442"/>
      <c r="M213" s="438"/>
      <c r="N213" s="443"/>
      <c r="O213" s="439"/>
      <c r="P213" s="442"/>
      <c r="Q213" s="438"/>
      <c r="R213" s="443"/>
      <c r="S213" s="439"/>
      <c r="T213" s="442"/>
      <c r="U213" s="438"/>
      <c r="V213" s="443"/>
      <c r="W213" s="439"/>
      <c r="X213" s="442"/>
      <c r="Y213" s="438"/>
      <c r="Z213" s="442"/>
      <c r="AA213" s="440"/>
    </row>
    <row r="214" spans="1:27" hidden="1" x14ac:dyDescent="0.25">
      <c r="A214" s="430"/>
      <c r="B214" s="6" t="str">
        <f>IF(A214&lt;&gt;"",INDEX('Base de données'!A$4:L$990,MATCH(' TVA M'!A214,'Base de données'!A$4:A$990,0),2),"")</f>
        <v/>
      </c>
      <c r="C214" s="7" t="str">
        <f>IF(A214&lt;&gt;"",INDEX('Base de données'!A$4:L$990,MATCH(' TVA M'!A214,'Base de données'!A$4:A$990,0),12),"")</f>
        <v/>
      </c>
      <c r="D214" s="442"/>
      <c r="E214" s="438"/>
      <c r="F214" s="443"/>
      <c r="G214" s="439"/>
      <c r="H214" s="442"/>
      <c r="I214" s="438"/>
      <c r="J214" s="443"/>
      <c r="K214" s="439"/>
      <c r="L214" s="442"/>
      <c r="M214" s="438"/>
      <c r="N214" s="443"/>
      <c r="O214" s="439"/>
      <c r="P214" s="442"/>
      <c r="Q214" s="438"/>
      <c r="R214" s="443"/>
      <c r="S214" s="439"/>
      <c r="T214" s="442"/>
      <c r="U214" s="438"/>
      <c r="V214" s="443"/>
      <c r="W214" s="439"/>
      <c r="X214" s="442"/>
      <c r="Y214" s="438"/>
      <c r="Z214" s="442"/>
      <c r="AA214" s="440"/>
    </row>
    <row r="215" spans="1:27" hidden="1" x14ac:dyDescent="0.25">
      <c r="A215" s="430"/>
      <c r="B215" s="6" t="str">
        <f>IF(A215&lt;&gt;"",INDEX('Base de données'!A$4:L$990,MATCH(' TVA M'!A215,'Base de données'!A$4:A$990,0),2),"")</f>
        <v/>
      </c>
      <c r="C215" s="7" t="str">
        <f>IF(A215&lt;&gt;"",INDEX('Base de données'!A$4:L$990,MATCH(' TVA M'!A215,'Base de données'!A$4:A$990,0),12),"")</f>
        <v/>
      </c>
      <c r="D215" s="442"/>
      <c r="E215" s="438"/>
      <c r="F215" s="443"/>
      <c r="G215" s="439"/>
      <c r="H215" s="442"/>
      <c r="I215" s="438"/>
      <c r="J215" s="443"/>
      <c r="K215" s="439"/>
      <c r="L215" s="442"/>
      <c r="M215" s="438"/>
      <c r="N215" s="443"/>
      <c r="O215" s="439"/>
      <c r="P215" s="442"/>
      <c r="Q215" s="438"/>
      <c r="R215" s="443"/>
      <c r="S215" s="439"/>
      <c r="T215" s="442"/>
      <c r="U215" s="438"/>
      <c r="V215" s="443"/>
      <c r="W215" s="439"/>
      <c r="X215" s="442"/>
      <c r="Y215" s="438"/>
      <c r="Z215" s="442"/>
      <c r="AA215" s="440"/>
    </row>
    <row r="216" spans="1:27" hidden="1" x14ac:dyDescent="0.25">
      <c r="A216" s="430"/>
      <c r="B216" s="6" t="str">
        <f>IF(A216&lt;&gt;"",INDEX('Base de données'!A$4:L$990,MATCH(' TVA M'!A216,'Base de données'!A$4:A$990,0),2),"")</f>
        <v/>
      </c>
      <c r="C216" s="7" t="str">
        <f>IF(A216&lt;&gt;"",INDEX('Base de données'!A$4:L$990,MATCH(' TVA M'!A216,'Base de données'!A$4:A$990,0),12),"")</f>
        <v/>
      </c>
      <c r="D216" s="442"/>
      <c r="E216" s="438"/>
      <c r="F216" s="443"/>
      <c r="G216" s="439"/>
      <c r="H216" s="442"/>
      <c r="I216" s="438"/>
      <c r="J216" s="443"/>
      <c r="K216" s="439"/>
      <c r="L216" s="442"/>
      <c r="M216" s="438"/>
      <c r="N216" s="443"/>
      <c r="O216" s="439"/>
      <c r="P216" s="442"/>
      <c r="Q216" s="438"/>
      <c r="R216" s="443"/>
      <c r="S216" s="439"/>
      <c r="T216" s="442"/>
      <c r="U216" s="438"/>
      <c r="V216" s="443"/>
      <c r="W216" s="439"/>
      <c r="X216" s="442"/>
      <c r="Y216" s="438"/>
      <c r="Z216" s="442"/>
      <c r="AA216" s="440"/>
    </row>
    <row r="217" spans="1:27" hidden="1" x14ac:dyDescent="0.25">
      <c r="A217" s="430"/>
      <c r="B217" s="6" t="str">
        <f>IF(A217&lt;&gt;"",INDEX('Base de données'!A$4:L$990,MATCH(' TVA M'!A217,'Base de données'!A$4:A$990,0),2),"")</f>
        <v/>
      </c>
      <c r="C217" s="7" t="str">
        <f>IF(A217&lt;&gt;"",INDEX('Base de données'!A$4:L$990,MATCH(' TVA M'!A217,'Base de données'!A$4:A$990,0),12),"")</f>
        <v/>
      </c>
      <c r="D217" s="442"/>
      <c r="E217" s="438"/>
      <c r="F217" s="443"/>
      <c r="G217" s="439"/>
      <c r="H217" s="442"/>
      <c r="I217" s="438"/>
      <c r="J217" s="443"/>
      <c r="K217" s="439"/>
      <c r="L217" s="442"/>
      <c r="M217" s="438"/>
      <c r="N217" s="443"/>
      <c r="O217" s="439"/>
      <c r="P217" s="442"/>
      <c r="Q217" s="438"/>
      <c r="R217" s="443"/>
      <c r="S217" s="439"/>
      <c r="T217" s="442"/>
      <c r="U217" s="438"/>
      <c r="V217" s="443"/>
      <c r="W217" s="439"/>
      <c r="X217" s="442"/>
      <c r="Y217" s="438"/>
      <c r="Z217" s="442"/>
      <c r="AA217" s="440"/>
    </row>
    <row r="218" spans="1:27" hidden="1" x14ac:dyDescent="0.25">
      <c r="A218" s="430"/>
      <c r="B218" s="6" t="str">
        <f>IF(A218&lt;&gt;"",INDEX('Base de données'!A$4:L$990,MATCH(' TVA M'!A218,'Base de données'!A$4:A$990,0),2),"")</f>
        <v/>
      </c>
      <c r="C218" s="7" t="str">
        <f>IF(A218&lt;&gt;"",INDEX('Base de données'!A$4:L$990,MATCH(' TVA M'!A218,'Base de données'!A$4:A$990,0),12),"")</f>
        <v/>
      </c>
      <c r="D218" s="442"/>
      <c r="E218" s="438"/>
      <c r="F218" s="443"/>
      <c r="G218" s="439"/>
      <c r="H218" s="442"/>
      <c r="I218" s="438"/>
      <c r="J218" s="443"/>
      <c r="K218" s="439"/>
      <c r="L218" s="442"/>
      <c r="M218" s="438"/>
      <c r="N218" s="443"/>
      <c r="O218" s="439"/>
      <c r="P218" s="442"/>
      <c r="Q218" s="438"/>
      <c r="R218" s="443"/>
      <c r="S218" s="439"/>
      <c r="T218" s="442"/>
      <c r="U218" s="438"/>
      <c r="V218" s="443"/>
      <c r="W218" s="439"/>
      <c r="X218" s="442"/>
      <c r="Y218" s="438"/>
      <c r="Z218" s="442"/>
      <c r="AA218" s="440"/>
    </row>
    <row r="219" spans="1:27" hidden="1" x14ac:dyDescent="0.25">
      <c r="A219" s="430"/>
      <c r="B219" s="6" t="str">
        <f>IF(A219&lt;&gt;"",INDEX('Base de données'!A$4:L$990,MATCH(' TVA M'!A219,'Base de données'!A$4:A$990,0),2),"")</f>
        <v/>
      </c>
      <c r="C219" s="7" t="str">
        <f>IF(A219&lt;&gt;"",INDEX('Base de données'!A$4:L$990,MATCH(' TVA M'!A219,'Base de données'!A$4:A$990,0),12),"")</f>
        <v/>
      </c>
      <c r="D219" s="442"/>
      <c r="E219" s="438"/>
      <c r="F219" s="443"/>
      <c r="G219" s="439"/>
      <c r="H219" s="442"/>
      <c r="I219" s="438"/>
      <c r="J219" s="443"/>
      <c r="K219" s="439"/>
      <c r="L219" s="442"/>
      <c r="M219" s="438"/>
      <c r="N219" s="443"/>
      <c r="O219" s="439"/>
      <c r="P219" s="442"/>
      <c r="Q219" s="438"/>
      <c r="R219" s="443"/>
      <c r="S219" s="439"/>
      <c r="T219" s="442"/>
      <c r="U219" s="438"/>
      <c r="V219" s="443"/>
      <c r="W219" s="439"/>
      <c r="X219" s="442"/>
      <c r="Y219" s="438"/>
      <c r="Z219" s="442"/>
      <c r="AA219" s="440"/>
    </row>
    <row r="220" spans="1:27" hidden="1" x14ac:dyDescent="0.25">
      <c r="A220" s="430"/>
      <c r="B220" s="6" t="str">
        <f>IF(A220&lt;&gt;"",INDEX('Base de données'!A$4:L$990,MATCH(' TVA M'!A220,'Base de données'!A$4:A$990,0),2),"")</f>
        <v/>
      </c>
      <c r="C220" s="7" t="str">
        <f>IF(A220&lt;&gt;"",INDEX('Base de données'!A$4:L$990,MATCH(' TVA M'!A220,'Base de données'!A$4:A$990,0),12),"")</f>
        <v/>
      </c>
      <c r="D220" s="442"/>
      <c r="E220" s="438"/>
      <c r="F220" s="443"/>
      <c r="G220" s="439"/>
      <c r="H220" s="442"/>
      <c r="I220" s="438"/>
      <c r="J220" s="443"/>
      <c r="K220" s="439"/>
      <c r="L220" s="442"/>
      <c r="M220" s="438"/>
      <c r="N220" s="443"/>
      <c r="O220" s="439"/>
      <c r="P220" s="442"/>
      <c r="Q220" s="438"/>
      <c r="R220" s="443"/>
      <c r="S220" s="439"/>
      <c r="T220" s="442"/>
      <c r="U220" s="438"/>
      <c r="V220" s="443"/>
      <c r="W220" s="439"/>
      <c r="X220" s="442"/>
      <c r="Y220" s="438"/>
      <c r="Z220" s="442"/>
      <c r="AA220" s="440"/>
    </row>
    <row r="221" spans="1:27" hidden="1" x14ac:dyDescent="0.25">
      <c r="A221" s="430"/>
      <c r="B221" s="6" t="str">
        <f>IF(A221&lt;&gt;"",INDEX('Base de données'!A$4:L$990,MATCH(' TVA M'!A221,'Base de données'!A$4:A$990,0),2),"")</f>
        <v/>
      </c>
      <c r="C221" s="7" t="str">
        <f>IF(A221&lt;&gt;"",INDEX('Base de données'!A$4:L$990,MATCH(' TVA M'!A221,'Base de données'!A$4:A$990,0),12),"")</f>
        <v/>
      </c>
      <c r="D221" s="442"/>
      <c r="E221" s="438"/>
      <c r="F221" s="443"/>
      <c r="G221" s="439"/>
      <c r="H221" s="442"/>
      <c r="I221" s="438"/>
      <c r="J221" s="443"/>
      <c r="K221" s="439"/>
      <c r="L221" s="442"/>
      <c r="M221" s="438"/>
      <c r="N221" s="443"/>
      <c r="O221" s="439"/>
      <c r="P221" s="442"/>
      <c r="Q221" s="438"/>
      <c r="R221" s="443"/>
      <c r="S221" s="439"/>
      <c r="T221" s="442"/>
      <c r="U221" s="438"/>
      <c r="V221" s="443"/>
      <c r="W221" s="439"/>
      <c r="X221" s="442"/>
      <c r="Y221" s="438"/>
      <c r="Z221" s="442"/>
      <c r="AA221" s="440"/>
    </row>
    <row r="222" spans="1:27" hidden="1" x14ac:dyDescent="0.25">
      <c r="A222" s="430"/>
      <c r="B222" s="6" t="str">
        <f>IF(A222&lt;&gt;"",INDEX('Base de données'!A$4:L$990,MATCH(' TVA M'!A222,'Base de données'!A$4:A$990,0),2),"")</f>
        <v/>
      </c>
      <c r="C222" s="7" t="str">
        <f>IF(A222&lt;&gt;"",INDEX('Base de données'!A$4:L$990,MATCH(' TVA M'!A222,'Base de données'!A$4:A$990,0),12),"")</f>
        <v/>
      </c>
      <c r="D222" s="442"/>
      <c r="E222" s="438"/>
      <c r="F222" s="443"/>
      <c r="G222" s="439"/>
      <c r="H222" s="442"/>
      <c r="I222" s="438"/>
      <c r="J222" s="443"/>
      <c r="K222" s="439"/>
      <c r="L222" s="442"/>
      <c r="M222" s="438"/>
      <c r="N222" s="443"/>
      <c r="O222" s="439"/>
      <c r="P222" s="442"/>
      <c r="Q222" s="438"/>
      <c r="R222" s="443"/>
      <c r="S222" s="439"/>
      <c r="T222" s="442"/>
      <c r="U222" s="438"/>
      <c r="V222" s="443"/>
      <c r="W222" s="439"/>
      <c r="X222" s="442"/>
      <c r="Y222" s="438"/>
      <c r="Z222" s="442"/>
      <c r="AA222" s="440"/>
    </row>
    <row r="223" spans="1:27" hidden="1" x14ac:dyDescent="0.25">
      <c r="A223" s="430"/>
      <c r="B223" s="6" t="str">
        <f>IF(A223&lt;&gt;"",INDEX('Base de données'!A$4:L$990,MATCH(' TVA M'!A223,'Base de données'!A$4:A$990,0),2),"")</f>
        <v/>
      </c>
      <c r="C223" s="7" t="str">
        <f>IF(A223&lt;&gt;"",INDEX('Base de données'!A$4:L$990,MATCH(' TVA M'!A223,'Base de données'!A$4:A$990,0),12),"")</f>
        <v/>
      </c>
      <c r="D223" s="442"/>
      <c r="E223" s="438"/>
      <c r="F223" s="443"/>
      <c r="G223" s="439"/>
      <c r="H223" s="442"/>
      <c r="I223" s="438"/>
      <c r="J223" s="443"/>
      <c r="K223" s="439"/>
      <c r="L223" s="442"/>
      <c r="M223" s="438"/>
      <c r="N223" s="443"/>
      <c r="O223" s="439"/>
      <c r="P223" s="442"/>
      <c r="Q223" s="438"/>
      <c r="R223" s="443"/>
      <c r="S223" s="439"/>
      <c r="T223" s="442"/>
      <c r="U223" s="438"/>
      <c r="V223" s="443"/>
      <c r="W223" s="439"/>
      <c r="X223" s="442"/>
      <c r="Y223" s="438"/>
      <c r="Z223" s="442"/>
      <c r="AA223" s="440"/>
    </row>
    <row r="224" spans="1:27" hidden="1" x14ac:dyDescent="0.25">
      <c r="A224" s="430"/>
      <c r="B224" s="6" t="str">
        <f>IF(A224&lt;&gt;"",INDEX('Base de données'!A$4:L$990,MATCH(' TVA M'!A224,'Base de données'!A$4:A$990,0),2),"")</f>
        <v/>
      </c>
      <c r="C224" s="7" t="str">
        <f>IF(A224&lt;&gt;"",INDEX('Base de données'!A$4:L$990,MATCH(' TVA M'!A224,'Base de données'!A$4:A$990,0),12),"")</f>
        <v/>
      </c>
      <c r="D224" s="442"/>
      <c r="E224" s="438"/>
      <c r="F224" s="443"/>
      <c r="G224" s="439"/>
      <c r="H224" s="442"/>
      <c r="I224" s="438"/>
      <c r="J224" s="443"/>
      <c r="K224" s="439"/>
      <c r="L224" s="442"/>
      <c r="M224" s="438"/>
      <c r="N224" s="443"/>
      <c r="O224" s="439"/>
      <c r="P224" s="442"/>
      <c r="Q224" s="438"/>
      <c r="R224" s="443"/>
      <c r="S224" s="439"/>
      <c r="T224" s="442"/>
      <c r="U224" s="438"/>
      <c r="V224" s="443"/>
      <c r="W224" s="439"/>
      <c r="X224" s="442"/>
      <c r="Y224" s="438"/>
      <c r="Z224" s="442"/>
      <c r="AA224" s="440"/>
    </row>
    <row r="225" spans="1:27" hidden="1" x14ac:dyDescent="0.25">
      <c r="A225" s="430"/>
      <c r="B225" s="6" t="str">
        <f>IF(A225&lt;&gt;"",INDEX('Base de données'!A$4:L$990,MATCH(' TVA M'!A225,'Base de données'!A$4:A$990,0),2),"")</f>
        <v/>
      </c>
      <c r="C225" s="7" t="str">
        <f>IF(A225&lt;&gt;"",INDEX('Base de données'!A$4:L$990,MATCH(' TVA M'!A225,'Base de données'!A$4:A$990,0),12),"")</f>
        <v/>
      </c>
      <c r="D225" s="442"/>
      <c r="E225" s="438"/>
      <c r="F225" s="443"/>
      <c r="G225" s="439"/>
      <c r="H225" s="442"/>
      <c r="I225" s="438"/>
      <c r="J225" s="443"/>
      <c r="K225" s="439"/>
      <c r="L225" s="442"/>
      <c r="M225" s="438"/>
      <c r="N225" s="443"/>
      <c r="O225" s="439"/>
      <c r="P225" s="442"/>
      <c r="Q225" s="438"/>
      <c r="R225" s="443"/>
      <c r="S225" s="439"/>
      <c r="T225" s="442"/>
      <c r="U225" s="438"/>
      <c r="V225" s="443"/>
      <c r="W225" s="439"/>
      <c r="X225" s="442"/>
      <c r="Y225" s="438"/>
      <c r="Z225" s="442"/>
      <c r="AA225" s="440"/>
    </row>
    <row r="226" spans="1:27" hidden="1" x14ac:dyDescent="0.25">
      <c r="A226" s="430"/>
      <c r="B226" s="6" t="str">
        <f>IF(A226&lt;&gt;"",INDEX('Base de données'!A$4:L$990,MATCH(' TVA M'!A226,'Base de données'!A$4:A$990,0),2),"")</f>
        <v/>
      </c>
      <c r="C226" s="7" t="str">
        <f>IF(A226&lt;&gt;"",INDEX('Base de données'!A$4:L$990,MATCH(' TVA M'!A226,'Base de données'!A$4:A$990,0),12),"")</f>
        <v/>
      </c>
      <c r="D226" s="442"/>
      <c r="E226" s="438"/>
      <c r="F226" s="443"/>
      <c r="G226" s="439"/>
      <c r="H226" s="442"/>
      <c r="I226" s="438"/>
      <c r="J226" s="443"/>
      <c r="K226" s="439"/>
      <c r="L226" s="442"/>
      <c r="M226" s="438"/>
      <c r="N226" s="443"/>
      <c r="O226" s="439"/>
      <c r="P226" s="442"/>
      <c r="Q226" s="438"/>
      <c r="R226" s="443"/>
      <c r="S226" s="439"/>
      <c r="T226" s="442"/>
      <c r="U226" s="438"/>
      <c r="V226" s="443"/>
      <c r="W226" s="439"/>
      <c r="X226" s="442"/>
      <c r="Y226" s="438"/>
      <c r="Z226" s="442"/>
      <c r="AA226" s="440"/>
    </row>
    <row r="227" spans="1:27" hidden="1" x14ac:dyDescent="0.25">
      <c r="A227" s="430"/>
      <c r="B227" s="6" t="str">
        <f>IF(A227&lt;&gt;"",INDEX('Base de données'!A$4:L$990,MATCH(' TVA M'!A227,'Base de données'!A$4:A$990,0),2),"")</f>
        <v/>
      </c>
      <c r="C227" s="7" t="str">
        <f>IF(A227&lt;&gt;"",INDEX('Base de données'!A$4:L$990,MATCH(' TVA M'!A227,'Base de données'!A$4:A$990,0),12),"")</f>
        <v/>
      </c>
      <c r="D227" s="442"/>
      <c r="E227" s="438"/>
      <c r="F227" s="443"/>
      <c r="G227" s="439"/>
      <c r="H227" s="442"/>
      <c r="I227" s="438"/>
      <c r="J227" s="443"/>
      <c r="K227" s="439"/>
      <c r="L227" s="442"/>
      <c r="M227" s="438"/>
      <c r="N227" s="443"/>
      <c r="O227" s="439"/>
      <c r="P227" s="442"/>
      <c r="Q227" s="438"/>
      <c r="R227" s="443"/>
      <c r="S227" s="439"/>
      <c r="T227" s="442"/>
      <c r="U227" s="438"/>
      <c r="V227" s="443"/>
      <c r="W227" s="439"/>
      <c r="X227" s="442"/>
      <c r="Y227" s="438"/>
      <c r="Z227" s="442"/>
      <c r="AA227" s="440"/>
    </row>
    <row r="228" spans="1:27" hidden="1" x14ac:dyDescent="0.25">
      <c r="A228" s="430"/>
      <c r="B228" s="6" t="str">
        <f>IF(A228&lt;&gt;"",INDEX('Base de données'!A$4:L$990,MATCH(' TVA M'!A228,'Base de données'!A$4:A$990,0),2),"")</f>
        <v/>
      </c>
      <c r="C228" s="7" t="str">
        <f>IF(A228&lt;&gt;"",INDEX('Base de données'!A$4:L$990,MATCH(' TVA M'!A228,'Base de données'!A$4:A$990,0),12),"")</f>
        <v/>
      </c>
      <c r="D228" s="442"/>
      <c r="E228" s="438"/>
      <c r="F228" s="443"/>
      <c r="G228" s="439"/>
      <c r="H228" s="442"/>
      <c r="I228" s="438"/>
      <c r="J228" s="443"/>
      <c r="K228" s="439"/>
      <c r="L228" s="442"/>
      <c r="M228" s="438"/>
      <c r="N228" s="443"/>
      <c r="O228" s="439"/>
      <c r="P228" s="442"/>
      <c r="Q228" s="438"/>
      <c r="R228" s="443"/>
      <c r="S228" s="439"/>
      <c r="T228" s="442"/>
      <c r="U228" s="438"/>
      <c r="V228" s="443"/>
      <c r="W228" s="439"/>
      <c r="X228" s="442"/>
      <c r="Y228" s="438"/>
      <c r="Z228" s="442"/>
      <c r="AA228" s="440"/>
    </row>
    <row r="229" spans="1:27" hidden="1" x14ac:dyDescent="0.25">
      <c r="A229" s="430"/>
      <c r="B229" s="6" t="str">
        <f>IF(A229&lt;&gt;"",INDEX('Base de données'!A$4:L$990,MATCH(' TVA M'!A229,'Base de données'!A$4:A$990,0),2),"")</f>
        <v/>
      </c>
      <c r="C229" s="7" t="str">
        <f>IF(A229&lt;&gt;"",INDEX('Base de données'!A$4:L$990,MATCH(' TVA M'!A229,'Base de données'!A$4:A$990,0),12),"")</f>
        <v/>
      </c>
      <c r="D229" s="442"/>
      <c r="E229" s="438"/>
      <c r="F229" s="443"/>
      <c r="G229" s="439"/>
      <c r="H229" s="442"/>
      <c r="I229" s="438"/>
      <c r="J229" s="443"/>
      <c r="K229" s="439"/>
      <c r="L229" s="442"/>
      <c r="M229" s="438"/>
      <c r="N229" s="443"/>
      <c r="O229" s="439"/>
      <c r="P229" s="442"/>
      <c r="Q229" s="438"/>
      <c r="R229" s="443"/>
      <c r="S229" s="439"/>
      <c r="T229" s="442"/>
      <c r="U229" s="438"/>
      <c r="V229" s="443"/>
      <c r="W229" s="439"/>
      <c r="X229" s="442"/>
      <c r="Y229" s="438"/>
      <c r="Z229" s="442"/>
      <c r="AA229" s="440"/>
    </row>
    <row r="230" spans="1:27" hidden="1" x14ac:dyDescent="0.25">
      <c r="A230" s="430"/>
      <c r="B230" s="6" t="str">
        <f>IF(A230&lt;&gt;"",INDEX('Base de données'!A$4:L$990,MATCH(' TVA M'!A230,'Base de données'!A$4:A$990,0),2),"")</f>
        <v/>
      </c>
      <c r="C230" s="7" t="str">
        <f>IF(A230&lt;&gt;"",INDEX('Base de données'!A$4:L$990,MATCH(' TVA M'!A230,'Base de données'!A$4:A$990,0),12),"")</f>
        <v/>
      </c>
      <c r="D230" s="442"/>
      <c r="E230" s="438"/>
      <c r="F230" s="443"/>
      <c r="G230" s="439"/>
      <c r="H230" s="442"/>
      <c r="I230" s="438"/>
      <c r="J230" s="443"/>
      <c r="K230" s="439"/>
      <c r="L230" s="442"/>
      <c r="M230" s="438"/>
      <c r="N230" s="443"/>
      <c r="O230" s="439"/>
      <c r="P230" s="442"/>
      <c r="Q230" s="438"/>
      <c r="R230" s="443"/>
      <c r="S230" s="439"/>
      <c r="T230" s="442"/>
      <c r="U230" s="438"/>
      <c r="V230" s="443"/>
      <c r="W230" s="439"/>
      <c r="X230" s="442"/>
      <c r="Y230" s="438"/>
      <c r="Z230" s="442"/>
      <c r="AA230" s="440"/>
    </row>
    <row r="231" spans="1:27" hidden="1" x14ac:dyDescent="0.25">
      <c r="A231" s="430"/>
      <c r="B231" s="6" t="str">
        <f>IF(A231&lt;&gt;"",INDEX('Base de données'!A$4:L$990,MATCH(' TVA M'!A231,'Base de données'!A$4:A$990,0),2),"")</f>
        <v/>
      </c>
      <c r="C231" s="7" t="str">
        <f>IF(A231&lt;&gt;"",INDEX('Base de données'!A$4:L$990,MATCH(' TVA M'!A231,'Base de données'!A$4:A$990,0),12),"")</f>
        <v/>
      </c>
      <c r="D231" s="442"/>
      <c r="E231" s="438"/>
      <c r="F231" s="443"/>
      <c r="G231" s="439"/>
      <c r="H231" s="442"/>
      <c r="I231" s="438"/>
      <c r="J231" s="443"/>
      <c r="K231" s="439"/>
      <c r="L231" s="442"/>
      <c r="M231" s="438"/>
      <c r="N231" s="443"/>
      <c r="O231" s="439"/>
      <c r="P231" s="442"/>
      <c r="Q231" s="438"/>
      <c r="R231" s="443"/>
      <c r="S231" s="439"/>
      <c r="T231" s="442"/>
      <c r="U231" s="438"/>
      <c r="V231" s="443"/>
      <c r="W231" s="439"/>
      <c r="X231" s="442"/>
      <c r="Y231" s="438"/>
      <c r="Z231" s="442"/>
      <c r="AA231" s="440"/>
    </row>
    <row r="232" spans="1:27" hidden="1" x14ac:dyDescent="0.25">
      <c r="A232" s="430"/>
      <c r="B232" s="6" t="str">
        <f>IF(A232&lt;&gt;"",INDEX('Base de données'!A$4:L$990,MATCH(' TVA M'!A232,'Base de données'!A$4:A$990,0),2),"")</f>
        <v/>
      </c>
      <c r="C232" s="7" t="str">
        <f>IF(A232&lt;&gt;"",INDEX('Base de données'!A$4:L$990,MATCH(' TVA M'!A232,'Base de données'!A$4:A$990,0),12),"")</f>
        <v/>
      </c>
      <c r="D232" s="442"/>
      <c r="E232" s="438"/>
      <c r="F232" s="443"/>
      <c r="G232" s="439"/>
      <c r="H232" s="442"/>
      <c r="I232" s="438"/>
      <c r="J232" s="443"/>
      <c r="K232" s="439"/>
      <c r="L232" s="442"/>
      <c r="M232" s="438"/>
      <c r="N232" s="443"/>
      <c r="O232" s="439"/>
      <c r="P232" s="442"/>
      <c r="Q232" s="438"/>
      <c r="R232" s="443"/>
      <c r="S232" s="439"/>
      <c r="T232" s="442"/>
      <c r="U232" s="438"/>
      <c r="V232" s="443"/>
      <c r="W232" s="439"/>
      <c r="X232" s="442"/>
      <c r="Y232" s="438"/>
      <c r="Z232" s="442"/>
      <c r="AA232" s="440"/>
    </row>
    <row r="233" spans="1:27" hidden="1" x14ac:dyDescent="0.25">
      <c r="A233" s="430"/>
      <c r="B233" s="6" t="str">
        <f>IF(A233&lt;&gt;"",INDEX('Base de données'!A$4:L$990,MATCH(' TVA M'!A233,'Base de données'!A$4:A$990,0),2),"")</f>
        <v/>
      </c>
      <c r="C233" s="7" t="str">
        <f>IF(A233&lt;&gt;"",INDEX('Base de données'!A$4:L$990,MATCH(' TVA M'!A233,'Base de données'!A$4:A$990,0),12),"")</f>
        <v/>
      </c>
      <c r="D233" s="442"/>
      <c r="E233" s="438"/>
      <c r="F233" s="443"/>
      <c r="G233" s="439"/>
      <c r="H233" s="442"/>
      <c r="I233" s="438"/>
      <c r="J233" s="443"/>
      <c r="K233" s="439"/>
      <c r="L233" s="442"/>
      <c r="M233" s="438"/>
      <c r="N233" s="443"/>
      <c r="O233" s="439"/>
      <c r="P233" s="442"/>
      <c r="Q233" s="438"/>
      <c r="R233" s="443"/>
      <c r="S233" s="439"/>
      <c r="T233" s="442"/>
      <c r="U233" s="438"/>
      <c r="V233" s="443"/>
      <c r="W233" s="439"/>
      <c r="X233" s="442"/>
      <c r="Y233" s="438"/>
      <c r="Z233" s="442"/>
      <c r="AA233" s="440"/>
    </row>
    <row r="234" spans="1:27" hidden="1" x14ac:dyDescent="0.25">
      <c r="A234" s="430"/>
      <c r="B234" s="6" t="str">
        <f>IF(A234&lt;&gt;"",INDEX('Base de données'!A$4:L$990,MATCH(' TVA M'!A234,'Base de données'!A$4:A$990,0),2),"")</f>
        <v/>
      </c>
      <c r="C234" s="7" t="str">
        <f>IF(A234&lt;&gt;"",INDEX('Base de données'!A$4:L$990,MATCH(' TVA M'!A234,'Base de données'!A$4:A$990,0),12),"")</f>
        <v/>
      </c>
      <c r="D234" s="442"/>
      <c r="E234" s="438"/>
      <c r="F234" s="443"/>
      <c r="G234" s="439"/>
      <c r="H234" s="442"/>
      <c r="I234" s="438"/>
      <c r="J234" s="443"/>
      <c r="K234" s="439"/>
      <c r="L234" s="442"/>
      <c r="M234" s="438"/>
      <c r="N234" s="443"/>
      <c r="O234" s="439"/>
      <c r="P234" s="442"/>
      <c r="Q234" s="438"/>
      <c r="R234" s="443"/>
      <c r="S234" s="439"/>
      <c r="T234" s="442"/>
      <c r="U234" s="438"/>
      <c r="V234" s="443"/>
      <c r="W234" s="439"/>
      <c r="X234" s="442"/>
      <c r="Y234" s="438"/>
      <c r="Z234" s="442"/>
      <c r="AA234" s="440"/>
    </row>
    <row r="235" spans="1:27" hidden="1" x14ac:dyDescent="0.25">
      <c r="A235" s="430"/>
      <c r="B235" s="6" t="str">
        <f>IF(A235&lt;&gt;"",INDEX('Base de données'!A$4:L$990,MATCH(' TVA M'!A235,'Base de données'!A$4:A$990,0),2),"")</f>
        <v/>
      </c>
      <c r="C235" s="7" t="str">
        <f>IF(A235&lt;&gt;"",INDEX('Base de données'!A$4:L$990,MATCH(' TVA M'!A235,'Base de données'!A$4:A$990,0),12),"")</f>
        <v/>
      </c>
      <c r="D235" s="442"/>
      <c r="E235" s="438"/>
      <c r="F235" s="443"/>
      <c r="G235" s="439"/>
      <c r="H235" s="442"/>
      <c r="I235" s="438"/>
      <c r="J235" s="443"/>
      <c r="K235" s="439"/>
      <c r="L235" s="442"/>
      <c r="M235" s="438"/>
      <c r="N235" s="443"/>
      <c r="O235" s="439"/>
      <c r="P235" s="442"/>
      <c r="Q235" s="438"/>
      <c r="R235" s="443"/>
      <c r="S235" s="439"/>
      <c r="T235" s="442"/>
      <c r="U235" s="438"/>
      <c r="V235" s="443"/>
      <c r="W235" s="439"/>
      <c r="X235" s="442"/>
      <c r="Y235" s="438"/>
      <c r="Z235" s="442"/>
      <c r="AA235" s="440"/>
    </row>
    <row r="236" spans="1:27" hidden="1" x14ac:dyDescent="0.25">
      <c r="A236" s="430"/>
      <c r="B236" s="6" t="str">
        <f>IF(A236&lt;&gt;"",INDEX('Base de données'!A$4:L$990,MATCH(' TVA M'!A236,'Base de données'!A$4:A$990,0),2),"")</f>
        <v/>
      </c>
      <c r="C236" s="7" t="str">
        <f>IF(A236&lt;&gt;"",INDEX('Base de données'!A$4:L$990,MATCH(' TVA M'!A236,'Base de données'!A$4:A$990,0),12),"")</f>
        <v/>
      </c>
      <c r="D236" s="442"/>
      <c r="E236" s="438"/>
      <c r="F236" s="443"/>
      <c r="G236" s="439"/>
      <c r="H236" s="442"/>
      <c r="I236" s="438"/>
      <c r="J236" s="443"/>
      <c r="K236" s="439"/>
      <c r="L236" s="442"/>
      <c r="M236" s="438"/>
      <c r="N236" s="443"/>
      <c r="O236" s="439"/>
      <c r="P236" s="442"/>
      <c r="Q236" s="438"/>
      <c r="R236" s="443"/>
      <c r="S236" s="439"/>
      <c r="T236" s="442"/>
      <c r="U236" s="438"/>
      <c r="V236" s="443"/>
      <c r="W236" s="439"/>
      <c r="X236" s="442"/>
      <c r="Y236" s="438"/>
      <c r="Z236" s="442"/>
      <c r="AA236" s="440"/>
    </row>
    <row r="237" spans="1:27" hidden="1" x14ac:dyDescent="0.25">
      <c r="A237" s="430"/>
      <c r="B237" s="6" t="str">
        <f>IF(A237&lt;&gt;"",INDEX('Base de données'!A$4:L$990,MATCH(' TVA M'!A237,'Base de données'!A$4:A$990,0),2),"")</f>
        <v/>
      </c>
      <c r="C237" s="7" t="str">
        <f>IF(A237&lt;&gt;"",INDEX('Base de données'!A$4:L$990,MATCH(' TVA M'!A237,'Base de données'!A$4:A$990,0),12),"")</f>
        <v/>
      </c>
      <c r="D237" s="442"/>
      <c r="E237" s="438"/>
      <c r="F237" s="443"/>
      <c r="G237" s="439"/>
      <c r="H237" s="442"/>
      <c r="I237" s="438"/>
      <c r="J237" s="443"/>
      <c r="K237" s="439"/>
      <c r="L237" s="442"/>
      <c r="M237" s="438"/>
      <c r="N237" s="443"/>
      <c r="O237" s="439"/>
      <c r="P237" s="442"/>
      <c r="Q237" s="438"/>
      <c r="R237" s="443"/>
      <c r="S237" s="439"/>
      <c r="T237" s="442"/>
      <c r="U237" s="438"/>
      <c r="V237" s="443"/>
      <c r="W237" s="439"/>
      <c r="X237" s="442"/>
      <c r="Y237" s="438"/>
      <c r="Z237" s="442"/>
      <c r="AA237" s="440"/>
    </row>
    <row r="238" spans="1:27" hidden="1" x14ac:dyDescent="0.25">
      <c r="A238" s="430"/>
      <c r="B238" s="6" t="str">
        <f>IF(A238&lt;&gt;"",INDEX('Base de données'!A$4:L$990,MATCH(' TVA M'!A238,'Base de données'!A$4:A$990,0),2),"")</f>
        <v/>
      </c>
      <c r="C238" s="7" t="str">
        <f>IF(A238&lt;&gt;"",INDEX('Base de données'!A$4:L$990,MATCH(' TVA M'!A238,'Base de données'!A$4:A$990,0),12),"")</f>
        <v/>
      </c>
      <c r="D238" s="442"/>
      <c r="E238" s="438"/>
      <c r="F238" s="443"/>
      <c r="G238" s="439"/>
      <c r="H238" s="442"/>
      <c r="I238" s="438"/>
      <c r="J238" s="443"/>
      <c r="K238" s="439"/>
      <c r="L238" s="442"/>
      <c r="M238" s="438"/>
      <c r="N238" s="443"/>
      <c r="O238" s="439"/>
      <c r="P238" s="442"/>
      <c r="Q238" s="438"/>
      <c r="R238" s="443"/>
      <c r="S238" s="439"/>
      <c r="T238" s="442"/>
      <c r="U238" s="438"/>
      <c r="V238" s="443"/>
      <c r="W238" s="439"/>
      <c r="X238" s="442"/>
      <c r="Y238" s="438"/>
      <c r="Z238" s="442"/>
      <c r="AA238" s="440"/>
    </row>
    <row r="239" spans="1:27" hidden="1" x14ac:dyDescent="0.25">
      <c r="A239" s="430"/>
      <c r="B239" s="6" t="str">
        <f>IF(A239&lt;&gt;"",INDEX('Base de données'!A$4:L$990,MATCH(' TVA M'!A239,'Base de données'!A$4:A$990,0),2),"")</f>
        <v/>
      </c>
      <c r="C239" s="7" t="str">
        <f>IF(A239&lt;&gt;"",INDEX('Base de données'!A$4:L$990,MATCH(' TVA M'!A239,'Base de données'!A$4:A$990,0),12),"")</f>
        <v/>
      </c>
      <c r="D239" s="442"/>
      <c r="E239" s="438"/>
      <c r="F239" s="443"/>
      <c r="G239" s="439"/>
      <c r="H239" s="442"/>
      <c r="I239" s="438"/>
      <c r="J239" s="443"/>
      <c r="K239" s="439"/>
      <c r="L239" s="442"/>
      <c r="M239" s="438"/>
      <c r="N239" s="443"/>
      <c r="O239" s="439"/>
      <c r="P239" s="442"/>
      <c r="Q239" s="438"/>
      <c r="R239" s="443"/>
      <c r="S239" s="439"/>
      <c r="T239" s="442"/>
      <c r="U239" s="438"/>
      <c r="V239" s="443"/>
      <c r="W239" s="439"/>
      <c r="X239" s="442"/>
      <c r="Y239" s="438"/>
      <c r="Z239" s="442"/>
      <c r="AA239" s="440"/>
    </row>
    <row r="240" spans="1:27" hidden="1" x14ac:dyDescent="0.25">
      <c r="A240" s="430"/>
      <c r="B240" s="6" t="str">
        <f>IF(A240&lt;&gt;"",INDEX('Base de données'!A$4:L$990,MATCH(' TVA M'!A240,'Base de données'!A$4:A$990,0),2),"")</f>
        <v/>
      </c>
      <c r="C240" s="7" t="str">
        <f>IF(A240&lt;&gt;"",INDEX('Base de données'!A$4:L$990,MATCH(' TVA M'!A240,'Base de données'!A$4:A$990,0),12),"")</f>
        <v/>
      </c>
      <c r="D240" s="442"/>
      <c r="E240" s="438"/>
      <c r="F240" s="443"/>
      <c r="G240" s="439"/>
      <c r="H240" s="442"/>
      <c r="I240" s="438"/>
      <c r="J240" s="443"/>
      <c r="K240" s="439"/>
      <c r="L240" s="442"/>
      <c r="M240" s="438"/>
      <c r="N240" s="443"/>
      <c r="O240" s="439"/>
      <c r="P240" s="442"/>
      <c r="Q240" s="438"/>
      <c r="R240" s="443"/>
      <c r="S240" s="439"/>
      <c r="T240" s="442"/>
      <c r="U240" s="438"/>
      <c r="V240" s="443"/>
      <c r="W240" s="439"/>
      <c r="X240" s="442"/>
      <c r="Y240" s="438"/>
      <c r="Z240" s="442"/>
      <c r="AA240" s="440"/>
    </row>
    <row r="241" spans="1:27" hidden="1" x14ac:dyDescent="0.25">
      <c r="A241" s="430"/>
      <c r="B241" s="6" t="str">
        <f>IF(A241&lt;&gt;"",INDEX('Base de données'!A$4:L$990,MATCH(' TVA M'!A241,'Base de données'!A$4:A$990,0),2),"")</f>
        <v/>
      </c>
      <c r="C241" s="7" t="str">
        <f>IF(A241&lt;&gt;"",INDEX('Base de données'!A$4:L$990,MATCH(' TVA M'!A241,'Base de données'!A$4:A$990,0),12),"")</f>
        <v/>
      </c>
      <c r="D241" s="442"/>
      <c r="E241" s="438"/>
      <c r="F241" s="443"/>
      <c r="G241" s="439"/>
      <c r="H241" s="442"/>
      <c r="I241" s="438"/>
      <c r="J241" s="443"/>
      <c r="K241" s="439"/>
      <c r="L241" s="442"/>
      <c r="M241" s="438"/>
      <c r="N241" s="443"/>
      <c r="O241" s="439"/>
      <c r="P241" s="442"/>
      <c r="Q241" s="438"/>
      <c r="R241" s="443"/>
      <c r="S241" s="439"/>
      <c r="T241" s="442"/>
      <c r="U241" s="438"/>
      <c r="V241" s="443"/>
      <c r="W241" s="439"/>
      <c r="X241" s="442"/>
      <c r="Y241" s="438"/>
      <c r="Z241" s="442"/>
      <c r="AA241" s="440"/>
    </row>
    <row r="242" spans="1:27" hidden="1" x14ac:dyDescent="0.25">
      <c r="A242" s="430"/>
      <c r="B242" s="6" t="str">
        <f>IF(A242&lt;&gt;"",INDEX('Base de données'!A$4:L$990,MATCH(' TVA M'!A242,'Base de données'!A$4:A$990,0),2),"")</f>
        <v/>
      </c>
      <c r="C242" s="7" t="str">
        <f>IF(A242&lt;&gt;"",INDEX('Base de données'!A$4:L$990,MATCH(' TVA M'!A242,'Base de données'!A$4:A$990,0),12),"")</f>
        <v/>
      </c>
      <c r="D242" s="442"/>
      <c r="E242" s="438"/>
      <c r="F242" s="443"/>
      <c r="G242" s="439"/>
      <c r="H242" s="442"/>
      <c r="I242" s="438"/>
      <c r="J242" s="443"/>
      <c r="K242" s="439"/>
      <c r="L242" s="442"/>
      <c r="M242" s="438"/>
      <c r="N242" s="443"/>
      <c r="O242" s="439"/>
      <c r="P242" s="442"/>
      <c r="Q242" s="438"/>
      <c r="R242" s="443"/>
      <c r="S242" s="439"/>
      <c r="T242" s="442"/>
      <c r="U242" s="438"/>
      <c r="V242" s="443"/>
      <c r="W242" s="439"/>
      <c r="X242" s="442"/>
      <c r="Y242" s="438"/>
      <c r="Z242" s="442"/>
      <c r="AA242" s="440"/>
    </row>
    <row r="243" spans="1:27" hidden="1" x14ac:dyDescent="0.25">
      <c r="A243" s="430"/>
      <c r="B243" s="6" t="str">
        <f>IF(A243&lt;&gt;"",INDEX('Base de données'!A$4:L$990,MATCH(' TVA M'!A243,'Base de données'!A$4:A$990,0),2),"")</f>
        <v/>
      </c>
      <c r="C243" s="7" t="str">
        <f>IF(A243&lt;&gt;"",INDEX('Base de données'!A$4:L$990,MATCH(' TVA M'!A243,'Base de données'!A$4:A$990,0),12),"")</f>
        <v/>
      </c>
      <c r="D243" s="442"/>
      <c r="E243" s="438"/>
      <c r="F243" s="443"/>
      <c r="G243" s="439"/>
      <c r="H243" s="442"/>
      <c r="I243" s="438"/>
      <c r="J243" s="443"/>
      <c r="K243" s="439"/>
      <c r="L243" s="442"/>
      <c r="M243" s="438"/>
      <c r="N243" s="443"/>
      <c r="O243" s="439"/>
      <c r="P243" s="442"/>
      <c r="Q243" s="438"/>
      <c r="R243" s="443"/>
      <c r="S243" s="439"/>
      <c r="T243" s="442"/>
      <c r="U243" s="438"/>
      <c r="V243" s="443"/>
      <c r="W243" s="439"/>
      <c r="X243" s="442"/>
      <c r="Y243" s="438"/>
      <c r="Z243" s="442"/>
      <c r="AA243" s="440"/>
    </row>
    <row r="244" spans="1:27" hidden="1" x14ac:dyDescent="0.25">
      <c r="A244" s="430"/>
      <c r="B244" s="6" t="str">
        <f>IF(A244&lt;&gt;"",INDEX('Base de données'!A$4:L$990,MATCH(' TVA M'!A244,'Base de données'!A$4:A$990,0),2),"")</f>
        <v/>
      </c>
      <c r="C244" s="7" t="str">
        <f>IF(A244&lt;&gt;"",INDEX('Base de données'!A$4:L$990,MATCH(' TVA M'!A244,'Base de données'!A$4:A$990,0),12),"")</f>
        <v/>
      </c>
      <c r="D244" s="442"/>
      <c r="E244" s="438"/>
      <c r="F244" s="443"/>
      <c r="G244" s="439"/>
      <c r="H244" s="442"/>
      <c r="I244" s="438"/>
      <c r="J244" s="443"/>
      <c r="K244" s="439"/>
      <c r="L244" s="442"/>
      <c r="M244" s="438"/>
      <c r="N244" s="443"/>
      <c r="O244" s="439"/>
      <c r="P244" s="442"/>
      <c r="Q244" s="438"/>
      <c r="R244" s="443"/>
      <c r="S244" s="439"/>
      <c r="T244" s="442"/>
      <c r="U244" s="438"/>
      <c r="V244" s="443"/>
      <c r="W244" s="439"/>
      <c r="X244" s="442"/>
      <c r="Y244" s="438"/>
      <c r="Z244" s="442"/>
      <c r="AA244" s="440"/>
    </row>
    <row r="245" spans="1:27" hidden="1" x14ac:dyDescent="0.25">
      <c r="A245" s="430"/>
      <c r="B245" s="6" t="str">
        <f>IF(A245&lt;&gt;"",INDEX('Base de données'!A$4:L$990,MATCH(' TVA M'!A245,'Base de données'!A$4:A$990,0),2),"")</f>
        <v/>
      </c>
      <c r="C245" s="7" t="str">
        <f>IF(A245&lt;&gt;"",INDEX('Base de données'!A$4:L$990,MATCH(' TVA M'!A245,'Base de données'!A$4:A$990,0),12),"")</f>
        <v/>
      </c>
      <c r="D245" s="442"/>
      <c r="E245" s="438"/>
      <c r="F245" s="443"/>
      <c r="G245" s="439"/>
      <c r="H245" s="442"/>
      <c r="I245" s="438"/>
      <c r="J245" s="443"/>
      <c r="K245" s="439"/>
      <c r="L245" s="442"/>
      <c r="M245" s="438"/>
      <c r="N245" s="443"/>
      <c r="O245" s="439"/>
      <c r="P245" s="442"/>
      <c r="Q245" s="438"/>
      <c r="R245" s="443"/>
      <c r="S245" s="439"/>
      <c r="T245" s="442"/>
      <c r="U245" s="438"/>
      <c r="V245" s="443"/>
      <c r="W245" s="439"/>
      <c r="X245" s="442"/>
      <c r="Y245" s="438"/>
      <c r="Z245" s="442"/>
      <c r="AA245" s="440"/>
    </row>
    <row r="246" spans="1:27" hidden="1" x14ac:dyDescent="0.25">
      <c r="A246" s="430"/>
      <c r="B246" s="6" t="str">
        <f>IF(A246&lt;&gt;"",INDEX('Base de données'!A$4:L$990,MATCH(' TVA M'!A246,'Base de données'!A$4:A$990,0),2),"")</f>
        <v/>
      </c>
      <c r="C246" s="7" t="str">
        <f>IF(A246&lt;&gt;"",INDEX('Base de données'!A$4:L$990,MATCH(' TVA M'!A246,'Base de données'!A$4:A$990,0),12),"")</f>
        <v/>
      </c>
      <c r="D246" s="442"/>
      <c r="E246" s="438"/>
      <c r="F246" s="443"/>
      <c r="G246" s="439"/>
      <c r="H246" s="442"/>
      <c r="I246" s="438"/>
      <c r="J246" s="443"/>
      <c r="K246" s="439"/>
      <c r="L246" s="442"/>
      <c r="M246" s="438"/>
      <c r="N246" s="443"/>
      <c r="O246" s="439"/>
      <c r="P246" s="442"/>
      <c r="Q246" s="438"/>
      <c r="R246" s="443"/>
      <c r="S246" s="439"/>
      <c r="T246" s="442"/>
      <c r="U246" s="438"/>
      <c r="V246" s="443"/>
      <c r="W246" s="439"/>
      <c r="X246" s="442"/>
      <c r="Y246" s="438"/>
      <c r="Z246" s="442"/>
      <c r="AA246" s="440"/>
    </row>
    <row r="247" spans="1:27" hidden="1" x14ac:dyDescent="0.25">
      <c r="A247" s="430"/>
      <c r="B247" s="6" t="str">
        <f>IF(A247&lt;&gt;"",INDEX('Base de données'!A$4:L$990,MATCH(' TVA M'!A247,'Base de données'!A$4:A$990,0),2),"")</f>
        <v/>
      </c>
      <c r="C247" s="7" t="str">
        <f>IF(A247&lt;&gt;"",INDEX('Base de données'!A$4:L$990,MATCH(' TVA M'!A247,'Base de données'!A$4:A$990,0),12),"")</f>
        <v/>
      </c>
      <c r="D247" s="442"/>
      <c r="E247" s="438"/>
      <c r="F247" s="443"/>
      <c r="G247" s="439"/>
      <c r="H247" s="442"/>
      <c r="I247" s="438"/>
      <c r="J247" s="443"/>
      <c r="K247" s="439"/>
      <c r="L247" s="442"/>
      <c r="M247" s="438"/>
      <c r="N247" s="443"/>
      <c r="O247" s="439"/>
      <c r="P247" s="442"/>
      <c r="Q247" s="438"/>
      <c r="R247" s="443"/>
      <c r="S247" s="439"/>
      <c r="T247" s="442"/>
      <c r="U247" s="438"/>
      <c r="V247" s="443"/>
      <c r="W247" s="439"/>
      <c r="X247" s="442"/>
      <c r="Y247" s="438"/>
      <c r="Z247" s="442"/>
      <c r="AA247" s="440"/>
    </row>
    <row r="248" spans="1:27" hidden="1" x14ac:dyDescent="0.25">
      <c r="A248" s="430"/>
      <c r="B248" s="6" t="str">
        <f>IF(A248&lt;&gt;"",INDEX('Base de données'!A$4:L$990,MATCH(' TVA M'!A248,'Base de données'!A$4:A$990,0),2),"")</f>
        <v/>
      </c>
      <c r="C248" s="7" t="str">
        <f>IF(A248&lt;&gt;"",INDEX('Base de données'!A$4:L$990,MATCH(' TVA M'!A248,'Base de données'!A$4:A$990,0),12),"")</f>
        <v/>
      </c>
      <c r="D248" s="442"/>
      <c r="E248" s="438"/>
      <c r="F248" s="443"/>
      <c r="G248" s="439"/>
      <c r="H248" s="442"/>
      <c r="I248" s="438"/>
      <c r="J248" s="443"/>
      <c r="K248" s="439"/>
      <c r="L248" s="442"/>
      <c r="M248" s="438"/>
      <c r="N248" s="443"/>
      <c r="O248" s="439"/>
      <c r="P248" s="442"/>
      <c r="Q248" s="438"/>
      <c r="R248" s="443"/>
      <c r="S248" s="439"/>
      <c r="T248" s="442"/>
      <c r="U248" s="438"/>
      <c r="V248" s="443"/>
      <c r="W248" s="439"/>
      <c r="X248" s="442"/>
      <c r="Y248" s="438"/>
      <c r="Z248" s="442"/>
      <c r="AA248" s="440"/>
    </row>
    <row r="249" spans="1:27" hidden="1" x14ac:dyDescent="0.25">
      <c r="A249" s="430"/>
      <c r="B249" s="6" t="str">
        <f>IF(A249&lt;&gt;"",INDEX('Base de données'!A$4:L$990,MATCH(' TVA M'!A249,'Base de données'!A$4:A$990,0),2),"")</f>
        <v/>
      </c>
      <c r="C249" s="7" t="str">
        <f>IF(A249&lt;&gt;"",INDEX('Base de données'!A$4:L$990,MATCH(' TVA M'!A249,'Base de données'!A$4:A$990,0),12),"")</f>
        <v/>
      </c>
      <c r="D249" s="442"/>
      <c r="E249" s="438"/>
      <c r="F249" s="443"/>
      <c r="G249" s="439"/>
      <c r="H249" s="442"/>
      <c r="I249" s="438"/>
      <c r="J249" s="443"/>
      <c r="K249" s="439"/>
      <c r="L249" s="442"/>
      <c r="M249" s="438"/>
      <c r="N249" s="443"/>
      <c r="O249" s="439"/>
      <c r="P249" s="442"/>
      <c r="Q249" s="438"/>
      <c r="R249" s="443"/>
      <c r="S249" s="439"/>
      <c r="T249" s="442"/>
      <c r="U249" s="438"/>
      <c r="V249" s="443"/>
      <c r="W249" s="439"/>
      <c r="X249" s="442"/>
      <c r="Y249" s="438"/>
      <c r="Z249" s="442"/>
      <c r="AA249" s="440"/>
    </row>
    <row r="250" spans="1:27" hidden="1" x14ac:dyDescent="0.25">
      <c r="A250" s="430"/>
      <c r="B250" s="6" t="str">
        <f>IF(A250&lt;&gt;"",INDEX('Base de données'!A$4:L$990,MATCH(' TVA M'!A250,'Base de données'!A$4:A$990,0),2),"")</f>
        <v/>
      </c>
      <c r="C250" s="7" t="str">
        <f>IF(A250&lt;&gt;"",INDEX('Base de données'!A$4:L$990,MATCH(' TVA M'!A250,'Base de données'!A$4:A$990,0),12),"")</f>
        <v/>
      </c>
      <c r="D250" s="442"/>
      <c r="E250" s="438"/>
      <c r="F250" s="443"/>
      <c r="G250" s="439"/>
      <c r="H250" s="442"/>
      <c r="I250" s="438"/>
      <c r="J250" s="443"/>
      <c r="K250" s="439"/>
      <c r="L250" s="442"/>
      <c r="M250" s="438"/>
      <c r="N250" s="443"/>
      <c r="O250" s="439"/>
      <c r="P250" s="442"/>
      <c r="Q250" s="438"/>
      <c r="R250" s="443"/>
      <c r="S250" s="439"/>
      <c r="T250" s="442"/>
      <c r="U250" s="438"/>
      <c r="V250" s="443"/>
      <c r="W250" s="439"/>
      <c r="X250" s="442"/>
      <c r="Y250" s="438"/>
      <c r="Z250" s="442"/>
      <c r="AA250" s="440"/>
    </row>
    <row r="251" spans="1:27" hidden="1" x14ac:dyDescent="0.25">
      <c r="A251" s="430"/>
      <c r="B251" s="6" t="str">
        <f>IF(A251&lt;&gt;"",INDEX('Base de données'!A$4:L$990,MATCH(' TVA M'!A251,'Base de données'!A$4:A$990,0),2),"")</f>
        <v/>
      </c>
      <c r="C251" s="7" t="str">
        <f>IF(A251&lt;&gt;"",INDEX('Base de données'!A$4:L$990,MATCH(' TVA M'!A251,'Base de données'!A$4:A$990,0),12),"")</f>
        <v/>
      </c>
      <c r="D251" s="442"/>
      <c r="E251" s="438"/>
      <c r="F251" s="443"/>
      <c r="G251" s="439"/>
      <c r="H251" s="442"/>
      <c r="I251" s="438"/>
      <c r="J251" s="443"/>
      <c r="K251" s="439"/>
      <c r="L251" s="442"/>
      <c r="M251" s="438"/>
      <c r="N251" s="443"/>
      <c r="O251" s="439"/>
      <c r="P251" s="442"/>
      <c r="Q251" s="438"/>
      <c r="R251" s="443"/>
      <c r="S251" s="439"/>
      <c r="T251" s="442"/>
      <c r="U251" s="438"/>
      <c r="V251" s="443"/>
      <c r="W251" s="439"/>
      <c r="X251" s="442"/>
      <c r="Y251" s="438"/>
      <c r="Z251" s="442"/>
      <c r="AA251" s="440"/>
    </row>
    <row r="252" spans="1:27" hidden="1" x14ac:dyDescent="0.25">
      <c r="A252" s="430"/>
      <c r="B252" s="6" t="str">
        <f>IF(A252&lt;&gt;"",INDEX('Base de données'!A$4:L$990,MATCH(' TVA M'!A252,'Base de données'!A$4:A$990,0),2),"")</f>
        <v/>
      </c>
      <c r="C252" s="7" t="str">
        <f>IF(A252&lt;&gt;"",INDEX('Base de données'!A$4:L$990,MATCH(' TVA M'!A252,'Base de données'!A$4:A$990,0),12),"")</f>
        <v/>
      </c>
      <c r="D252" s="442"/>
      <c r="E252" s="438"/>
      <c r="F252" s="443"/>
      <c r="G252" s="439"/>
      <c r="H252" s="442"/>
      <c r="I252" s="438"/>
      <c r="J252" s="443"/>
      <c r="K252" s="439"/>
      <c r="L252" s="442"/>
      <c r="M252" s="438"/>
      <c r="N252" s="443"/>
      <c r="O252" s="439"/>
      <c r="P252" s="442"/>
      <c r="Q252" s="438"/>
      <c r="R252" s="443"/>
      <c r="S252" s="439"/>
      <c r="T252" s="442"/>
      <c r="U252" s="438"/>
      <c r="V252" s="443"/>
      <c r="W252" s="439"/>
      <c r="X252" s="442"/>
      <c r="Y252" s="438"/>
      <c r="Z252" s="442"/>
      <c r="AA252" s="440"/>
    </row>
    <row r="253" spans="1:27" hidden="1" x14ac:dyDescent="0.25">
      <c r="A253" s="430"/>
      <c r="B253" s="6" t="str">
        <f>IF(A253&lt;&gt;"",INDEX('Base de données'!A$4:L$990,MATCH(' TVA M'!A253,'Base de données'!A$4:A$990,0),2),"")</f>
        <v/>
      </c>
      <c r="C253" s="7" t="str">
        <f>IF(A253&lt;&gt;"",INDEX('Base de données'!A$4:L$990,MATCH(' TVA M'!A253,'Base de données'!A$4:A$990,0),12),"")</f>
        <v/>
      </c>
      <c r="D253" s="442"/>
      <c r="E253" s="438"/>
      <c r="F253" s="443"/>
      <c r="G253" s="439"/>
      <c r="H253" s="442"/>
      <c r="I253" s="438"/>
      <c r="J253" s="443"/>
      <c r="K253" s="439"/>
      <c r="L253" s="442"/>
      <c r="M253" s="438"/>
      <c r="N253" s="443"/>
      <c r="O253" s="439"/>
      <c r="P253" s="442"/>
      <c r="Q253" s="438"/>
      <c r="R253" s="443"/>
      <c r="S253" s="439"/>
      <c r="T253" s="442"/>
      <c r="U253" s="438"/>
      <c r="V253" s="443"/>
      <c r="W253" s="439"/>
      <c r="X253" s="442"/>
      <c r="Y253" s="438"/>
      <c r="Z253" s="442"/>
      <c r="AA253" s="440"/>
    </row>
    <row r="254" spans="1:27" hidden="1" x14ac:dyDescent="0.25">
      <c r="A254" s="430"/>
      <c r="B254" s="6" t="str">
        <f>IF(A254&lt;&gt;"",INDEX('Base de données'!A$4:L$990,MATCH(' TVA M'!A254,'Base de données'!A$4:A$990,0),2),"")</f>
        <v/>
      </c>
      <c r="C254" s="7" t="str">
        <f>IF(A254&lt;&gt;"",INDEX('Base de données'!A$4:L$990,MATCH(' TVA M'!A254,'Base de données'!A$4:A$990,0),12),"")</f>
        <v/>
      </c>
      <c r="D254" s="442"/>
      <c r="E254" s="438"/>
      <c r="F254" s="443"/>
      <c r="G254" s="439"/>
      <c r="H254" s="442"/>
      <c r="I254" s="438"/>
      <c r="J254" s="443"/>
      <c r="K254" s="439"/>
      <c r="L254" s="442"/>
      <c r="M254" s="438"/>
      <c r="N254" s="443"/>
      <c r="O254" s="439"/>
      <c r="P254" s="442"/>
      <c r="Q254" s="438"/>
      <c r="R254" s="443"/>
      <c r="S254" s="439"/>
      <c r="T254" s="442"/>
      <c r="U254" s="438"/>
      <c r="V254" s="443"/>
      <c r="W254" s="439"/>
      <c r="X254" s="442"/>
      <c r="Y254" s="438"/>
      <c r="Z254" s="442"/>
      <c r="AA254" s="440"/>
    </row>
    <row r="255" spans="1:27" hidden="1" x14ac:dyDescent="0.25">
      <c r="A255" s="430"/>
      <c r="B255" s="6" t="str">
        <f>IF(A255&lt;&gt;"",INDEX('Base de données'!A$4:L$990,MATCH(' TVA M'!A255,'Base de données'!A$4:A$990,0),2),"")</f>
        <v/>
      </c>
      <c r="C255" s="7" t="str">
        <f>IF(A255&lt;&gt;"",INDEX('Base de données'!A$4:L$990,MATCH(' TVA M'!A255,'Base de données'!A$4:A$990,0),12),"")</f>
        <v/>
      </c>
      <c r="D255" s="442"/>
      <c r="E255" s="438"/>
      <c r="F255" s="443"/>
      <c r="G255" s="439"/>
      <c r="H255" s="442"/>
      <c r="I255" s="438"/>
      <c r="J255" s="443"/>
      <c r="K255" s="439"/>
      <c r="L255" s="442"/>
      <c r="M255" s="438"/>
      <c r="N255" s="443"/>
      <c r="O255" s="439"/>
      <c r="P255" s="442"/>
      <c r="Q255" s="438"/>
      <c r="R255" s="443"/>
      <c r="S255" s="439"/>
      <c r="T255" s="442"/>
      <c r="U255" s="438"/>
      <c r="V255" s="443"/>
      <c r="W255" s="439"/>
      <c r="X255" s="442"/>
      <c r="Y255" s="438"/>
      <c r="Z255" s="442"/>
      <c r="AA255" s="440"/>
    </row>
    <row r="256" spans="1:27" hidden="1" x14ac:dyDescent="0.25">
      <c r="A256" s="430"/>
      <c r="B256" s="6" t="str">
        <f>IF(A256&lt;&gt;"",INDEX('Base de données'!A$4:L$990,MATCH(' TVA M'!A256,'Base de données'!A$4:A$990,0),2),"")</f>
        <v/>
      </c>
      <c r="C256" s="7" t="str">
        <f>IF(A256&lt;&gt;"",INDEX('Base de données'!A$4:L$990,MATCH(' TVA M'!A256,'Base de données'!A$4:A$990,0),12),"")</f>
        <v/>
      </c>
      <c r="D256" s="442"/>
      <c r="E256" s="438"/>
      <c r="F256" s="443"/>
      <c r="G256" s="439"/>
      <c r="H256" s="442"/>
      <c r="I256" s="438"/>
      <c r="J256" s="443"/>
      <c r="K256" s="439"/>
      <c r="L256" s="442"/>
      <c r="M256" s="438"/>
      <c r="N256" s="443"/>
      <c r="O256" s="439"/>
      <c r="P256" s="442"/>
      <c r="Q256" s="438"/>
      <c r="R256" s="443"/>
      <c r="S256" s="439"/>
      <c r="T256" s="442"/>
      <c r="U256" s="438"/>
      <c r="V256" s="443"/>
      <c r="W256" s="439"/>
      <c r="X256" s="442"/>
      <c r="Y256" s="438"/>
      <c r="Z256" s="442"/>
      <c r="AA256" s="440"/>
    </row>
    <row r="257" spans="1:27" hidden="1" x14ac:dyDescent="0.25">
      <c r="A257" s="430"/>
      <c r="B257" s="6" t="str">
        <f>IF(A257&lt;&gt;"",INDEX('Base de données'!A$4:L$990,MATCH(' TVA M'!A257,'Base de données'!A$4:A$990,0),2),"")</f>
        <v/>
      </c>
      <c r="C257" s="7" t="str">
        <f>IF(A257&lt;&gt;"",INDEX('Base de données'!A$4:L$990,MATCH(' TVA M'!A257,'Base de données'!A$4:A$990,0),12),"")</f>
        <v/>
      </c>
      <c r="D257" s="442"/>
      <c r="E257" s="438"/>
      <c r="F257" s="443"/>
      <c r="G257" s="439"/>
      <c r="H257" s="442"/>
      <c r="I257" s="438"/>
      <c r="J257" s="443"/>
      <c r="K257" s="439"/>
      <c r="L257" s="442"/>
      <c r="M257" s="438"/>
      <c r="N257" s="443"/>
      <c r="O257" s="439"/>
      <c r="P257" s="442"/>
      <c r="Q257" s="438"/>
      <c r="R257" s="443"/>
      <c r="S257" s="439"/>
      <c r="T257" s="442"/>
      <c r="U257" s="438"/>
      <c r="V257" s="443"/>
      <c r="W257" s="439"/>
      <c r="X257" s="442"/>
      <c r="Y257" s="438"/>
      <c r="Z257" s="442"/>
      <c r="AA257" s="440"/>
    </row>
    <row r="258" spans="1:27" hidden="1" x14ac:dyDescent="0.25">
      <c r="A258" s="430"/>
      <c r="B258" s="6" t="str">
        <f>IF(A258&lt;&gt;"",INDEX('Base de données'!A$4:L$990,MATCH(' TVA M'!A258,'Base de données'!A$4:A$990,0),2),"")</f>
        <v/>
      </c>
      <c r="C258" s="7" t="str">
        <f>IF(A258&lt;&gt;"",INDEX('Base de données'!A$4:L$990,MATCH(' TVA M'!A258,'Base de données'!A$4:A$990,0),12),"")</f>
        <v/>
      </c>
      <c r="D258" s="442"/>
      <c r="E258" s="438"/>
      <c r="F258" s="443"/>
      <c r="G258" s="439"/>
      <c r="H258" s="442"/>
      <c r="I258" s="438"/>
      <c r="J258" s="443"/>
      <c r="K258" s="439"/>
      <c r="L258" s="442"/>
      <c r="M258" s="438"/>
      <c r="N258" s="443"/>
      <c r="O258" s="439"/>
      <c r="P258" s="442"/>
      <c r="Q258" s="438"/>
      <c r="R258" s="443"/>
      <c r="S258" s="439"/>
      <c r="T258" s="442"/>
      <c r="U258" s="438"/>
      <c r="V258" s="443"/>
      <c r="W258" s="439"/>
      <c r="X258" s="442"/>
      <c r="Y258" s="438"/>
      <c r="Z258" s="442"/>
      <c r="AA258" s="440"/>
    </row>
    <row r="259" spans="1:27" hidden="1" x14ac:dyDescent="0.25">
      <c r="A259" s="430"/>
      <c r="B259" s="6" t="str">
        <f>IF(A259&lt;&gt;"",INDEX('Base de données'!A$4:L$990,MATCH(' TVA M'!A259,'Base de données'!A$4:A$990,0),2),"")</f>
        <v/>
      </c>
      <c r="C259" s="7" t="str">
        <f>IF(A259&lt;&gt;"",INDEX('Base de données'!A$4:L$990,MATCH(' TVA M'!A259,'Base de données'!A$4:A$990,0),12),"")</f>
        <v/>
      </c>
      <c r="D259" s="442"/>
      <c r="E259" s="438"/>
      <c r="F259" s="443"/>
      <c r="G259" s="439"/>
      <c r="H259" s="442"/>
      <c r="I259" s="438"/>
      <c r="J259" s="443"/>
      <c r="K259" s="439"/>
      <c r="L259" s="442"/>
      <c r="M259" s="438"/>
      <c r="N259" s="443"/>
      <c r="O259" s="439"/>
      <c r="P259" s="442"/>
      <c r="Q259" s="438"/>
      <c r="R259" s="443"/>
      <c r="S259" s="439"/>
      <c r="T259" s="442"/>
      <c r="U259" s="438"/>
      <c r="V259" s="443"/>
      <c r="W259" s="439"/>
      <c r="X259" s="442"/>
      <c r="Y259" s="438"/>
      <c r="Z259" s="442"/>
      <c r="AA259" s="440"/>
    </row>
    <row r="260" spans="1:27" hidden="1" x14ac:dyDescent="0.25">
      <c r="A260" s="430"/>
      <c r="B260" s="6" t="str">
        <f>IF(A260&lt;&gt;"",INDEX('Base de données'!A$4:L$990,MATCH(' TVA M'!A260,'Base de données'!A$4:A$990,0),2),"")</f>
        <v/>
      </c>
      <c r="C260" s="7" t="str">
        <f>IF(A260&lt;&gt;"",INDEX('Base de données'!A$4:L$990,MATCH(' TVA M'!A260,'Base de données'!A$4:A$990,0),12),"")</f>
        <v/>
      </c>
      <c r="D260" s="442"/>
      <c r="E260" s="438"/>
      <c r="F260" s="443"/>
      <c r="G260" s="439"/>
      <c r="H260" s="442"/>
      <c r="I260" s="438"/>
      <c r="J260" s="443"/>
      <c r="K260" s="439"/>
      <c r="L260" s="442"/>
      <c r="M260" s="438"/>
      <c r="N260" s="443"/>
      <c r="O260" s="439"/>
      <c r="P260" s="442"/>
      <c r="Q260" s="438"/>
      <c r="R260" s="443"/>
      <c r="S260" s="439"/>
      <c r="T260" s="442"/>
      <c r="U260" s="438"/>
      <c r="V260" s="443"/>
      <c r="W260" s="439"/>
      <c r="X260" s="442"/>
      <c r="Y260" s="438"/>
      <c r="Z260" s="442"/>
      <c r="AA260" s="440"/>
    </row>
    <row r="261" spans="1:27" hidden="1" x14ac:dyDescent="0.25">
      <c r="A261" s="430"/>
      <c r="B261" s="6" t="str">
        <f>IF(A261&lt;&gt;"",INDEX('Base de données'!A$4:L$990,MATCH(' TVA M'!A261,'Base de données'!A$4:A$990,0),2),"")</f>
        <v/>
      </c>
      <c r="C261" s="7" t="str">
        <f>IF(A261&lt;&gt;"",INDEX('Base de données'!A$4:L$990,MATCH(' TVA M'!A261,'Base de données'!A$4:A$990,0),12),"")</f>
        <v/>
      </c>
      <c r="D261" s="442"/>
      <c r="E261" s="438"/>
      <c r="F261" s="443"/>
      <c r="G261" s="439"/>
      <c r="H261" s="442"/>
      <c r="I261" s="438"/>
      <c r="J261" s="443"/>
      <c r="K261" s="439"/>
      <c r="L261" s="442"/>
      <c r="M261" s="438"/>
      <c r="N261" s="443"/>
      <c r="O261" s="439"/>
      <c r="P261" s="442"/>
      <c r="Q261" s="438"/>
      <c r="R261" s="443"/>
      <c r="S261" s="439"/>
      <c r="T261" s="442"/>
      <c r="U261" s="438"/>
      <c r="V261" s="443"/>
      <c r="W261" s="439"/>
      <c r="X261" s="442"/>
      <c r="Y261" s="438"/>
      <c r="Z261" s="442"/>
      <c r="AA261" s="440"/>
    </row>
    <row r="262" spans="1:27" hidden="1" x14ac:dyDescent="0.25">
      <c r="A262" s="430"/>
      <c r="B262" s="6" t="str">
        <f>IF(A262&lt;&gt;"",INDEX('Base de données'!A$4:L$990,MATCH(' TVA M'!A262,'Base de données'!A$4:A$990,0),2),"")</f>
        <v/>
      </c>
      <c r="C262" s="7" t="str">
        <f>IF(A262&lt;&gt;"",INDEX('Base de données'!A$4:L$990,MATCH(' TVA M'!A262,'Base de données'!A$4:A$990,0),12),"")</f>
        <v/>
      </c>
      <c r="D262" s="442"/>
      <c r="E262" s="438"/>
      <c r="F262" s="443"/>
      <c r="G262" s="439"/>
      <c r="H262" s="442"/>
      <c r="I262" s="438"/>
      <c r="J262" s="443"/>
      <c r="K262" s="439"/>
      <c r="L262" s="442"/>
      <c r="M262" s="438"/>
      <c r="N262" s="443"/>
      <c r="O262" s="439"/>
      <c r="P262" s="442"/>
      <c r="Q262" s="438"/>
      <c r="R262" s="443"/>
      <c r="S262" s="439"/>
      <c r="T262" s="442"/>
      <c r="U262" s="438"/>
      <c r="V262" s="443"/>
      <c r="W262" s="439"/>
      <c r="X262" s="442"/>
      <c r="Y262" s="438"/>
      <c r="Z262" s="442"/>
      <c r="AA262" s="440"/>
    </row>
    <row r="263" spans="1:27" hidden="1" x14ac:dyDescent="0.25">
      <c r="A263" s="430"/>
      <c r="B263" s="6" t="str">
        <f>IF(A263&lt;&gt;"",INDEX('Base de données'!A$4:L$990,MATCH(' TVA M'!A263,'Base de données'!A$4:A$990,0),2),"")</f>
        <v/>
      </c>
      <c r="C263" s="7" t="str">
        <f>IF(A263&lt;&gt;"",INDEX('Base de données'!A$4:L$990,MATCH(' TVA M'!A263,'Base de données'!A$4:A$990,0),12),"")</f>
        <v/>
      </c>
      <c r="D263" s="442"/>
      <c r="E263" s="438"/>
      <c r="F263" s="443"/>
      <c r="G263" s="439"/>
      <c r="H263" s="442"/>
      <c r="I263" s="438"/>
      <c r="J263" s="443"/>
      <c r="K263" s="439"/>
      <c r="L263" s="442"/>
      <c r="M263" s="438"/>
      <c r="N263" s="443"/>
      <c r="O263" s="439"/>
      <c r="P263" s="442"/>
      <c r="Q263" s="438"/>
      <c r="R263" s="443"/>
      <c r="S263" s="439"/>
      <c r="T263" s="442"/>
      <c r="U263" s="438"/>
      <c r="V263" s="443"/>
      <c r="W263" s="439"/>
      <c r="X263" s="442"/>
      <c r="Y263" s="438"/>
      <c r="Z263" s="442"/>
      <c r="AA263" s="440"/>
    </row>
    <row r="264" spans="1:27" hidden="1" x14ac:dyDescent="0.25">
      <c r="A264" s="430"/>
      <c r="B264" s="6" t="str">
        <f>IF(A264&lt;&gt;"",INDEX('Base de données'!A$4:L$990,MATCH(' TVA M'!A264,'Base de données'!A$4:A$990,0),2),"")</f>
        <v/>
      </c>
      <c r="C264" s="7" t="str">
        <f>IF(A264&lt;&gt;"",INDEX('Base de données'!A$4:L$990,MATCH(' TVA M'!A264,'Base de données'!A$4:A$990,0),12),"")</f>
        <v/>
      </c>
      <c r="D264" s="442"/>
      <c r="E264" s="438"/>
      <c r="F264" s="443"/>
      <c r="G264" s="439"/>
      <c r="H264" s="442"/>
      <c r="I264" s="438"/>
      <c r="J264" s="443"/>
      <c r="K264" s="439"/>
      <c r="L264" s="442"/>
      <c r="M264" s="438"/>
      <c r="N264" s="443"/>
      <c r="O264" s="439"/>
      <c r="P264" s="442"/>
      <c r="Q264" s="438"/>
      <c r="R264" s="443"/>
      <c r="S264" s="439"/>
      <c r="T264" s="442"/>
      <c r="U264" s="438"/>
      <c r="V264" s="443"/>
      <c r="W264" s="439"/>
      <c r="X264" s="442"/>
      <c r="Y264" s="438"/>
      <c r="Z264" s="442"/>
      <c r="AA264" s="440"/>
    </row>
    <row r="265" spans="1:27" hidden="1" x14ac:dyDescent="0.25">
      <c r="A265" s="430"/>
      <c r="B265" s="6" t="str">
        <f>IF(A265&lt;&gt;"",INDEX('Base de données'!A$4:L$990,MATCH(' TVA M'!A265,'Base de données'!A$4:A$990,0),2),"")</f>
        <v/>
      </c>
      <c r="C265" s="7" t="str">
        <f>IF(A265&lt;&gt;"",INDEX('Base de données'!A$4:L$990,MATCH(' TVA M'!A265,'Base de données'!A$4:A$990,0),12),"")</f>
        <v/>
      </c>
      <c r="D265" s="442"/>
      <c r="E265" s="438"/>
      <c r="F265" s="443"/>
      <c r="G265" s="439"/>
      <c r="H265" s="442"/>
      <c r="I265" s="438"/>
      <c r="J265" s="443"/>
      <c r="K265" s="439"/>
      <c r="L265" s="442"/>
      <c r="M265" s="438"/>
      <c r="N265" s="443"/>
      <c r="O265" s="439"/>
      <c r="P265" s="442"/>
      <c r="Q265" s="438"/>
      <c r="R265" s="443"/>
      <c r="S265" s="439"/>
      <c r="T265" s="442"/>
      <c r="U265" s="438"/>
      <c r="V265" s="443"/>
      <c r="W265" s="439"/>
      <c r="X265" s="442"/>
      <c r="Y265" s="438"/>
      <c r="Z265" s="442"/>
      <c r="AA265" s="440"/>
    </row>
    <row r="266" spans="1:27" hidden="1" x14ac:dyDescent="0.25">
      <c r="A266" s="430"/>
      <c r="B266" s="6" t="str">
        <f>IF(A266&lt;&gt;"",INDEX('Base de données'!A$4:L$990,MATCH(' TVA M'!A266,'Base de données'!A$4:A$990,0),2),"")</f>
        <v/>
      </c>
      <c r="C266" s="7" t="str">
        <f>IF(A266&lt;&gt;"",INDEX('Base de données'!A$4:L$990,MATCH(' TVA M'!A266,'Base de données'!A$4:A$990,0),12),"")</f>
        <v/>
      </c>
      <c r="D266" s="442"/>
      <c r="E266" s="438"/>
      <c r="F266" s="443"/>
      <c r="G266" s="439"/>
      <c r="H266" s="442"/>
      <c r="I266" s="438"/>
      <c r="J266" s="443"/>
      <c r="K266" s="439"/>
      <c r="L266" s="442"/>
      <c r="M266" s="438"/>
      <c r="N266" s="443"/>
      <c r="O266" s="439"/>
      <c r="P266" s="442"/>
      <c r="Q266" s="438"/>
      <c r="R266" s="443"/>
      <c r="S266" s="439"/>
      <c r="T266" s="442"/>
      <c r="U266" s="438"/>
      <c r="V266" s="443"/>
      <c r="W266" s="439"/>
      <c r="X266" s="442"/>
      <c r="Y266" s="438"/>
      <c r="Z266" s="442"/>
      <c r="AA266" s="440"/>
    </row>
    <row r="267" spans="1:27" hidden="1" x14ac:dyDescent="0.25">
      <c r="A267" s="430"/>
      <c r="B267" s="6" t="str">
        <f>IF(A267&lt;&gt;"",INDEX('Base de données'!A$4:L$990,MATCH(' TVA M'!A267,'Base de données'!A$4:A$990,0),2),"")</f>
        <v/>
      </c>
      <c r="C267" s="7" t="str">
        <f>IF(A267&lt;&gt;"",INDEX('Base de données'!A$4:L$990,MATCH(' TVA M'!A267,'Base de données'!A$4:A$990,0),12),"")</f>
        <v/>
      </c>
      <c r="D267" s="442"/>
      <c r="E267" s="438"/>
      <c r="F267" s="443"/>
      <c r="G267" s="439"/>
      <c r="H267" s="442"/>
      <c r="I267" s="438"/>
      <c r="J267" s="443"/>
      <c r="K267" s="439"/>
      <c r="L267" s="442"/>
      <c r="M267" s="438"/>
      <c r="N267" s="443"/>
      <c r="O267" s="439"/>
      <c r="P267" s="442"/>
      <c r="Q267" s="438"/>
      <c r="R267" s="443"/>
      <c r="S267" s="439"/>
      <c r="T267" s="442"/>
      <c r="U267" s="438"/>
      <c r="V267" s="443"/>
      <c r="W267" s="439"/>
      <c r="X267" s="442"/>
      <c r="Y267" s="438"/>
      <c r="Z267" s="442"/>
      <c r="AA267" s="440"/>
    </row>
    <row r="268" spans="1:27" hidden="1" x14ac:dyDescent="0.25">
      <c r="A268" s="430"/>
      <c r="B268" s="6" t="str">
        <f>IF(A268&lt;&gt;"",INDEX('Base de données'!A$4:L$990,MATCH(' TVA M'!A268,'Base de données'!A$4:A$990,0),2),"")</f>
        <v/>
      </c>
      <c r="C268" s="7" t="str">
        <f>IF(A268&lt;&gt;"",INDEX('Base de données'!A$4:L$990,MATCH(' TVA M'!A268,'Base de données'!A$4:A$990,0),12),"")</f>
        <v/>
      </c>
      <c r="D268" s="442"/>
      <c r="E268" s="438"/>
      <c r="F268" s="443"/>
      <c r="G268" s="439"/>
      <c r="H268" s="442"/>
      <c r="I268" s="438"/>
      <c r="J268" s="443"/>
      <c r="K268" s="439"/>
      <c r="L268" s="442"/>
      <c r="M268" s="438"/>
      <c r="N268" s="443"/>
      <c r="O268" s="439"/>
      <c r="P268" s="442"/>
      <c r="Q268" s="438"/>
      <c r="R268" s="443"/>
      <c r="S268" s="439"/>
      <c r="T268" s="442"/>
      <c r="U268" s="438"/>
      <c r="V268" s="443"/>
      <c r="W268" s="439"/>
      <c r="X268" s="442"/>
      <c r="Y268" s="438"/>
      <c r="Z268" s="442"/>
      <c r="AA268" s="440"/>
    </row>
    <row r="269" spans="1:27" hidden="1" x14ac:dyDescent="0.25">
      <c r="A269" s="430"/>
      <c r="B269" s="6" t="str">
        <f>IF(A269&lt;&gt;"",INDEX('Base de données'!A$4:L$990,MATCH(' TVA M'!A269,'Base de données'!A$4:A$990,0),2),"")</f>
        <v/>
      </c>
      <c r="C269" s="7" t="str">
        <f>IF(A269&lt;&gt;"",INDEX('Base de données'!A$4:L$990,MATCH(' TVA M'!A269,'Base de données'!A$4:A$990,0),12),"")</f>
        <v/>
      </c>
      <c r="D269" s="442"/>
      <c r="E269" s="438"/>
      <c r="F269" s="443"/>
      <c r="G269" s="439"/>
      <c r="H269" s="442"/>
      <c r="I269" s="438"/>
      <c r="J269" s="443"/>
      <c r="K269" s="439"/>
      <c r="L269" s="442"/>
      <c r="M269" s="438"/>
      <c r="N269" s="443"/>
      <c r="O269" s="439"/>
      <c r="P269" s="442"/>
      <c r="Q269" s="438"/>
      <c r="R269" s="443"/>
      <c r="S269" s="439"/>
      <c r="T269" s="442"/>
      <c r="U269" s="438"/>
      <c r="V269" s="443"/>
      <c r="W269" s="439"/>
      <c r="X269" s="442"/>
      <c r="Y269" s="438"/>
      <c r="Z269" s="442"/>
      <c r="AA269" s="440"/>
    </row>
    <row r="270" spans="1:27" hidden="1" x14ac:dyDescent="0.25">
      <c r="A270" s="430"/>
      <c r="B270" s="6" t="str">
        <f>IF(A270&lt;&gt;"",INDEX('Base de données'!A$4:L$990,MATCH(' TVA M'!A270,'Base de données'!A$4:A$990,0),2),"")</f>
        <v/>
      </c>
      <c r="C270" s="7" t="str">
        <f>IF(A270&lt;&gt;"",INDEX('Base de données'!A$4:L$990,MATCH(' TVA M'!A270,'Base de données'!A$4:A$990,0),12),"")</f>
        <v/>
      </c>
      <c r="D270" s="442"/>
      <c r="E270" s="438"/>
      <c r="F270" s="443"/>
      <c r="G270" s="439"/>
      <c r="H270" s="442"/>
      <c r="I270" s="438"/>
      <c r="J270" s="443"/>
      <c r="K270" s="439"/>
      <c r="L270" s="442"/>
      <c r="M270" s="438"/>
      <c r="N270" s="443"/>
      <c r="O270" s="439"/>
      <c r="P270" s="442"/>
      <c r="Q270" s="438"/>
      <c r="R270" s="443"/>
      <c r="S270" s="439"/>
      <c r="T270" s="442"/>
      <c r="U270" s="438"/>
      <c r="V270" s="443"/>
      <c r="W270" s="439"/>
      <c r="X270" s="442"/>
      <c r="Y270" s="438"/>
      <c r="Z270" s="442"/>
      <c r="AA270" s="440"/>
    </row>
    <row r="271" spans="1:27" hidden="1" x14ac:dyDescent="0.25">
      <c r="A271" s="430"/>
      <c r="B271" s="6" t="str">
        <f>IF(A271&lt;&gt;"",INDEX('Base de données'!A$4:L$990,MATCH(' TVA M'!A271,'Base de données'!A$4:A$990,0),2),"")</f>
        <v/>
      </c>
      <c r="C271" s="7" t="str">
        <f>IF(A271&lt;&gt;"",INDEX('Base de données'!A$4:L$990,MATCH(' TVA M'!A271,'Base de données'!A$4:A$990,0),12),"")</f>
        <v/>
      </c>
      <c r="D271" s="442"/>
      <c r="E271" s="438"/>
      <c r="F271" s="443"/>
      <c r="G271" s="439"/>
      <c r="H271" s="442"/>
      <c r="I271" s="438"/>
      <c r="J271" s="443"/>
      <c r="K271" s="439"/>
      <c r="L271" s="442"/>
      <c r="M271" s="438"/>
      <c r="N271" s="443"/>
      <c r="O271" s="439"/>
      <c r="P271" s="442"/>
      <c r="Q271" s="438"/>
      <c r="R271" s="443"/>
      <c r="S271" s="439"/>
      <c r="T271" s="442"/>
      <c r="U271" s="438"/>
      <c r="V271" s="443"/>
      <c r="W271" s="439"/>
      <c r="X271" s="442"/>
      <c r="Y271" s="438"/>
      <c r="Z271" s="442"/>
      <c r="AA271" s="440"/>
    </row>
    <row r="272" spans="1:27" hidden="1" x14ac:dyDescent="0.25">
      <c r="A272" s="430"/>
      <c r="B272" s="6" t="str">
        <f>IF(A272&lt;&gt;"",INDEX('Base de données'!A$4:L$990,MATCH(' TVA M'!A272,'Base de données'!A$4:A$990,0),2),"")</f>
        <v/>
      </c>
      <c r="C272" s="7" t="str">
        <f>IF(A272&lt;&gt;"",INDEX('Base de données'!A$4:L$990,MATCH(' TVA M'!A272,'Base de données'!A$4:A$990,0),12),"")</f>
        <v/>
      </c>
      <c r="D272" s="442"/>
      <c r="E272" s="438"/>
      <c r="F272" s="443"/>
      <c r="G272" s="439"/>
      <c r="H272" s="442"/>
      <c r="I272" s="438"/>
      <c r="J272" s="443"/>
      <c r="K272" s="439"/>
      <c r="L272" s="442"/>
      <c r="M272" s="438"/>
      <c r="N272" s="443"/>
      <c r="O272" s="439"/>
      <c r="P272" s="442"/>
      <c r="Q272" s="438"/>
      <c r="R272" s="443"/>
      <c r="S272" s="439"/>
      <c r="T272" s="442"/>
      <c r="U272" s="438"/>
      <c r="V272" s="443"/>
      <c r="W272" s="439"/>
      <c r="X272" s="442"/>
      <c r="Y272" s="438"/>
      <c r="Z272" s="442"/>
      <c r="AA272" s="440"/>
    </row>
    <row r="273" spans="1:27" hidden="1" x14ac:dyDescent="0.25">
      <c r="A273" s="430"/>
      <c r="B273" s="6" t="str">
        <f>IF(A273&lt;&gt;"",INDEX('Base de données'!A$4:L$990,MATCH(' TVA M'!A273,'Base de données'!A$4:A$990,0),2),"")</f>
        <v/>
      </c>
      <c r="C273" s="7" t="str">
        <f>IF(A273&lt;&gt;"",INDEX('Base de données'!A$4:L$990,MATCH(' TVA M'!A273,'Base de données'!A$4:A$990,0),12),"")</f>
        <v/>
      </c>
      <c r="D273" s="442"/>
      <c r="E273" s="438"/>
      <c r="F273" s="443"/>
      <c r="G273" s="439"/>
      <c r="H273" s="442"/>
      <c r="I273" s="438"/>
      <c r="J273" s="443"/>
      <c r="K273" s="439"/>
      <c r="L273" s="442"/>
      <c r="M273" s="438"/>
      <c r="N273" s="443"/>
      <c r="O273" s="439"/>
      <c r="P273" s="442"/>
      <c r="Q273" s="438"/>
      <c r="R273" s="443"/>
      <c r="S273" s="439"/>
      <c r="T273" s="442"/>
      <c r="U273" s="438"/>
      <c r="V273" s="443"/>
      <c r="W273" s="439"/>
      <c r="X273" s="442"/>
      <c r="Y273" s="438"/>
      <c r="Z273" s="442"/>
      <c r="AA273" s="440"/>
    </row>
    <row r="274" spans="1:27" hidden="1" x14ac:dyDescent="0.25">
      <c r="A274" s="430"/>
      <c r="B274" s="6" t="str">
        <f>IF(A274&lt;&gt;"",INDEX('Base de données'!A$4:L$990,MATCH(' TVA M'!A274,'Base de données'!A$4:A$990,0),2),"")</f>
        <v/>
      </c>
      <c r="C274" s="7" t="str">
        <f>IF(A274&lt;&gt;"",INDEX('Base de données'!A$4:L$990,MATCH(' TVA M'!A274,'Base de données'!A$4:A$990,0),12),"")</f>
        <v/>
      </c>
      <c r="D274" s="442"/>
      <c r="E274" s="438"/>
      <c r="F274" s="443"/>
      <c r="G274" s="439"/>
      <c r="H274" s="442"/>
      <c r="I274" s="438"/>
      <c r="J274" s="443"/>
      <c r="K274" s="439"/>
      <c r="L274" s="442"/>
      <c r="M274" s="438"/>
      <c r="N274" s="443"/>
      <c r="O274" s="439"/>
      <c r="P274" s="442"/>
      <c r="Q274" s="438"/>
      <c r="R274" s="443"/>
      <c r="S274" s="439"/>
      <c r="T274" s="442"/>
      <c r="U274" s="438"/>
      <c r="V274" s="443"/>
      <c r="W274" s="439"/>
      <c r="X274" s="442"/>
      <c r="Y274" s="438"/>
      <c r="Z274" s="442"/>
      <c r="AA274" s="440"/>
    </row>
    <row r="275" spans="1:27" hidden="1" x14ac:dyDescent="0.25">
      <c r="A275" s="430"/>
      <c r="B275" s="6" t="str">
        <f>IF(A275&lt;&gt;"",INDEX('Base de données'!A$4:L$990,MATCH(' TVA M'!A275,'Base de données'!A$4:A$990,0),2),"")</f>
        <v/>
      </c>
      <c r="C275" s="7" t="str">
        <f>IF(A275&lt;&gt;"",INDEX('Base de données'!A$4:L$990,MATCH(' TVA M'!A275,'Base de données'!A$4:A$990,0),12),"")</f>
        <v/>
      </c>
      <c r="D275" s="442"/>
      <c r="E275" s="438"/>
      <c r="F275" s="443"/>
      <c r="G275" s="439"/>
      <c r="H275" s="442"/>
      <c r="I275" s="438"/>
      <c r="J275" s="443"/>
      <c r="K275" s="439"/>
      <c r="L275" s="442"/>
      <c r="M275" s="438"/>
      <c r="N275" s="443"/>
      <c r="O275" s="439"/>
      <c r="P275" s="442"/>
      <c r="Q275" s="438"/>
      <c r="R275" s="443"/>
      <c r="S275" s="439"/>
      <c r="T275" s="442"/>
      <c r="U275" s="438"/>
      <c r="V275" s="443"/>
      <c r="W275" s="439"/>
      <c r="X275" s="442"/>
      <c r="Y275" s="438"/>
      <c r="Z275" s="442"/>
      <c r="AA275" s="440"/>
    </row>
    <row r="276" spans="1:27" hidden="1" x14ac:dyDescent="0.25">
      <c r="A276" s="430"/>
      <c r="B276" s="6" t="str">
        <f>IF(A276&lt;&gt;"",INDEX('Base de données'!A$4:L$990,MATCH(' TVA M'!A276,'Base de données'!A$4:A$990,0),2),"")</f>
        <v/>
      </c>
      <c r="C276" s="7" t="str">
        <f>IF(A276&lt;&gt;"",INDEX('Base de données'!A$4:L$990,MATCH(' TVA M'!A276,'Base de données'!A$4:A$990,0),12),"")</f>
        <v/>
      </c>
      <c r="D276" s="442"/>
      <c r="E276" s="438"/>
      <c r="F276" s="443"/>
      <c r="G276" s="439"/>
      <c r="H276" s="442"/>
      <c r="I276" s="438"/>
      <c r="J276" s="443"/>
      <c r="K276" s="439"/>
      <c r="L276" s="442"/>
      <c r="M276" s="438"/>
      <c r="N276" s="443"/>
      <c r="O276" s="439"/>
      <c r="P276" s="442"/>
      <c r="Q276" s="438"/>
      <c r="R276" s="443"/>
      <c r="S276" s="439"/>
      <c r="T276" s="442"/>
      <c r="U276" s="438"/>
      <c r="V276" s="443"/>
      <c r="W276" s="439"/>
      <c r="X276" s="442"/>
      <c r="Y276" s="438"/>
      <c r="Z276" s="442"/>
      <c r="AA276" s="440"/>
    </row>
    <row r="277" spans="1:27" hidden="1" x14ac:dyDescent="0.25">
      <c r="A277" s="430"/>
      <c r="B277" s="6" t="str">
        <f>IF(A277&lt;&gt;"",INDEX('Base de données'!A$4:L$990,MATCH(' TVA M'!A277,'Base de données'!A$4:A$990,0),2),"")</f>
        <v/>
      </c>
      <c r="C277" s="7" t="str">
        <f>IF(A277&lt;&gt;"",INDEX('Base de données'!A$4:L$990,MATCH(' TVA M'!A277,'Base de données'!A$4:A$990,0),12),"")</f>
        <v/>
      </c>
      <c r="D277" s="442"/>
      <c r="E277" s="438"/>
      <c r="F277" s="443"/>
      <c r="G277" s="439"/>
      <c r="H277" s="442"/>
      <c r="I277" s="438"/>
      <c r="J277" s="443"/>
      <c r="K277" s="439"/>
      <c r="L277" s="442"/>
      <c r="M277" s="438"/>
      <c r="N277" s="443"/>
      <c r="O277" s="439"/>
      <c r="P277" s="442"/>
      <c r="Q277" s="438"/>
      <c r="R277" s="443"/>
      <c r="S277" s="439"/>
      <c r="T277" s="442"/>
      <c r="U277" s="438"/>
      <c r="V277" s="443"/>
      <c r="W277" s="439"/>
      <c r="X277" s="442"/>
      <c r="Y277" s="438"/>
      <c r="Z277" s="442"/>
      <c r="AA277" s="440"/>
    </row>
    <row r="278" spans="1:27" hidden="1" x14ac:dyDescent="0.25">
      <c r="A278" s="430"/>
      <c r="B278" s="6" t="str">
        <f>IF(A278&lt;&gt;"",INDEX('Base de données'!A$4:L$990,MATCH(' TVA M'!A278,'Base de données'!A$4:A$990,0),2),"")</f>
        <v/>
      </c>
      <c r="C278" s="7" t="str">
        <f>IF(A278&lt;&gt;"",INDEX('Base de données'!A$4:L$990,MATCH(' TVA M'!A278,'Base de données'!A$4:A$990,0),12),"")</f>
        <v/>
      </c>
      <c r="D278" s="442"/>
      <c r="E278" s="438"/>
      <c r="F278" s="443"/>
      <c r="G278" s="439"/>
      <c r="H278" s="442"/>
      <c r="I278" s="438"/>
      <c r="J278" s="443"/>
      <c r="K278" s="439"/>
      <c r="L278" s="442"/>
      <c r="M278" s="438"/>
      <c r="N278" s="443"/>
      <c r="O278" s="439"/>
      <c r="P278" s="442"/>
      <c r="Q278" s="438"/>
      <c r="R278" s="443"/>
      <c r="S278" s="439"/>
      <c r="T278" s="442"/>
      <c r="U278" s="438"/>
      <c r="V278" s="443"/>
      <c r="W278" s="439"/>
      <c r="X278" s="442"/>
      <c r="Y278" s="438"/>
      <c r="Z278" s="442"/>
      <c r="AA278" s="440"/>
    </row>
    <row r="279" spans="1:27" hidden="1" x14ac:dyDescent="0.25">
      <c r="A279" s="430"/>
      <c r="B279" s="6" t="str">
        <f>IF(A279&lt;&gt;"",INDEX('Base de données'!A$4:L$990,MATCH(' TVA M'!A279,'Base de données'!A$4:A$990,0),2),"")</f>
        <v/>
      </c>
      <c r="C279" s="7" t="str">
        <f>IF(A279&lt;&gt;"",INDEX('Base de données'!A$4:L$990,MATCH(' TVA M'!A279,'Base de données'!A$4:A$990,0),12),"")</f>
        <v/>
      </c>
      <c r="D279" s="442"/>
      <c r="E279" s="438"/>
      <c r="F279" s="443"/>
      <c r="G279" s="439"/>
      <c r="H279" s="442"/>
      <c r="I279" s="438"/>
      <c r="J279" s="443"/>
      <c r="K279" s="439"/>
      <c r="L279" s="442"/>
      <c r="M279" s="438"/>
      <c r="N279" s="443"/>
      <c r="O279" s="439"/>
      <c r="P279" s="442"/>
      <c r="Q279" s="438"/>
      <c r="R279" s="443"/>
      <c r="S279" s="439"/>
      <c r="T279" s="442"/>
      <c r="U279" s="438"/>
      <c r="V279" s="443"/>
      <c r="W279" s="439"/>
      <c r="X279" s="442"/>
      <c r="Y279" s="438"/>
      <c r="Z279" s="442"/>
      <c r="AA279" s="440"/>
    </row>
    <row r="280" spans="1:27" hidden="1" x14ac:dyDescent="0.25">
      <c r="A280" s="430"/>
      <c r="B280" s="6" t="str">
        <f>IF(A280&lt;&gt;"",INDEX('Base de données'!A$4:L$990,MATCH(' TVA M'!A280,'Base de données'!A$4:A$990,0),2),"")</f>
        <v/>
      </c>
      <c r="C280" s="7" t="str">
        <f>IF(A280&lt;&gt;"",INDEX('Base de données'!A$4:L$990,MATCH(' TVA M'!A280,'Base de données'!A$4:A$990,0),12),"")</f>
        <v/>
      </c>
      <c r="D280" s="442"/>
      <c r="E280" s="438"/>
      <c r="F280" s="443"/>
      <c r="G280" s="439"/>
      <c r="H280" s="442"/>
      <c r="I280" s="438"/>
      <c r="J280" s="443"/>
      <c r="K280" s="439"/>
      <c r="L280" s="442"/>
      <c r="M280" s="438"/>
      <c r="N280" s="443"/>
      <c r="O280" s="439"/>
      <c r="P280" s="442"/>
      <c r="Q280" s="438"/>
      <c r="R280" s="443"/>
      <c r="S280" s="439"/>
      <c r="T280" s="442"/>
      <c r="U280" s="438"/>
      <c r="V280" s="443"/>
      <c r="W280" s="439"/>
      <c r="X280" s="442"/>
      <c r="Y280" s="438"/>
      <c r="Z280" s="442"/>
      <c r="AA280" s="440"/>
    </row>
    <row r="281" spans="1:27" hidden="1" x14ac:dyDescent="0.25">
      <c r="A281" s="430"/>
      <c r="B281" s="6" t="str">
        <f>IF(A281&lt;&gt;"",INDEX('Base de données'!A$4:L$990,MATCH(' TVA M'!A281,'Base de données'!A$4:A$990,0),2),"")</f>
        <v/>
      </c>
      <c r="C281" s="7" t="str">
        <f>IF(A281&lt;&gt;"",INDEX('Base de données'!A$4:L$990,MATCH(' TVA M'!A281,'Base de données'!A$4:A$990,0),12),"")</f>
        <v/>
      </c>
      <c r="D281" s="442"/>
      <c r="E281" s="438"/>
      <c r="F281" s="443"/>
      <c r="G281" s="439"/>
      <c r="H281" s="442"/>
      <c r="I281" s="438"/>
      <c r="J281" s="443"/>
      <c r="K281" s="439"/>
      <c r="L281" s="442"/>
      <c r="M281" s="438"/>
      <c r="N281" s="443"/>
      <c r="O281" s="439"/>
      <c r="P281" s="442"/>
      <c r="Q281" s="438"/>
      <c r="R281" s="443"/>
      <c r="S281" s="439"/>
      <c r="T281" s="442"/>
      <c r="U281" s="438"/>
      <c r="V281" s="443"/>
      <c r="W281" s="439"/>
      <c r="X281" s="442"/>
      <c r="Y281" s="438"/>
      <c r="Z281" s="442"/>
      <c r="AA281" s="440"/>
    </row>
    <row r="282" spans="1:27" hidden="1" x14ac:dyDescent="0.25">
      <c r="A282" s="430"/>
      <c r="B282" s="6" t="str">
        <f>IF(A282&lt;&gt;"",INDEX('Base de données'!A$4:L$990,MATCH(' TVA M'!A282,'Base de données'!A$4:A$990,0),2),"")</f>
        <v/>
      </c>
      <c r="C282" s="7" t="str">
        <f>IF(A282&lt;&gt;"",INDEX('Base de données'!A$4:L$990,MATCH(' TVA M'!A282,'Base de données'!A$4:A$990,0),12),"")</f>
        <v/>
      </c>
      <c r="D282" s="442"/>
      <c r="E282" s="438"/>
      <c r="F282" s="443"/>
      <c r="G282" s="439"/>
      <c r="H282" s="442"/>
      <c r="I282" s="438"/>
      <c r="J282" s="443"/>
      <c r="K282" s="439"/>
      <c r="L282" s="442"/>
      <c r="M282" s="438"/>
      <c r="N282" s="443"/>
      <c r="O282" s="439"/>
      <c r="P282" s="442"/>
      <c r="Q282" s="438"/>
      <c r="R282" s="443"/>
      <c r="S282" s="439"/>
      <c r="T282" s="442"/>
      <c r="U282" s="438"/>
      <c r="V282" s="443"/>
      <c r="W282" s="439"/>
      <c r="X282" s="442"/>
      <c r="Y282" s="438"/>
      <c r="Z282" s="442"/>
      <c r="AA282" s="440"/>
    </row>
    <row r="283" spans="1:27" hidden="1" x14ac:dyDescent="0.25">
      <c r="A283" s="430"/>
      <c r="B283" s="6" t="str">
        <f>IF(A283&lt;&gt;"",INDEX('Base de données'!A$4:L$990,MATCH(' TVA M'!A283,'Base de données'!A$4:A$990,0),2),"")</f>
        <v/>
      </c>
      <c r="C283" s="7" t="str">
        <f>IF(A283&lt;&gt;"",INDEX('Base de données'!A$4:L$990,MATCH(' TVA M'!A283,'Base de données'!A$4:A$990,0),12),"")</f>
        <v/>
      </c>
      <c r="D283" s="442"/>
      <c r="E283" s="438"/>
      <c r="F283" s="443"/>
      <c r="G283" s="439"/>
      <c r="H283" s="442"/>
      <c r="I283" s="438"/>
      <c r="J283" s="443"/>
      <c r="K283" s="439"/>
      <c r="L283" s="442"/>
      <c r="M283" s="438"/>
      <c r="N283" s="443"/>
      <c r="O283" s="439"/>
      <c r="P283" s="442"/>
      <c r="Q283" s="438"/>
      <c r="R283" s="443"/>
      <c r="S283" s="439"/>
      <c r="T283" s="442"/>
      <c r="U283" s="438"/>
      <c r="V283" s="443"/>
      <c r="W283" s="439"/>
      <c r="X283" s="442"/>
      <c r="Y283" s="438"/>
      <c r="Z283" s="442"/>
      <c r="AA283" s="440"/>
    </row>
    <row r="284" spans="1:27" hidden="1" x14ac:dyDescent="0.25">
      <c r="A284" s="430"/>
      <c r="B284" s="6" t="str">
        <f>IF(A284&lt;&gt;"",INDEX('Base de données'!A$4:L$990,MATCH(' TVA M'!A284,'Base de données'!A$4:A$990,0),2),"")</f>
        <v/>
      </c>
      <c r="C284" s="7" t="str">
        <f>IF(A284&lt;&gt;"",INDEX('Base de données'!A$4:L$990,MATCH(' TVA M'!A284,'Base de données'!A$4:A$990,0),12),"")</f>
        <v/>
      </c>
      <c r="D284" s="442"/>
      <c r="E284" s="438"/>
      <c r="F284" s="443"/>
      <c r="G284" s="439"/>
      <c r="H284" s="442"/>
      <c r="I284" s="438"/>
      <c r="J284" s="443"/>
      <c r="K284" s="439"/>
      <c r="L284" s="442"/>
      <c r="M284" s="438"/>
      <c r="N284" s="443"/>
      <c r="O284" s="439"/>
      <c r="P284" s="442"/>
      <c r="Q284" s="438"/>
      <c r="R284" s="443"/>
      <c r="S284" s="439"/>
      <c r="T284" s="442"/>
      <c r="U284" s="438"/>
      <c r="V284" s="443"/>
      <c r="W284" s="439"/>
      <c r="X284" s="442"/>
      <c r="Y284" s="438"/>
      <c r="Z284" s="442"/>
      <c r="AA284" s="440"/>
    </row>
    <row r="285" spans="1:27" hidden="1" x14ac:dyDescent="0.25">
      <c r="A285" s="430"/>
      <c r="B285" s="6" t="str">
        <f>IF(A285&lt;&gt;"",INDEX('Base de données'!A$4:L$990,MATCH(' TVA M'!A285,'Base de données'!A$4:A$990,0),2),"")</f>
        <v/>
      </c>
      <c r="C285" s="7" t="str">
        <f>IF(A285&lt;&gt;"",INDEX('Base de données'!A$4:L$990,MATCH(' TVA M'!A285,'Base de données'!A$4:A$990,0),12),"")</f>
        <v/>
      </c>
      <c r="D285" s="442"/>
      <c r="E285" s="438"/>
      <c r="F285" s="443"/>
      <c r="G285" s="439"/>
      <c r="H285" s="442"/>
      <c r="I285" s="438"/>
      <c r="J285" s="443"/>
      <c r="K285" s="439"/>
      <c r="L285" s="442"/>
      <c r="M285" s="438"/>
      <c r="N285" s="443"/>
      <c r="O285" s="439"/>
      <c r="P285" s="442"/>
      <c r="Q285" s="438"/>
      <c r="R285" s="443"/>
      <c r="S285" s="439"/>
      <c r="T285" s="442"/>
      <c r="U285" s="438"/>
      <c r="V285" s="443"/>
      <c r="W285" s="439"/>
      <c r="X285" s="442"/>
      <c r="Y285" s="438"/>
      <c r="Z285" s="442"/>
      <c r="AA285" s="440"/>
    </row>
    <row r="286" spans="1:27" hidden="1" x14ac:dyDescent="0.25">
      <c r="A286" s="430"/>
      <c r="B286" s="6" t="str">
        <f>IF(A286&lt;&gt;"",INDEX('Base de données'!A$4:L$990,MATCH(' TVA M'!A286,'Base de données'!A$4:A$990,0),2),"")</f>
        <v/>
      </c>
      <c r="C286" s="7" t="str">
        <f>IF(A286&lt;&gt;"",INDEX('Base de données'!A$4:L$990,MATCH(' TVA M'!A286,'Base de données'!A$4:A$990,0),12),"")</f>
        <v/>
      </c>
      <c r="D286" s="442"/>
      <c r="E286" s="438"/>
      <c r="F286" s="443"/>
      <c r="G286" s="439"/>
      <c r="H286" s="442"/>
      <c r="I286" s="438"/>
      <c r="J286" s="443"/>
      <c r="K286" s="439"/>
      <c r="L286" s="442"/>
      <c r="M286" s="438"/>
      <c r="N286" s="443"/>
      <c r="O286" s="439"/>
      <c r="P286" s="442"/>
      <c r="Q286" s="438"/>
      <c r="R286" s="443"/>
      <c r="S286" s="439"/>
      <c r="T286" s="442"/>
      <c r="U286" s="438"/>
      <c r="V286" s="443"/>
      <c r="W286" s="439"/>
      <c r="X286" s="442"/>
      <c r="Y286" s="438"/>
      <c r="Z286" s="442"/>
      <c r="AA286" s="440"/>
    </row>
    <row r="287" spans="1:27" hidden="1" x14ac:dyDescent="0.25">
      <c r="A287" s="430"/>
      <c r="B287" s="6" t="str">
        <f>IF(A287&lt;&gt;"",INDEX('Base de données'!A$4:L$990,MATCH(' TVA M'!A287,'Base de données'!A$4:A$990,0),2),"")</f>
        <v/>
      </c>
      <c r="C287" s="7" t="str">
        <f>IF(A287&lt;&gt;"",INDEX('Base de données'!A$4:L$990,MATCH(' TVA M'!A287,'Base de données'!A$4:A$990,0),12),"")</f>
        <v/>
      </c>
      <c r="D287" s="442"/>
      <c r="E287" s="438"/>
      <c r="F287" s="443"/>
      <c r="G287" s="439"/>
      <c r="H287" s="442"/>
      <c r="I287" s="438"/>
      <c r="J287" s="443"/>
      <c r="K287" s="439"/>
      <c r="L287" s="442"/>
      <c r="M287" s="438"/>
      <c r="N287" s="443"/>
      <c r="O287" s="439"/>
      <c r="P287" s="442"/>
      <c r="Q287" s="438"/>
      <c r="R287" s="443"/>
      <c r="S287" s="439"/>
      <c r="T287" s="442"/>
      <c r="U287" s="438"/>
      <c r="V287" s="443"/>
      <c r="W287" s="439"/>
      <c r="X287" s="442"/>
      <c r="Y287" s="438"/>
      <c r="Z287" s="442"/>
      <c r="AA287" s="440"/>
    </row>
    <row r="288" spans="1:27" hidden="1" x14ac:dyDescent="0.25">
      <c r="A288" s="430"/>
      <c r="B288" s="6" t="str">
        <f>IF(A288&lt;&gt;"",INDEX('Base de données'!A$4:L$990,MATCH(' TVA M'!A288,'Base de données'!A$4:A$990,0),2),"")</f>
        <v/>
      </c>
      <c r="C288" s="7" t="str">
        <f>IF(A288&lt;&gt;"",INDEX('Base de données'!A$4:L$990,MATCH(' TVA M'!A288,'Base de données'!A$4:A$990,0),12),"")</f>
        <v/>
      </c>
      <c r="D288" s="442"/>
      <c r="E288" s="438"/>
      <c r="F288" s="443"/>
      <c r="G288" s="439"/>
      <c r="H288" s="442"/>
      <c r="I288" s="438"/>
      <c r="J288" s="443"/>
      <c r="K288" s="439"/>
      <c r="L288" s="442"/>
      <c r="M288" s="438"/>
      <c r="N288" s="443"/>
      <c r="O288" s="439"/>
      <c r="P288" s="442"/>
      <c r="Q288" s="438"/>
      <c r="R288" s="443"/>
      <c r="S288" s="439"/>
      <c r="T288" s="442"/>
      <c r="U288" s="438"/>
      <c r="V288" s="443"/>
      <c r="W288" s="439"/>
      <c r="X288" s="442"/>
      <c r="Y288" s="438"/>
      <c r="Z288" s="442"/>
      <c r="AA288" s="440"/>
    </row>
    <row r="289" spans="1:27" hidden="1" x14ac:dyDescent="0.25">
      <c r="A289" s="430"/>
      <c r="B289" s="6" t="str">
        <f>IF(A289&lt;&gt;"",INDEX('Base de données'!A$4:L$990,MATCH(' TVA M'!A289,'Base de données'!A$4:A$990,0),2),"")</f>
        <v/>
      </c>
      <c r="C289" s="7" t="str">
        <f>IF(A289&lt;&gt;"",INDEX('Base de données'!A$4:L$990,MATCH(' TVA M'!A289,'Base de données'!A$4:A$990,0),12),"")</f>
        <v/>
      </c>
      <c r="D289" s="442"/>
      <c r="E289" s="438"/>
      <c r="F289" s="443"/>
      <c r="G289" s="439"/>
      <c r="H289" s="442"/>
      <c r="I289" s="438"/>
      <c r="J289" s="443"/>
      <c r="K289" s="439"/>
      <c r="L289" s="442"/>
      <c r="M289" s="438"/>
      <c r="N289" s="443"/>
      <c r="O289" s="439"/>
      <c r="P289" s="442"/>
      <c r="Q289" s="438"/>
      <c r="R289" s="443"/>
      <c r="S289" s="439"/>
      <c r="T289" s="442"/>
      <c r="U289" s="438"/>
      <c r="V289" s="443"/>
      <c r="W289" s="439"/>
      <c r="X289" s="442"/>
      <c r="Y289" s="438"/>
      <c r="Z289" s="442"/>
      <c r="AA289" s="440"/>
    </row>
    <row r="290" spans="1:27" hidden="1" x14ac:dyDescent="0.25">
      <c r="A290" s="430"/>
      <c r="B290" s="6" t="str">
        <f>IF(A290&lt;&gt;"",INDEX('Base de données'!A$4:L$990,MATCH(' TVA M'!A290,'Base de données'!A$4:A$990,0),2),"")</f>
        <v/>
      </c>
      <c r="C290" s="7" t="str">
        <f>IF(A290&lt;&gt;"",INDEX('Base de données'!A$4:L$990,MATCH(' TVA M'!A290,'Base de données'!A$4:A$990,0),12),"")</f>
        <v/>
      </c>
      <c r="D290" s="442"/>
      <c r="E290" s="438"/>
      <c r="F290" s="443"/>
      <c r="G290" s="439"/>
      <c r="H290" s="442"/>
      <c r="I290" s="438"/>
      <c r="J290" s="443"/>
      <c r="K290" s="439"/>
      <c r="L290" s="442"/>
      <c r="M290" s="438"/>
      <c r="N290" s="443"/>
      <c r="O290" s="439"/>
      <c r="P290" s="442"/>
      <c r="Q290" s="438"/>
      <c r="R290" s="443"/>
      <c r="S290" s="439"/>
      <c r="T290" s="442"/>
      <c r="U290" s="438"/>
      <c r="V290" s="443"/>
      <c r="W290" s="439"/>
      <c r="X290" s="442"/>
      <c r="Y290" s="438"/>
      <c r="Z290" s="442"/>
      <c r="AA290" s="440"/>
    </row>
    <row r="291" spans="1:27" hidden="1" x14ac:dyDescent="0.25">
      <c r="A291" s="430"/>
      <c r="B291" s="6" t="str">
        <f>IF(A291&lt;&gt;"",INDEX('Base de données'!A$4:L$990,MATCH(' TVA M'!A291,'Base de données'!A$4:A$990,0),2),"")</f>
        <v/>
      </c>
      <c r="C291" s="7" t="str">
        <f>IF(A291&lt;&gt;"",INDEX('Base de données'!A$4:L$990,MATCH(' TVA M'!A291,'Base de données'!A$4:A$990,0),12),"")</f>
        <v/>
      </c>
      <c r="D291" s="442"/>
      <c r="E291" s="438"/>
      <c r="F291" s="443"/>
      <c r="G291" s="439"/>
      <c r="H291" s="442"/>
      <c r="I291" s="438"/>
      <c r="J291" s="443"/>
      <c r="K291" s="439"/>
      <c r="L291" s="442"/>
      <c r="M291" s="438"/>
      <c r="N291" s="443"/>
      <c r="O291" s="439"/>
      <c r="P291" s="442"/>
      <c r="Q291" s="438"/>
      <c r="R291" s="443"/>
      <c r="S291" s="439"/>
      <c r="T291" s="442"/>
      <c r="U291" s="438"/>
      <c r="V291" s="443"/>
      <c r="W291" s="439"/>
      <c r="X291" s="442"/>
      <c r="Y291" s="438"/>
      <c r="Z291" s="442"/>
      <c r="AA291" s="440"/>
    </row>
    <row r="292" spans="1:27" hidden="1" x14ac:dyDescent="0.25">
      <c r="A292" s="430"/>
      <c r="B292" s="6" t="str">
        <f>IF(A292&lt;&gt;"",INDEX('Base de données'!A$4:L$990,MATCH(' TVA M'!A292,'Base de données'!A$4:A$990,0),2),"")</f>
        <v/>
      </c>
      <c r="C292" s="7" t="str">
        <f>IF(A292&lt;&gt;"",INDEX('Base de données'!A$4:L$990,MATCH(' TVA M'!A292,'Base de données'!A$4:A$990,0),12),"")</f>
        <v/>
      </c>
      <c r="D292" s="442"/>
      <c r="E292" s="438"/>
      <c r="F292" s="443"/>
      <c r="G292" s="439"/>
      <c r="H292" s="442"/>
      <c r="I292" s="438"/>
      <c r="J292" s="443"/>
      <c r="K292" s="439"/>
      <c r="L292" s="442"/>
      <c r="M292" s="438"/>
      <c r="N292" s="443"/>
      <c r="O292" s="439"/>
      <c r="P292" s="442"/>
      <c r="Q292" s="438"/>
      <c r="R292" s="443"/>
      <c r="S292" s="439"/>
      <c r="T292" s="442"/>
      <c r="U292" s="438"/>
      <c r="V292" s="443"/>
      <c r="W292" s="439"/>
      <c r="X292" s="442"/>
      <c r="Y292" s="438"/>
      <c r="Z292" s="442"/>
      <c r="AA292" s="440"/>
    </row>
    <row r="293" spans="1:27" hidden="1" x14ac:dyDescent="0.25">
      <c r="A293" s="430"/>
      <c r="B293" s="6" t="str">
        <f>IF(A293&lt;&gt;"",INDEX('Base de données'!A$4:L$990,MATCH(' TVA M'!A293,'Base de données'!A$4:A$990,0),2),"")</f>
        <v/>
      </c>
      <c r="C293" s="7" t="str">
        <f>IF(A293&lt;&gt;"",INDEX('Base de données'!A$4:L$990,MATCH(' TVA M'!A293,'Base de données'!A$4:A$990,0),12),"")</f>
        <v/>
      </c>
      <c r="D293" s="442"/>
      <c r="E293" s="438"/>
      <c r="F293" s="443"/>
      <c r="G293" s="439"/>
      <c r="H293" s="442"/>
      <c r="I293" s="438"/>
      <c r="J293" s="443"/>
      <c r="K293" s="439"/>
      <c r="L293" s="442"/>
      <c r="M293" s="438"/>
      <c r="N293" s="443"/>
      <c r="O293" s="439"/>
      <c r="P293" s="442"/>
      <c r="Q293" s="438"/>
      <c r="R293" s="443"/>
      <c r="S293" s="439"/>
      <c r="T293" s="442"/>
      <c r="U293" s="438"/>
      <c r="V293" s="443"/>
      <c r="W293" s="439"/>
      <c r="X293" s="442"/>
      <c r="Y293" s="438"/>
      <c r="Z293" s="442"/>
      <c r="AA293" s="440"/>
    </row>
    <row r="294" spans="1:27" hidden="1" x14ac:dyDescent="0.25">
      <c r="A294" s="430"/>
      <c r="B294" s="6" t="str">
        <f>IF(A294&lt;&gt;"",INDEX('Base de données'!A$4:L$990,MATCH(' TVA M'!A294,'Base de données'!A$4:A$990,0),2),"")</f>
        <v/>
      </c>
      <c r="C294" s="7" t="str">
        <f>IF(A294&lt;&gt;"",INDEX('Base de données'!A$4:L$990,MATCH(' TVA M'!A294,'Base de données'!A$4:A$990,0),12),"")</f>
        <v/>
      </c>
      <c r="D294" s="442"/>
      <c r="E294" s="438"/>
      <c r="F294" s="443"/>
      <c r="G294" s="439"/>
      <c r="H294" s="442"/>
      <c r="I294" s="438"/>
      <c r="J294" s="443"/>
      <c r="K294" s="439"/>
      <c r="L294" s="442"/>
      <c r="M294" s="438"/>
      <c r="N294" s="443"/>
      <c r="O294" s="439"/>
      <c r="P294" s="442"/>
      <c r="Q294" s="438"/>
      <c r="R294" s="443"/>
      <c r="S294" s="439"/>
      <c r="T294" s="442"/>
      <c r="U294" s="438"/>
      <c r="V294" s="443"/>
      <c r="W294" s="439"/>
      <c r="X294" s="442"/>
      <c r="Y294" s="438"/>
      <c r="Z294" s="442"/>
      <c r="AA294" s="440"/>
    </row>
    <row r="295" spans="1:27" hidden="1" x14ac:dyDescent="0.25">
      <c r="A295" s="430"/>
      <c r="B295" s="6" t="str">
        <f>IF(A295&lt;&gt;"",INDEX('Base de données'!A$4:L$990,MATCH(' TVA M'!A295,'Base de données'!A$4:A$990,0),2),"")</f>
        <v/>
      </c>
      <c r="C295" s="7" t="str">
        <f>IF(A295&lt;&gt;"",INDEX('Base de données'!A$4:L$990,MATCH(' TVA M'!A295,'Base de données'!A$4:A$990,0),12),"")</f>
        <v/>
      </c>
      <c r="D295" s="442"/>
      <c r="E295" s="438"/>
      <c r="F295" s="443"/>
      <c r="G295" s="439"/>
      <c r="H295" s="442"/>
      <c r="I295" s="438"/>
      <c r="J295" s="443"/>
      <c r="K295" s="439"/>
      <c r="L295" s="442"/>
      <c r="M295" s="438"/>
      <c r="N295" s="443"/>
      <c r="O295" s="439"/>
      <c r="P295" s="442"/>
      <c r="Q295" s="438"/>
      <c r="R295" s="443"/>
      <c r="S295" s="439"/>
      <c r="T295" s="442"/>
      <c r="U295" s="438"/>
      <c r="V295" s="443"/>
      <c r="W295" s="439"/>
      <c r="X295" s="442"/>
      <c r="Y295" s="438"/>
      <c r="Z295" s="442"/>
      <c r="AA295" s="440"/>
    </row>
    <row r="296" spans="1:27" hidden="1" x14ac:dyDescent="0.25">
      <c r="A296" s="430"/>
      <c r="B296" s="6" t="str">
        <f>IF(A296&lt;&gt;"",INDEX('Base de données'!A$4:L$990,MATCH(' TVA M'!A296,'Base de données'!A$4:A$990,0),2),"")</f>
        <v/>
      </c>
      <c r="C296" s="7" t="str">
        <f>IF(A296&lt;&gt;"",INDEX('Base de données'!A$4:L$990,MATCH(' TVA M'!A296,'Base de données'!A$4:A$990,0),12),"")</f>
        <v/>
      </c>
      <c r="D296" s="442"/>
      <c r="E296" s="438"/>
      <c r="F296" s="443"/>
      <c r="G296" s="439"/>
      <c r="H296" s="442"/>
      <c r="I296" s="438"/>
      <c r="J296" s="443"/>
      <c r="K296" s="439"/>
      <c r="L296" s="442"/>
      <c r="M296" s="438"/>
      <c r="N296" s="443"/>
      <c r="O296" s="439"/>
      <c r="P296" s="442"/>
      <c r="Q296" s="438"/>
      <c r="R296" s="443"/>
      <c r="S296" s="439"/>
      <c r="T296" s="442"/>
      <c r="U296" s="438"/>
      <c r="V296" s="443"/>
      <c r="W296" s="439"/>
      <c r="X296" s="442"/>
      <c r="Y296" s="438"/>
      <c r="Z296" s="442"/>
      <c r="AA296" s="440"/>
    </row>
    <row r="297" spans="1:27" hidden="1" x14ac:dyDescent="0.25">
      <c r="A297" s="430"/>
      <c r="B297" s="6" t="str">
        <f>IF(A297&lt;&gt;"",INDEX('Base de données'!A$4:L$990,MATCH(' TVA M'!A297,'Base de données'!A$4:A$990,0),2),"")</f>
        <v/>
      </c>
      <c r="C297" s="7" t="str">
        <f>IF(A297&lt;&gt;"",INDEX('Base de données'!A$4:L$990,MATCH(' TVA M'!A297,'Base de données'!A$4:A$990,0),12),"")</f>
        <v/>
      </c>
      <c r="D297" s="442"/>
      <c r="E297" s="438"/>
      <c r="F297" s="443"/>
      <c r="G297" s="439"/>
      <c r="H297" s="442"/>
      <c r="I297" s="438"/>
      <c r="J297" s="443"/>
      <c r="K297" s="439"/>
      <c r="L297" s="442"/>
      <c r="M297" s="438"/>
      <c r="N297" s="443"/>
      <c r="O297" s="439"/>
      <c r="P297" s="442"/>
      <c r="Q297" s="438"/>
      <c r="R297" s="443"/>
      <c r="S297" s="439"/>
      <c r="T297" s="442"/>
      <c r="U297" s="438"/>
      <c r="V297" s="443"/>
      <c r="W297" s="439"/>
      <c r="X297" s="442"/>
      <c r="Y297" s="438"/>
      <c r="Z297" s="442"/>
      <c r="AA297" s="440"/>
    </row>
    <row r="298" spans="1:27" hidden="1" x14ac:dyDescent="0.25">
      <c r="A298" s="430"/>
      <c r="B298" s="6" t="str">
        <f>IF(A298&lt;&gt;"",INDEX('Base de données'!A$4:L$990,MATCH(' TVA M'!A298,'Base de données'!A$4:A$990,0),2),"")</f>
        <v/>
      </c>
      <c r="C298" s="7" t="str">
        <f>IF(A298&lt;&gt;"",INDEX('Base de données'!A$4:L$990,MATCH(' TVA M'!A298,'Base de données'!A$4:A$990,0),12),"")</f>
        <v/>
      </c>
      <c r="D298" s="442"/>
      <c r="E298" s="438"/>
      <c r="F298" s="443"/>
      <c r="G298" s="439"/>
      <c r="H298" s="442"/>
      <c r="I298" s="438"/>
      <c r="J298" s="443"/>
      <c r="K298" s="439"/>
      <c r="L298" s="442"/>
      <c r="M298" s="438"/>
      <c r="N298" s="443"/>
      <c r="O298" s="439"/>
      <c r="P298" s="442"/>
      <c r="Q298" s="438"/>
      <c r="R298" s="443"/>
      <c r="S298" s="439"/>
      <c r="T298" s="442"/>
      <c r="U298" s="438"/>
      <c r="V298" s="443"/>
      <c r="W298" s="439"/>
      <c r="X298" s="442"/>
      <c r="Y298" s="438"/>
      <c r="Z298" s="442"/>
      <c r="AA298" s="440"/>
    </row>
    <row r="299" spans="1:27" hidden="1" x14ac:dyDescent="0.25">
      <c r="A299" s="430"/>
      <c r="B299" s="6" t="str">
        <f>IF(A299&lt;&gt;"",INDEX('Base de données'!A$4:L$990,MATCH(' TVA M'!A299,'Base de données'!A$4:A$990,0),2),"")</f>
        <v/>
      </c>
      <c r="C299" s="7" t="str">
        <f>IF(A299&lt;&gt;"",INDEX('Base de données'!A$4:L$990,MATCH(' TVA M'!A299,'Base de données'!A$4:A$990,0),12),"")</f>
        <v/>
      </c>
      <c r="D299" s="442"/>
      <c r="E299" s="438"/>
      <c r="F299" s="443"/>
      <c r="G299" s="439"/>
      <c r="H299" s="442"/>
      <c r="I299" s="438"/>
      <c r="J299" s="443"/>
      <c r="K299" s="439"/>
      <c r="L299" s="442"/>
      <c r="M299" s="438"/>
      <c r="N299" s="443"/>
      <c r="O299" s="439"/>
      <c r="P299" s="442"/>
      <c r="Q299" s="438"/>
      <c r="R299" s="443"/>
      <c r="S299" s="439"/>
      <c r="T299" s="442"/>
      <c r="U299" s="438"/>
      <c r="V299" s="443"/>
      <c r="W299" s="439"/>
      <c r="X299" s="442"/>
      <c r="Y299" s="438"/>
      <c r="Z299" s="442"/>
      <c r="AA299" s="440"/>
    </row>
    <row r="300" spans="1:27" hidden="1" x14ac:dyDescent="0.25">
      <c r="A300" s="430"/>
      <c r="B300" s="6" t="str">
        <f>IF(A300&lt;&gt;"",INDEX('Base de données'!A$4:L$990,MATCH(' TVA M'!A300,'Base de données'!A$4:A$990,0),2),"")</f>
        <v/>
      </c>
      <c r="C300" s="7" t="str">
        <f>IF(A300&lt;&gt;"",INDEX('Base de données'!A$4:L$990,MATCH(' TVA M'!A300,'Base de données'!A$4:A$990,0),12),"")</f>
        <v/>
      </c>
      <c r="D300" s="442"/>
      <c r="E300" s="438"/>
      <c r="F300" s="443"/>
      <c r="G300" s="439"/>
      <c r="H300" s="442"/>
      <c r="I300" s="438"/>
      <c r="J300" s="443"/>
      <c r="K300" s="439"/>
      <c r="L300" s="442"/>
      <c r="M300" s="438"/>
      <c r="N300" s="443"/>
      <c r="O300" s="439"/>
      <c r="P300" s="442"/>
      <c r="Q300" s="438"/>
      <c r="R300" s="443"/>
      <c r="S300" s="439"/>
      <c r="T300" s="442"/>
      <c r="U300" s="438"/>
      <c r="V300" s="443"/>
      <c r="W300" s="439"/>
      <c r="X300" s="442"/>
      <c r="Y300" s="438"/>
      <c r="Z300" s="442"/>
      <c r="AA300" s="440"/>
    </row>
    <row r="301" spans="1:27" hidden="1" x14ac:dyDescent="0.25">
      <c r="A301" s="430"/>
      <c r="B301" s="6" t="str">
        <f>IF(A301&lt;&gt;"",INDEX('Base de données'!A$4:L$990,MATCH(' TVA M'!A301,'Base de données'!A$4:A$990,0),2),"")</f>
        <v/>
      </c>
      <c r="C301" s="7" t="str">
        <f>IF(A301&lt;&gt;"",INDEX('Base de données'!A$4:L$990,MATCH(' TVA M'!A301,'Base de données'!A$4:A$990,0),12),"")</f>
        <v/>
      </c>
      <c r="D301" s="442"/>
      <c r="E301" s="438"/>
      <c r="F301" s="443"/>
      <c r="G301" s="439"/>
      <c r="H301" s="442"/>
      <c r="I301" s="438"/>
      <c r="J301" s="443"/>
      <c r="K301" s="439"/>
      <c r="L301" s="442"/>
      <c r="M301" s="438"/>
      <c r="N301" s="443"/>
      <c r="O301" s="439"/>
      <c r="P301" s="442"/>
      <c r="Q301" s="438"/>
      <c r="R301" s="443"/>
      <c r="S301" s="439"/>
      <c r="T301" s="442"/>
      <c r="U301" s="438"/>
      <c r="V301" s="443"/>
      <c r="W301" s="439"/>
      <c r="X301" s="442"/>
      <c r="Y301" s="438"/>
      <c r="Z301" s="442"/>
      <c r="AA301" s="440"/>
    </row>
    <row r="302" spans="1:27" hidden="1" x14ac:dyDescent="0.25">
      <c r="A302" s="430"/>
      <c r="B302" s="6" t="str">
        <f>IF(A302&lt;&gt;"",INDEX('Base de données'!A$4:L$990,MATCH(' TVA M'!A302,'Base de données'!A$4:A$990,0),2),"")</f>
        <v/>
      </c>
      <c r="C302" s="7" t="str">
        <f>IF(A302&lt;&gt;"",INDEX('Base de données'!A$4:L$990,MATCH(' TVA M'!A302,'Base de données'!A$4:A$990,0),12),"")</f>
        <v/>
      </c>
      <c r="D302" s="442"/>
      <c r="E302" s="438"/>
      <c r="F302" s="443"/>
      <c r="G302" s="439"/>
      <c r="H302" s="442"/>
      <c r="I302" s="438"/>
      <c r="J302" s="443"/>
      <c r="K302" s="439"/>
      <c r="L302" s="442"/>
      <c r="M302" s="438"/>
      <c r="N302" s="443"/>
      <c r="O302" s="439"/>
      <c r="P302" s="442"/>
      <c r="Q302" s="438"/>
      <c r="R302" s="443"/>
      <c r="S302" s="439"/>
      <c r="T302" s="442"/>
      <c r="U302" s="438"/>
      <c r="V302" s="443"/>
      <c r="W302" s="439"/>
      <c r="X302" s="442"/>
      <c r="Y302" s="438"/>
      <c r="Z302" s="442"/>
      <c r="AA302" s="440"/>
    </row>
    <row r="303" spans="1:27" hidden="1" x14ac:dyDescent="0.25">
      <c r="A303" s="430"/>
      <c r="B303" s="6" t="str">
        <f>IF(A303&lt;&gt;"",INDEX('Base de données'!A$4:L$990,MATCH(' TVA M'!A303,'Base de données'!A$4:A$990,0),2),"")</f>
        <v/>
      </c>
      <c r="C303" s="7" t="str">
        <f>IF(A303&lt;&gt;"",INDEX('Base de données'!A$4:L$990,MATCH(' TVA M'!A303,'Base de données'!A$4:A$990,0),12),"")</f>
        <v/>
      </c>
      <c r="D303" s="442"/>
      <c r="E303" s="438"/>
      <c r="F303" s="443"/>
      <c r="G303" s="439"/>
      <c r="H303" s="442"/>
      <c r="I303" s="438"/>
      <c r="J303" s="443"/>
      <c r="K303" s="439"/>
      <c r="L303" s="442"/>
      <c r="M303" s="438"/>
      <c r="N303" s="443"/>
      <c r="O303" s="439"/>
      <c r="P303" s="442"/>
      <c r="Q303" s="438"/>
      <c r="R303" s="443"/>
      <c r="S303" s="439"/>
      <c r="T303" s="442"/>
      <c r="U303" s="438"/>
      <c r="V303" s="443"/>
      <c r="W303" s="439"/>
      <c r="X303" s="442"/>
      <c r="Y303" s="438"/>
      <c r="Z303" s="442"/>
      <c r="AA303" s="440"/>
    </row>
    <row r="304" spans="1:27" hidden="1" x14ac:dyDescent="0.25">
      <c r="A304" s="430"/>
      <c r="B304" s="6" t="str">
        <f>IF(A304&lt;&gt;"",INDEX('Base de données'!A$4:L$990,MATCH(' TVA M'!A304,'Base de données'!A$4:A$990,0),2),"")</f>
        <v/>
      </c>
      <c r="C304" s="7" t="str">
        <f>IF(A304&lt;&gt;"",INDEX('Base de données'!A$4:L$990,MATCH(' TVA M'!A304,'Base de données'!A$4:A$990,0),12),"")</f>
        <v/>
      </c>
      <c r="D304" s="442"/>
      <c r="E304" s="438"/>
      <c r="F304" s="443"/>
      <c r="G304" s="439"/>
      <c r="H304" s="442"/>
      <c r="I304" s="438"/>
      <c r="J304" s="443"/>
      <c r="K304" s="439"/>
      <c r="L304" s="442"/>
      <c r="M304" s="438"/>
      <c r="N304" s="443"/>
      <c r="O304" s="439"/>
      <c r="P304" s="442"/>
      <c r="Q304" s="438"/>
      <c r="R304" s="443"/>
      <c r="S304" s="439"/>
      <c r="T304" s="442"/>
      <c r="U304" s="438"/>
      <c r="V304" s="443"/>
      <c r="W304" s="439"/>
      <c r="X304" s="442"/>
      <c r="Y304" s="438"/>
      <c r="Z304" s="442"/>
      <c r="AA304" s="440"/>
    </row>
    <row r="305" spans="1:27" hidden="1" x14ac:dyDescent="0.25">
      <c r="A305" s="430"/>
      <c r="B305" s="6" t="str">
        <f>IF(A305&lt;&gt;"",INDEX('Base de données'!A$4:L$990,MATCH(' TVA M'!A305,'Base de données'!A$4:A$990,0),2),"")</f>
        <v/>
      </c>
      <c r="C305" s="7" t="str">
        <f>IF(A305&lt;&gt;"",INDEX('Base de données'!A$4:L$990,MATCH(' TVA M'!A305,'Base de données'!A$4:A$990,0),12),"")</f>
        <v/>
      </c>
      <c r="D305" s="442"/>
      <c r="E305" s="438"/>
      <c r="F305" s="443"/>
      <c r="G305" s="439"/>
      <c r="H305" s="442"/>
      <c r="I305" s="438"/>
      <c r="J305" s="443"/>
      <c r="K305" s="439"/>
      <c r="L305" s="442"/>
      <c r="M305" s="438"/>
      <c r="N305" s="443"/>
      <c r="O305" s="439"/>
      <c r="P305" s="442"/>
      <c r="Q305" s="438"/>
      <c r="R305" s="443"/>
      <c r="S305" s="439"/>
      <c r="T305" s="442"/>
      <c r="U305" s="438"/>
      <c r="V305" s="443"/>
      <c r="W305" s="439"/>
      <c r="X305" s="442"/>
      <c r="Y305" s="438"/>
      <c r="Z305" s="442"/>
      <c r="AA305" s="440"/>
    </row>
    <row r="306" spans="1:27" hidden="1" x14ac:dyDescent="0.25">
      <c r="A306" s="430"/>
      <c r="B306" s="6" t="str">
        <f>IF(A306&lt;&gt;"",INDEX('Base de données'!A$4:L$990,MATCH(' TVA M'!A306,'Base de données'!A$4:A$990,0),2),"")</f>
        <v/>
      </c>
      <c r="C306" s="7" t="str">
        <f>IF(A306&lt;&gt;"",INDEX('Base de données'!A$4:L$990,MATCH(' TVA M'!A306,'Base de données'!A$4:A$990,0),12),"")</f>
        <v/>
      </c>
      <c r="D306" s="442"/>
      <c r="E306" s="438"/>
      <c r="F306" s="443"/>
      <c r="G306" s="439"/>
      <c r="H306" s="442"/>
      <c r="I306" s="438"/>
      <c r="J306" s="443"/>
      <c r="K306" s="439"/>
      <c r="L306" s="442"/>
      <c r="M306" s="438"/>
      <c r="N306" s="443"/>
      <c r="O306" s="439"/>
      <c r="P306" s="442"/>
      <c r="Q306" s="438"/>
      <c r="R306" s="443"/>
      <c r="S306" s="439"/>
      <c r="T306" s="442"/>
      <c r="U306" s="438"/>
      <c r="V306" s="443"/>
      <c r="W306" s="439"/>
      <c r="X306" s="442"/>
      <c r="Y306" s="438"/>
      <c r="Z306" s="442"/>
      <c r="AA306" s="440"/>
    </row>
    <row r="307" spans="1:27" hidden="1" x14ac:dyDescent="0.25">
      <c r="A307" s="430"/>
      <c r="B307" s="6" t="str">
        <f>IF(A307&lt;&gt;"",INDEX('Base de données'!A$4:L$990,MATCH(' TVA M'!A307,'Base de données'!A$4:A$990,0),2),"")</f>
        <v/>
      </c>
      <c r="C307" s="7" t="str">
        <f>IF(A307&lt;&gt;"",INDEX('Base de données'!A$4:L$990,MATCH(' TVA M'!A307,'Base de données'!A$4:A$990,0),12),"")</f>
        <v/>
      </c>
      <c r="D307" s="442"/>
      <c r="E307" s="438"/>
      <c r="F307" s="443"/>
      <c r="G307" s="439"/>
      <c r="H307" s="442"/>
      <c r="I307" s="438"/>
      <c r="J307" s="443"/>
      <c r="K307" s="439"/>
      <c r="L307" s="442"/>
      <c r="M307" s="438"/>
      <c r="N307" s="443"/>
      <c r="O307" s="439"/>
      <c r="P307" s="442"/>
      <c r="Q307" s="438"/>
      <c r="R307" s="443"/>
      <c r="S307" s="439"/>
      <c r="T307" s="442"/>
      <c r="U307" s="438"/>
      <c r="V307" s="443"/>
      <c r="W307" s="439"/>
      <c r="X307" s="442"/>
      <c r="Y307" s="438"/>
      <c r="Z307" s="442"/>
      <c r="AA307" s="440"/>
    </row>
    <row r="308" spans="1:27" hidden="1" x14ac:dyDescent="0.25">
      <c r="A308" s="430"/>
      <c r="B308" s="6" t="str">
        <f>IF(A308&lt;&gt;"",INDEX('Base de données'!A$4:L$990,MATCH(' TVA M'!A308,'Base de données'!A$4:A$990,0),2),"")</f>
        <v/>
      </c>
      <c r="C308" s="7" t="str">
        <f>IF(A308&lt;&gt;"",INDEX('Base de données'!A$4:L$990,MATCH(' TVA M'!A308,'Base de données'!A$4:A$990,0),12),"")</f>
        <v/>
      </c>
      <c r="D308" s="442"/>
      <c r="E308" s="438"/>
      <c r="F308" s="443"/>
      <c r="G308" s="439"/>
      <c r="H308" s="442"/>
      <c r="I308" s="438"/>
      <c r="J308" s="443"/>
      <c r="K308" s="439"/>
      <c r="L308" s="442"/>
      <c r="M308" s="438"/>
      <c r="N308" s="443"/>
      <c r="O308" s="439"/>
      <c r="P308" s="442"/>
      <c r="Q308" s="438"/>
      <c r="R308" s="443"/>
      <c r="S308" s="439"/>
      <c r="T308" s="442"/>
      <c r="U308" s="438"/>
      <c r="V308" s="443"/>
      <c r="W308" s="439"/>
      <c r="X308" s="442"/>
      <c r="Y308" s="438"/>
      <c r="Z308" s="442"/>
      <c r="AA308" s="440"/>
    </row>
    <row r="309" spans="1:27" hidden="1" x14ac:dyDescent="0.25">
      <c r="A309" s="430"/>
      <c r="B309" s="6" t="str">
        <f>IF(A309&lt;&gt;"",INDEX('Base de données'!A$4:L$990,MATCH(' TVA M'!A309,'Base de données'!A$4:A$990,0),2),"")</f>
        <v/>
      </c>
      <c r="C309" s="7" t="str">
        <f>IF(A309&lt;&gt;"",INDEX('Base de données'!A$4:L$990,MATCH(' TVA M'!A309,'Base de données'!A$4:A$990,0),12),"")</f>
        <v/>
      </c>
      <c r="D309" s="442"/>
      <c r="E309" s="438"/>
      <c r="F309" s="443"/>
      <c r="G309" s="439"/>
      <c r="H309" s="442"/>
      <c r="I309" s="438"/>
      <c r="J309" s="443"/>
      <c r="K309" s="439"/>
      <c r="L309" s="442"/>
      <c r="M309" s="438"/>
      <c r="N309" s="443"/>
      <c r="O309" s="439"/>
      <c r="P309" s="442"/>
      <c r="Q309" s="438"/>
      <c r="R309" s="443"/>
      <c r="S309" s="439"/>
      <c r="T309" s="442"/>
      <c r="U309" s="438"/>
      <c r="V309" s="443"/>
      <c r="W309" s="439"/>
      <c r="X309" s="442"/>
      <c r="Y309" s="438"/>
      <c r="Z309" s="442"/>
      <c r="AA309" s="440"/>
    </row>
    <row r="310" spans="1:27" hidden="1" x14ac:dyDescent="0.25">
      <c r="A310" s="430"/>
      <c r="B310" s="6" t="str">
        <f>IF(A310&lt;&gt;"",INDEX('Base de données'!A$4:L$990,MATCH(' TVA M'!A310,'Base de données'!A$4:A$990,0),2),"")</f>
        <v/>
      </c>
      <c r="C310" s="7" t="str">
        <f>IF(A310&lt;&gt;"",INDEX('Base de données'!A$4:L$990,MATCH(' TVA M'!A310,'Base de données'!A$4:A$990,0),12),"")</f>
        <v/>
      </c>
      <c r="D310" s="442"/>
      <c r="E310" s="438"/>
      <c r="F310" s="443"/>
      <c r="G310" s="439"/>
      <c r="H310" s="442"/>
      <c r="I310" s="438"/>
      <c r="J310" s="443"/>
      <c r="K310" s="439"/>
      <c r="L310" s="442"/>
      <c r="M310" s="438"/>
      <c r="N310" s="443"/>
      <c r="O310" s="439"/>
      <c r="P310" s="442"/>
      <c r="Q310" s="438"/>
      <c r="R310" s="443"/>
      <c r="S310" s="439"/>
      <c r="T310" s="442"/>
      <c r="U310" s="438"/>
      <c r="V310" s="443"/>
      <c r="W310" s="439"/>
      <c r="X310" s="442"/>
      <c r="Y310" s="438"/>
      <c r="Z310" s="442"/>
      <c r="AA310" s="440"/>
    </row>
    <row r="311" spans="1:27" hidden="1" x14ac:dyDescent="0.25">
      <c r="A311" s="430"/>
      <c r="B311" s="6" t="str">
        <f>IF(A311&lt;&gt;"",INDEX('Base de données'!A$4:L$990,MATCH(' TVA M'!A311,'Base de données'!A$4:A$990,0),2),"")</f>
        <v/>
      </c>
      <c r="C311" s="7" t="str">
        <f>IF(A311&lt;&gt;"",INDEX('Base de données'!A$4:L$990,MATCH(' TVA M'!A311,'Base de données'!A$4:A$990,0),12),"")</f>
        <v/>
      </c>
      <c r="D311" s="442"/>
      <c r="E311" s="438"/>
      <c r="F311" s="443"/>
      <c r="G311" s="439"/>
      <c r="H311" s="442"/>
      <c r="I311" s="438"/>
      <c r="J311" s="443"/>
      <c r="K311" s="439"/>
      <c r="L311" s="442"/>
      <c r="M311" s="438"/>
      <c r="N311" s="443"/>
      <c r="O311" s="439"/>
      <c r="P311" s="442"/>
      <c r="Q311" s="438"/>
      <c r="R311" s="443"/>
      <c r="S311" s="439"/>
      <c r="T311" s="442"/>
      <c r="U311" s="438"/>
      <c r="V311" s="443"/>
      <c r="W311" s="439"/>
      <c r="X311" s="442"/>
      <c r="Y311" s="438"/>
      <c r="Z311" s="442"/>
      <c r="AA311" s="440"/>
    </row>
    <row r="312" spans="1:27" hidden="1" x14ac:dyDescent="0.25">
      <c r="A312" s="430"/>
      <c r="B312" s="6" t="str">
        <f>IF(A312&lt;&gt;"",INDEX('Base de données'!A$4:L$990,MATCH(' TVA M'!A312,'Base de données'!A$4:A$990,0),2),"")</f>
        <v/>
      </c>
      <c r="C312" s="7" t="str">
        <f>IF(A312&lt;&gt;"",INDEX('Base de données'!A$4:L$990,MATCH(' TVA M'!A312,'Base de données'!A$4:A$990,0),12),"")</f>
        <v/>
      </c>
      <c r="D312" s="442"/>
      <c r="E312" s="438"/>
      <c r="F312" s="443"/>
      <c r="G312" s="439"/>
      <c r="H312" s="442"/>
      <c r="I312" s="438"/>
      <c r="J312" s="443"/>
      <c r="K312" s="439"/>
      <c r="L312" s="442"/>
      <c r="M312" s="438"/>
      <c r="N312" s="443"/>
      <c r="O312" s="439"/>
      <c r="P312" s="442"/>
      <c r="Q312" s="438"/>
      <c r="R312" s="443"/>
      <c r="S312" s="439"/>
      <c r="T312" s="442"/>
      <c r="U312" s="438"/>
      <c r="V312" s="443"/>
      <c r="W312" s="439"/>
      <c r="X312" s="442"/>
      <c r="Y312" s="438"/>
      <c r="Z312" s="442"/>
      <c r="AA312" s="440"/>
    </row>
    <row r="313" spans="1:27" hidden="1" x14ac:dyDescent="0.25">
      <c r="A313" s="430"/>
      <c r="B313" s="6" t="str">
        <f>IF(A313&lt;&gt;"",INDEX('Base de données'!A$4:L$990,MATCH(' TVA M'!A313,'Base de données'!A$4:A$990,0),2),"")</f>
        <v/>
      </c>
      <c r="C313" s="7" t="str">
        <f>IF(A313&lt;&gt;"",INDEX('Base de données'!A$4:L$990,MATCH(' TVA M'!A313,'Base de données'!A$4:A$990,0),12),"")</f>
        <v/>
      </c>
      <c r="D313" s="442"/>
      <c r="E313" s="438"/>
      <c r="F313" s="443"/>
      <c r="G313" s="439"/>
      <c r="H313" s="442"/>
      <c r="I313" s="438"/>
      <c r="J313" s="443"/>
      <c r="K313" s="439"/>
      <c r="L313" s="442"/>
      <c r="M313" s="438"/>
      <c r="N313" s="443"/>
      <c r="O313" s="439"/>
      <c r="P313" s="442"/>
      <c r="Q313" s="438"/>
      <c r="R313" s="443"/>
      <c r="S313" s="439"/>
      <c r="T313" s="442"/>
      <c r="U313" s="438"/>
      <c r="V313" s="443"/>
      <c r="W313" s="439"/>
      <c r="X313" s="442"/>
      <c r="Y313" s="438"/>
      <c r="Z313" s="442"/>
      <c r="AA313" s="440"/>
    </row>
    <row r="314" spans="1:27" hidden="1" x14ac:dyDescent="0.25">
      <c r="A314" s="430"/>
      <c r="B314" s="6" t="str">
        <f>IF(A314&lt;&gt;"",INDEX('Base de données'!A$4:L$990,MATCH(' TVA M'!A314,'Base de données'!A$4:A$990,0),2),"")</f>
        <v/>
      </c>
      <c r="C314" s="7" t="str">
        <f>IF(A314&lt;&gt;"",INDEX('Base de données'!A$4:L$990,MATCH(' TVA M'!A314,'Base de données'!A$4:A$990,0),12),"")</f>
        <v/>
      </c>
      <c r="D314" s="442"/>
      <c r="E314" s="438"/>
      <c r="F314" s="443"/>
      <c r="G314" s="439"/>
      <c r="H314" s="442"/>
      <c r="I314" s="438"/>
      <c r="J314" s="443"/>
      <c r="K314" s="439"/>
      <c r="L314" s="442"/>
      <c r="M314" s="438"/>
      <c r="N314" s="443"/>
      <c r="O314" s="439"/>
      <c r="P314" s="442"/>
      <c r="Q314" s="438"/>
      <c r="R314" s="443"/>
      <c r="S314" s="439"/>
      <c r="T314" s="442"/>
      <c r="U314" s="438"/>
      <c r="V314" s="443"/>
      <c r="W314" s="439"/>
      <c r="X314" s="442"/>
      <c r="Y314" s="438"/>
      <c r="Z314" s="442"/>
      <c r="AA314" s="440"/>
    </row>
    <row r="315" spans="1:27" hidden="1" x14ac:dyDescent="0.25">
      <c r="A315" s="430"/>
      <c r="B315" s="6" t="str">
        <f>IF(A315&lt;&gt;"",INDEX('Base de données'!A$4:L$990,MATCH(' TVA M'!A315,'Base de données'!A$4:A$990,0),2),"")</f>
        <v/>
      </c>
      <c r="C315" s="7" t="str">
        <f>IF(A315&lt;&gt;"",INDEX('Base de données'!A$4:L$990,MATCH(' TVA M'!A315,'Base de données'!A$4:A$990,0),12),"")</f>
        <v/>
      </c>
      <c r="D315" s="442"/>
      <c r="E315" s="438"/>
      <c r="F315" s="443"/>
      <c r="G315" s="439"/>
      <c r="H315" s="442"/>
      <c r="I315" s="438"/>
      <c r="J315" s="443"/>
      <c r="K315" s="439"/>
      <c r="L315" s="442"/>
      <c r="M315" s="438"/>
      <c r="N315" s="443"/>
      <c r="O315" s="439"/>
      <c r="P315" s="442"/>
      <c r="Q315" s="438"/>
      <c r="R315" s="443"/>
      <c r="S315" s="439"/>
      <c r="T315" s="442"/>
      <c r="U315" s="438"/>
      <c r="V315" s="443"/>
      <c r="W315" s="439"/>
      <c r="X315" s="442"/>
      <c r="Y315" s="438"/>
      <c r="Z315" s="442"/>
      <c r="AA315" s="440"/>
    </row>
    <row r="316" spans="1:27" hidden="1" x14ac:dyDescent="0.25">
      <c r="A316" s="430"/>
      <c r="B316" s="6" t="str">
        <f>IF(A316&lt;&gt;"",INDEX('Base de données'!A$4:L$990,MATCH(' TVA M'!A316,'Base de données'!A$4:A$990,0),2),"")</f>
        <v/>
      </c>
      <c r="C316" s="7" t="str">
        <f>IF(A316&lt;&gt;"",INDEX('Base de données'!A$4:L$990,MATCH(' TVA M'!A316,'Base de données'!A$4:A$990,0),12),"")</f>
        <v/>
      </c>
      <c r="D316" s="442"/>
      <c r="E316" s="438"/>
      <c r="F316" s="443"/>
      <c r="G316" s="439"/>
      <c r="H316" s="442"/>
      <c r="I316" s="438"/>
      <c r="J316" s="443"/>
      <c r="K316" s="439"/>
      <c r="L316" s="442"/>
      <c r="M316" s="438"/>
      <c r="N316" s="443"/>
      <c r="O316" s="439"/>
      <c r="P316" s="442"/>
      <c r="Q316" s="438"/>
      <c r="R316" s="443"/>
      <c r="S316" s="439"/>
      <c r="T316" s="442"/>
      <c r="U316" s="438"/>
      <c r="V316" s="443"/>
      <c r="W316" s="439"/>
      <c r="X316" s="442"/>
      <c r="Y316" s="438"/>
      <c r="Z316" s="442"/>
      <c r="AA316" s="440"/>
    </row>
    <row r="317" spans="1:27" hidden="1" x14ac:dyDescent="0.25">
      <c r="A317" s="430"/>
      <c r="B317" s="6" t="str">
        <f>IF(A317&lt;&gt;"",INDEX('Base de données'!A$4:L$990,MATCH(' TVA M'!A317,'Base de données'!A$4:A$990,0),2),"")</f>
        <v/>
      </c>
      <c r="C317" s="7" t="str">
        <f>IF(A317&lt;&gt;"",INDEX('Base de données'!A$4:L$990,MATCH(' TVA M'!A317,'Base de données'!A$4:A$990,0),12),"")</f>
        <v/>
      </c>
      <c r="D317" s="442"/>
      <c r="E317" s="438"/>
      <c r="F317" s="443"/>
      <c r="G317" s="439"/>
      <c r="H317" s="442"/>
      <c r="I317" s="438"/>
      <c r="J317" s="443"/>
      <c r="K317" s="439"/>
      <c r="L317" s="442"/>
      <c r="M317" s="438"/>
      <c r="N317" s="443"/>
      <c r="O317" s="439"/>
      <c r="P317" s="442"/>
      <c r="Q317" s="438"/>
      <c r="R317" s="443"/>
      <c r="S317" s="439"/>
      <c r="T317" s="442"/>
      <c r="U317" s="438"/>
      <c r="V317" s="443"/>
      <c r="W317" s="439"/>
      <c r="X317" s="442"/>
      <c r="Y317" s="438"/>
      <c r="Z317" s="442"/>
      <c r="AA317" s="440"/>
    </row>
    <row r="318" spans="1:27" hidden="1" x14ac:dyDescent="0.25">
      <c r="A318" s="430"/>
      <c r="B318" s="6" t="str">
        <f>IF(A318&lt;&gt;"",INDEX('Base de données'!A$4:L$990,MATCH(' TVA M'!A318,'Base de données'!A$4:A$990,0),2),"")</f>
        <v/>
      </c>
      <c r="C318" s="7" t="str">
        <f>IF(A318&lt;&gt;"",INDEX('Base de données'!A$4:L$990,MATCH(' TVA M'!A318,'Base de données'!A$4:A$990,0),12),"")</f>
        <v/>
      </c>
      <c r="D318" s="442"/>
      <c r="E318" s="438"/>
      <c r="F318" s="443"/>
      <c r="G318" s="439"/>
      <c r="H318" s="442"/>
      <c r="I318" s="438"/>
      <c r="J318" s="443"/>
      <c r="K318" s="439"/>
      <c r="L318" s="442"/>
      <c r="M318" s="438"/>
      <c r="N318" s="443"/>
      <c r="O318" s="439"/>
      <c r="P318" s="442"/>
      <c r="Q318" s="438"/>
      <c r="R318" s="443"/>
      <c r="S318" s="439"/>
      <c r="T318" s="442"/>
      <c r="U318" s="438"/>
      <c r="V318" s="443"/>
      <c r="W318" s="439"/>
      <c r="X318" s="442"/>
      <c r="Y318" s="438"/>
      <c r="Z318" s="442"/>
      <c r="AA318" s="440"/>
    </row>
    <row r="319" spans="1:27" hidden="1" x14ac:dyDescent="0.25">
      <c r="A319" s="430"/>
      <c r="B319" s="6" t="str">
        <f>IF(A319&lt;&gt;"",INDEX('Base de données'!A$4:L$990,MATCH(' TVA M'!A319,'Base de données'!A$4:A$990,0),2),"")</f>
        <v/>
      </c>
      <c r="C319" s="7" t="str">
        <f>IF(A319&lt;&gt;"",INDEX('Base de données'!A$4:L$990,MATCH(' TVA M'!A319,'Base de données'!A$4:A$990,0),12),"")</f>
        <v/>
      </c>
      <c r="D319" s="442"/>
      <c r="E319" s="438"/>
      <c r="F319" s="443"/>
      <c r="G319" s="439"/>
      <c r="H319" s="442"/>
      <c r="I319" s="438"/>
      <c r="J319" s="443"/>
      <c r="K319" s="439"/>
      <c r="L319" s="442"/>
      <c r="M319" s="438"/>
      <c r="N319" s="443"/>
      <c r="O319" s="439"/>
      <c r="P319" s="442"/>
      <c r="Q319" s="438"/>
      <c r="R319" s="443"/>
      <c r="S319" s="439"/>
      <c r="T319" s="442"/>
      <c r="U319" s="438"/>
      <c r="V319" s="443"/>
      <c r="W319" s="439"/>
      <c r="X319" s="442"/>
      <c r="Y319" s="438"/>
      <c r="Z319" s="442"/>
      <c r="AA319" s="440"/>
    </row>
    <row r="320" spans="1:27" hidden="1" x14ac:dyDescent="0.25">
      <c r="A320" s="430"/>
      <c r="B320" s="6" t="str">
        <f>IF(A320&lt;&gt;"",INDEX('Base de données'!A$4:L$990,MATCH(' TVA M'!A320,'Base de données'!A$4:A$990,0),2),"")</f>
        <v/>
      </c>
      <c r="C320" s="7" t="str">
        <f>IF(A320&lt;&gt;"",INDEX('Base de données'!A$4:L$990,MATCH(' TVA M'!A320,'Base de données'!A$4:A$990,0),12),"")</f>
        <v/>
      </c>
      <c r="D320" s="442"/>
      <c r="E320" s="438"/>
      <c r="F320" s="443"/>
      <c r="G320" s="439"/>
      <c r="H320" s="442"/>
      <c r="I320" s="438"/>
      <c r="J320" s="443"/>
      <c r="K320" s="439"/>
      <c r="L320" s="442"/>
      <c r="M320" s="438"/>
      <c r="N320" s="443"/>
      <c r="O320" s="439"/>
      <c r="P320" s="442"/>
      <c r="Q320" s="438"/>
      <c r="R320" s="443"/>
      <c r="S320" s="439"/>
      <c r="T320" s="442"/>
      <c r="U320" s="438"/>
      <c r="V320" s="443"/>
      <c r="W320" s="439"/>
      <c r="X320" s="442"/>
      <c r="Y320" s="438"/>
      <c r="Z320" s="442"/>
      <c r="AA320" s="440"/>
    </row>
    <row r="321" spans="1:27" hidden="1" x14ac:dyDescent="0.25">
      <c r="A321" s="430"/>
      <c r="B321" s="6" t="str">
        <f>IF(A321&lt;&gt;"",INDEX('Base de données'!A$4:L$990,MATCH(' TVA M'!A321,'Base de données'!A$4:A$990,0),2),"")</f>
        <v/>
      </c>
      <c r="C321" s="7" t="str">
        <f>IF(A321&lt;&gt;"",INDEX('Base de données'!A$4:L$990,MATCH(' TVA M'!A321,'Base de données'!A$4:A$990,0),12),"")</f>
        <v/>
      </c>
      <c r="D321" s="442"/>
      <c r="E321" s="438"/>
      <c r="F321" s="443"/>
      <c r="G321" s="439"/>
      <c r="H321" s="442"/>
      <c r="I321" s="438"/>
      <c r="J321" s="443"/>
      <c r="K321" s="439"/>
      <c r="L321" s="442"/>
      <c r="M321" s="438"/>
      <c r="N321" s="443"/>
      <c r="O321" s="439"/>
      <c r="P321" s="442"/>
      <c r="Q321" s="438"/>
      <c r="R321" s="443"/>
      <c r="S321" s="439"/>
      <c r="T321" s="442"/>
      <c r="U321" s="438"/>
      <c r="V321" s="443"/>
      <c r="W321" s="439"/>
      <c r="X321" s="442"/>
      <c r="Y321" s="438"/>
      <c r="Z321" s="442"/>
      <c r="AA321" s="440"/>
    </row>
    <row r="322" spans="1:27" hidden="1" x14ac:dyDescent="0.25">
      <c r="A322" s="430"/>
      <c r="B322" s="6" t="str">
        <f>IF(A322&lt;&gt;"",INDEX('Base de données'!A$4:L$990,MATCH(' TVA M'!A322,'Base de données'!A$4:A$990,0),2),"")</f>
        <v/>
      </c>
      <c r="C322" s="7" t="str">
        <f>IF(A322&lt;&gt;"",INDEX('Base de données'!A$4:L$990,MATCH(' TVA M'!A322,'Base de données'!A$4:A$990,0),12),"")</f>
        <v/>
      </c>
      <c r="D322" s="442"/>
      <c r="E322" s="438"/>
      <c r="F322" s="443"/>
      <c r="G322" s="439"/>
      <c r="H322" s="442"/>
      <c r="I322" s="438"/>
      <c r="J322" s="443"/>
      <c r="K322" s="439"/>
      <c r="L322" s="442"/>
      <c r="M322" s="438"/>
      <c r="N322" s="443"/>
      <c r="O322" s="439"/>
      <c r="P322" s="442"/>
      <c r="Q322" s="438"/>
      <c r="R322" s="443"/>
      <c r="S322" s="439"/>
      <c r="T322" s="442"/>
      <c r="U322" s="438"/>
      <c r="V322" s="443"/>
      <c r="W322" s="439"/>
      <c r="X322" s="442"/>
      <c r="Y322" s="438"/>
      <c r="Z322" s="442"/>
      <c r="AA322" s="440"/>
    </row>
    <row r="323" spans="1:27" hidden="1" x14ac:dyDescent="0.25">
      <c r="A323" s="430"/>
      <c r="B323" s="6" t="str">
        <f>IF(A323&lt;&gt;"",INDEX('Base de données'!A$4:L$990,MATCH(' TVA M'!A323,'Base de données'!A$4:A$990,0),2),"")</f>
        <v/>
      </c>
      <c r="C323" s="7" t="str">
        <f>IF(A323&lt;&gt;"",INDEX('Base de données'!A$4:L$990,MATCH(' TVA M'!A323,'Base de données'!A$4:A$990,0),12),"")</f>
        <v/>
      </c>
      <c r="D323" s="442"/>
      <c r="E323" s="438"/>
      <c r="F323" s="443"/>
      <c r="G323" s="439"/>
      <c r="H323" s="442"/>
      <c r="I323" s="438"/>
      <c r="J323" s="443"/>
      <c r="K323" s="439"/>
      <c r="L323" s="442"/>
      <c r="M323" s="438"/>
      <c r="N323" s="443"/>
      <c r="O323" s="439"/>
      <c r="P323" s="442"/>
      <c r="Q323" s="438"/>
      <c r="R323" s="443"/>
      <c r="S323" s="439"/>
      <c r="T323" s="442"/>
      <c r="U323" s="438"/>
      <c r="V323" s="443"/>
      <c r="W323" s="439"/>
      <c r="X323" s="442"/>
      <c r="Y323" s="438"/>
      <c r="Z323" s="442"/>
      <c r="AA323" s="440"/>
    </row>
    <row r="324" spans="1:27" hidden="1" x14ac:dyDescent="0.25">
      <c r="A324" s="430"/>
      <c r="B324" s="6" t="str">
        <f>IF(A324&lt;&gt;"",INDEX('Base de données'!A$4:L$990,MATCH(' TVA M'!A324,'Base de données'!A$4:A$990,0),2),"")</f>
        <v/>
      </c>
      <c r="C324" s="7" t="str">
        <f>IF(A324&lt;&gt;"",INDEX('Base de données'!A$4:L$990,MATCH(' TVA M'!A324,'Base de données'!A$4:A$990,0),12),"")</f>
        <v/>
      </c>
      <c r="D324" s="442"/>
      <c r="E324" s="438"/>
      <c r="F324" s="443"/>
      <c r="G324" s="439"/>
      <c r="H324" s="442"/>
      <c r="I324" s="438"/>
      <c r="J324" s="443"/>
      <c r="K324" s="439"/>
      <c r="L324" s="442"/>
      <c r="M324" s="438"/>
      <c r="N324" s="443"/>
      <c r="O324" s="439"/>
      <c r="P324" s="442"/>
      <c r="Q324" s="438"/>
      <c r="R324" s="443"/>
      <c r="S324" s="439"/>
      <c r="T324" s="442"/>
      <c r="U324" s="438"/>
      <c r="V324" s="443"/>
      <c r="W324" s="439"/>
      <c r="X324" s="442"/>
      <c r="Y324" s="438"/>
      <c r="Z324" s="442"/>
      <c r="AA324" s="440"/>
    </row>
    <row r="325" spans="1:27" hidden="1" x14ac:dyDescent="0.25">
      <c r="A325" s="430"/>
      <c r="B325" s="6" t="str">
        <f>IF(A325&lt;&gt;"",INDEX('Base de données'!A$4:L$990,MATCH(' TVA M'!A325,'Base de données'!A$4:A$990,0),2),"")</f>
        <v/>
      </c>
      <c r="C325" s="7" t="str">
        <f>IF(A325&lt;&gt;"",INDEX('Base de données'!A$4:L$990,MATCH(' TVA M'!A325,'Base de données'!A$4:A$990,0),12),"")</f>
        <v/>
      </c>
      <c r="D325" s="442"/>
      <c r="E325" s="438"/>
      <c r="F325" s="443"/>
      <c r="G325" s="439"/>
      <c r="H325" s="442"/>
      <c r="I325" s="438"/>
      <c r="J325" s="443"/>
      <c r="K325" s="439"/>
      <c r="L325" s="442"/>
      <c r="M325" s="438"/>
      <c r="N325" s="443"/>
      <c r="O325" s="439"/>
      <c r="P325" s="442"/>
      <c r="Q325" s="438"/>
      <c r="R325" s="443"/>
      <c r="S325" s="439"/>
      <c r="T325" s="442"/>
      <c r="U325" s="438"/>
      <c r="V325" s="443"/>
      <c r="W325" s="439"/>
      <c r="X325" s="442"/>
      <c r="Y325" s="438"/>
      <c r="Z325" s="442"/>
      <c r="AA325" s="440"/>
    </row>
    <row r="326" spans="1:27" hidden="1" x14ac:dyDescent="0.25">
      <c r="A326" s="430"/>
      <c r="B326" s="6" t="str">
        <f>IF(A326&lt;&gt;"",INDEX('Base de données'!A$4:L$990,MATCH(' TVA M'!A326,'Base de données'!A$4:A$990,0),2),"")</f>
        <v/>
      </c>
      <c r="C326" s="7" t="str">
        <f>IF(A326&lt;&gt;"",INDEX('Base de données'!A$4:L$990,MATCH(' TVA M'!A326,'Base de données'!A$4:A$990,0),12),"")</f>
        <v/>
      </c>
      <c r="D326" s="442"/>
      <c r="E326" s="438"/>
      <c r="F326" s="443"/>
      <c r="G326" s="439"/>
      <c r="H326" s="442"/>
      <c r="I326" s="438"/>
      <c r="J326" s="443"/>
      <c r="K326" s="439"/>
      <c r="L326" s="442"/>
      <c r="M326" s="438"/>
      <c r="N326" s="443"/>
      <c r="O326" s="439"/>
      <c r="P326" s="442"/>
      <c r="Q326" s="438"/>
      <c r="R326" s="443"/>
      <c r="S326" s="439"/>
      <c r="T326" s="442"/>
      <c r="U326" s="438"/>
      <c r="V326" s="443"/>
      <c r="W326" s="439"/>
      <c r="X326" s="442"/>
      <c r="Y326" s="438"/>
      <c r="Z326" s="442"/>
      <c r="AA326" s="440"/>
    </row>
    <row r="327" spans="1:27" hidden="1" x14ac:dyDescent="0.25">
      <c r="A327" s="430"/>
      <c r="B327" s="6" t="str">
        <f>IF(A327&lt;&gt;"",INDEX('Base de données'!A$4:L$990,MATCH(' TVA M'!A327,'Base de données'!A$4:A$990,0),2),"")</f>
        <v/>
      </c>
      <c r="C327" s="7" t="str">
        <f>IF(A327&lt;&gt;"",INDEX('Base de données'!A$4:L$990,MATCH(' TVA M'!A327,'Base de données'!A$4:A$990,0),12),"")</f>
        <v/>
      </c>
      <c r="D327" s="442"/>
      <c r="E327" s="438"/>
      <c r="F327" s="443"/>
      <c r="G327" s="439"/>
      <c r="H327" s="442"/>
      <c r="I327" s="438"/>
      <c r="J327" s="443"/>
      <c r="K327" s="439"/>
      <c r="L327" s="442"/>
      <c r="M327" s="438"/>
      <c r="N327" s="443"/>
      <c r="O327" s="439"/>
      <c r="P327" s="442"/>
      <c r="Q327" s="438"/>
      <c r="R327" s="443"/>
      <c r="S327" s="439"/>
      <c r="T327" s="442"/>
      <c r="U327" s="438"/>
      <c r="V327" s="443"/>
      <c r="W327" s="439"/>
      <c r="X327" s="442"/>
      <c r="Y327" s="438"/>
      <c r="Z327" s="442"/>
      <c r="AA327" s="440"/>
    </row>
    <row r="328" spans="1:27" hidden="1" x14ac:dyDescent="0.25">
      <c r="A328" s="430"/>
      <c r="B328" s="6" t="str">
        <f>IF(A328&lt;&gt;"",INDEX('Base de données'!A$4:L$990,MATCH(' TVA M'!A328,'Base de données'!A$4:A$990,0),2),"")</f>
        <v/>
      </c>
      <c r="C328" s="7" t="str">
        <f>IF(A328&lt;&gt;"",INDEX('Base de données'!A$4:L$990,MATCH(' TVA M'!A328,'Base de données'!A$4:A$990,0),12),"")</f>
        <v/>
      </c>
      <c r="D328" s="442"/>
      <c r="E328" s="438"/>
      <c r="F328" s="443"/>
      <c r="G328" s="439"/>
      <c r="H328" s="442"/>
      <c r="I328" s="438"/>
      <c r="J328" s="443"/>
      <c r="K328" s="439"/>
      <c r="L328" s="442"/>
      <c r="M328" s="438"/>
      <c r="N328" s="443"/>
      <c r="O328" s="439"/>
      <c r="P328" s="442"/>
      <c r="Q328" s="438"/>
      <c r="R328" s="443"/>
      <c r="S328" s="439"/>
      <c r="T328" s="442"/>
      <c r="U328" s="438"/>
      <c r="V328" s="443"/>
      <c r="W328" s="439"/>
      <c r="X328" s="442"/>
      <c r="Y328" s="438"/>
      <c r="Z328" s="442"/>
      <c r="AA328" s="440"/>
    </row>
    <row r="329" spans="1:27" hidden="1" x14ac:dyDescent="0.25">
      <c r="A329" s="430"/>
      <c r="B329" s="6" t="str">
        <f>IF(A329&lt;&gt;"",INDEX('Base de données'!A$4:L$990,MATCH(' TVA M'!A329,'Base de données'!A$4:A$990,0),2),"")</f>
        <v/>
      </c>
      <c r="C329" s="7" t="str">
        <f>IF(A329&lt;&gt;"",INDEX('Base de données'!A$4:L$990,MATCH(' TVA M'!A329,'Base de données'!A$4:A$990,0),12),"")</f>
        <v/>
      </c>
      <c r="D329" s="442"/>
      <c r="E329" s="438"/>
      <c r="F329" s="443"/>
      <c r="G329" s="439"/>
      <c r="H329" s="442"/>
      <c r="I329" s="438"/>
      <c r="J329" s="443"/>
      <c r="K329" s="439"/>
      <c r="L329" s="442"/>
      <c r="M329" s="438"/>
      <c r="N329" s="443"/>
      <c r="O329" s="439"/>
      <c r="P329" s="442"/>
      <c r="Q329" s="438"/>
      <c r="R329" s="443"/>
      <c r="S329" s="439"/>
      <c r="T329" s="442"/>
      <c r="U329" s="438"/>
      <c r="V329" s="443"/>
      <c r="W329" s="439"/>
      <c r="X329" s="442"/>
      <c r="Y329" s="438"/>
      <c r="Z329" s="442"/>
      <c r="AA329" s="440"/>
    </row>
    <row r="330" spans="1:27" hidden="1" x14ac:dyDescent="0.25">
      <c r="A330" s="430"/>
      <c r="B330" s="6" t="str">
        <f>IF(A330&lt;&gt;"",INDEX('Base de données'!A$4:L$990,MATCH(' TVA M'!A330,'Base de données'!A$4:A$990,0),2),"")</f>
        <v/>
      </c>
      <c r="C330" s="7" t="str">
        <f>IF(A330&lt;&gt;"",INDEX('Base de données'!A$4:L$990,MATCH(' TVA M'!A330,'Base de données'!A$4:A$990,0),12),"")</f>
        <v/>
      </c>
      <c r="D330" s="442"/>
      <c r="E330" s="438"/>
      <c r="F330" s="443"/>
      <c r="G330" s="439"/>
      <c r="H330" s="442"/>
      <c r="I330" s="438"/>
      <c r="J330" s="443"/>
      <c r="K330" s="439"/>
      <c r="L330" s="442"/>
      <c r="M330" s="438"/>
      <c r="N330" s="443"/>
      <c r="O330" s="439"/>
      <c r="P330" s="442"/>
      <c r="Q330" s="438"/>
      <c r="R330" s="443"/>
      <c r="S330" s="439"/>
      <c r="T330" s="442"/>
      <c r="U330" s="438"/>
      <c r="V330" s="443"/>
      <c r="W330" s="439"/>
      <c r="X330" s="442"/>
      <c r="Y330" s="438"/>
      <c r="Z330" s="442"/>
      <c r="AA330" s="440"/>
    </row>
    <row r="331" spans="1:27" hidden="1" x14ac:dyDescent="0.25">
      <c r="A331" s="430"/>
      <c r="B331" s="6" t="str">
        <f>IF(A331&lt;&gt;"",INDEX('Base de données'!A$4:L$990,MATCH(' TVA M'!A331,'Base de données'!A$4:A$990,0),2),"")</f>
        <v/>
      </c>
      <c r="C331" s="7" t="str">
        <f>IF(A331&lt;&gt;"",INDEX('Base de données'!A$4:L$990,MATCH(' TVA M'!A331,'Base de données'!A$4:A$990,0),12),"")</f>
        <v/>
      </c>
      <c r="D331" s="442"/>
      <c r="E331" s="438"/>
      <c r="F331" s="443"/>
      <c r="G331" s="439"/>
      <c r="H331" s="442"/>
      <c r="I331" s="438"/>
      <c r="J331" s="443"/>
      <c r="K331" s="439"/>
      <c r="L331" s="442"/>
      <c r="M331" s="438"/>
      <c r="N331" s="443"/>
      <c r="O331" s="439"/>
      <c r="P331" s="442"/>
      <c r="Q331" s="438"/>
      <c r="R331" s="443"/>
      <c r="S331" s="439"/>
      <c r="T331" s="442"/>
      <c r="U331" s="438"/>
      <c r="V331" s="443"/>
      <c r="W331" s="439"/>
      <c r="X331" s="442"/>
      <c r="Y331" s="438"/>
      <c r="Z331" s="442"/>
      <c r="AA331" s="440"/>
    </row>
    <row r="332" spans="1:27" hidden="1" x14ac:dyDescent="0.25">
      <c r="A332" s="430"/>
      <c r="B332" s="6" t="str">
        <f>IF(A332&lt;&gt;"",INDEX('Base de données'!A$4:L$990,MATCH(' TVA M'!A332,'Base de données'!A$4:A$990,0),2),"")</f>
        <v/>
      </c>
      <c r="C332" s="7" t="str">
        <f>IF(A332&lt;&gt;"",INDEX('Base de données'!A$4:L$990,MATCH(' TVA M'!A332,'Base de données'!A$4:A$990,0),12),"")</f>
        <v/>
      </c>
      <c r="D332" s="442"/>
      <c r="E332" s="438"/>
      <c r="F332" s="443"/>
      <c r="G332" s="439"/>
      <c r="H332" s="442"/>
      <c r="I332" s="438"/>
      <c r="J332" s="443"/>
      <c r="K332" s="439"/>
      <c r="L332" s="442"/>
      <c r="M332" s="438"/>
      <c r="N332" s="443"/>
      <c r="O332" s="439"/>
      <c r="P332" s="442"/>
      <c r="Q332" s="438"/>
      <c r="R332" s="443"/>
      <c r="S332" s="439"/>
      <c r="T332" s="442"/>
      <c r="U332" s="438"/>
      <c r="V332" s="443"/>
      <c r="W332" s="439"/>
      <c r="X332" s="442"/>
      <c r="Y332" s="438"/>
      <c r="Z332" s="442"/>
      <c r="AA332" s="440"/>
    </row>
    <row r="333" spans="1:27" hidden="1" x14ac:dyDescent="0.25">
      <c r="A333" s="430"/>
      <c r="B333" s="6" t="str">
        <f>IF(A333&lt;&gt;"",INDEX('Base de données'!A$4:L$990,MATCH(' TVA M'!A333,'Base de données'!A$4:A$990,0),2),"")</f>
        <v/>
      </c>
      <c r="C333" s="7" t="str">
        <f>IF(A333&lt;&gt;"",INDEX('Base de données'!A$4:L$990,MATCH(' TVA M'!A333,'Base de données'!A$4:A$990,0),12),"")</f>
        <v/>
      </c>
      <c r="D333" s="442"/>
      <c r="E333" s="438"/>
      <c r="F333" s="443"/>
      <c r="G333" s="439"/>
      <c r="H333" s="442"/>
      <c r="I333" s="438"/>
      <c r="J333" s="443"/>
      <c r="K333" s="439"/>
      <c r="L333" s="442"/>
      <c r="M333" s="438"/>
      <c r="N333" s="443"/>
      <c r="O333" s="439"/>
      <c r="P333" s="442"/>
      <c r="Q333" s="438"/>
      <c r="R333" s="443"/>
      <c r="S333" s="439"/>
      <c r="T333" s="442"/>
      <c r="U333" s="438"/>
      <c r="V333" s="443"/>
      <c r="W333" s="439"/>
      <c r="X333" s="442"/>
      <c r="Y333" s="438"/>
      <c r="Z333" s="442"/>
      <c r="AA333" s="440"/>
    </row>
    <row r="334" spans="1:27" hidden="1" x14ac:dyDescent="0.25">
      <c r="A334" s="430"/>
      <c r="B334" s="6" t="str">
        <f>IF(A334&lt;&gt;"",INDEX('Base de données'!A$4:L$990,MATCH(' TVA M'!A334,'Base de données'!A$4:A$990,0),2),"")</f>
        <v/>
      </c>
      <c r="C334" s="7" t="str">
        <f>IF(A334&lt;&gt;"",INDEX('Base de données'!A$4:L$990,MATCH(' TVA M'!A334,'Base de données'!A$4:A$990,0),12),"")</f>
        <v/>
      </c>
      <c r="D334" s="442"/>
      <c r="E334" s="438"/>
      <c r="F334" s="443"/>
      <c r="G334" s="439"/>
      <c r="H334" s="442"/>
      <c r="I334" s="438"/>
      <c r="J334" s="443"/>
      <c r="K334" s="439"/>
      <c r="L334" s="442"/>
      <c r="M334" s="438"/>
      <c r="N334" s="443"/>
      <c r="O334" s="439"/>
      <c r="P334" s="442"/>
      <c r="Q334" s="438"/>
      <c r="R334" s="443"/>
      <c r="S334" s="439"/>
      <c r="T334" s="442"/>
      <c r="U334" s="438"/>
      <c r="V334" s="443"/>
      <c r="W334" s="439"/>
      <c r="X334" s="442"/>
      <c r="Y334" s="438"/>
      <c r="Z334" s="442"/>
      <c r="AA334" s="440"/>
    </row>
    <row r="335" spans="1:27" hidden="1" x14ac:dyDescent="0.25">
      <c r="A335" s="430"/>
      <c r="B335" s="6" t="str">
        <f>IF(A335&lt;&gt;"",INDEX('Base de données'!A$4:L$990,MATCH(' TVA M'!A335,'Base de données'!A$4:A$990,0),2),"")</f>
        <v/>
      </c>
      <c r="C335" s="7" t="str">
        <f>IF(A335&lt;&gt;"",INDEX('Base de données'!A$4:L$990,MATCH(' TVA M'!A335,'Base de données'!A$4:A$990,0),12),"")</f>
        <v/>
      </c>
      <c r="D335" s="442"/>
      <c r="E335" s="438"/>
      <c r="F335" s="443"/>
      <c r="G335" s="439"/>
      <c r="H335" s="442"/>
      <c r="I335" s="438"/>
      <c r="J335" s="443"/>
      <c r="K335" s="439"/>
      <c r="L335" s="442"/>
      <c r="M335" s="438"/>
      <c r="N335" s="443"/>
      <c r="O335" s="439"/>
      <c r="P335" s="442"/>
      <c r="Q335" s="438"/>
      <c r="R335" s="443"/>
      <c r="S335" s="439"/>
      <c r="T335" s="442"/>
      <c r="U335" s="438"/>
      <c r="V335" s="443"/>
      <c r="W335" s="439"/>
      <c r="X335" s="442"/>
      <c r="Y335" s="438"/>
      <c r="Z335" s="442"/>
      <c r="AA335" s="440"/>
    </row>
    <row r="336" spans="1:27" hidden="1" x14ac:dyDescent="0.25">
      <c r="A336" s="430"/>
      <c r="B336" s="6" t="str">
        <f>IF(A336&lt;&gt;"",INDEX('Base de données'!A$4:L$990,MATCH(' TVA M'!A336,'Base de données'!A$4:A$990,0),2),"")</f>
        <v/>
      </c>
      <c r="C336" s="7" t="str">
        <f>IF(A336&lt;&gt;"",INDEX('Base de données'!A$4:L$990,MATCH(' TVA M'!A336,'Base de données'!A$4:A$990,0),12),"")</f>
        <v/>
      </c>
      <c r="D336" s="442"/>
      <c r="E336" s="438"/>
      <c r="F336" s="443"/>
      <c r="G336" s="439"/>
      <c r="H336" s="442"/>
      <c r="I336" s="438"/>
      <c r="J336" s="443"/>
      <c r="K336" s="439"/>
      <c r="L336" s="442"/>
      <c r="M336" s="438"/>
      <c r="N336" s="443"/>
      <c r="O336" s="439"/>
      <c r="P336" s="442"/>
      <c r="Q336" s="438"/>
      <c r="R336" s="443"/>
      <c r="S336" s="439"/>
      <c r="T336" s="442"/>
      <c r="U336" s="438"/>
      <c r="V336" s="443"/>
      <c r="W336" s="439"/>
      <c r="X336" s="442"/>
      <c r="Y336" s="438"/>
      <c r="Z336" s="442"/>
      <c r="AA336" s="440"/>
    </row>
    <row r="337" spans="1:27" hidden="1" x14ac:dyDescent="0.25">
      <c r="A337" s="430"/>
      <c r="B337" s="6" t="str">
        <f>IF(A337&lt;&gt;"",INDEX('Base de données'!A$4:L$990,MATCH(' TVA M'!A337,'Base de données'!A$4:A$990,0),2),"")</f>
        <v/>
      </c>
      <c r="C337" s="7" t="str">
        <f>IF(A337&lt;&gt;"",INDEX('Base de données'!A$4:L$990,MATCH(' TVA M'!A337,'Base de données'!A$4:A$990,0),12),"")</f>
        <v/>
      </c>
      <c r="D337" s="442"/>
      <c r="E337" s="438"/>
      <c r="F337" s="443"/>
      <c r="G337" s="439"/>
      <c r="H337" s="442"/>
      <c r="I337" s="438"/>
      <c r="J337" s="443"/>
      <c r="K337" s="439"/>
      <c r="L337" s="442"/>
      <c r="M337" s="438"/>
      <c r="N337" s="443"/>
      <c r="O337" s="439"/>
      <c r="P337" s="442"/>
      <c r="Q337" s="438"/>
      <c r="R337" s="443"/>
      <c r="S337" s="439"/>
      <c r="T337" s="442"/>
      <c r="U337" s="438"/>
      <c r="V337" s="443"/>
      <c r="W337" s="439"/>
      <c r="X337" s="442"/>
      <c r="Y337" s="438"/>
      <c r="Z337" s="442"/>
      <c r="AA337" s="440"/>
    </row>
    <row r="338" spans="1:27" hidden="1" x14ac:dyDescent="0.25">
      <c r="A338" s="430"/>
      <c r="B338" s="6" t="str">
        <f>IF(A338&lt;&gt;"",INDEX('Base de données'!A$4:L$990,MATCH(' TVA M'!A338,'Base de données'!A$4:A$990,0),2),"")</f>
        <v/>
      </c>
      <c r="C338" s="7" t="str">
        <f>IF(A338&lt;&gt;"",INDEX('Base de données'!A$4:L$990,MATCH(' TVA M'!A338,'Base de données'!A$4:A$990,0),12),"")</f>
        <v/>
      </c>
      <c r="D338" s="442"/>
      <c r="E338" s="438"/>
      <c r="F338" s="443"/>
      <c r="G338" s="439"/>
      <c r="H338" s="442"/>
      <c r="I338" s="438"/>
      <c r="J338" s="443"/>
      <c r="K338" s="439"/>
      <c r="L338" s="442"/>
      <c r="M338" s="438"/>
      <c r="N338" s="443"/>
      <c r="O338" s="439"/>
      <c r="P338" s="442"/>
      <c r="Q338" s="438"/>
      <c r="R338" s="443"/>
      <c r="S338" s="439"/>
      <c r="T338" s="442"/>
      <c r="U338" s="438"/>
      <c r="V338" s="443"/>
      <c r="W338" s="439"/>
      <c r="X338" s="442"/>
      <c r="Y338" s="438"/>
      <c r="Z338" s="442"/>
      <c r="AA338" s="440"/>
    </row>
    <row r="339" spans="1:27" hidden="1" x14ac:dyDescent="0.25">
      <c r="A339" s="430"/>
      <c r="B339" s="6" t="str">
        <f>IF(A339&lt;&gt;"",INDEX('Base de données'!A$4:L$990,MATCH(' TVA M'!A339,'Base de données'!A$4:A$990,0),2),"")</f>
        <v/>
      </c>
      <c r="C339" s="7" t="str">
        <f>IF(A339&lt;&gt;"",INDEX('Base de données'!A$4:L$990,MATCH(' TVA M'!A339,'Base de données'!A$4:A$990,0),12),"")</f>
        <v/>
      </c>
      <c r="D339" s="442"/>
      <c r="E339" s="438"/>
      <c r="F339" s="443"/>
      <c r="G339" s="439"/>
      <c r="H339" s="442"/>
      <c r="I339" s="438"/>
      <c r="J339" s="443"/>
      <c r="K339" s="439"/>
      <c r="L339" s="442"/>
      <c r="M339" s="438"/>
      <c r="N339" s="443"/>
      <c r="O339" s="439"/>
      <c r="P339" s="442"/>
      <c r="Q339" s="438"/>
      <c r="R339" s="443"/>
      <c r="S339" s="439"/>
      <c r="T339" s="442"/>
      <c r="U339" s="438"/>
      <c r="V339" s="443"/>
      <c r="W339" s="439"/>
      <c r="X339" s="442"/>
      <c r="Y339" s="438"/>
      <c r="Z339" s="442"/>
      <c r="AA339" s="440"/>
    </row>
    <row r="340" spans="1:27" hidden="1" x14ac:dyDescent="0.25">
      <c r="A340" s="430"/>
      <c r="B340" s="6" t="str">
        <f>IF(A340&lt;&gt;"",INDEX('Base de données'!A$4:L$990,MATCH(' TVA M'!A340,'Base de données'!A$4:A$990,0),2),"")</f>
        <v/>
      </c>
      <c r="C340" s="7" t="str">
        <f>IF(A340&lt;&gt;"",INDEX('Base de données'!A$4:L$990,MATCH(' TVA M'!A340,'Base de données'!A$4:A$990,0),12),"")</f>
        <v/>
      </c>
      <c r="D340" s="442"/>
      <c r="E340" s="438"/>
      <c r="F340" s="443"/>
      <c r="G340" s="439"/>
      <c r="H340" s="442"/>
      <c r="I340" s="438"/>
      <c r="J340" s="443"/>
      <c r="K340" s="439"/>
      <c r="L340" s="442"/>
      <c r="M340" s="438"/>
      <c r="N340" s="443"/>
      <c r="O340" s="439"/>
      <c r="P340" s="442"/>
      <c r="Q340" s="438"/>
      <c r="R340" s="443"/>
      <c r="S340" s="439"/>
      <c r="T340" s="442"/>
      <c r="U340" s="438"/>
      <c r="V340" s="443"/>
      <c r="W340" s="439"/>
      <c r="X340" s="442"/>
      <c r="Y340" s="438"/>
      <c r="Z340" s="442"/>
      <c r="AA340" s="440"/>
    </row>
    <row r="341" spans="1:27" hidden="1" x14ac:dyDescent="0.25">
      <c r="A341" s="430"/>
      <c r="B341" s="6" t="str">
        <f>IF(A341&lt;&gt;"",INDEX('Base de données'!A$4:L$990,MATCH(' TVA M'!A341,'Base de données'!A$4:A$990,0),2),"")</f>
        <v/>
      </c>
      <c r="C341" s="7" t="str">
        <f>IF(A341&lt;&gt;"",INDEX('Base de données'!A$4:L$990,MATCH(' TVA M'!A341,'Base de données'!A$4:A$990,0),12),"")</f>
        <v/>
      </c>
      <c r="D341" s="442"/>
      <c r="E341" s="438"/>
      <c r="F341" s="443"/>
      <c r="G341" s="439"/>
      <c r="H341" s="442"/>
      <c r="I341" s="438"/>
      <c r="J341" s="443"/>
      <c r="K341" s="439"/>
      <c r="L341" s="442"/>
      <c r="M341" s="438"/>
      <c r="N341" s="443"/>
      <c r="O341" s="439"/>
      <c r="P341" s="442"/>
      <c r="Q341" s="438"/>
      <c r="R341" s="443"/>
      <c r="S341" s="439"/>
      <c r="T341" s="442"/>
      <c r="U341" s="438"/>
      <c r="V341" s="443"/>
      <c r="W341" s="439"/>
      <c r="X341" s="442"/>
      <c r="Y341" s="438"/>
      <c r="Z341" s="442"/>
      <c r="AA341" s="440"/>
    </row>
    <row r="342" spans="1:27" hidden="1" x14ac:dyDescent="0.25">
      <c r="A342" s="430"/>
      <c r="B342" s="6" t="str">
        <f>IF(A342&lt;&gt;"",INDEX('Base de données'!A$4:L$990,MATCH(' TVA M'!A342,'Base de données'!A$4:A$990,0),2),"")</f>
        <v/>
      </c>
      <c r="C342" s="7" t="str">
        <f>IF(A342&lt;&gt;"",INDEX('Base de données'!A$4:L$990,MATCH(' TVA M'!A342,'Base de données'!A$4:A$990,0),12),"")</f>
        <v/>
      </c>
      <c r="D342" s="442"/>
      <c r="E342" s="438"/>
      <c r="F342" s="443"/>
      <c r="G342" s="439"/>
      <c r="H342" s="442"/>
      <c r="I342" s="438"/>
      <c r="J342" s="443"/>
      <c r="K342" s="439"/>
      <c r="L342" s="442"/>
      <c r="M342" s="438"/>
      <c r="N342" s="443"/>
      <c r="O342" s="439"/>
      <c r="P342" s="442"/>
      <c r="Q342" s="438"/>
      <c r="R342" s="443"/>
      <c r="S342" s="439"/>
      <c r="T342" s="442"/>
      <c r="U342" s="438"/>
      <c r="V342" s="443"/>
      <c r="W342" s="439"/>
      <c r="X342" s="442"/>
      <c r="Y342" s="438"/>
      <c r="Z342" s="442"/>
      <c r="AA342" s="440"/>
    </row>
    <row r="343" spans="1:27" hidden="1" x14ac:dyDescent="0.25">
      <c r="A343" s="430"/>
      <c r="B343" s="6" t="str">
        <f>IF(A343&lt;&gt;"",INDEX('Base de données'!A$4:L$990,MATCH(' TVA M'!A343,'Base de données'!A$4:A$990,0),2),"")</f>
        <v/>
      </c>
      <c r="C343" s="7" t="str">
        <f>IF(A343&lt;&gt;"",INDEX('Base de données'!A$4:L$990,MATCH(' TVA M'!A343,'Base de données'!A$4:A$990,0),12),"")</f>
        <v/>
      </c>
      <c r="D343" s="442"/>
      <c r="E343" s="438"/>
      <c r="F343" s="443"/>
      <c r="G343" s="439"/>
      <c r="H343" s="442"/>
      <c r="I343" s="438"/>
      <c r="J343" s="443"/>
      <c r="K343" s="439"/>
      <c r="L343" s="442"/>
      <c r="M343" s="438"/>
      <c r="N343" s="443"/>
      <c r="O343" s="439"/>
      <c r="P343" s="442"/>
      <c r="Q343" s="438"/>
      <c r="R343" s="443"/>
      <c r="S343" s="439"/>
      <c r="T343" s="442"/>
      <c r="U343" s="438"/>
      <c r="V343" s="443"/>
      <c r="W343" s="439"/>
      <c r="X343" s="442"/>
      <c r="Y343" s="438"/>
      <c r="Z343" s="442"/>
      <c r="AA343" s="440"/>
    </row>
    <row r="344" spans="1:27" hidden="1" x14ac:dyDescent="0.25">
      <c r="A344" s="430"/>
      <c r="B344" s="6" t="str">
        <f>IF(A344&lt;&gt;"",INDEX('Base de données'!A$4:L$990,MATCH(' TVA M'!A344,'Base de données'!A$4:A$990,0),2),"")</f>
        <v/>
      </c>
      <c r="C344" s="7" t="str">
        <f>IF(A344&lt;&gt;"",INDEX('Base de données'!A$4:L$990,MATCH(' TVA M'!A344,'Base de données'!A$4:A$990,0),12),"")</f>
        <v/>
      </c>
      <c r="D344" s="442"/>
      <c r="E344" s="438"/>
      <c r="F344" s="443"/>
      <c r="G344" s="439"/>
      <c r="H344" s="442"/>
      <c r="I344" s="438"/>
      <c r="J344" s="443"/>
      <c r="K344" s="439"/>
      <c r="L344" s="442"/>
      <c r="M344" s="438"/>
      <c r="N344" s="443"/>
      <c r="O344" s="439"/>
      <c r="P344" s="442"/>
      <c r="Q344" s="438"/>
      <c r="R344" s="443"/>
      <c r="S344" s="439"/>
      <c r="T344" s="442"/>
      <c r="U344" s="438"/>
      <c r="V344" s="443"/>
      <c r="W344" s="439"/>
      <c r="X344" s="442"/>
      <c r="Y344" s="438"/>
      <c r="Z344" s="442"/>
      <c r="AA344" s="440"/>
    </row>
    <row r="345" spans="1:27" hidden="1" x14ac:dyDescent="0.25">
      <c r="A345" s="430"/>
      <c r="B345" s="6" t="str">
        <f>IF(A345&lt;&gt;"",INDEX('Base de données'!A$4:L$990,MATCH(' TVA M'!A345,'Base de données'!A$4:A$990,0),2),"")</f>
        <v/>
      </c>
      <c r="C345" s="7" t="str">
        <f>IF(A345&lt;&gt;"",INDEX('Base de données'!A$4:L$990,MATCH(' TVA M'!A345,'Base de données'!A$4:A$990,0),12),"")</f>
        <v/>
      </c>
      <c r="D345" s="442"/>
      <c r="E345" s="438"/>
      <c r="F345" s="443"/>
      <c r="G345" s="439"/>
      <c r="H345" s="442"/>
      <c r="I345" s="438"/>
      <c r="J345" s="443"/>
      <c r="K345" s="439"/>
      <c r="L345" s="442"/>
      <c r="M345" s="438"/>
      <c r="N345" s="443"/>
      <c r="O345" s="439"/>
      <c r="P345" s="442"/>
      <c r="Q345" s="438"/>
      <c r="R345" s="443"/>
      <c r="S345" s="439"/>
      <c r="T345" s="442"/>
      <c r="U345" s="438"/>
      <c r="V345" s="443"/>
      <c r="W345" s="439"/>
      <c r="X345" s="442"/>
      <c r="Y345" s="438"/>
      <c r="Z345" s="442"/>
      <c r="AA345" s="440"/>
    </row>
    <row r="346" spans="1:27" hidden="1" x14ac:dyDescent="0.25">
      <c r="A346" s="430"/>
      <c r="B346" s="6" t="str">
        <f>IF(A346&lt;&gt;"",INDEX('Base de données'!A$4:L$990,MATCH(' TVA M'!A346,'Base de données'!A$4:A$990,0),2),"")</f>
        <v/>
      </c>
      <c r="C346" s="7" t="str">
        <f>IF(A346&lt;&gt;"",INDEX('Base de données'!A$4:L$990,MATCH(' TVA M'!A346,'Base de données'!A$4:A$990,0),12),"")</f>
        <v/>
      </c>
      <c r="D346" s="442"/>
      <c r="E346" s="438"/>
      <c r="F346" s="443"/>
      <c r="G346" s="439"/>
      <c r="H346" s="442"/>
      <c r="I346" s="438"/>
      <c r="J346" s="443"/>
      <c r="K346" s="439"/>
      <c r="L346" s="442"/>
      <c r="M346" s="438"/>
      <c r="N346" s="443"/>
      <c r="O346" s="439"/>
      <c r="P346" s="442"/>
      <c r="Q346" s="438"/>
      <c r="R346" s="443"/>
      <c r="S346" s="439"/>
      <c r="T346" s="442"/>
      <c r="U346" s="438"/>
      <c r="V346" s="443"/>
      <c r="W346" s="439"/>
      <c r="X346" s="442"/>
      <c r="Y346" s="438"/>
      <c r="Z346" s="442"/>
      <c r="AA346" s="440"/>
    </row>
    <row r="347" spans="1:27" hidden="1" x14ac:dyDescent="0.25">
      <c r="A347" s="430"/>
      <c r="B347" s="6" t="str">
        <f>IF(A347&lt;&gt;"",INDEX('Base de données'!A$4:L$990,MATCH(' TVA M'!A347,'Base de données'!A$4:A$990,0),2),"")</f>
        <v/>
      </c>
      <c r="C347" s="7" t="str">
        <f>IF(A347&lt;&gt;"",INDEX('Base de données'!A$4:L$990,MATCH(' TVA M'!A347,'Base de données'!A$4:A$990,0),12),"")</f>
        <v/>
      </c>
      <c r="D347" s="442"/>
      <c r="E347" s="438"/>
      <c r="F347" s="443"/>
      <c r="G347" s="439"/>
      <c r="H347" s="442"/>
      <c r="I347" s="438"/>
      <c r="J347" s="443"/>
      <c r="K347" s="439"/>
      <c r="L347" s="442"/>
      <c r="M347" s="438"/>
      <c r="N347" s="443"/>
      <c r="O347" s="439"/>
      <c r="P347" s="442"/>
      <c r="Q347" s="438"/>
      <c r="R347" s="443"/>
      <c r="S347" s="439"/>
      <c r="T347" s="442"/>
      <c r="U347" s="438"/>
      <c r="V347" s="443"/>
      <c r="W347" s="439"/>
      <c r="X347" s="442"/>
      <c r="Y347" s="438"/>
      <c r="Z347" s="442"/>
      <c r="AA347" s="440"/>
    </row>
    <row r="348" spans="1:27" hidden="1" x14ac:dyDescent="0.25">
      <c r="A348" s="430"/>
      <c r="B348" s="6" t="str">
        <f>IF(A348&lt;&gt;"",INDEX('Base de données'!A$4:L$990,MATCH(' TVA M'!A348,'Base de données'!A$4:A$990,0),2),"")</f>
        <v/>
      </c>
      <c r="C348" s="7" t="str">
        <f>IF(A348&lt;&gt;"",INDEX('Base de données'!A$4:L$990,MATCH(' TVA M'!A348,'Base de données'!A$4:A$990,0),12),"")</f>
        <v/>
      </c>
      <c r="D348" s="442"/>
      <c r="E348" s="438"/>
      <c r="F348" s="443"/>
      <c r="G348" s="439"/>
      <c r="H348" s="442"/>
      <c r="I348" s="438"/>
      <c r="J348" s="443"/>
      <c r="K348" s="439"/>
      <c r="L348" s="442"/>
      <c r="M348" s="438"/>
      <c r="N348" s="443"/>
      <c r="O348" s="439"/>
      <c r="P348" s="442"/>
      <c r="Q348" s="438"/>
      <c r="R348" s="443"/>
      <c r="S348" s="439"/>
      <c r="T348" s="442"/>
      <c r="U348" s="438"/>
      <c r="V348" s="443"/>
      <c r="W348" s="439"/>
      <c r="X348" s="442"/>
      <c r="Y348" s="438"/>
      <c r="Z348" s="442"/>
      <c r="AA348" s="440"/>
    </row>
    <row r="349" spans="1:27" hidden="1" x14ac:dyDescent="0.25">
      <c r="A349" s="430"/>
      <c r="B349" s="6" t="str">
        <f>IF(A349&lt;&gt;"",INDEX('Base de données'!A$4:L$990,MATCH(' TVA M'!A349,'Base de données'!A$4:A$990,0),2),"")</f>
        <v/>
      </c>
      <c r="C349" s="7" t="str">
        <f>IF(A349&lt;&gt;"",INDEX('Base de données'!A$4:L$990,MATCH(' TVA M'!A349,'Base de données'!A$4:A$990,0),12),"")</f>
        <v/>
      </c>
      <c r="D349" s="442"/>
      <c r="E349" s="438"/>
      <c r="F349" s="443"/>
      <c r="G349" s="439"/>
      <c r="H349" s="442"/>
      <c r="I349" s="438"/>
      <c r="J349" s="443"/>
      <c r="K349" s="439"/>
      <c r="L349" s="442"/>
      <c r="M349" s="438"/>
      <c r="N349" s="443"/>
      <c r="O349" s="439"/>
      <c r="P349" s="442"/>
      <c r="Q349" s="438"/>
      <c r="R349" s="443"/>
      <c r="S349" s="439"/>
      <c r="T349" s="442"/>
      <c r="U349" s="438"/>
      <c r="V349" s="443"/>
      <c r="W349" s="439"/>
      <c r="X349" s="442"/>
      <c r="Y349" s="438"/>
      <c r="Z349" s="442"/>
      <c r="AA349" s="440"/>
    </row>
    <row r="350" spans="1:27" hidden="1" x14ac:dyDescent="0.25">
      <c r="A350" s="430"/>
      <c r="B350" s="6" t="str">
        <f>IF(A350&lt;&gt;"",INDEX('Base de données'!A$4:L$990,MATCH(' TVA M'!A350,'Base de données'!A$4:A$990,0),2),"")</f>
        <v/>
      </c>
      <c r="C350" s="7" t="str">
        <f>IF(A350&lt;&gt;"",INDEX('Base de données'!A$4:L$990,MATCH(' TVA M'!A350,'Base de données'!A$4:A$990,0),12),"")</f>
        <v/>
      </c>
      <c r="D350" s="442"/>
      <c r="E350" s="438"/>
      <c r="F350" s="443"/>
      <c r="G350" s="439"/>
      <c r="H350" s="442"/>
      <c r="I350" s="438"/>
      <c r="J350" s="443"/>
      <c r="K350" s="439"/>
      <c r="L350" s="442"/>
      <c r="M350" s="438"/>
      <c r="N350" s="443"/>
      <c r="O350" s="439"/>
      <c r="P350" s="442"/>
      <c r="Q350" s="438"/>
      <c r="R350" s="443"/>
      <c r="S350" s="439"/>
      <c r="T350" s="442"/>
      <c r="U350" s="438"/>
      <c r="V350" s="443"/>
      <c r="W350" s="439"/>
      <c r="X350" s="442"/>
      <c r="Y350" s="438"/>
      <c r="Z350" s="442"/>
      <c r="AA350" s="440"/>
    </row>
    <row r="351" spans="1:27" hidden="1" x14ac:dyDescent="0.25">
      <c r="A351" s="430"/>
      <c r="B351" s="6" t="str">
        <f>IF(A351&lt;&gt;"",INDEX('Base de données'!A$4:L$990,MATCH(' TVA M'!A351,'Base de données'!A$4:A$990,0),2),"")</f>
        <v/>
      </c>
      <c r="C351" s="7" t="str">
        <f>IF(A351&lt;&gt;"",INDEX('Base de données'!A$4:L$990,MATCH(' TVA M'!A351,'Base de données'!A$4:A$990,0),12),"")</f>
        <v/>
      </c>
      <c r="D351" s="442"/>
      <c r="E351" s="438"/>
      <c r="F351" s="443"/>
      <c r="G351" s="439"/>
      <c r="H351" s="442"/>
      <c r="I351" s="438"/>
      <c r="J351" s="443"/>
      <c r="K351" s="439"/>
      <c r="L351" s="442"/>
      <c r="M351" s="438"/>
      <c r="N351" s="443"/>
      <c r="O351" s="439"/>
      <c r="P351" s="442"/>
      <c r="Q351" s="438"/>
      <c r="R351" s="443"/>
      <c r="S351" s="439"/>
      <c r="T351" s="442"/>
      <c r="U351" s="438"/>
      <c r="V351" s="443"/>
      <c r="W351" s="439"/>
      <c r="X351" s="442"/>
      <c r="Y351" s="438"/>
      <c r="Z351" s="442"/>
      <c r="AA351" s="440"/>
    </row>
    <row r="352" spans="1:27" hidden="1" x14ac:dyDescent="0.25">
      <c r="A352" s="430"/>
      <c r="B352" s="6" t="str">
        <f>IF(A352&lt;&gt;"",INDEX('Base de données'!A$4:L$990,MATCH(' TVA M'!A352,'Base de données'!A$4:A$990,0),2),"")</f>
        <v/>
      </c>
      <c r="C352" s="7" t="str">
        <f>IF(A352&lt;&gt;"",INDEX('Base de données'!A$4:L$990,MATCH(' TVA M'!A352,'Base de données'!A$4:A$990,0),12),"")</f>
        <v/>
      </c>
      <c r="D352" s="442"/>
      <c r="E352" s="438"/>
      <c r="F352" s="443"/>
      <c r="G352" s="439"/>
      <c r="H352" s="442"/>
      <c r="I352" s="438"/>
      <c r="J352" s="443"/>
      <c r="K352" s="439"/>
      <c r="L352" s="442"/>
      <c r="M352" s="438"/>
      <c r="N352" s="443"/>
      <c r="O352" s="439"/>
      <c r="P352" s="442"/>
      <c r="Q352" s="438"/>
      <c r="R352" s="443"/>
      <c r="S352" s="439"/>
      <c r="T352" s="442"/>
      <c r="U352" s="438"/>
      <c r="V352" s="443"/>
      <c r="W352" s="439"/>
      <c r="X352" s="442"/>
      <c r="Y352" s="438"/>
      <c r="Z352" s="442"/>
      <c r="AA352" s="440"/>
    </row>
    <row r="353" spans="1:27" hidden="1" x14ac:dyDescent="0.25">
      <c r="A353" s="430"/>
      <c r="B353" s="6" t="str">
        <f>IF(A353&lt;&gt;"",INDEX('Base de données'!A$4:L$990,MATCH(' TVA M'!A353,'Base de données'!A$4:A$990,0),2),"")</f>
        <v/>
      </c>
      <c r="C353" s="7" t="str">
        <f>IF(A353&lt;&gt;"",INDEX('Base de données'!A$4:L$990,MATCH(' TVA M'!A353,'Base de données'!A$4:A$990,0),12),"")</f>
        <v/>
      </c>
      <c r="D353" s="442"/>
      <c r="E353" s="438"/>
      <c r="F353" s="443"/>
      <c r="G353" s="439"/>
      <c r="H353" s="442"/>
      <c r="I353" s="438"/>
      <c r="J353" s="443"/>
      <c r="K353" s="439"/>
      <c r="L353" s="442"/>
      <c r="M353" s="438"/>
      <c r="N353" s="443"/>
      <c r="O353" s="439"/>
      <c r="P353" s="442"/>
      <c r="Q353" s="438"/>
      <c r="R353" s="443"/>
      <c r="S353" s="439"/>
      <c r="T353" s="442"/>
      <c r="U353" s="438"/>
      <c r="V353" s="443"/>
      <c r="W353" s="439"/>
      <c r="X353" s="442"/>
      <c r="Y353" s="438"/>
      <c r="Z353" s="442"/>
      <c r="AA353" s="440"/>
    </row>
    <row r="354" spans="1:27" hidden="1" x14ac:dyDescent="0.25">
      <c r="A354" s="430"/>
      <c r="B354" s="6" t="str">
        <f>IF(A354&lt;&gt;"",INDEX('Base de données'!A$4:L$990,MATCH(' TVA M'!A354,'Base de données'!A$4:A$990,0),2),"")</f>
        <v/>
      </c>
      <c r="C354" s="7" t="str">
        <f>IF(A354&lt;&gt;"",INDEX('Base de données'!A$4:L$990,MATCH(' TVA M'!A354,'Base de données'!A$4:A$990,0),12),"")</f>
        <v/>
      </c>
      <c r="D354" s="442"/>
      <c r="E354" s="438"/>
      <c r="F354" s="443"/>
      <c r="G354" s="439"/>
      <c r="H354" s="442"/>
      <c r="I354" s="438"/>
      <c r="J354" s="443"/>
      <c r="K354" s="439"/>
      <c r="L354" s="442"/>
      <c r="M354" s="438"/>
      <c r="N354" s="443"/>
      <c r="O354" s="439"/>
      <c r="P354" s="442"/>
      <c r="Q354" s="438"/>
      <c r="R354" s="443"/>
      <c r="S354" s="439"/>
      <c r="T354" s="442"/>
      <c r="U354" s="438"/>
      <c r="V354" s="443"/>
      <c r="W354" s="439"/>
      <c r="X354" s="442"/>
      <c r="Y354" s="438"/>
      <c r="Z354" s="442"/>
      <c r="AA354" s="440"/>
    </row>
    <row r="355" spans="1:27" hidden="1" x14ac:dyDescent="0.25">
      <c r="A355" s="430"/>
      <c r="B355" s="6" t="str">
        <f>IF(A355&lt;&gt;"",INDEX('Base de données'!A$4:L$990,MATCH(' TVA M'!A355,'Base de données'!A$4:A$990,0),2),"")</f>
        <v/>
      </c>
      <c r="C355" s="7" t="str">
        <f>IF(A355&lt;&gt;"",INDEX('Base de données'!A$4:L$990,MATCH(' TVA M'!A355,'Base de données'!A$4:A$990,0),12),"")</f>
        <v/>
      </c>
      <c r="D355" s="442"/>
      <c r="E355" s="438"/>
      <c r="F355" s="443"/>
      <c r="G355" s="439"/>
      <c r="H355" s="442"/>
      <c r="I355" s="438"/>
      <c r="J355" s="443"/>
      <c r="K355" s="439"/>
      <c r="L355" s="442"/>
      <c r="M355" s="438"/>
      <c r="N355" s="443"/>
      <c r="O355" s="439"/>
      <c r="P355" s="442"/>
      <c r="Q355" s="438"/>
      <c r="R355" s="443"/>
      <c r="S355" s="439"/>
      <c r="T355" s="442"/>
      <c r="U355" s="438"/>
      <c r="V355" s="443"/>
      <c r="W355" s="439"/>
      <c r="X355" s="442"/>
      <c r="Y355" s="438"/>
      <c r="Z355" s="442"/>
      <c r="AA355" s="440"/>
    </row>
    <row r="356" spans="1:27" hidden="1" x14ac:dyDescent="0.25">
      <c r="A356" s="430"/>
      <c r="B356" s="6" t="str">
        <f>IF(A356&lt;&gt;"",INDEX('Base de données'!A$4:L$990,MATCH(' TVA M'!A356,'Base de données'!A$4:A$990,0),2),"")</f>
        <v/>
      </c>
      <c r="C356" s="7" t="str">
        <f>IF(A356&lt;&gt;"",INDEX('Base de données'!A$4:L$990,MATCH(' TVA M'!A356,'Base de données'!A$4:A$990,0),12),"")</f>
        <v/>
      </c>
      <c r="D356" s="442"/>
      <c r="E356" s="438"/>
      <c r="F356" s="443"/>
      <c r="G356" s="439"/>
      <c r="H356" s="442"/>
      <c r="I356" s="438"/>
      <c r="J356" s="443"/>
      <c r="K356" s="439"/>
      <c r="L356" s="442"/>
      <c r="M356" s="438"/>
      <c r="N356" s="443"/>
      <c r="O356" s="439"/>
      <c r="P356" s="442"/>
      <c r="Q356" s="438"/>
      <c r="R356" s="443"/>
      <c r="S356" s="439"/>
      <c r="T356" s="442"/>
      <c r="U356" s="438"/>
      <c r="V356" s="443"/>
      <c r="W356" s="439"/>
      <c r="X356" s="442"/>
      <c r="Y356" s="438"/>
      <c r="Z356" s="442"/>
      <c r="AA356" s="440"/>
    </row>
    <row r="357" spans="1:27" hidden="1" x14ac:dyDescent="0.25">
      <c r="A357" s="430"/>
      <c r="B357" s="6" t="str">
        <f>IF(A357&lt;&gt;"",INDEX('Base de données'!A$4:L$990,MATCH(' TVA M'!A357,'Base de données'!A$4:A$990,0),2),"")</f>
        <v/>
      </c>
      <c r="C357" s="7" t="str">
        <f>IF(A357&lt;&gt;"",INDEX('Base de données'!A$4:L$990,MATCH(' TVA M'!A357,'Base de données'!A$4:A$990,0),12),"")</f>
        <v/>
      </c>
      <c r="D357" s="442"/>
      <c r="E357" s="438"/>
      <c r="F357" s="443"/>
      <c r="G357" s="439"/>
      <c r="H357" s="442"/>
      <c r="I357" s="438"/>
      <c r="J357" s="443"/>
      <c r="K357" s="439"/>
      <c r="L357" s="442"/>
      <c r="M357" s="438"/>
      <c r="N357" s="443"/>
      <c r="O357" s="439"/>
      <c r="P357" s="442"/>
      <c r="Q357" s="438"/>
      <c r="R357" s="443"/>
      <c r="S357" s="439"/>
      <c r="T357" s="442"/>
      <c r="U357" s="438"/>
      <c r="V357" s="443"/>
      <c r="W357" s="439"/>
      <c r="X357" s="442"/>
      <c r="Y357" s="438"/>
      <c r="Z357" s="442"/>
      <c r="AA357" s="440"/>
    </row>
    <row r="358" spans="1:27" hidden="1" x14ac:dyDescent="0.25">
      <c r="A358" s="430"/>
      <c r="B358" s="6" t="str">
        <f>IF(A358&lt;&gt;"",INDEX('Base de données'!A$4:L$990,MATCH(' TVA M'!A358,'Base de données'!A$4:A$990,0),2),"")</f>
        <v/>
      </c>
      <c r="C358" s="7" t="str">
        <f>IF(A358&lt;&gt;"",INDEX('Base de données'!A$4:L$990,MATCH(' TVA M'!A358,'Base de données'!A$4:A$990,0),12),"")</f>
        <v/>
      </c>
      <c r="D358" s="442"/>
      <c r="E358" s="438"/>
      <c r="F358" s="443"/>
      <c r="G358" s="439"/>
      <c r="H358" s="442"/>
      <c r="I358" s="438"/>
      <c r="J358" s="443"/>
      <c r="K358" s="439"/>
      <c r="L358" s="442"/>
      <c r="M358" s="438"/>
      <c r="N358" s="443"/>
      <c r="O358" s="439"/>
      <c r="P358" s="442"/>
      <c r="Q358" s="438"/>
      <c r="R358" s="443"/>
      <c r="S358" s="439"/>
      <c r="T358" s="442"/>
      <c r="U358" s="438"/>
      <c r="V358" s="443"/>
      <c r="W358" s="439"/>
      <c r="X358" s="442"/>
      <c r="Y358" s="438"/>
      <c r="Z358" s="442"/>
      <c r="AA358" s="440"/>
    </row>
    <row r="359" spans="1:27" hidden="1" x14ac:dyDescent="0.25">
      <c r="A359" s="430"/>
      <c r="B359" s="6" t="str">
        <f>IF(A359&lt;&gt;"",INDEX('Base de données'!A$4:L$990,MATCH(' TVA M'!A359,'Base de données'!A$4:A$990,0),2),"")</f>
        <v/>
      </c>
      <c r="C359" s="7" t="str">
        <f>IF(A359&lt;&gt;"",INDEX('Base de données'!A$4:L$990,MATCH(' TVA M'!A359,'Base de données'!A$4:A$990,0),12),"")</f>
        <v/>
      </c>
      <c r="D359" s="442"/>
      <c r="E359" s="438"/>
      <c r="F359" s="443"/>
      <c r="G359" s="439"/>
      <c r="H359" s="442"/>
      <c r="I359" s="438"/>
      <c r="J359" s="443"/>
      <c r="K359" s="439"/>
      <c r="L359" s="442"/>
      <c r="M359" s="438"/>
      <c r="N359" s="443"/>
      <c r="O359" s="439"/>
      <c r="P359" s="442"/>
      <c r="Q359" s="438"/>
      <c r="R359" s="443"/>
      <c r="S359" s="439"/>
      <c r="T359" s="442"/>
      <c r="U359" s="438"/>
      <c r="V359" s="443"/>
      <c r="W359" s="439"/>
      <c r="X359" s="442"/>
      <c r="Y359" s="438"/>
      <c r="Z359" s="442"/>
      <c r="AA359" s="440"/>
    </row>
    <row r="360" spans="1:27" hidden="1" x14ac:dyDescent="0.25">
      <c r="A360" s="430"/>
      <c r="B360" s="6" t="str">
        <f>IF(A360&lt;&gt;"",INDEX('Base de données'!A$4:L$990,MATCH(' TVA M'!A360,'Base de données'!A$4:A$990,0),2),"")</f>
        <v/>
      </c>
      <c r="C360" s="7" t="str">
        <f>IF(A360&lt;&gt;"",INDEX('Base de données'!A$4:L$990,MATCH(' TVA M'!A360,'Base de données'!A$4:A$990,0),12),"")</f>
        <v/>
      </c>
      <c r="D360" s="442"/>
      <c r="E360" s="438"/>
      <c r="F360" s="443"/>
      <c r="G360" s="439"/>
      <c r="H360" s="442"/>
      <c r="I360" s="438"/>
      <c r="J360" s="443"/>
      <c r="K360" s="439"/>
      <c r="L360" s="442"/>
      <c r="M360" s="438"/>
      <c r="N360" s="443"/>
      <c r="O360" s="439"/>
      <c r="P360" s="442"/>
      <c r="Q360" s="438"/>
      <c r="R360" s="443"/>
      <c r="S360" s="439"/>
      <c r="T360" s="442"/>
      <c r="U360" s="438"/>
      <c r="V360" s="443"/>
      <c r="W360" s="439"/>
      <c r="X360" s="442"/>
      <c r="Y360" s="438"/>
      <c r="Z360" s="442"/>
      <c r="AA360" s="440"/>
    </row>
    <row r="361" spans="1:27" hidden="1" x14ac:dyDescent="0.25">
      <c r="A361" s="430"/>
      <c r="B361" s="6" t="str">
        <f>IF(A361&lt;&gt;"",INDEX('Base de données'!A$4:L$990,MATCH(' TVA M'!A361,'Base de données'!A$4:A$990,0),2),"")</f>
        <v/>
      </c>
      <c r="C361" s="7" t="str">
        <f>IF(A361&lt;&gt;"",INDEX('Base de données'!A$4:L$990,MATCH(' TVA M'!A361,'Base de données'!A$4:A$990,0),12),"")</f>
        <v/>
      </c>
      <c r="D361" s="442"/>
      <c r="E361" s="438"/>
      <c r="F361" s="443"/>
      <c r="G361" s="439"/>
      <c r="H361" s="442"/>
      <c r="I361" s="438"/>
      <c r="J361" s="443"/>
      <c r="K361" s="439"/>
      <c r="L361" s="442"/>
      <c r="M361" s="438"/>
      <c r="N361" s="443"/>
      <c r="O361" s="439"/>
      <c r="P361" s="442"/>
      <c r="Q361" s="438"/>
      <c r="R361" s="443"/>
      <c r="S361" s="439"/>
      <c r="T361" s="442"/>
      <c r="U361" s="438"/>
      <c r="V361" s="443"/>
      <c r="W361" s="439"/>
      <c r="X361" s="442"/>
      <c r="Y361" s="438"/>
      <c r="Z361" s="442"/>
      <c r="AA361" s="440"/>
    </row>
    <row r="362" spans="1:27" hidden="1" x14ac:dyDescent="0.25">
      <c r="B362" s="55" t="str">
        <f>IF(A362&lt;&gt;"",INDEX('Base de données'!A$4:L$990,MATCH(' TVA M'!A362,'Base de données'!A$4:A$990,0),2),"")</f>
        <v/>
      </c>
      <c r="C362" s="55" t="str">
        <f>IF(A362&lt;&gt;"",INDEX('Base de données'!A$4:L$990,MATCH(' TVA M'!A362,'Base de données'!A$4:A$990,0),12),"")</f>
        <v/>
      </c>
    </row>
    <row r="363" spans="1:27" hidden="1" x14ac:dyDescent="0.25">
      <c r="B363" s="55" t="str">
        <f>IF(A363&lt;&gt;"",INDEX('Base de données'!A$4:L$990,MATCH(' TVA M'!A363,'Base de données'!A$4:A$990,0),2),"")</f>
        <v/>
      </c>
      <c r="C363" s="55" t="str">
        <f>IF(A363&lt;&gt;"",INDEX('Base de données'!A$4:L$990,MATCH(' TVA M'!A363,'Base de données'!A$4:A$990,0),12),"")</f>
        <v/>
      </c>
    </row>
    <row r="364" spans="1:27" hidden="1" x14ac:dyDescent="0.25">
      <c r="B364" s="55" t="str">
        <f>IF(A364&lt;&gt;"",INDEX('Base de données'!A$4:L$990,MATCH(' TVA M'!A364,'Base de données'!A$4:A$990,0),2),"")</f>
        <v/>
      </c>
      <c r="C364" s="55" t="str">
        <f>IF(A364&lt;&gt;"",INDEX('Base de données'!A$4:L$990,MATCH(' TVA M'!A364,'Base de données'!A$4:A$990,0),12),"")</f>
        <v/>
      </c>
    </row>
    <row r="365" spans="1:27" hidden="1" x14ac:dyDescent="0.25">
      <c r="B365" s="55" t="str">
        <f>IF(A365&lt;&gt;"",INDEX('Base de données'!A$4:L$990,MATCH(' TVA M'!A365,'Base de données'!A$4:A$990,0),2),"")</f>
        <v/>
      </c>
      <c r="C365" s="55" t="str">
        <f>IF(A365&lt;&gt;"",INDEX('Base de données'!A$4:L$990,MATCH(' TVA M'!A365,'Base de données'!A$4:A$990,0),12),"")</f>
        <v/>
      </c>
      <c r="D365" s="3"/>
      <c r="E365" s="3"/>
      <c r="F365" s="4"/>
      <c r="G365" s="3"/>
      <c r="H365" s="3"/>
      <c r="I365" s="3"/>
      <c r="J365" s="3"/>
      <c r="K365" s="3"/>
      <c r="L365" s="5"/>
    </row>
    <row r="366" spans="1:27" hidden="1" x14ac:dyDescent="0.25">
      <c r="B366" s="55" t="str">
        <f>IF(A366&lt;&gt;"",INDEX('Base de données'!A$4:L$990,MATCH(' TVA M'!A366,'Base de données'!A$4:A$990,0),2),"")</f>
        <v/>
      </c>
      <c r="C366" s="55" t="str">
        <f>IF(A366&lt;&gt;"",INDEX('Base de données'!A$4:L$990,MATCH(' TVA M'!A366,'Base de données'!A$4:A$990,0),12),"")</f>
        <v/>
      </c>
    </row>
    <row r="367" spans="1:27" hidden="1" x14ac:dyDescent="0.25">
      <c r="B367" s="55" t="str">
        <f>IF(A367&lt;&gt;"",INDEX('Base de données'!A$4:L$990,MATCH(' TVA M'!A367,'Base de données'!A$4:A$990,0),2),"")</f>
        <v/>
      </c>
      <c r="C367" s="55" t="str">
        <f>IF(A367&lt;&gt;"",INDEX('Base de données'!A$4:L$990,MATCH(' TVA M'!A367,'Base de données'!A$4:A$990,0),12),"")</f>
        <v/>
      </c>
    </row>
    <row r="368" spans="1:27" hidden="1" x14ac:dyDescent="0.25">
      <c r="B368" s="55" t="str">
        <f>IF(A368&lt;&gt;"",INDEX('Base de données'!A$4:L$990,MATCH(' TVA M'!A368,'Base de données'!A$4:A$990,0),2),"")</f>
        <v/>
      </c>
      <c r="C368" s="55" t="str">
        <f>IF(A368&lt;&gt;"",INDEX('Base de données'!A$4:L$990,MATCH(' TVA M'!A368,'Base de données'!A$4:A$990,0),12),"")</f>
        <v/>
      </c>
    </row>
    <row r="369" spans="2:3" hidden="1" x14ac:dyDescent="0.25">
      <c r="B369" s="55" t="str">
        <f>IF(A369&lt;&gt;"",INDEX('Base de données'!A$4:L$990,MATCH(' TVA M'!A369,'Base de données'!A$4:A$990,0),2),"")</f>
        <v/>
      </c>
      <c r="C369" s="55" t="str">
        <f>IF(A369&lt;&gt;"",INDEX('Base de données'!A$4:L$990,MATCH(' TVA M'!A369,'Base de données'!A$4:A$990,0),12),"")</f>
        <v/>
      </c>
    </row>
    <row r="370" spans="2:3" hidden="1" x14ac:dyDescent="0.25">
      <c r="B370" s="55" t="str">
        <f>IF(A370&lt;&gt;"",INDEX('Base de données'!A$4:L$990,MATCH(' TVA M'!A370,'Base de données'!A$4:A$990,0),2),"")</f>
        <v/>
      </c>
      <c r="C370" s="55" t="str">
        <f>IF(A370&lt;&gt;"",INDEX('Base de données'!A$4:L$990,MATCH(' TVA M'!A370,'Base de données'!A$4:A$990,0),12),"")</f>
        <v/>
      </c>
    </row>
    <row r="371" spans="2:3" hidden="1" x14ac:dyDescent="0.25">
      <c r="B371" s="55" t="str">
        <f>IF(A371&lt;&gt;"",INDEX('Base de données'!A$4:L$990,MATCH(' TVA M'!A371,'Base de données'!A$4:A$990,0),2),"")</f>
        <v/>
      </c>
      <c r="C371" s="55" t="str">
        <f>IF(A371&lt;&gt;"",INDEX('Base de données'!A$4:L$990,MATCH(' TVA M'!A371,'Base de données'!A$4:A$990,0),12),"")</f>
        <v/>
      </c>
    </row>
    <row r="372" spans="2:3" hidden="1" x14ac:dyDescent="0.25">
      <c r="B372" s="55" t="str">
        <f>IF(A372&lt;&gt;"",INDEX('Base de données'!A$4:L$990,MATCH(' TVA M'!A372,'Base de données'!A$4:A$990,0),2),"")</f>
        <v/>
      </c>
      <c r="C372" s="55" t="str">
        <f>IF(A372&lt;&gt;"",INDEX('Base de données'!A$4:L$990,MATCH(' TVA M'!A372,'Base de données'!A$4:A$990,0),12),"")</f>
        <v/>
      </c>
    </row>
    <row r="373" spans="2:3" hidden="1" x14ac:dyDescent="0.25">
      <c r="B373" s="55" t="str">
        <f>IF(A373&lt;&gt;"",INDEX('Base de données'!A$4:L$990,MATCH(' TVA M'!A373,'Base de données'!A$4:A$990,0),2),"")</f>
        <v/>
      </c>
      <c r="C373" s="55" t="str">
        <f>IF(A373&lt;&gt;"",INDEX('Base de données'!A$4:L$990,MATCH(' TVA M'!A373,'Base de données'!A$4:A$990,0),12),"")</f>
        <v/>
      </c>
    </row>
    <row r="374" spans="2:3" hidden="1" x14ac:dyDescent="0.25">
      <c r="B374" s="55" t="str">
        <f>IF(A374&lt;&gt;"",INDEX('Base de données'!A$4:L$990,MATCH(' TVA M'!A374,'Base de données'!A$4:A$990,0),2),"")</f>
        <v/>
      </c>
      <c r="C374" s="55" t="str">
        <f>IF(A374&lt;&gt;"",INDEX('Base de données'!A$4:L$990,MATCH(' TVA M'!A374,'Base de données'!A$4:A$990,0),12),"")</f>
        <v/>
      </c>
    </row>
    <row r="375" spans="2:3" hidden="1" x14ac:dyDescent="0.25">
      <c r="B375" s="55" t="str">
        <f>IF(A375&lt;&gt;"",INDEX('Base de données'!A$4:L$990,MATCH(' TVA M'!A375,'Base de données'!A$4:A$990,0),2),"")</f>
        <v/>
      </c>
      <c r="C375" s="55" t="str">
        <f>IF(A375&lt;&gt;"",INDEX('Base de données'!A$4:L$990,MATCH(' TVA M'!A375,'Base de données'!A$4:A$990,0),12),"")</f>
        <v/>
      </c>
    </row>
    <row r="376" spans="2:3" hidden="1" x14ac:dyDescent="0.25">
      <c r="B376" s="55" t="str">
        <f>IF(A376&lt;&gt;"",INDEX('Base de données'!A$4:L$990,MATCH(' TVA M'!A376,'Base de données'!A$4:A$990,0),2),"")</f>
        <v/>
      </c>
      <c r="C376" s="55" t="str">
        <f>IF(A376&lt;&gt;"",INDEX('Base de données'!A$4:L$990,MATCH(' TVA M'!A376,'Base de données'!A$4:A$990,0),12),"")</f>
        <v/>
      </c>
    </row>
    <row r="377" spans="2:3" hidden="1" x14ac:dyDescent="0.25">
      <c r="B377" s="55" t="str">
        <f>IF(A377&lt;&gt;"",INDEX('Base de données'!A$4:L$990,MATCH(' TVA M'!A377,'Base de données'!A$4:A$990,0),2),"")</f>
        <v/>
      </c>
      <c r="C377" s="55" t="str">
        <f>IF(A377&lt;&gt;"",INDEX('Base de données'!A$4:L$990,MATCH(' TVA M'!A377,'Base de données'!A$4:A$990,0),12),"")</f>
        <v/>
      </c>
    </row>
    <row r="378" spans="2:3" hidden="1" x14ac:dyDescent="0.25">
      <c r="B378" s="55" t="str">
        <f>IF(A378&lt;&gt;"",INDEX('Base de données'!A$4:L$990,MATCH(' TVA M'!A378,'Base de données'!A$4:A$990,0),2),"")</f>
        <v/>
      </c>
      <c r="C378" s="55" t="str">
        <f>IF(A378&lt;&gt;"",INDEX('Base de données'!A$4:L$990,MATCH(' TVA M'!A378,'Base de données'!A$4:A$990,0),12),"")</f>
        <v/>
      </c>
    </row>
    <row r="379" spans="2:3" hidden="1" x14ac:dyDescent="0.25">
      <c r="B379" s="55" t="str">
        <f>IF(A379&lt;&gt;"",INDEX('Base de données'!A$4:L$990,MATCH(' TVA M'!A379,'Base de données'!A$4:A$990,0),2),"")</f>
        <v/>
      </c>
      <c r="C379" s="55" t="str">
        <f>IF(A379&lt;&gt;"",INDEX('Base de données'!A$4:L$990,MATCH(' TVA M'!A379,'Base de données'!A$4:A$990,0),12),"")</f>
        <v/>
      </c>
    </row>
    <row r="380" spans="2:3" hidden="1" x14ac:dyDescent="0.25">
      <c r="B380" s="55" t="str">
        <f>IF(A380&lt;&gt;"",INDEX('Base de données'!A$4:L$990,MATCH(' TVA M'!A380,'Base de données'!A$4:A$990,0),2),"")</f>
        <v/>
      </c>
      <c r="C380" s="55" t="str">
        <f>IF(A380&lt;&gt;"",INDEX('Base de données'!A$4:L$990,MATCH(' TVA M'!A380,'Base de données'!A$4:A$990,0),12),"")</f>
        <v/>
      </c>
    </row>
    <row r="381" spans="2:3" hidden="1" x14ac:dyDescent="0.25">
      <c r="B381" s="55" t="str">
        <f>IF(A381&lt;&gt;"",INDEX('Base de données'!A$4:L$990,MATCH(' TVA M'!A381,'Base de données'!A$4:A$990,0),2),"")</f>
        <v/>
      </c>
      <c r="C381" s="55" t="str">
        <f>IF(A381&lt;&gt;"",INDEX('Base de données'!A$4:L$990,MATCH(' TVA M'!A381,'Base de données'!A$4:A$990,0),12),"")</f>
        <v/>
      </c>
    </row>
    <row r="382" spans="2:3" hidden="1" x14ac:dyDescent="0.25">
      <c r="B382" s="55" t="str">
        <f>IF(A382&lt;&gt;"",INDEX('Base de données'!A$4:L$990,MATCH(' TVA M'!A382,'Base de données'!A$4:A$990,0),2),"")</f>
        <v/>
      </c>
      <c r="C382" s="55" t="str">
        <f>IF(A382&lt;&gt;"",INDEX('Base de données'!A$4:L$990,MATCH(' TVA M'!A382,'Base de données'!A$4:A$990,0),12),"")</f>
        <v/>
      </c>
    </row>
    <row r="383" spans="2:3" hidden="1" x14ac:dyDescent="0.25">
      <c r="B383" s="55" t="str">
        <f>IF(A383&lt;&gt;"",INDEX('Base de données'!A$4:L$990,MATCH(' TVA M'!A383,'Base de données'!A$4:A$990,0),2),"")</f>
        <v/>
      </c>
      <c r="C383" s="55" t="str">
        <f>IF(A383&lt;&gt;"",INDEX('Base de données'!A$4:L$990,MATCH(' TVA M'!A383,'Base de données'!A$4:A$990,0),12),"")</f>
        <v/>
      </c>
    </row>
    <row r="384" spans="2:3" hidden="1" x14ac:dyDescent="0.25">
      <c r="B384" s="55" t="str">
        <f>IF(A384&lt;&gt;"",INDEX('Base de données'!A$4:L$990,MATCH(' TVA M'!A384,'Base de données'!A$4:A$990,0),2),"")</f>
        <v/>
      </c>
      <c r="C384" s="55" t="str">
        <f>IF(A384&lt;&gt;"",INDEX('Base de données'!A$4:L$990,MATCH(' TVA M'!A384,'Base de données'!A$4:A$990,0),12),"")</f>
        <v/>
      </c>
    </row>
    <row r="385" spans="2:3" hidden="1" x14ac:dyDescent="0.25">
      <c r="B385" s="55" t="str">
        <f>IF(A385&lt;&gt;"",INDEX('Base de données'!A$4:L$990,MATCH(' TVA M'!A385,'Base de données'!A$4:A$990,0),2),"")</f>
        <v/>
      </c>
      <c r="C385" s="55" t="str">
        <f>IF(A385&lt;&gt;"",INDEX('Base de données'!A$4:L$990,MATCH(' TVA M'!A385,'Base de données'!A$4:A$990,0),12),"")</f>
        <v/>
      </c>
    </row>
    <row r="386" spans="2:3" hidden="1" x14ac:dyDescent="0.25">
      <c r="B386" s="55" t="str">
        <f>IF(A386&lt;&gt;"",INDEX('Base de données'!A$4:L$990,MATCH(' TVA M'!A386,'Base de données'!A$4:A$990,0),2),"")</f>
        <v/>
      </c>
      <c r="C386" s="55" t="str">
        <f>IF(A386&lt;&gt;"",INDEX('Base de données'!A$4:L$990,MATCH(' TVA M'!A386,'Base de données'!A$4:A$990,0),12),"")</f>
        <v/>
      </c>
    </row>
    <row r="387" spans="2:3" hidden="1" x14ac:dyDescent="0.25">
      <c r="B387" s="55" t="str">
        <f>IF(A387&lt;&gt;"",INDEX('Base de données'!A$4:L$990,MATCH(' TVA M'!A387,'Base de données'!A$4:A$990,0),2),"")</f>
        <v/>
      </c>
      <c r="C387" s="55" t="str">
        <f>IF(A387&lt;&gt;"",INDEX('Base de données'!A$4:L$990,MATCH(' TVA M'!A387,'Base de données'!A$4:A$990,0),12),"")</f>
        <v/>
      </c>
    </row>
    <row r="388" spans="2:3" hidden="1" x14ac:dyDescent="0.25">
      <c r="B388" s="55" t="str">
        <f>IF(A388&lt;&gt;"",INDEX('Base de données'!A$4:L$990,MATCH(' TVA M'!A388,'Base de données'!A$4:A$990,0),2),"")</f>
        <v/>
      </c>
      <c r="C388" s="55" t="str">
        <f>IF(A388&lt;&gt;"",INDEX('Base de données'!A$4:L$990,MATCH(' TVA M'!A388,'Base de données'!A$4:A$990,0),12),"")</f>
        <v/>
      </c>
    </row>
    <row r="389" spans="2:3" hidden="1" x14ac:dyDescent="0.25">
      <c r="B389" s="55" t="str">
        <f>IF(A389&lt;&gt;"",INDEX('Base de données'!A$4:L$990,MATCH(' TVA M'!A389,'Base de données'!A$4:A$990,0),2),"")</f>
        <v/>
      </c>
      <c r="C389" s="55" t="str">
        <f>IF(A389&lt;&gt;"",INDEX('Base de données'!A$4:L$990,MATCH(' TVA M'!A389,'Base de données'!A$4:A$990,0),12),"")</f>
        <v/>
      </c>
    </row>
    <row r="390" spans="2:3" hidden="1" x14ac:dyDescent="0.25">
      <c r="B390" s="55" t="str">
        <f>IF(A390&lt;&gt;"",INDEX('Base de données'!A$4:L$990,MATCH(' TVA M'!A390,'Base de données'!A$4:A$990,0),2),"")</f>
        <v/>
      </c>
      <c r="C390" s="55" t="str">
        <f>IF(A390&lt;&gt;"",INDEX('Base de données'!A$4:L$990,MATCH(' TVA M'!A390,'Base de données'!A$4:A$990,0),12),"")</f>
        <v/>
      </c>
    </row>
    <row r="391" spans="2:3" hidden="1" x14ac:dyDescent="0.25">
      <c r="B391" s="55" t="str">
        <f>IF(A391&lt;&gt;"",INDEX('Base de données'!A$4:L$990,MATCH(' TVA M'!A391,'Base de données'!A$4:A$990,0),2),"")</f>
        <v/>
      </c>
      <c r="C391" s="55" t="str">
        <f>IF(A391&lt;&gt;"",INDEX('Base de données'!A$4:L$990,MATCH(' TVA M'!A391,'Base de données'!A$4:A$990,0),12),"")</f>
        <v/>
      </c>
    </row>
    <row r="392" spans="2:3" hidden="1" x14ac:dyDescent="0.25">
      <c r="B392" s="55" t="str">
        <f>IF(A392&lt;&gt;"",INDEX('Base de données'!A$4:L$990,MATCH(' TVA M'!A392,'Base de données'!A$4:A$990,0),2),"")</f>
        <v/>
      </c>
      <c r="C392" s="55" t="str">
        <f>IF(A392&lt;&gt;"",INDEX('Base de données'!A$4:L$990,MATCH(' TVA M'!A392,'Base de données'!A$4:A$990,0),12),"")</f>
        <v/>
      </c>
    </row>
    <row r="393" spans="2:3" hidden="1" x14ac:dyDescent="0.25">
      <c r="B393" s="55" t="str">
        <f>IF(A393&lt;&gt;"",INDEX('Base de données'!A$4:L$990,MATCH(' TVA M'!A393,'Base de données'!A$4:A$990,0),2),"")</f>
        <v/>
      </c>
      <c r="C393" s="55" t="str">
        <f>IF(A393&lt;&gt;"",INDEX('Base de données'!A$4:L$990,MATCH(' TVA M'!A393,'Base de données'!A$4:A$990,0),12),"")</f>
        <v/>
      </c>
    </row>
    <row r="394" spans="2:3" hidden="1" x14ac:dyDescent="0.25">
      <c r="B394" s="55" t="str">
        <f>IF(A394&lt;&gt;"",INDEX('Base de données'!A$4:L$990,MATCH(' TVA M'!A394,'Base de données'!A$4:A$990,0),2),"")</f>
        <v/>
      </c>
      <c r="C394" s="55" t="str">
        <f>IF(A394&lt;&gt;"",INDEX('Base de données'!A$4:L$990,MATCH(' TVA M'!A394,'Base de données'!A$4:A$990,0),12),"")</f>
        <v/>
      </c>
    </row>
    <row r="395" spans="2:3" hidden="1" x14ac:dyDescent="0.25">
      <c r="B395" s="55" t="str">
        <f>IF(A395&lt;&gt;"",INDEX('Base de données'!A$4:L$990,MATCH(' TVA M'!A395,'Base de données'!A$4:A$990,0),2),"")</f>
        <v/>
      </c>
      <c r="C395" s="55" t="str">
        <f>IF(A395&lt;&gt;"",INDEX('Base de données'!A$4:L$990,MATCH(' TVA M'!A395,'Base de données'!A$4:A$990,0),12),"")</f>
        <v/>
      </c>
    </row>
    <row r="396" spans="2:3" hidden="1" x14ac:dyDescent="0.25">
      <c r="B396" s="55" t="str">
        <f>IF(A396&lt;&gt;"",INDEX('Base de données'!A$4:L$990,MATCH(' TVA M'!A396,'Base de données'!A$4:A$990,0),2),"")</f>
        <v/>
      </c>
      <c r="C396" s="55" t="str">
        <f>IF(A396&lt;&gt;"",INDEX('Base de données'!A$4:L$990,MATCH(' TVA M'!A396,'Base de données'!A$4:A$990,0),12),"")</f>
        <v/>
      </c>
    </row>
    <row r="397" spans="2:3" hidden="1" x14ac:dyDescent="0.25">
      <c r="B397" s="55" t="str">
        <f>IF(A397&lt;&gt;"",INDEX('Base de données'!A$4:L$990,MATCH(' TVA M'!A397,'Base de données'!A$4:A$990,0),2),"")</f>
        <v/>
      </c>
      <c r="C397" s="55" t="str">
        <f>IF(A397&lt;&gt;"",INDEX('Base de données'!A$4:L$990,MATCH(' TVA M'!A397,'Base de données'!A$4:A$990,0),12),"")</f>
        <v/>
      </c>
    </row>
    <row r="398" spans="2:3" hidden="1" x14ac:dyDescent="0.25">
      <c r="B398" s="55" t="str">
        <f>IF(A398&lt;&gt;"",INDEX('Base de données'!A$4:L$990,MATCH(' TVA M'!A398,'Base de données'!A$4:A$990,0),2),"")</f>
        <v/>
      </c>
      <c r="C398" s="55" t="str">
        <f>IF(A398&lt;&gt;"",INDEX('Base de données'!A$4:L$990,MATCH(' TVA M'!A398,'Base de données'!A$4:A$990,0),12),"")</f>
        <v/>
      </c>
    </row>
    <row r="399" spans="2:3" hidden="1" x14ac:dyDescent="0.25">
      <c r="B399" s="55" t="str">
        <f>IF(A399&lt;&gt;"",INDEX('Base de données'!A$4:L$990,MATCH(' TVA M'!A399,'Base de données'!A$4:A$990,0),2),"")</f>
        <v/>
      </c>
      <c r="C399" s="55" t="str">
        <f>IF(A399&lt;&gt;"",INDEX('Base de données'!A$4:L$990,MATCH(' TVA M'!A399,'Base de données'!A$4:A$990,0),12),"")</f>
        <v/>
      </c>
    </row>
    <row r="400" spans="2:3" hidden="1" x14ac:dyDescent="0.25">
      <c r="B400" s="55" t="str">
        <f>IF(A400&lt;&gt;"",INDEX('Base de données'!A$4:L$990,MATCH(' TVA M'!A400,'Base de données'!A$4:A$990,0),2),"")</f>
        <v/>
      </c>
      <c r="C400" s="55" t="str">
        <f>IF(A400&lt;&gt;"",INDEX('Base de données'!A$4:L$990,MATCH(' TVA M'!A400,'Base de données'!A$4:A$990,0),12),"")</f>
        <v/>
      </c>
    </row>
    <row r="401" spans="2:3" hidden="1" x14ac:dyDescent="0.25">
      <c r="B401" s="55" t="str">
        <f>IF(A401&lt;&gt;"",INDEX('Base de données'!A$4:L$990,MATCH(' TVA M'!A401,'Base de données'!A$4:A$990,0),2),"")</f>
        <v/>
      </c>
      <c r="C401" s="55" t="str">
        <f>IF(A401&lt;&gt;"",INDEX('Base de données'!A$4:L$990,MATCH(' TVA M'!A401,'Base de données'!A$4:A$990,0),12),"")</f>
        <v/>
      </c>
    </row>
    <row r="402" spans="2:3" hidden="1" x14ac:dyDescent="0.25">
      <c r="B402" s="55" t="str">
        <f>IF(A402&lt;&gt;"",INDEX('Base de données'!A$4:L$990,MATCH(' TVA M'!A402,'Base de données'!A$4:A$990,0),2),"")</f>
        <v/>
      </c>
      <c r="C402" s="55" t="str">
        <f>IF(A402&lt;&gt;"",INDEX('Base de données'!A$4:L$990,MATCH(' TVA M'!A402,'Base de données'!A$4:A$990,0),12),"")</f>
        <v/>
      </c>
    </row>
    <row r="403" spans="2:3" hidden="1" x14ac:dyDescent="0.25">
      <c r="B403" s="55" t="str">
        <f>IF(A403&lt;&gt;"",INDEX('Base de données'!A$4:L$990,MATCH(' TVA M'!A403,'Base de données'!A$4:A$990,0),2),"")</f>
        <v/>
      </c>
      <c r="C403" s="55" t="str">
        <f>IF(A403&lt;&gt;"",INDEX('Base de données'!A$4:L$990,MATCH(' TVA M'!A403,'Base de données'!A$4:A$990,0),12),"")</f>
        <v/>
      </c>
    </row>
    <row r="404" spans="2:3" hidden="1" x14ac:dyDescent="0.25">
      <c r="B404" s="55" t="str">
        <f>IF(A404&lt;&gt;"",INDEX('Base de données'!A$4:L$990,MATCH(' TVA M'!A404,'Base de données'!A$4:A$990,0),2),"")</f>
        <v/>
      </c>
      <c r="C404" s="55" t="str">
        <f>IF(A404&lt;&gt;"",INDEX('Base de données'!A$4:L$990,MATCH(' TVA M'!A404,'Base de données'!A$4:A$990,0),12),"")</f>
        <v/>
      </c>
    </row>
    <row r="405" spans="2:3" hidden="1" x14ac:dyDescent="0.25">
      <c r="B405" s="55" t="str">
        <f>IF(A405&lt;&gt;"",INDEX('Base de données'!A$4:L$990,MATCH(' TVA M'!A405,'Base de données'!A$4:A$990,0),2),"")</f>
        <v/>
      </c>
      <c r="C405" s="55" t="str">
        <f>IF(A405&lt;&gt;"",INDEX('Base de données'!A$4:L$990,MATCH(' TVA M'!A405,'Base de données'!A$4:A$990,0),12),"")</f>
        <v/>
      </c>
    </row>
    <row r="406" spans="2:3" hidden="1" x14ac:dyDescent="0.25">
      <c r="B406" s="55" t="str">
        <f>IF(A406&lt;&gt;"",INDEX('Base de données'!A$4:L$990,MATCH(' TVA M'!A406,'Base de données'!A$4:A$990,0),2),"")</f>
        <v/>
      </c>
      <c r="C406" s="55" t="str">
        <f>IF(A406&lt;&gt;"",INDEX('Base de données'!A$4:L$990,MATCH(' TVA M'!A406,'Base de données'!A$4:A$990,0),12),"")</f>
        <v/>
      </c>
    </row>
    <row r="407" spans="2:3" hidden="1" x14ac:dyDescent="0.25">
      <c r="B407" s="55" t="str">
        <f>IF(A407&lt;&gt;"",INDEX('Base de données'!A$4:L$990,MATCH(' TVA M'!A407,'Base de données'!A$4:A$990,0),2),"")</f>
        <v/>
      </c>
      <c r="C407" s="55" t="str">
        <f>IF(A407&lt;&gt;"",INDEX('Base de données'!A$4:L$990,MATCH(' TVA M'!A407,'Base de données'!A$4:A$990,0),12),"")</f>
        <v/>
      </c>
    </row>
    <row r="408" spans="2:3" hidden="1" x14ac:dyDescent="0.25">
      <c r="B408" s="55" t="str">
        <f>IF(A408&lt;&gt;"",INDEX('Base de données'!A$4:L$990,MATCH(' TVA M'!A408,'Base de données'!A$4:A$990,0),2),"")</f>
        <v/>
      </c>
      <c r="C408" s="55" t="str">
        <f>IF(A408&lt;&gt;"",INDEX('Base de données'!A$4:L$990,MATCH(' TVA M'!A408,'Base de données'!A$4:A$990,0),12),"")</f>
        <v/>
      </c>
    </row>
    <row r="409" spans="2:3" hidden="1" x14ac:dyDescent="0.25">
      <c r="B409" s="55" t="str">
        <f>IF(A409&lt;&gt;"",INDEX('Base de données'!A$4:L$990,MATCH(' TVA M'!A409,'Base de données'!A$4:A$990,0),2),"")</f>
        <v/>
      </c>
      <c r="C409" s="55" t="str">
        <f>IF(A409&lt;&gt;"",INDEX('Base de données'!A$4:L$990,MATCH(' TVA M'!A409,'Base de données'!A$4:A$990,0),12),"")</f>
        <v/>
      </c>
    </row>
    <row r="410" spans="2:3" hidden="1" x14ac:dyDescent="0.25">
      <c r="B410" s="55" t="str">
        <f>IF(A410&lt;&gt;"",INDEX('Base de données'!A$4:L$990,MATCH(' TVA M'!A410,'Base de données'!A$4:A$990,0),2),"")</f>
        <v/>
      </c>
      <c r="C410" s="55" t="str">
        <f>IF(A410&lt;&gt;"",INDEX('Base de données'!A$4:L$990,MATCH(' TVA M'!A410,'Base de données'!A$4:A$990,0),12),"")</f>
        <v/>
      </c>
    </row>
    <row r="411" spans="2:3" hidden="1" x14ac:dyDescent="0.25">
      <c r="B411" s="55" t="str">
        <f>IF(A411&lt;&gt;"",INDEX('Base de données'!A$4:L$990,MATCH(' TVA M'!A411,'Base de données'!A$4:A$990,0),2),"")</f>
        <v/>
      </c>
      <c r="C411" s="55" t="str">
        <f>IF(A411&lt;&gt;"",INDEX('Base de données'!A$4:L$990,MATCH(' TVA M'!A411,'Base de données'!A$4:A$990,0),12),"")</f>
        <v/>
      </c>
    </row>
    <row r="412" spans="2:3" hidden="1" x14ac:dyDescent="0.25">
      <c r="B412" s="55" t="str">
        <f>IF(A412&lt;&gt;"",INDEX('Base de données'!A$4:L$990,MATCH(' TVA M'!A412,'Base de données'!A$4:A$990,0),2),"")</f>
        <v/>
      </c>
      <c r="C412" s="55" t="str">
        <f>IF(A412&lt;&gt;"",INDEX('Base de données'!A$4:L$990,MATCH(' TVA M'!A412,'Base de données'!A$4:A$990,0),12),"")</f>
        <v/>
      </c>
    </row>
    <row r="413" spans="2:3" hidden="1" x14ac:dyDescent="0.25">
      <c r="B413" s="55" t="str">
        <f>IF(A413&lt;&gt;"",INDEX('Base de données'!A$4:L$990,MATCH(' TVA M'!A413,'Base de données'!A$4:A$990,0),2),"")</f>
        <v/>
      </c>
      <c r="C413" s="55" t="str">
        <f>IF(A413&lt;&gt;"",INDEX('Base de données'!A$4:L$990,MATCH(' TVA M'!A413,'Base de données'!A$4:A$990,0),12),"")</f>
        <v/>
      </c>
    </row>
    <row r="414" spans="2:3" hidden="1" x14ac:dyDescent="0.25">
      <c r="B414" s="55" t="str">
        <f>IF(A414&lt;&gt;"",INDEX('Base de données'!A$4:L$990,MATCH(' TVA M'!A414,'Base de données'!A$4:A$990,0),2),"")</f>
        <v/>
      </c>
      <c r="C414" s="55" t="str">
        <f>IF(A414&lt;&gt;"",INDEX('Base de données'!A$4:L$990,MATCH(' TVA M'!A414,'Base de données'!A$4:A$990,0),12),"")</f>
        <v/>
      </c>
    </row>
    <row r="415" spans="2:3" hidden="1" x14ac:dyDescent="0.25">
      <c r="B415" s="55" t="str">
        <f>IF(A415&lt;&gt;"",INDEX('Base de données'!A$4:L$990,MATCH(' TVA M'!A415,'Base de données'!A$4:A$990,0),2),"")</f>
        <v/>
      </c>
      <c r="C415" s="55" t="str">
        <f>IF(A415&lt;&gt;"",INDEX('Base de données'!A$4:L$990,MATCH(' TVA M'!A415,'Base de données'!A$4:A$990,0),12),"")</f>
        <v/>
      </c>
    </row>
    <row r="416" spans="2:3" hidden="1" x14ac:dyDescent="0.25">
      <c r="B416" s="55" t="str">
        <f>IF(A416&lt;&gt;"",INDEX('Base de données'!A$4:L$990,MATCH(' TVA M'!A416,'Base de données'!A$4:A$990,0),2),"")</f>
        <v/>
      </c>
      <c r="C416" s="55" t="str">
        <f>IF(A416&lt;&gt;"",INDEX('Base de données'!A$4:L$990,MATCH(' TVA M'!A416,'Base de données'!A$4:A$990,0),12),"")</f>
        <v/>
      </c>
    </row>
    <row r="417" spans="2:3" hidden="1" x14ac:dyDescent="0.25">
      <c r="B417" s="55" t="str">
        <f>IF(A417&lt;&gt;"",INDEX('Base de données'!A$4:L$990,MATCH(' TVA M'!A417,'Base de données'!A$4:A$990,0),2),"")</f>
        <v/>
      </c>
      <c r="C417" s="55" t="str">
        <f>IF(A417&lt;&gt;"",INDEX('Base de données'!A$4:L$990,MATCH(' TVA M'!A417,'Base de données'!A$4:A$990,0),12),"")</f>
        <v/>
      </c>
    </row>
    <row r="418" spans="2:3" hidden="1" x14ac:dyDescent="0.25">
      <c r="B418" s="55" t="str">
        <f>IF(A418&lt;&gt;"",INDEX('Base de données'!A$4:L$990,MATCH(' TVA M'!A418,'Base de données'!A$4:A$990,0),2),"")</f>
        <v/>
      </c>
      <c r="C418" s="55" t="str">
        <f>IF(A418&lt;&gt;"",INDEX('Base de données'!A$4:L$990,MATCH(' TVA M'!A418,'Base de données'!A$4:A$990,0),12),"")</f>
        <v/>
      </c>
    </row>
    <row r="419" spans="2:3" hidden="1" x14ac:dyDescent="0.25">
      <c r="B419" s="55" t="str">
        <f>IF(A419&lt;&gt;"",INDEX('Base de données'!A$4:L$990,MATCH(' TVA M'!A419,'Base de données'!A$4:A$990,0),2),"")</f>
        <v/>
      </c>
      <c r="C419" s="55" t="str">
        <f>IF(A419&lt;&gt;"",INDEX('Base de données'!A$4:L$990,MATCH(' TVA M'!A419,'Base de données'!A$4:A$990,0),12),"")</f>
        <v/>
      </c>
    </row>
    <row r="420" spans="2:3" hidden="1" x14ac:dyDescent="0.25">
      <c r="B420" s="55" t="str">
        <f>IF(A420&lt;&gt;"",INDEX('Base de données'!A$4:L$990,MATCH(' TVA M'!A420,'Base de données'!A$4:A$990,0),2),"")</f>
        <v/>
      </c>
      <c r="C420" s="55" t="str">
        <f>IF(A420&lt;&gt;"",INDEX('Base de données'!A$4:L$990,MATCH(' TVA M'!A420,'Base de données'!A$4:A$990,0),12),"")</f>
        <v/>
      </c>
    </row>
    <row r="421" spans="2:3" hidden="1" x14ac:dyDescent="0.25">
      <c r="B421" s="55" t="str">
        <f>IF(A421&lt;&gt;"",INDEX('Base de données'!A$4:L$990,MATCH(' TVA M'!A421,'Base de données'!A$4:A$990,0),2),"")</f>
        <v/>
      </c>
      <c r="C421" s="55" t="str">
        <f>IF(A421&lt;&gt;"",INDEX('Base de données'!A$4:L$990,MATCH(' TVA M'!A421,'Base de données'!A$4:A$990,0),12),"")</f>
        <v/>
      </c>
    </row>
    <row r="422" spans="2:3" hidden="1" x14ac:dyDescent="0.25">
      <c r="B422" s="55" t="str">
        <f>IF(A422&lt;&gt;"",INDEX('Base de données'!A$4:L$990,MATCH(' TVA M'!A422,'Base de données'!A$4:A$990,0),2),"")</f>
        <v/>
      </c>
      <c r="C422" s="55" t="str">
        <f>IF(A422&lt;&gt;"",INDEX('Base de données'!A$4:L$990,MATCH(' TVA M'!A422,'Base de données'!A$4:A$990,0),12),"")</f>
        <v/>
      </c>
    </row>
    <row r="423" spans="2:3" hidden="1" x14ac:dyDescent="0.25">
      <c r="B423" s="55" t="str">
        <f>IF(A423&lt;&gt;"",INDEX('Base de données'!A$4:L$990,MATCH(' TVA M'!A423,'Base de données'!A$4:A$990,0),2),"")</f>
        <v/>
      </c>
      <c r="C423" s="55" t="str">
        <f>IF(A423&lt;&gt;"",INDEX('Base de données'!A$4:L$990,MATCH(' TVA M'!A423,'Base de données'!A$4:A$990,0),12),"")</f>
        <v/>
      </c>
    </row>
    <row r="424" spans="2:3" hidden="1" x14ac:dyDescent="0.25">
      <c r="B424" s="55" t="str">
        <f>IF(A424&lt;&gt;"",INDEX('Base de données'!A$4:L$990,MATCH(' TVA M'!A424,'Base de données'!A$4:A$990,0),2),"")</f>
        <v/>
      </c>
      <c r="C424" s="55" t="str">
        <f>IF(A424&lt;&gt;"",INDEX('Base de données'!A$4:L$990,MATCH(' TVA M'!A424,'Base de données'!A$4:A$990,0),12),"")</f>
        <v/>
      </c>
    </row>
    <row r="425" spans="2:3" hidden="1" x14ac:dyDescent="0.25">
      <c r="B425" s="55" t="str">
        <f>IF(A425&lt;&gt;"",INDEX('Base de données'!A$4:L$990,MATCH(' TVA M'!A425,'Base de données'!A$4:A$990,0),2),"")</f>
        <v/>
      </c>
      <c r="C425" s="55" t="str">
        <f>IF(A425&lt;&gt;"",INDEX('Base de données'!A$4:L$990,MATCH(' TVA M'!A425,'Base de données'!A$4:A$990,0),12),"")</f>
        <v/>
      </c>
    </row>
    <row r="426" spans="2:3" hidden="1" x14ac:dyDescent="0.25">
      <c r="B426" s="55" t="str">
        <f>IF(A426&lt;&gt;"",INDEX('Base de données'!A$4:L$990,MATCH(' TVA M'!A426,'Base de données'!A$4:A$990,0),2),"")</f>
        <v/>
      </c>
      <c r="C426" s="55" t="str">
        <f>IF(A426&lt;&gt;"",INDEX('Base de données'!A$4:L$990,MATCH(' TVA M'!A426,'Base de données'!A$4:A$990,0),12),"")</f>
        <v/>
      </c>
    </row>
    <row r="427" spans="2:3" hidden="1" x14ac:dyDescent="0.25">
      <c r="B427" s="55" t="str">
        <f>IF(A427&lt;&gt;"",INDEX('Base de données'!A$4:L$990,MATCH(' TVA M'!A427,'Base de données'!A$4:A$990,0),2),"")</f>
        <v/>
      </c>
      <c r="C427" s="55" t="str">
        <f>IF(A427&lt;&gt;"",INDEX('Base de données'!A$4:L$990,MATCH(' TVA M'!A427,'Base de données'!A$4:A$990,0),12),"")</f>
        <v/>
      </c>
    </row>
    <row r="428" spans="2:3" hidden="1" x14ac:dyDescent="0.25">
      <c r="B428" s="55" t="str">
        <f>IF(A428&lt;&gt;"",INDEX('Base de données'!A$4:L$990,MATCH(' TVA M'!A428,'Base de données'!A$4:A$990,0),2),"")</f>
        <v/>
      </c>
      <c r="C428" s="55" t="str">
        <f>IF(A428&lt;&gt;"",INDEX('Base de données'!A$4:L$990,MATCH(' TVA M'!A428,'Base de données'!A$4:A$990,0),12),"")</f>
        <v/>
      </c>
    </row>
    <row r="429" spans="2:3" hidden="1" x14ac:dyDescent="0.25">
      <c r="B429" s="55" t="str">
        <f>IF(A429&lt;&gt;"",INDEX('Base de données'!A$4:L$990,MATCH(' TVA M'!A429,'Base de données'!A$4:A$990,0),2),"")</f>
        <v/>
      </c>
      <c r="C429" s="55" t="str">
        <f>IF(A429&lt;&gt;"",INDEX('Base de données'!A$4:L$990,MATCH(' TVA M'!A429,'Base de données'!A$4:A$990,0),12),"")</f>
        <v/>
      </c>
    </row>
    <row r="430" spans="2:3" hidden="1" x14ac:dyDescent="0.25">
      <c r="B430" s="55" t="str">
        <f>IF(A430&lt;&gt;"",INDEX('Base de données'!A$4:L$990,MATCH(' TVA M'!A430,'Base de données'!A$4:A$990,0),2),"")</f>
        <v/>
      </c>
      <c r="C430" s="55" t="str">
        <f>IF(A430&lt;&gt;"",INDEX('Base de données'!A$4:L$990,MATCH(' TVA M'!A430,'Base de données'!A$4:A$990,0),12),"")</f>
        <v/>
      </c>
    </row>
    <row r="431" spans="2:3" hidden="1" x14ac:dyDescent="0.25">
      <c r="B431" s="55" t="str">
        <f>IF(A431&lt;&gt;"",INDEX('Base de données'!A$4:L$990,MATCH(' TVA M'!A431,'Base de données'!A$4:A$990,0),2),"")</f>
        <v/>
      </c>
      <c r="C431" s="55" t="str">
        <f>IF(A431&lt;&gt;"",INDEX('Base de données'!A$4:L$990,MATCH(' TVA M'!A431,'Base de données'!A$4:A$990,0),12),"")</f>
        <v/>
      </c>
    </row>
    <row r="432" spans="2:3" hidden="1" x14ac:dyDescent="0.25">
      <c r="B432" s="55" t="str">
        <f>IF(A432&lt;&gt;"",INDEX('Base de données'!A$4:L$990,MATCH(' TVA M'!A432,'Base de données'!A$4:A$990,0),2),"")</f>
        <v/>
      </c>
      <c r="C432" s="55" t="str">
        <f>IF(A432&lt;&gt;"",INDEX('Base de données'!A$4:L$990,MATCH(' TVA M'!A432,'Base de données'!A$4:A$990,0),12),"")</f>
        <v/>
      </c>
    </row>
    <row r="433" spans="2:3" hidden="1" x14ac:dyDescent="0.25">
      <c r="B433" s="55" t="str">
        <f>IF(A433&lt;&gt;"",INDEX('Base de données'!A$4:L$990,MATCH(' TVA M'!A433,'Base de données'!A$4:A$990,0),2),"")</f>
        <v/>
      </c>
      <c r="C433" s="55" t="str">
        <f>IF(A433&lt;&gt;"",INDEX('Base de données'!A$4:L$990,MATCH(' TVA M'!A433,'Base de données'!A$4:A$990,0),12),"")</f>
        <v/>
      </c>
    </row>
    <row r="434" spans="2:3" hidden="1" x14ac:dyDescent="0.25">
      <c r="B434" s="55" t="str">
        <f>IF(A434&lt;&gt;"",INDEX('Base de données'!A$4:L$990,MATCH(' TVA M'!A434,'Base de données'!A$4:A$990,0),2),"")</f>
        <v/>
      </c>
      <c r="C434" s="55" t="str">
        <f>IF(A434&lt;&gt;"",INDEX('Base de données'!A$4:L$990,MATCH(' TVA M'!A434,'Base de données'!A$4:A$990,0),12),"")</f>
        <v/>
      </c>
    </row>
    <row r="435" spans="2:3" hidden="1" x14ac:dyDescent="0.25">
      <c r="B435" s="55" t="str">
        <f>IF(A435&lt;&gt;"",INDEX('Base de données'!A$4:L$990,MATCH(' TVA M'!A435,'Base de données'!A$4:A$990,0),2),"")</f>
        <v/>
      </c>
      <c r="C435" s="55" t="str">
        <f>IF(A435&lt;&gt;"",INDEX('Base de données'!A$4:L$990,MATCH(' TVA M'!A435,'Base de données'!A$4:A$990,0),12),"")</f>
        <v/>
      </c>
    </row>
    <row r="436" spans="2:3" hidden="1" x14ac:dyDescent="0.25">
      <c r="B436" s="55" t="str">
        <f>IF(A436&lt;&gt;"",INDEX('Base de données'!A$4:L$990,MATCH(' TVA M'!A436,'Base de données'!A$4:A$990,0),2),"")</f>
        <v/>
      </c>
      <c r="C436" s="55" t="str">
        <f>IF(A436&lt;&gt;"",INDEX('Base de données'!A$4:L$990,MATCH(' TVA M'!A436,'Base de données'!A$4:A$990,0),12),"")</f>
        <v/>
      </c>
    </row>
    <row r="437" spans="2:3" hidden="1" x14ac:dyDescent="0.25">
      <c r="B437" s="55" t="str">
        <f>IF(A437&lt;&gt;"",INDEX('Base de données'!A$4:L$990,MATCH(' TVA M'!A437,'Base de données'!A$4:A$990,0),2),"")</f>
        <v/>
      </c>
      <c r="C437" s="55" t="str">
        <f>IF(A437&lt;&gt;"",INDEX('Base de données'!A$4:L$990,MATCH(' TVA M'!A437,'Base de données'!A$4:A$990,0),12),"")</f>
        <v/>
      </c>
    </row>
    <row r="438" spans="2:3" hidden="1" x14ac:dyDescent="0.25">
      <c r="B438" s="55" t="str">
        <f>IF(A438&lt;&gt;"",INDEX('Base de données'!A$4:L$990,MATCH(' TVA M'!A438,'Base de données'!A$4:A$990,0),2),"")</f>
        <v/>
      </c>
      <c r="C438" s="55" t="str">
        <f>IF(A438&lt;&gt;"",INDEX('Base de données'!A$4:L$990,MATCH(' TVA M'!A438,'Base de données'!A$4:A$990,0),12),"")</f>
        <v/>
      </c>
    </row>
    <row r="439" spans="2:3" hidden="1" x14ac:dyDescent="0.25">
      <c r="B439" s="55" t="str">
        <f>IF(A439&lt;&gt;"",INDEX('Base de données'!A$4:L$990,MATCH(' TVA M'!A439,'Base de données'!A$4:A$990,0),2),"")</f>
        <v/>
      </c>
      <c r="C439" s="55" t="str">
        <f>IF(A439&lt;&gt;"",INDEX('Base de données'!A$4:L$990,MATCH(' TVA M'!A439,'Base de données'!A$4:A$990,0),12),"")</f>
        <v/>
      </c>
    </row>
    <row r="440" spans="2:3" hidden="1" x14ac:dyDescent="0.25">
      <c r="B440" s="55" t="str">
        <f>IF(A440&lt;&gt;"",INDEX('Base de données'!A$4:L$990,MATCH(' TVA M'!A440,'Base de données'!A$4:A$990,0),2),"")</f>
        <v/>
      </c>
      <c r="C440" s="55" t="str">
        <f>IF(A440&lt;&gt;"",INDEX('Base de données'!A$4:L$990,MATCH(' TVA M'!A440,'Base de données'!A$4:A$990,0),12),"")</f>
        <v/>
      </c>
    </row>
    <row r="441" spans="2:3" hidden="1" x14ac:dyDescent="0.25">
      <c r="B441" s="55" t="str">
        <f>IF(A441&lt;&gt;"",INDEX('Base de données'!A$4:L$990,MATCH(' TVA M'!A441,'Base de données'!A$4:A$990,0),2),"")</f>
        <v/>
      </c>
      <c r="C441" s="55" t="str">
        <f>IF(A441&lt;&gt;"",INDEX('Base de données'!A$4:L$990,MATCH(' TVA M'!A441,'Base de données'!A$4:A$990,0),12),"")</f>
        <v/>
      </c>
    </row>
    <row r="442" spans="2:3" hidden="1" x14ac:dyDescent="0.25">
      <c r="B442" s="55" t="str">
        <f>IF(A442&lt;&gt;"",INDEX('Base de données'!A$4:L$990,MATCH(' TVA M'!A442,'Base de données'!A$4:A$990,0),2),"")</f>
        <v/>
      </c>
      <c r="C442" s="55" t="str">
        <f>IF(A442&lt;&gt;"",INDEX('Base de données'!A$4:L$990,MATCH(' TVA M'!A442,'Base de données'!A$4:A$990,0),12),"")</f>
        <v/>
      </c>
    </row>
    <row r="443" spans="2:3" hidden="1" x14ac:dyDescent="0.25">
      <c r="B443" s="55" t="str">
        <f>IF(A443&lt;&gt;"",INDEX('Base de données'!A$4:L$990,MATCH(' TVA M'!A443,'Base de données'!A$4:A$990,0),2),"")</f>
        <v/>
      </c>
      <c r="C443" s="55" t="str">
        <f>IF(A443&lt;&gt;"",INDEX('Base de données'!A$4:L$990,MATCH(' TVA M'!A443,'Base de données'!A$4:A$990,0),12),"")</f>
        <v/>
      </c>
    </row>
    <row r="444" spans="2:3" hidden="1" x14ac:dyDescent="0.25">
      <c r="B444" s="55" t="str">
        <f>IF(A444&lt;&gt;"",INDEX('Base de données'!A$4:L$990,MATCH(' TVA M'!A444,'Base de données'!A$4:A$990,0),2),"")</f>
        <v/>
      </c>
      <c r="C444" s="55" t="str">
        <f>IF(A444&lt;&gt;"",INDEX('Base de données'!A$4:L$990,MATCH(' TVA M'!A444,'Base de données'!A$4:A$990,0),12),"")</f>
        <v/>
      </c>
    </row>
    <row r="445" spans="2:3" hidden="1" x14ac:dyDescent="0.25">
      <c r="B445" s="55" t="str">
        <f>IF(A445&lt;&gt;"",INDEX('Base de données'!A$4:L$990,MATCH(' TVA M'!A445,'Base de données'!A$4:A$990,0),2),"")</f>
        <v/>
      </c>
      <c r="C445" s="55" t="str">
        <f>IF(A445&lt;&gt;"",INDEX('Base de données'!A$4:L$990,MATCH(' TVA M'!A445,'Base de données'!A$4:A$990,0),12),"")</f>
        <v/>
      </c>
    </row>
    <row r="446" spans="2:3" hidden="1" x14ac:dyDescent="0.25">
      <c r="B446" s="55" t="str">
        <f>IF(A446&lt;&gt;"",INDEX('Base de données'!A$4:L$990,MATCH(' TVA M'!A446,'Base de données'!A$4:A$990,0),2),"")</f>
        <v/>
      </c>
      <c r="C446" s="55" t="str">
        <f>IF(A446&lt;&gt;"",INDEX('Base de données'!A$4:L$990,MATCH(' TVA M'!A446,'Base de données'!A$4:A$990,0),12),"")</f>
        <v/>
      </c>
    </row>
    <row r="447" spans="2:3" hidden="1" x14ac:dyDescent="0.25">
      <c r="B447" s="55" t="str">
        <f>IF(A447&lt;&gt;"",INDEX('Base de données'!A$4:L$990,MATCH(' TVA M'!A447,'Base de données'!A$4:A$990,0),2),"")</f>
        <v/>
      </c>
      <c r="C447" s="55" t="str">
        <f>IF(A447&lt;&gt;"",INDEX('Base de données'!A$4:L$990,MATCH(' TVA M'!A447,'Base de données'!A$4:A$990,0),12),"")</f>
        <v/>
      </c>
    </row>
    <row r="448" spans="2:3" hidden="1" x14ac:dyDescent="0.25">
      <c r="B448" s="55" t="str">
        <f>IF(A448&lt;&gt;"",INDEX('Base de données'!A$4:L$990,MATCH(' TVA M'!A448,'Base de données'!A$4:A$990,0),2),"")</f>
        <v/>
      </c>
      <c r="C448" s="55" t="str">
        <f>IF(A448&lt;&gt;"",INDEX('Base de données'!A$4:L$990,MATCH(' TVA M'!A448,'Base de données'!A$4:A$990,0),12),"")</f>
        <v/>
      </c>
    </row>
    <row r="449" spans="2:3" hidden="1" x14ac:dyDescent="0.25">
      <c r="B449" s="55" t="str">
        <f>IF(A449&lt;&gt;"",INDEX('Base de données'!A$4:L$990,MATCH(' TVA M'!A449,'Base de données'!A$4:A$990,0),2),"")</f>
        <v/>
      </c>
      <c r="C449" s="55" t="str">
        <f>IF(A449&lt;&gt;"",INDEX('Base de données'!A$4:L$990,MATCH(' TVA M'!A449,'Base de données'!A$4:A$990,0),12),"")</f>
        <v/>
      </c>
    </row>
    <row r="450" spans="2:3" hidden="1" x14ac:dyDescent="0.25">
      <c r="B450" s="55" t="str">
        <f>IF(A450&lt;&gt;"",INDEX('Base de données'!A$4:L$990,MATCH(' TVA M'!A450,'Base de données'!A$4:A$990,0),2),"")</f>
        <v/>
      </c>
      <c r="C450" s="55" t="str">
        <f>IF(A450&lt;&gt;"",INDEX('Base de données'!A$4:L$990,MATCH(' TVA M'!A450,'Base de données'!A$4:A$990,0),12),"")</f>
        <v/>
      </c>
    </row>
    <row r="451" spans="2:3" hidden="1" x14ac:dyDescent="0.25">
      <c r="B451" s="55" t="str">
        <f>IF(A451&lt;&gt;"",INDEX('Base de données'!A$4:L$990,MATCH(' TVA M'!A451,'Base de données'!A$4:A$990,0),2),"")</f>
        <v/>
      </c>
      <c r="C451" s="55" t="str">
        <f>IF(A451&lt;&gt;"",INDEX('Base de données'!A$4:L$990,MATCH(' TVA M'!A451,'Base de données'!A$4:A$990,0),12),"")</f>
        <v/>
      </c>
    </row>
    <row r="452" spans="2:3" hidden="1" x14ac:dyDescent="0.25">
      <c r="B452" s="55" t="str">
        <f>IF(A452&lt;&gt;"",INDEX('Base de données'!A$4:L$990,MATCH(' TVA M'!A452,'Base de données'!A$4:A$990,0),2),"")</f>
        <v/>
      </c>
      <c r="C452" s="55" t="str">
        <f>IF(A452&lt;&gt;"",INDEX('Base de données'!A$4:L$990,MATCH(' TVA M'!A452,'Base de données'!A$4:A$990,0),12),"")</f>
        <v/>
      </c>
    </row>
    <row r="453" spans="2:3" hidden="1" x14ac:dyDescent="0.25">
      <c r="B453" s="55" t="str">
        <f>IF(A453&lt;&gt;"",INDEX('Base de données'!A$4:L$990,MATCH(' TVA M'!A453,'Base de données'!A$4:A$990,0),2),"")</f>
        <v/>
      </c>
      <c r="C453" s="55" t="str">
        <f>IF(A453&lt;&gt;"",INDEX('Base de données'!A$4:L$990,MATCH(' TVA M'!A453,'Base de données'!A$4:A$990,0),12),"")</f>
        <v/>
      </c>
    </row>
    <row r="454" spans="2:3" hidden="1" x14ac:dyDescent="0.25">
      <c r="B454" s="55" t="str">
        <f>IF(A454&lt;&gt;"",INDEX('Base de données'!A$4:L$990,MATCH(' TVA M'!A454,'Base de données'!A$4:A$990,0),2),"")</f>
        <v/>
      </c>
      <c r="C454" s="55" t="str">
        <f>IF(A454&lt;&gt;"",INDEX('Base de données'!A$4:L$990,MATCH(' TVA M'!A454,'Base de données'!A$4:A$990,0),12),"")</f>
        <v/>
      </c>
    </row>
    <row r="455" spans="2:3" hidden="1" x14ac:dyDescent="0.25">
      <c r="B455" s="55" t="str">
        <f>IF(A455&lt;&gt;"",INDEX('Base de données'!A$4:L$990,MATCH(' TVA M'!A455,'Base de données'!A$4:A$990,0),2),"")</f>
        <v/>
      </c>
      <c r="C455" s="55" t="str">
        <f>IF(A455&lt;&gt;"",INDEX('Base de données'!A$4:L$990,MATCH(' TVA M'!A455,'Base de données'!A$4:A$990,0),12),"")</f>
        <v/>
      </c>
    </row>
    <row r="456" spans="2:3" hidden="1" x14ac:dyDescent="0.25">
      <c r="B456" s="55" t="str">
        <f>IF(A456&lt;&gt;"",INDEX('Base de données'!A$4:L$990,MATCH(' TVA M'!A456,'Base de données'!A$4:A$990,0),2),"")</f>
        <v/>
      </c>
      <c r="C456" s="55" t="str">
        <f>IF(A456&lt;&gt;"",INDEX('Base de données'!A$4:L$990,MATCH(' TVA M'!A456,'Base de données'!A$4:A$990,0),12),"")</f>
        <v/>
      </c>
    </row>
    <row r="457" spans="2:3" hidden="1" x14ac:dyDescent="0.25">
      <c r="B457" s="55" t="str">
        <f>IF(A457&lt;&gt;"",INDEX('Base de données'!A$4:L$990,MATCH(' TVA M'!A457,'Base de données'!A$4:A$990,0),2),"")</f>
        <v/>
      </c>
      <c r="C457" s="55" t="str">
        <f>IF(A457&lt;&gt;"",INDEX('Base de données'!A$4:L$990,MATCH(' TVA M'!A457,'Base de données'!A$4:A$990,0),12),"")</f>
        <v/>
      </c>
    </row>
    <row r="458" spans="2:3" hidden="1" x14ac:dyDescent="0.25">
      <c r="B458" s="55" t="str">
        <f>IF(A458&lt;&gt;"",INDEX('Base de données'!A$4:L$990,MATCH(' TVA M'!A458,'Base de données'!A$4:A$990,0),2),"")</f>
        <v/>
      </c>
      <c r="C458" s="55" t="str">
        <f>IF(A458&lt;&gt;"",INDEX('Base de données'!A$4:L$990,MATCH(' TVA M'!A458,'Base de données'!A$4:A$990,0),12),"")</f>
        <v/>
      </c>
    </row>
    <row r="459" spans="2:3" hidden="1" x14ac:dyDescent="0.25">
      <c r="B459" s="55" t="str">
        <f>IF(A459&lt;&gt;"",INDEX('Base de données'!A$4:L$990,MATCH(' TVA M'!A459,'Base de données'!A$4:A$990,0),2),"")</f>
        <v/>
      </c>
      <c r="C459" s="55" t="str">
        <f>IF(A459&lt;&gt;"",INDEX('Base de données'!A$4:L$990,MATCH(' TVA M'!A459,'Base de données'!A$4:A$990,0),12),"")</f>
        <v/>
      </c>
    </row>
    <row r="460" spans="2:3" hidden="1" x14ac:dyDescent="0.25">
      <c r="B460" s="55" t="str">
        <f>IF(A460&lt;&gt;"",INDEX('Base de données'!A$4:L$990,MATCH(' TVA M'!A460,'Base de données'!A$4:A$990,0),2),"")</f>
        <v/>
      </c>
      <c r="C460" s="55" t="str">
        <f>IF(A460&lt;&gt;"",INDEX('Base de données'!A$4:L$990,MATCH(' TVA M'!A460,'Base de données'!A$4:A$990,0),12),"")</f>
        <v/>
      </c>
    </row>
    <row r="461" spans="2:3" hidden="1" x14ac:dyDescent="0.25">
      <c r="B461" s="55" t="str">
        <f>IF(A461&lt;&gt;"",INDEX('Base de données'!A$4:L$990,MATCH(' TVA M'!A461,'Base de données'!A$4:A$990,0),2),"")</f>
        <v/>
      </c>
      <c r="C461" s="55" t="str">
        <f>IF(A461&lt;&gt;"",INDEX('Base de données'!A$4:L$990,MATCH(' TVA M'!A461,'Base de données'!A$4:A$990,0),12),"")</f>
        <v/>
      </c>
    </row>
    <row r="462" spans="2:3" hidden="1" x14ac:dyDescent="0.25">
      <c r="B462" s="55" t="str">
        <f>IF(A462&lt;&gt;"",INDEX('Base de données'!A$4:L$990,MATCH(' TVA M'!A462,'Base de données'!A$4:A$990,0),2),"")</f>
        <v/>
      </c>
      <c r="C462" s="55" t="str">
        <f>IF(A462&lt;&gt;"",INDEX('Base de données'!A$4:L$990,MATCH(' TVA M'!A462,'Base de données'!A$4:A$990,0),12),"")</f>
        <v/>
      </c>
    </row>
    <row r="463" spans="2:3" hidden="1" x14ac:dyDescent="0.25">
      <c r="B463" s="55" t="str">
        <f>IF(A463&lt;&gt;"",INDEX('Base de données'!A$4:L$990,MATCH(' TVA M'!A463,'Base de données'!A$4:A$990,0),2),"")</f>
        <v/>
      </c>
      <c r="C463" s="55" t="str">
        <f>IF(A463&lt;&gt;"",INDEX('Base de données'!A$4:L$990,MATCH(' TVA M'!A463,'Base de données'!A$4:A$990,0),12),"")</f>
        <v/>
      </c>
    </row>
    <row r="464" spans="2:3" hidden="1" x14ac:dyDescent="0.25">
      <c r="B464" s="55" t="str">
        <f>IF(A464&lt;&gt;"",INDEX('Base de données'!A$4:L$990,MATCH(' TVA M'!A464,'Base de données'!A$4:A$990,0),2),"")</f>
        <v/>
      </c>
      <c r="C464" s="55" t="str">
        <f>IF(A464&lt;&gt;"",INDEX('Base de données'!A$4:L$990,MATCH(' TVA M'!A464,'Base de données'!A$4:A$990,0),12),"")</f>
        <v/>
      </c>
    </row>
    <row r="465" spans="2:3" hidden="1" x14ac:dyDescent="0.25">
      <c r="B465" s="55" t="str">
        <f>IF(A465&lt;&gt;"",INDEX('Base de données'!A$4:L$990,MATCH(' TVA M'!A465,'Base de données'!A$4:A$990,0),2),"")</f>
        <v/>
      </c>
      <c r="C465" s="55" t="str">
        <f>IF(A465&lt;&gt;"",INDEX('Base de données'!A$4:L$990,MATCH(' TVA M'!A465,'Base de données'!A$4:A$990,0),12),"")</f>
        <v/>
      </c>
    </row>
    <row r="466" spans="2:3" hidden="1" x14ac:dyDescent="0.25">
      <c r="B466" s="55" t="str">
        <f>IF(A466&lt;&gt;"",INDEX('Base de données'!A$4:L$990,MATCH(' TVA M'!A466,'Base de données'!A$4:A$990,0),2),"")</f>
        <v/>
      </c>
      <c r="C466" s="55" t="str">
        <f>IF(A466&lt;&gt;"",INDEX('Base de données'!A$4:L$990,MATCH(' TVA M'!A466,'Base de données'!A$4:A$990,0),12),"")</f>
        <v/>
      </c>
    </row>
    <row r="467" spans="2:3" hidden="1" x14ac:dyDescent="0.25">
      <c r="B467" s="55" t="str">
        <f>IF(A467&lt;&gt;"",INDEX('Base de données'!A$4:L$990,MATCH(' TVA M'!A467,'Base de données'!A$4:A$990,0),2),"")</f>
        <v/>
      </c>
      <c r="C467" s="55" t="str">
        <f>IF(A467&lt;&gt;"",INDEX('Base de données'!A$4:L$990,MATCH(' TVA M'!A467,'Base de données'!A$4:A$990,0),12),"")</f>
        <v/>
      </c>
    </row>
    <row r="468" spans="2:3" hidden="1" x14ac:dyDescent="0.25">
      <c r="B468" s="55" t="str">
        <f>IF(A468&lt;&gt;"",INDEX('Base de données'!A$4:L$990,MATCH(' TVA M'!A468,'Base de données'!A$4:A$990,0),2),"")</f>
        <v/>
      </c>
      <c r="C468" s="55" t="str">
        <f>IF(A468&lt;&gt;"",INDEX('Base de données'!A$4:L$990,MATCH(' TVA M'!A468,'Base de données'!A$4:A$990,0),12),"")</f>
        <v/>
      </c>
    </row>
    <row r="469" spans="2:3" hidden="1" x14ac:dyDescent="0.25">
      <c r="B469" s="55" t="str">
        <f>IF(A469&lt;&gt;"",INDEX('Base de données'!A$4:L$990,MATCH(' TVA M'!A469,'Base de données'!A$4:A$990,0),2),"")</f>
        <v/>
      </c>
      <c r="C469" s="55" t="str">
        <f>IF(A469&lt;&gt;"",INDEX('Base de données'!A$4:L$990,MATCH(' TVA M'!A469,'Base de données'!A$4:A$990,0),12),"")</f>
        <v/>
      </c>
    </row>
    <row r="470" spans="2:3" hidden="1" x14ac:dyDescent="0.25">
      <c r="B470" s="55" t="str">
        <f>IF(A470&lt;&gt;"",INDEX('Base de données'!A$4:L$990,MATCH(' TVA M'!A470,'Base de données'!A$4:A$990,0),2),"")</f>
        <v/>
      </c>
      <c r="C470" s="55" t="str">
        <f>IF(A470&lt;&gt;"",INDEX('Base de données'!A$4:L$990,MATCH(' TVA M'!A470,'Base de données'!A$4:A$990,0),12),"")</f>
        <v/>
      </c>
    </row>
    <row r="471" spans="2:3" hidden="1" x14ac:dyDescent="0.25">
      <c r="B471" s="55" t="str">
        <f>IF(A471&lt;&gt;"",INDEX('Base de données'!A$4:L$990,MATCH(' TVA M'!A471,'Base de données'!A$4:A$990,0),2),"")</f>
        <v/>
      </c>
      <c r="C471" s="55" t="str">
        <f>IF(A471&lt;&gt;"",INDEX('Base de données'!A$4:L$990,MATCH(' TVA M'!A471,'Base de données'!A$4:A$990,0),12),"")</f>
        <v/>
      </c>
    </row>
    <row r="472" spans="2:3" hidden="1" x14ac:dyDescent="0.25">
      <c r="B472" s="55" t="str">
        <f>IF(A472&lt;&gt;"",INDEX('Base de données'!A$4:L$990,MATCH(' TVA M'!A472,'Base de données'!A$4:A$990,0),2),"")</f>
        <v/>
      </c>
      <c r="C472" s="55" t="str">
        <f>IF(A472&lt;&gt;"",INDEX('Base de données'!A$4:L$990,MATCH(' TVA M'!A472,'Base de données'!A$4:A$990,0),12),"")</f>
        <v/>
      </c>
    </row>
    <row r="473" spans="2:3" hidden="1" x14ac:dyDescent="0.25">
      <c r="B473" s="55" t="str">
        <f>IF(A473&lt;&gt;"",INDEX('Base de données'!A$4:L$990,MATCH(' TVA M'!A473,'Base de données'!A$4:A$990,0),2),"")</f>
        <v/>
      </c>
      <c r="C473" s="55" t="str">
        <f>IF(A473&lt;&gt;"",INDEX('Base de données'!A$4:L$990,MATCH(' TVA M'!A473,'Base de données'!A$4:A$990,0),12),"")</f>
        <v/>
      </c>
    </row>
    <row r="474" spans="2:3" hidden="1" x14ac:dyDescent="0.25">
      <c r="B474" s="55" t="str">
        <f>IF(A474&lt;&gt;"",INDEX('Base de données'!A$4:L$990,MATCH(' TVA M'!A474,'Base de données'!A$4:A$990,0),2),"")</f>
        <v/>
      </c>
      <c r="C474" s="55" t="str">
        <f>IF(A474&lt;&gt;"",INDEX('Base de données'!A$4:L$990,MATCH(' TVA M'!A474,'Base de données'!A$4:A$990,0),12),"")</f>
        <v/>
      </c>
    </row>
    <row r="475" spans="2:3" hidden="1" x14ac:dyDescent="0.25">
      <c r="B475" s="55" t="str">
        <f>IF(A475&lt;&gt;"",INDEX('Base de données'!A$4:L$990,MATCH(' TVA M'!A475,'Base de données'!A$4:A$990,0),2),"")</f>
        <v/>
      </c>
      <c r="C475" s="55" t="str">
        <f>IF(A475&lt;&gt;"",INDEX('Base de données'!A$4:L$990,MATCH(' TVA M'!A475,'Base de données'!A$4:A$990,0),12),"")</f>
        <v/>
      </c>
    </row>
    <row r="476" spans="2:3" hidden="1" x14ac:dyDescent="0.25">
      <c r="B476" s="55" t="str">
        <f>IF(A476&lt;&gt;"",INDEX('Base de données'!A$4:L$990,MATCH(' TVA M'!A476,'Base de données'!A$4:A$990,0),2),"")</f>
        <v/>
      </c>
      <c r="C476" s="55" t="str">
        <f>IF(A476&lt;&gt;"",INDEX('Base de données'!A$4:L$990,MATCH(' TVA M'!A476,'Base de données'!A$4:A$990,0),12),"")</f>
        <v/>
      </c>
    </row>
    <row r="477" spans="2:3" hidden="1" x14ac:dyDescent="0.25">
      <c r="B477" s="55" t="str">
        <f>IF(A477&lt;&gt;"",INDEX('Base de données'!A$4:L$990,MATCH(' TVA M'!A477,'Base de données'!A$4:A$990,0),2),"")</f>
        <v/>
      </c>
      <c r="C477" s="55" t="str">
        <f>IF(A477&lt;&gt;"",INDEX('Base de données'!A$4:L$990,MATCH(' TVA M'!A477,'Base de données'!A$4:A$990,0),12),"")</f>
        <v/>
      </c>
    </row>
    <row r="478" spans="2:3" hidden="1" x14ac:dyDescent="0.25">
      <c r="B478" s="55" t="str">
        <f>IF(A478&lt;&gt;"",INDEX('Base de données'!A$4:L$990,MATCH(' TVA M'!A478,'Base de données'!A$4:A$990,0),2),"")</f>
        <v/>
      </c>
      <c r="C478" s="55" t="str">
        <f>IF(A478&lt;&gt;"",INDEX('Base de données'!A$4:L$990,MATCH(' TVA M'!A478,'Base de données'!A$4:A$990,0),12),"")</f>
        <v/>
      </c>
    </row>
    <row r="479" spans="2:3" hidden="1" x14ac:dyDescent="0.25">
      <c r="B479" s="55" t="str">
        <f>IF(A479&lt;&gt;"",INDEX('Base de données'!A$4:L$990,MATCH(' TVA M'!A479,'Base de données'!A$4:A$990,0),2),"")</f>
        <v/>
      </c>
      <c r="C479" s="55" t="str">
        <f>IF(A479&lt;&gt;"",INDEX('Base de données'!A$4:L$990,MATCH(' TVA M'!A479,'Base de données'!A$4:A$990,0),12),"")</f>
        <v/>
      </c>
    </row>
    <row r="480" spans="2:3" hidden="1" x14ac:dyDescent="0.25">
      <c r="B480" s="55" t="str">
        <f>IF(A480&lt;&gt;"",INDEX('Base de données'!A$4:L$990,MATCH(' TVA M'!A480,'Base de données'!A$4:A$990,0),2),"")</f>
        <v/>
      </c>
      <c r="C480" s="55" t="str">
        <f>IF(A480&lt;&gt;"",INDEX('Base de données'!A$4:L$990,MATCH(' TVA M'!A480,'Base de données'!A$4:A$990,0),12),"")</f>
        <v/>
      </c>
    </row>
    <row r="481" spans="2:3" hidden="1" x14ac:dyDescent="0.25">
      <c r="B481" s="55" t="str">
        <f>IF(A481&lt;&gt;"",INDEX('Base de données'!A$4:L$990,MATCH(' TVA M'!A481,'Base de données'!A$4:A$990,0),2),"")</f>
        <v/>
      </c>
      <c r="C481" s="55" t="str">
        <f>IF(A481&lt;&gt;"",INDEX('Base de données'!A$4:L$990,MATCH(' TVA M'!A481,'Base de données'!A$4:A$990,0),12),"")</f>
        <v/>
      </c>
    </row>
    <row r="482" spans="2:3" hidden="1" x14ac:dyDescent="0.25">
      <c r="B482" s="55" t="str">
        <f>IF(A482&lt;&gt;"",INDEX('Base de données'!A$4:L$990,MATCH(' TVA M'!A482,'Base de données'!A$4:A$990,0),2),"")</f>
        <v/>
      </c>
      <c r="C482" s="55" t="str">
        <f>IF(A482&lt;&gt;"",INDEX('Base de données'!A$4:L$990,MATCH(' TVA M'!A482,'Base de données'!A$4:A$990,0),12),"")</f>
        <v/>
      </c>
    </row>
    <row r="483" spans="2:3" hidden="1" x14ac:dyDescent="0.25">
      <c r="B483" s="55" t="str">
        <f>IF(A483&lt;&gt;"",INDEX('Base de données'!A$4:L$990,MATCH(' TVA M'!A483,'Base de données'!A$4:A$990,0),2),"")</f>
        <v/>
      </c>
      <c r="C483" s="55" t="str">
        <f>IF(A483&lt;&gt;"",INDEX('Base de données'!A$4:L$990,MATCH(' TVA M'!A483,'Base de données'!A$4:A$990,0),12),"")</f>
        <v/>
      </c>
    </row>
    <row r="484" spans="2:3" hidden="1" x14ac:dyDescent="0.25">
      <c r="B484" s="55" t="str">
        <f>IF(A484&lt;&gt;"",INDEX('Base de données'!A$4:L$990,MATCH(' TVA M'!A484,'Base de données'!A$4:A$990,0),2),"")</f>
        <v/>
      </c>
      <c r="C484" s="55" t="str">
        <f>IF(A484&lt;&gt;"",INDEX('Base de données'!A$4:L$990,MATCH(' TVA M'!A484,'Base de données'!A$4:A$990,0),12),"")</f>
        <v/>
      </c>
    </row>
    <row r="485" spans="2:3" hidden="1" x14ac:dyDescent="0.25">
      <c r="B485" s="55" t="str">
        <f>IF(A485&lt;&gt;"",INDEX('Base de données'!A$4:L$990,MATCH(' TVA M'!A485,'Base de données'!A$4:A$990,0),2),"")</f>
        <v/>
      </c>
      <c r="C485" s="55" t="str">
        <f>IF(A485&lt;&gt;"",INDEX('Base de données'!A$4:L$990,MATCH(' TVA M'!A485,'Base de données'!A$4:A$990,0),12),"")</f>
        <v/>
      </c>
    </row>
    <row r="486" spans="2:3" hidden="1" x14ac:dyDescent="0.25">
      <c r="B486" s="55" t="str">
        <f>IF(A486&lt;&gt;"",INDEX('Base de données'!A$4:L$990,MATCH(' TVA M'!A486,'Base de données'!A$4:A$990,0),2),"")</f>
        <v/>
      </c>
      <c r="C486" s="55" t="str">
        <f>IF(A486&lt;&gt;"",INDEX('Base de données'!A$4:L$990,MATCH(' TVA M'!A486,'Base de données'!A$4:A$990,0),12),"")</f>
        <v/>
      </c>
    </row>
    <row r="487" spans="2:3" hidden="1" x14ac:dyDescent="0.25">
      <c r="B487" s="55" t="str">
        <f>IF(A487&lt;&gt;"",INDEX('Base de données'!A$4:L$990,MATCH(' TVA M'!A487,'Base de données'!A$4:A$990,0),2),"")</f>
        <v/>
      </c>
      <c r="C487" s="55" t="str">
        <f>IF(A487&lt;&gt;"",INDEX('Base de données'!A$4:L$990,MATCH(' TVA M'!A487,'Base de données'!A$4:A$990,0),12),"")</f>
        <v/>
      </c>
    </row>
    <row r="488" spans="2:3" hidden="1" x14ac:dyDescent="0.25">
      <c r="B488" s="55" t="str">
        <f>IF(A488&lt;&gt;"",INDEX('Base de données'!A$4:L$990,MATCH(' TVA M'!A488,'Base de données'!A$4:A$990,0),2),"")</f>
        <v/>
      </c>
      <c r="C488" s="55" t="str">
        <f>IF(A488&lt;&gt;"",INDEX('Base de données'!A$4:L$990,MATCH(' TVA M'!A488,'Base de données'!A$4:A$990,0),12),"")</f>
        <v/>
      </c>
    </row>
    <row r="489" spans="2:3" hidden="1" x14ac:dyDescent="0.25">
      <c r="B489" s="55" t="str">
        <f>IF(A489&lt;&gt;"",INDEX('Base de données'!A$4:L$990,MATCH(' TVA M'!A489,'Base de données'!A$4:A$990,0),2),"")</f>
        <v/>
      </c>
      <c r="C489" s="55" t="str">
        <f>IF(A489&lt;&gt;"",INDEX('Base de données'!A$4:L$990,MATCH(' TVA M'!A489,'Base de données'!A$4:A$990,0),12),"")</f>
        <v/>
      </c>
    </row>
    <row r="490" spans="2:3" hidden="1" x14ac:dyDescent="0.25">
      <c r="B490" s="55" t="str">
        <f>IF(A490&lt;&gt;"",INDEX('Base de données'!A$4:L$990,MATCH(' TVA M'!A490,'Base de données'!A$4:A$990,0),2),"")</f>
        <v/>
      </c>
      <c r="C490" s="55" t="str">
        <f>IF(A490&lt;&gt;"",INDEX('Base de données'!A$4:L$990,MATCH(' TVA M'!A490,'Base de données'!A$4:A$990,0),12),"")</f>
        <v/>
      </c>
    </row>
    <row r="491" spans="2:3" hidden="1" x14ac:dyDescent="0.25">
      <c r="B491" s="55" t="str">
        <f>IF(A491&lt;&gt;"",INDEX('Base de données'!A$4:L$990,MATCH(' TVA M'!A491,'Base de données'!A$4:A$990,0),2),"")</f>
        <v/>
      </c>
      <c r="C491" s="55" t="str">
        <f>IF(A491&lt;&gt;"",INDEX('Base de données'!A$4:L$990,MATCH(' TVA M'!A491,'Base de données'!A$4:A$990,0),12),"")</f>
        <v/>
      </c>
    </row>
    <row r="492" spans="2:3" hidden="1" x14ac:dyDescent="0.25">
      <c r="B492" s="55" t="str">
        <f>IF(A492&lt;&gt;"",INDEX('Base de données'!A$4:L$990,MATCH(' TVA M'!A492,'Base de données'!A$4:A$990,0),2),"")</f>
        <v/>
      </c>
      <c r="C492" s="55" t="str">
        <f>IF(A492&lt;&gt;"",INDEX('Base de données'!A$4:L$990,MATCH(' TVA M'!A492,'Base de données'!A$4:A$990,0),12),"")</f>
        <v/>
      </c>
    </row>
    <row r="493" spans="2:3" hidden="1" x14ac:dyDescent="0.25">
      <c r="B493" s="55" t="str">
        <f>IF(A493&lt;&gt;"",INDEX('Base de données'!A$4:L$990,MATCH(' TVA M'!A493,'Base de données'!A$4:A$990,0),2),"")</f>
        <v/>
      </c>
      <c r="C493" s="55" t="str">
        <f>IF(A493&lt;&gt;"",INDEX('Base de données'!A$4:L$990,MATCH(' TVA M'!A493,'Base de données'!A$4:A$990,0),12),"")</f>
        <v/>
      </c>
    </row>
    <row r="494" spans="2:3" hidden="1" x14ac:dyDescent="0.25">
      <c r="B494" s="55" t="str">
        <f>IF(A494&lt;&gt;"",INDEX('Base de données'!A$4:L$990,MATCH(' TVA M'!A494,'Base de données'!A$4:A$990,0),2),"")</f>
        <v/>
      </c>
      <c r="C494" s="55" t="str">
        <f>IF(A494&lt;&gt;"",INDEX('Base de données'!A$4:L$990,MATCH(' TVA M'!A494,'Base de données'!A$4:A$990,0),12),"")</f>
        <v/>
      </c>
    </row>
    <row r="495" spans="2:3" hidden="1" x14ac:dyDescent="0.25">
      <c r="B495" s="55" t="str">
        <f>IF(A495&lt;&gt;"",INDEX('Base de données'!A$4:L$990,MATCH(' TVA M'!A495,'Base de données'!A$4:A$990,0),2),"")</f>
        <v/>
      </c>
      <c r="C495" s="55" t="str">
        <f>IF(A495&lt;&gt;"",INDEX('Base de données'!A$4:L$990,MATCH(' TVA M'!A495,'Base de données'!A$4:A$990,0),12),"")</f>
        <v/>
      </c>
    </row>
    <row r="496" spans="2:3" hidden="1" x14ac:dyDescent="0.25">
      <c r="B496" s="55" t="str">
        <f>IF(A496&lt;&gt;"",INDEX('Base de données'!A$4:L$990,MATCH(' TVA M'!A496,'Base de données'!A$4:A$990,0),2),"")</f>
        <v/>
      </c>
      <c r="C496" s="55" t="str">
        <f>IF(A496&lt;&gt;"",INDEX('Base de données'!A$4:L$990,MATCH(' TVA M'!A496,'Base de données'!A$4:A$990,0),12),"")</f>
        <v/>
      </c>
    </row>
    <row r="497" spans="2:3" hidden="1" x14ac:dyDescent="0.25">
      <c r="B497" s="55" t="str">
        <f>IF(A497&lt;&gt;"",INDEX('Base de données'!A$4:L$990,MATCH(' TVA M'!A497,'Base de données'!A$4:A$990,0),2),"")</f>
        <v/>
      </c>
      <c r="C497" s="55" t="str">
        <f>IF(A497&lt;&gt;"",INDEX('Base de données'!A$4:L$990,MATCH(' TVA M'!A497,'Base de données'!A$4:A$990,0),12),"")</f>
        <v/>
      </c>
    </row>
    <row r="498" spans="2:3" hidden="1" x14ac:dyDescent="0.25">
      <c r="B498" s="55" t="str">
        <f>IF(A498&lt;&gt;"",INDEX('Base de données'!A$4:L$990,MATCH(' TVA M'!A498,'Base de données'!A$4:A$990,0),2),"")</f>
        <v/>
      </c>
      <c r="C498" s="55" t="str">
        <f>IF(A498&lt;&gt;"",INDEX('Base de données'!A$4:L$990,MATCH(' TVA M'!A498,'Base de données'!A$4:A$990,0),12),"")</f>
        <v/>
      </c>
    </row>
    <row r="499" spans="2:3" hidden="1" x14ac:dyDescent="0.25">
      <c r="B499" s="55" t="str">
        <f>IF(A499&lt;&gt;"",INDEX('Base de données'!A$4:L$990,MATCH(' TVA M'!A499,'Base de données'!A$4:A$990,0),2),"")</f>
        <v/>
      </c>
      <c r="C499" s="55" t="str">
        <f>IF(A499&lt;&gt;"",INDEX('Base de données'!A$4:L$990,MATCH(' TVA M'!A499,'Base de données'!A$4:A$990,0),12),"")</f>
        <v/>
      </c>
    </row>
    <row r="500" spans="2:3" hidden="1" x14ac:dyDescent="0.25">
      <c r="B500" s="55" t="str">
        <f>IF(A500&lt;&gt;"",INDEX('Base de données'!A$4:L$990,MATCH(' TVA M'!A500,'Base de données'!A$4:A$990,0),2),"")</f>
        <v/>
      </c>
      <c r="C500" s="55" t="str">
        <f>IF(A500&lt;&gt;"",INDEX('Base de données'!A$4:L$990,MATCH(' TVA M'!A500,'Base de données'!A$4:A$990,0),12),"")</f>
        <v/>
      </c>
    </row>
    <row r="501" spans="2:3" hidden="1" x14ac:dyDescent="0.25">
      <c r="B501" s="55" t="str">
        <f>IF(A501&lt;&gt;"",INDEX('Base de données'!A$4:L$990,MATCH(' TVA M'!A501,'Base de données'!A$4:A$990,0),2),"")</f>
        <v/>
      </c>
      <c r="C501" s="55" t="str">
        <f>IF(A501&lt;&gt;"",INDEX('Base de données'!A$4:L$990,MATCH(' TVA M'!A501,'Base de données'!A$4:A$990,0),12),"")</f>
        <v/>
      </c>
    </row>
    <row r="502" spans="2:3" hidden="1" x14ac:dyDescent="0.25">
      <c r="B502" s="55" t="str">
        <f>IF(A502&lt;&gt;"",INDEX('Base de données'!A$4:L$990,MATCH(' TVA M'!A502,'Base de données'!A$4:A$990,0),2),"")</f>
        <v/>
      </c>
      <c r="C502" s="55" t="str">
        <f>IF(A502&lt;&gt;"",INDEX('Base de données'!A$4:L$990,MATCH(' TVA M'!A502,'Base de données'!A$4:A$990,0),12),"")</f>
        <v/>
      </c>
    </row>
    <row r="503" spans="2:3" hidden="1" x14ac:dyDescent="0.25">
      <c r="B503" s="55" t="str">
        <f>IF(A503&lt;&gt;"",INDEX('Base de données'!A$4:L$990,MATCH(' TVA M'!A503,'Base de données'!A$4:A$990,0),2),"")</f>
        <v/>
      </c>
      <c r="C503" s="55" t="str">
        <f>IF(A503&lt;&gt;"",INDEX('Base de données'!A$4:L$990,MATCH(' TVA M'!A503,'Base de données'!A$4:A$990,0),12),"")</f>
        <v/>
      </c>
    </row>
    <row r="504" spans="2:3" hidden="1" x14ac:dyDescent="0.25">
      <c r="B504" s="55" t="str">
        <f>IF(A504&lt;&gt;"",INDEX('Base de données'!A$4:L$990,MATCH(' TVA M'!A504,'Base de données'!A$4:A$990,0),2),"")</f>
        <v/>
      </c>
      <c r="C504" s="55" t="str">
        <f>IF(A504&lt;&gt;"",INDEX('Base de données'!A$4:L$990,MATCH(' TVA M'!A504,'Base de données'!A$4:A$990,0),12),"")</f>
        <v/>
      </c>
    </row>
    <row r="505" spans="2:3" hidden="1" x14ac:dyDescent="0.25">
      <c r="B505" s="55" t="str">
        <f>IF(A505&lt;&gt;"",INDEX('Base de données'!A$4:L$990,MATCH(' TVA M'!A505,'Base de données'!A$4:A$990,0),2),"")</f>
        <v/>
      </c>
      <c r="C505" s="55" t="str">
        <f>IF(A505&lt;&gt;"",INDEX('Base de données'!A$4:L$990,MATCH(' TVA M'!A505,'Base de données'!A$4:A$990,0),12),"")</f>
        <v/>
      </c>
    </row>
    <row r="506" spans="2:3" hidden="1" x14ac:dyDescent="0.25">
      <c r="B506" s="55" t="str">
        <f>IF(A506&lt;&gt;"",INDEX('Base de données'!A$4:L$990,MATCH(' TVA M'!A506,'Base de données'!A$4:A$990,0),2),"")</f>
        <v/>
      </c>
      <c r="C506" s="55" t="str">
        <f>IF(A506&lt;&gt;"",INDEX('Base de données'!A$4:L$990,MATCH(' TVA M'!A506,'Base de données'!A$4:A$990,0),12),"")</f>
        <v/>
      </c>
    </row>
    <row r="507" spans="2:3" hidden="1" x14ac:dyDescent="0.25">
      <c r="B507" s="55" t="str">
        <f>IF(A507&lt;&gt;"",INDEX('Base de données'!A$4:L$990,MATCH(' TVA M'!A507,'Base de données'!A$4:A$990,0),2),"")</f>
        <v/>
      </c>
      <c r="C507" s="55" t="str">
        <f>IF(A507&lt;&gt;"",INDEX('Base de données'!A$4:L$990,MATCH(' TVA M'!A507,'Base de données'!A$4:A$990,0),12),"")</f>
        <v/>
      </c>
    </row>
    <row r="508" spans="2:3" hidden="1" x14ac:dyDescent="0.25">
      <c r="B508" s="55" t="str">
        <f>IF(A508&lt;&gt;"",INDEX('Base de données'!A$4:L$990,MATCH(' TVA M'!A508,'Base de données'!A$4:A$990,0),2),"")</f>
        <v/>
      </c>
      <c r="C508" s="55" t="str">
        <f>IF(A508&lt;&gt;"",INDEX('Base de données'!A$4:L$990,MATCH(' TVA M'!A508,'Base de données'!A$4:A$990,0),12),"")</f>
        <v/>
      </c>
    </row>
    <row r="509" spans="2:3" hidden="1" x14ac:dyDescent="0.25">
      <c r="B509" s="55" t="str">
        <f>IF(A509&lt;&gt;"",INDEX('Base de données'!A$4:L$990,MATCH(' TVA M'!A509,'Base de données'!A$4:A$990,0),2),"")</f>
        <v/>
      </c>
      <c r="C509" s="55" t="str">
        <f>IF(A509&lt;&gt;"",INDEX('Base de données'!A$4:L$990,MATCH(' TVA M'!A509,'Base de données'!A$4:A$990,0),12),"")</f>
        <v/>
      </c>
    </row>
    <row r="510" spans="2:3" hidden="1" x14ac:dyDescent="0.25">
      <c r="B510" s="55" t="str">
        <f>IF(A510&lt;&gt;"",INDEX('Base de données'!A$4:L$990,MATCH(' TVA M'!A510,'Base de données'!A$4:A$990,0),2),"")</f>
        <v/>
      </c>
      <c r="C510" s="55" t="str">
        <f>IF(A510&lt;&gt;"",INDEX('Base de données'!A$4:L$990,MATCH(' TVA M'!A510,'Base de données'!A$4:A$990,0),12),"")</f>
        <v/>
      </c>
    </row>
    <row r="511" spans="2:3" hidden="1" x14ac:dyDescent="0.25">
      <c r="B511" s="55" t="str">
        <f>IF(A511&lt;&gt;"",INDEX('Base de données'!A$4:L$990,MATCH(' TVA M'!A511,'Base de données'!A$4:A$990,0),2),"")</f>
        <v/>
      </c>
      <c r="C511" s="55" t="str">
        <f>IF(A511&lt;&gt;"",INDEX('Base de données'!A$4:L$990,MATCH(' TVA M'!A511,'Base de données'!A$4:A$990,0),12),"")</f>
        <v/>
      </c>
    </row>
    <row r="512" spans="2:3" hidden="1" x14ac:dyDescent="0.25">
      <c r="B512" s="55" t="str">
        <f>IF(A512&lt;&gt;"",INDEX('Base de données'!A$4:L$990,MATCH(' TVA M'!A512,'Base de données'!A$4:A$990,0),2),"")</f>
        <v/>
      </c>
      <c r="C512" s="55" t="str">
        <f>IF(A512&lt;&gt;"",INDEX('Base de données'!A$4:L$990,MATCH(' TVA M'!A512,'Base de données'!A$4:A$990,0),12),"")</f>
        <v/>
      </c>
    </row>
    <row r="513" spans="2:3" hidden="1" x14ac:dyDescent="0.25">
      <c r="B513" s="55" t="str">
        <f>IF(A513&lt;&gt;"",INDEX('Base de données'!A$4:L$990,MATCH(' TVA M'!A513,'Base de données'!A$4:A$990,0),2),"")</f>
        <v/>
      </c>
      <c r="C513" s="55" t="str">
        <f>IF(A513&lt;&gt;"",INDEX('Base de données'!A$4:L$990,MATCH(' TVA M'!A513,'Base de données'!A$4:A$990,0),12),"")</f>
        <v/>
      </c>
    </row>
    <row r="514" spans="2:3" hidden="1" x14ac:dyDescent="0.25">
      <c r="B514" s="55" t="str">
        <f>IF(A514&lt;&gt;"",INDEX('Base de données'!A$4:L$990,MATCH(' TVA M'!A514,'Base de données'!A$4:A$990,0),2),"")</f>
        <v/>
      </c>
      <c r="C514" s="55" t="str">
        <f>IF(A514&lt;&gt;"",INDEX('Base de données'!A$4:L$990,MATCH(' TVA M'!A514,'Base de données'!A$4:A$990,0),12),"")</f>
        <v/>
      </c>
    </row>
    <row r="515" spans="2:3" hidden="1" x14ac:dyDescent="0.25">
      <c r="B515" s="55" t="str">
        <f>IF(A515&lt;&gt;"",INDEX('Base de données'!A$4:L$990,MATCH(' TVA M'!A515,'Base de données'!A$4:A$990,0),2),"")</f>
        <v/>
      </c>
      <c r="C515" s="55" t="str">
        <f>IF(A515&lt;&gt;"",INDEX('Base de données'!A$4:L$990,MATCH(' TVA M'!A515,'Base de données'!A$4:A$990,0),12),"")</f>
        <v/>
      </c>
    </row>
    <row r="516" spans="2:3" hidden="1" x14ac:dyDescent="0.25">
      <c r="B516" s="55" t="str">
        <f>IF(A516&lt;&gt;"",INDEX('Base de données'!A$4:L$990,MATCH(' TVA M'!A516,'Base de données'!A$4:A$990,0),2),"")</f>
        <v/>
      </c>
      <c r="C516" s="55" t="str">
        <f>IF(A516&lt;&gt;"",INDEX('Base de données'!A$4:L$990,MATCH(' TVA M'!A516,'Base de données'!A$4:A$990,0),12),"")</f>
        <v/>
      </c>
    </row>
    <row r="517" spans="2:3" hidden="1" x14ac:dyDescent="0.25">
      <c r="B517" s="55" t="str">
        <f>IF(A517&lt;&gt;"",INDEX('Base de données'!A$4:L$990,MATCH(' TVA M'!A517,'Base de données'!A$4:A$990,0),2),"")</f>
        <v/>
      </c>
      <c r="C517" s="55" t="str">
        <f>IF(A517&lt;&gt;"",INDEX('Base de données'!A$4:L$990,MATCH(' TVA M'!A517,'Base de données'!A$4:A$990,0),12),"")</f>
        <v/>
      </c>
    </row>
    <row r="518" spans="2:3" hidden="1" x14ac:dyDescent="0.25">
      <c r="B518" s="55" t="str">
        <f>IF(A518&lt;&gt;"",INDEX('Base de données'!A$4:L$990,MATCH(' TVA M'!A518,'Base de données'!A$4:A$990,0),2),"")</f>
        <v/>
      </c>
      <c r="C518" s="55" t="str">
        <f>IF(A518&lt;&gt;"",INDEX('Base de données'!A$4:L$990,MATCH(' TVA M'!A518,'Base de données'!A$4:A$990,0),12),"")</f>
        <v/>
      </c>
    </row>
    <row r="519" spans="2:3" hidden="1" x14ac:dyDescent="0.25">
      <c r="B519" s="55" t="str">
        <f>IF(A519&lt;&gt;"",INDEX('Base de données'!A$4:L$990,MATCH(' TVA M'!A519,'Base de données'!A$4:A$990,0),2),"")</f>
        <v/>
      </c>
      <c r="C519" s="55" t="str">
        <f>IF(A519&lt;&gt;"",INDEX('Base de données'!A$4:L$990,MATCH(' TVA M'!A519,'Base de données'!A$4:A$990,0),12),"")</f>
        <v/>
      </c>
    </row>
    <row r="520" spans="2:3" hidden="1" x14ac:dyDescent="0.25">
      <c r="B520" s="55" t="str">
        <f>IF(A520&lt;&gt;"",INDEX('Base de données'!A$4:L$990,MATCH(' TVA M'!A520,'Base de données'!A$4:A$990,0),2),"")</f>
        <v/>
      </c>
      <c r="C520" s="55" t="str">
        <f>IF(A520&lt;&gt;"",INDEX('Base de données'!A$4:L$990,MATCH(' TVA M'!A520,'Base de données'!A$4:A$990,0),12),"")</f>
        <v/>
      </c>
    </row>
    <row r="521" spans="2:3" hidden="1" x14ac:dyDescent="0.25">
      <c r="B521" s="55" t="str">
        <f>IF(A521&lt;&gt;"",INDEX('Base de données'!A$4:L$990,MATCH(' TVA M'!A521,'Base de données'!A$4:A$990,0),2),"")</f>
        <v/>
      </c>
      <c r="C521" s="55" t="str">
        <f>IF(A521&lt;&gt;"",INDEX('Base de données'!A$4:L$990,MATCH(' TVA M'!A521,'Base de données'!A$4:A$990,0),12),"")</f>
        <v/>
      </c>
    </row>
    <row r="522" spans="2:3" hidden="1" x14ac:dyDescent="0.25">
      <c r="B522" s="55" t="str">
        <f>IF(A522&lt;&gt;"",INDEX('Base de données'!A$4:L$990,MATCH(' TVA M'!A522,'Base de données'!A$4:A$990,0),2),"")</f>
        <v/>
      </c>
      <c r="C522" s="55" t="str">
        <f>IF(A522&lt;&gt;"",INDEX('Base de données'!A$4:L$990,MATCH(' TVA M'!A522,'Base de données'!A$4:A$990,0),12),"")</f>
        <v/>
      </c>
    </row>
    <row r="523" spans="2:3" hidden="1" x14ac:dyDescent="0.25">
      <c r="B523" s="55" t="str">
        <f>IF(A523&lt;&gt;"",INDEX('Base de données'!A$4:L$990,MATCH(' TVA M'!A523,'Base de données'!A$4:A$990,0),2),"")</f>
        <v/>
      </c>
      <c r="C523" s="55" t="str">
        <f>IF(A523&lt;&gt;"",INDEX('Base de données'!A$4:L$990,MATCH(' TVA M'!A523,'Base de données'!A$4:A$990,0),12),"")</f>
        <v/>
      </c>
    </row>
    <row r="524" spans="2:3" hidden="1" x14ac:dyDescent="0.25">
      <c r="B524" s="55" t="str">
        <f>IF(A524&lt;&gt;"",INDEX('Base de données'!A$4:L$990,MATCH(' TVA M'!A524,'Base de données'!A$4:A$990,0),2),"")</f>
        <v/>
      </c>
      <c r="C524" s="55" t="str">
        <f>IF(A524&lt;&gt;"",INDEX('Base de données'!A$4:L$990,MATCH(' TVA M'!A524,'Base de données'!A$4:A$990,0),12),"")</f>
        <v/>
      </c>
    </row>
    <row r="525" spans="2:3" hidden="1" x14ac:dyDescent="0.25">
      <c r="B525" s="55" t="str">
        <f>IF(A525&lt;&gt;"",INDEX('Base de données'!A$4:L$990,MATCH(' TVA M'!A525,'Base de données'!A$4:A$990,0),2),"")</f>
        <v/>
      </c>
      <c r="C525" s="55" t="str">
        <f>IF(A525&lt;&gt;"",INDEX('Base de données'!A$4:L$990,MATCH(' TVA M'!A525,'Base de données'!A$4:A$990,0),12),"")</f>
        <v/>
      </c>
    </row>
    <row r="526" spans="2:3" hidden="1" x14ac:dyDescent="0.25">
      <c r="B526" s="55" t="str">
        <f>IF(A526&lt;&gt;"",INDEX('Base de données'!A$4:L$990,MATCH(' TVA M'!A526,'Base de données'!A$4:A$990,0),2),"")</f>
        <v/>
      </c>
      <c r="C526" s="55" t="str">
        <f>IF(A526&lt;&gt;"",INDEX('Base de données'!A$4:L$990,MATCH(' TVA M'!A526,'Base de données'!A$4:A$990,0),12),"")</f>
        <v/>
      </c>
    </row>
    <row r="527" spans="2:3" hidden="1" x14ac:dyDescent="0.25">
      <c r="B527" s="55" t="str">
        <f>IF(A527&lt;&gt;"",INDEX('Base de données'!A$4:L$990,MATCH(' TVA M'!A527,'Base de données'!A$4:A$990,0),2),"")</f>
        <v/>
      </c>
      <c r="C527" s="55" t="str">
        <f>IF(A527&lt;&gt;"",INDEX('Base de données'!A$4:L$990,MATCH(' TVA M'!A527,'Base de données'!A$4:A$990,0),12),"")</f>
        <v/>
      </c>
    </row>
    <row r="528" spans="2:3" hidden="1" x14ac:dyDescent="0.25">
      <c r="B528" s="55" t="str">
        <f>IF(A528&lt;&gt;"",INDEX('Base de données'!A$4:L$990,MATCH(' TVA M'!A528,'Base de données'!A$4:A$990,0),2),"")</f>
        <v/>
      </c>
      <c r="C528" s="55" t="str">
        <f>IF(A528&lt;&gt;"",INDEX('Base de données'!A$4:L$990,MATCH(' TVA M'!A528,'Base de données'!A$4:A$990,0),12),"")</f>
        <v/>
      </c>
    </row>
    <row r="529" spans="2:3" hidden="1" x14ac:dyDescent="0.25">
      <c r="B529" s="55" t="str">
        <f>IF(A529&lt;&gt;"",INDEX('Base de données'!A$4:L$990,MATCH(' TVA M'!A529,'Base de données'!A$4:A$990,0),2),"")</f>
        <v/>
      </c>
      <c r="C529" s="55" t="str">
        <f>IF(A529&lt;&gt;"",INDEX('Base de données'!A$4:L$990,MATCH(' TVA M'!A529,'Base de données'!A$4:A$990,0),12),"")</f>
        <v/>
      </c>
    </row>
    <row r="530" spans="2:3" hidden="1" x14ac:dyDescent="0.25">
      <c r="B530" s="55" t="str">
        <f>IF(A530&lt;&gt;"",INDEX('Base de données'!A$4:L$990,MATCH(' TVA M'!A530,'Base de données'!A$4:A$990,0),2),"")</f>
        <v/>
      </c>
      <c r="C530" s="55" t="str">
        <f>IF(A530&lt;&gt;"",INDEX('Base de données'!A$4:L$990,MATCH(' TVA M'!A530,'Base de données'!A$4:A$990,0),12),"")</f>
        <v/>
      </c>
    </row>
    <row r="531" spans="2:3" hidden="1" x14ac:dyDescent="0.25">
      <c r="B531" s="55" t="str">
        <f>IF(A531&lt;&gt;"",INDEX('Base de données'!A$4:L$990,MATCH(' TVA M'!A531,'Base de données'!A$4:A$990,0),2),"")</f>
        <v/>
      </c>
      <c r="C531" s="55" t="str">
        <f>IF(A531&lt;&gt;"",INDEX('Base de données'!A$4:L$990,MATCH(' TVA M'!A531,'Base de données'!A$4:A$990,0),12),"")</f>
        <v/>
      </c>
    </row>
    <row r="532" spans="2:3" hidden="1" x14ac:dyDescent="0.25">
      <c r="B532" s="55" t="str">
        <f>IF(A532&lt;&gt;"",INDEX('Base de données'!A$4:L$990,MATCH(' TVA M'!A532,'Base de données'!A$4:A$990,0),2),"")</f>
        <v/>
      </c>
      <c r="C532" s="55" t="str">
        <f>IF(A532&lt;&gt;"",INDEX('Base de données'!A$4:L$990,MATCH(' TVA M'!A532,'Base de données'!A$4:A$990,0),12),"")</f>
        <v/>
      </c>
    </row>
    <row r="533" spans="2:3" hidden="1" x14ac:dyDescent="0.25">
      <c r="B533" s="55" t="str">
        <f>IF(A533&lt;&gt;"",INDEX('Base de données'!A$4:L$990,MATCH(' TVA M'!A533,'Base de données'!A$4:A$990,0),2),"")</f>
        <v/>
      </c>
      <c r="C533" s="55" t="str">
        <f>IF(A533&lt;&gt;"",INDEX('Base de données'!A$4:L$990,MATCH(' TVA M'!A533,'Base de données'!A$4:A$990,0),12),"")</f>
        <v/>
      </c>
    </row>
    <row r="534" spans="2:3" hidden="1" x14ac:dyDescent="0.25">
      <c r="B534" s="55" t="str">
        <f>IF(A534&lt;&gt;"",INDEX('Base de données'!A$4:L$990,MATCH(' TVA M'!A534,'Base de données'!A$4:A$990,0),2),"")</f>
        <v/>
      </c>
      <c r="C534" s="55" t="str">
        <f>IF(A534&lt;&gt;"",INDEX('Base de données'!A$4:L$990,MATCH(' TVA M'!A534,'Base de données'!A$4:A$990,0),12),"")</f>
        <v/>
      </c>
    </row>
    <row r="535" spans="2:3" hidden="1" x14ac:dyDescent="0.25">
      <c r="B535" s="55" t="str">
        <f>IF(A535&lt;&gt;"",INDEX('Base de données'!A$4:L$990,MATCH(' TVA M'!A535,'Base de données'!A$4:A$990,0),2),"")</f>
        <v/>
      </c>
      <c r="C535" s="55" t="str">
        <f>IF(A535&lt;&gt;"",INDEX('Base de données'!A$4:L$990,MATCH(' TVA M'!A535,'Base de données'!A$4:A$990,0),12),"")</f>
        <v/>
      </c>
    </row>
    <row r="536" spans="2:3" hidden="1" x14ac:dyDescent="0.25">
      <c r="B536" s="55" t="str">
        <f>IF(A536&lt;&gt;"",INDEX('Base de données'!A$4:L$990,MATCH(' TVA M'!A536,'Base de données'!A$4:A$990,0),2),"")</f>
        <v/>
      </c>
      <c r="C536" s="55" t="str">
        <f>IF(A536&lt;&gt;"",INDEX('Base de données'!A$4:L$990,MATCH(' TVA M'!A536,'Base de données'!A$4:A$990,0),12),"")</f>
        <v/>
      </c>
    </row>
    <row r="537" spans="2:3" hidden="1" x14ac:dyDescent="0.25">
      <c r="B537" s="55" t="str">
        <f>IF(A537&lt;&gt;"",INDEX('Base de données'!A$4:L$990,MATCH(' TVA M'!A537,'Base de données'!A$4:A$990,0),2),"")</f>
        <v/>
      </c>
      <c r="C537" s="55" t="str">
        <f>IF(A537&lt;&gt;"",INDEX('Base de données'!A$4:L$990,MATCH(' TVA M'!A537,'Base de données'!A$4:A$990,0),12),"")</f>
        <v/>
      </c>
    </row>
    <row r="538" spans="2:3" hidden="1" x14ac:dyDescent="0.25">
      <c r="B538" s="55" t="str">
        <f>IF(A538&lt;&gt;"",INDEX('Base de données'!A$4:L$990,MATCH(' TVA M'!A538,'Base de données'!A$4:A$990,0),2),"")</f>
        <v/>
      </c>
      <c r="C538" s="55" t="str">
        <f>IF(A538&lt;&gt;"",INDEX('Base de données'!A$4:L$990,MATCH(' TVA M'!A538,'Base de données'!A$4:A$990,0),12),"")</f>
        <v/>
      </c>
    </row>
    <row r="539" spans="2:3" hidden="1" x14ac:dyDescent="0.25">
      <c r="B539" s="55" t="str">
        <f>IF(A539&lt;&gt;"",INDEX('Base de données'!A$4:L$990,MATCH(' TVA M'!A539,'Base de données'!A$4:A$990,0),2),"")</f>
        <v/>
      </c>
      <c r="C539" s="55" t="str">
        <f>IF(A539&lt;&gt;"",INDEX('Base de données'!A$4:L$990,MATCH(' TVA M'!A539,'Base de données'!A$4:A$990,0),12),"")</f>
        <v/>
      </c>
    </row>
    <row r="540" spans="2:3" hidden="1" x14ac:dyDescent="0.25">
      <c r="B540" s="55" t="str">
        <f>IF(A540&lt;&gt;"",INDEX('Base de données'!A$4:L$990,MATCH(' TVA M'!A540,'Base de données'!A$4:A$990,0),2),"")</f>
        <v/>
      </c>
      <c r="C540" s="55" t="str">
        <f>IF(A540&lt;&gt;"",INDEX('Base de données'!A$4:L$990,MATCH(' TVA M'!A540,'Base de données'!A$4:A$990,0),12),"")</f>
        <v/>
      </c>
    </row>
    <row r="541" spans="2:3" hidden="1" x14ac:dyDescent="0.25">
      <c r="B541" s="55" t="str">
        <f>IF(A541&lt;&gt;"",INDEX('Base de données'!A$4:L$990,MATCH(' TVA M'!A541,'Base de données'!A$4:A$990,0),2),"")</f>
        <v/>
      </c>
      <c r="C541" s="55" t="str">
        <f>IF(A541&lt;&gt;"",INDEX('Base de données'!A$4:L$990,MATCH(' TVA M'!A541,'Base de données'!A$4:A$990,0),12),"")</f>
        <v/>
      </c>
    </row>
    <row r="542" spans="2:3" hidden="1" x14ac:dyDescent="0.25">
      <c r="B542" s="55" t="str">
        <f>IF(A542&lt;&gt;"",INDEX('Base de données'!A$4:L$990,MATCH(' TVA M'!A542,'Base de données'!A$4:A$990,0),2),"")</f>
        <v/>
      </c>
      <c r="C542" s="55" t="str">
        <f>IF(A542&lt;&gt;"",INDEX('Base de données'!A$4:L$990,MATCH(' TVA M'!A542,'Base de données'!A$4:A$990,0),12),"")</f>
        <v/>
      </c>
    </row>
    <row r="543" spans="2:3" hidden="1" x14ac:dyDescent="0.25">
      <c r="B543" s="55" t="str">
        <f>IF(A543&lt;&gt;"",INDEX('Base de données'!A$4:L$990,MATCH(' TVA M'!A543,'Base de données'!A$4:A$990,0),2),"")</f>
        <v/>
      </c>
      <c r="C543" s="55" t="str">
        <f>IF(A543&lt;&gt;"",INDEX('Base de données'!A$4:L$990,MATCH(' TVA M'!A543,'Base de données'!A$4:A$990,0),12),"")</f>
        <v/>
      </c>
    </row>
    <row r="544" spans="2:3" hidden="1" x14ac:dyDescent="0.25">
      <c r="B544" s="55" t="str">
        <f>IF(A544&lt;&gt;"",INDEX('Base de données'!A$4:L$990,MATCH(' TVA M'!A544,'Base de données'!A$4:A$990,0),2),"")</f>
        <v/>
      </c>
      <c r="C544" s="55" t="str">
        <f>IF(A544&lt;&gt;"",INDEX('Base de données'!A$4:L$990,MATCH(' TVA M'!A544,'Base de données'!A$4:A$990,0),12),"")</f>
        <v/>
      </c>
    </row>
    <row r="545" spans="2:3" hidden="1" x14ac:dyDescent="0.25">
      <c r="B545" s="55" t="str">
        <f>IF(A545&lt;&gt;"",INDEX('Base de données'!A$4:L$990,MATCH(' TVA M'!A545,'Base de données'!A$4:A$990,0),2),"")</f>
        <v/>
      </c>
      <c r="C545" s="55" t="str">
        <f>IF(A545&lt;&gt;"",INDEX('Base de données'!A$4:L$990,MATCH(' TVA M'!A545,'Base de données'!A$4:A$990,0),12),"")</f>
        <v/>
      </c>
    </row>
    <row r="546" spans="2:3" hidden="1" x14ac:dyDescent="0.25">
      <c r="B546" s="55" t="str">
        <f>IF(A546&lt;&gt;"",INDEX('Base de données'!A$4:L$990,MATCH(' TVA M'!A546,'Base de données'!A$4:A$990,0),2),"")</f>
        <v/>
      </c>
      <c r="C546" s="55" t="str">
        <f>IF(A546&lt;&gt;"",INDEX('Base de données'!A$4:L$990,MATCH(' TVA M'!A546,'Base de données'!A$4:A$990,0),12),"")</f>
        <v/>
      </c>
    </row>
    <row r="547" spans="2:3" hidden="1" x14ac:dyDescent="0.25">
      <c r="B547" s="55" t="str">
        <f>IF(A547&lt;&gt;"",INDEX('Base de données'!A$4:L$990,MATCH(' TVA M'!A547,'Base de données'!A$4:A$990,0),2),"")</f>
        <v/>
      </c>
      <c r="C547" s="55" t="str">
        <f>IF(A547&lt;&gt;"",INDEX('Base de données'!A$4:L$990,MATCH(' TVA M'!A547,'Base de données'!A$4:A$990,0),12),"")</f>
        <v/>
      </c>
    </row>
    <row r="548" spans="2:3" hidden="1" x14ac:dyDescent="0.25">
      <c r="B548" s="55" t="str">
        <f>IF(A548&lt;&gt;"",INDEX('Base de données'!A$4:L$990,MATCH(' TVA M'!A548,'Base de données'!A$4:A$990,0),2),"")</f>
        <v/>
      </c>
      <c r="C548" s="55" t="str">
        <f>IF(A548&lt;&gt;"",INDEX('Base de données'!A$4:L$990,MATCH(' TVA M'!A548,'Base de données'!A$4:A$990,0),12),"")</f>
        <v/>
      </c>
    </row>
    <row r="549" spans="2:3" hidden="1" x14ac:dyDescent="0.25">
      <c r="B549" s="55" t="str">
        <f>IF(A549&lt;&gt;"",INDEX('Base de données'!A$4:L$990,MATCH(' TVA M'!A549,'Base de données'!A$4:A$990,0),2),"")</f>
        <v/>
      </c>
      <c r="C549" s="55" t="str">
        <f>IF(A549&lt;&gt;"",INDEX('Base de données'!A$4:L$990,MATCH(' TVA M'!A549,'Base de données'!A$4:A$990,0),12),"")</f>
        <v/>
      </c>
    </row>
    <row r="550" spans="2:3" hidden="1" x14ac:dyDescent="0.25">
      <c r="B550" s="55" t="str">
        <f>IF(A550&lt;&gt;"",INDEX('Base de données'!A$4:L$990,MATCH(' TVA M'!A550,'Base de données'!A$4:A$990,0),2),"")</f>
        <v/>
      </c>
      <c r="C550" s="55" t="str">
        <f>IF(A550&lt;&gt;"",INDEX('Base de données'!A$4:L$990,MATCH(' TVA M'!A550,'Base de données'!A$4:A$990,0),12),"")</f>
        <v/>
      </c>
    </row>
    <row r="551" spans="2:3" hidden="1" x14ac:dyDescent="0.25">
      <c r="B551" s="55" t="str">
        <f>IF(A551&lt;&gt;"",INDEX('Base de données'!A$4:L$990,MATCH(' TVA M'!A551,'Base de données'!A$4:A$990,0),2),"")</f>
        <v/>
      </c>
      <c r="C551" s="55" t="str">
        <f>IF(A551&lt;&gt;"",INDEX('Base de données'!A$4:L$990,MATCH(' TVA M'!A551,'Base de données'!A$4:A$990,0),12),"")</f>
        <v/>
      </c>
    </row>
    <row r="552" spans="2:3" hidden="1" x14ac:dyDescent="0.25">
      <c r="B552" s="55" t="str">
        <f>IF(A552&lt;&gt;"",INDEX('Base de données'!A$4:L$990,MATCH(' TVA M'!A552,'Base de données'!A$4:A$990,0),2),"")</f>
        <v/>
      </c>
      <c r="C552" s="55" t="str">
        <f>IF(A552&lt;&gt;"",INDEX('Base de données'!A$4:L$990,MATCH(' TVA M'!A552,'Base de données'!A$4:A$990,0),12),"")</f>
        <v/>
      </c>
    </row>
    <row r="553" spans="2:3" hidden="1" x14ac:dyDescent="0.25">
      <c r="B553" s="55" t="str">
        <f>IF(A553&lt;&gt;"",INDEX('Base de données'!A$4:L$990,MATCH(' TVA M'!A553,'Base de données'!A$4:A$990,0),2),"")</f>
        <v/>
      </c>
      <c r="C553" s="55" t="str">
        <f>IF(A553&lt;&gt;"",INDEX('Base de données'!A$4:L$990,MATCH(' TVA M'!A553,'Base de données'!A$4:A$990,0),12),"")</f>
        <v/>
      </c>
    </row>
    <row r="554" spans="2:3" hidden="1" x14ac:dyDescent="0.25">
      <c r="B554" s="55" t="str">
        <f>IF(A554&lt;&gt;"",INDEX('Base de données'!A$4:L$990,MATCH(' TVA M'!A554,'Base de données'!A$4:A$990,0),2),"")</f>
        <v/>
      </c>
      <c r="C554" s="55" t="str">
        <f>IF(A554&lt;&gt;"",INDEX('Base de données'!A$4:L$990,MATCH(' TVA M'!A554,'Base de données'!A$4:A$990,0),12),"")</f>
        <v/>
      </c>
    </row>
    <row r="555" spans="2:3" hidden="1" x14ac:dyDescent="0.25">
      <c r="B555" s="55" t="str">
        <f>IF(A555&lt;&gt;"",INDEX('Base de données'!A$4:L$990,MATCH(' TVA M'!A555,'Base de données'!A$4:A$990,0),2),"")</f>
        <v/>
      </c>
      <c r="C555" s="55" t="str">
        <f>IF(A555&lt;&gt;"",INDEX('Base de données'!A$4:L$990,MATCH(' TVA M'!A555,'Base de données'!A$4:A$990,0),12),"")</f>
        <v/>
      </c>
    </row>
    <row r="556" spans="2:3" hidden="1" x14ac:dyDescent="0.25">
      <c r="B556" s="55" t="str">
        <f>IF(A556&lt;&gt;"",INDEX('Base de données'!A$4:L$990,MATCH(' TVA M'!A556,'Base de données'!A$4:A$990,0),2),"")</f>
        <v/>
      </c>
      <c r="C556" s="55" t="str">
        <f>IF(A556&lt;&gt;"",INDEX('Base de données'!A$4:L$990,MATCH(' TVA M'!A556,'Base de données'!A$4:A$990,0),12),"")</f>
        <v/>
      </c>
    </row>
    <row r="557" spans="2:3" hidden="1" x14ac:dyDescent="0.25">
      <c r="B557" s="55" t="str">
        <f>IF(A557&lt;&gt;"",INDEX('Base de données'!A$4:L$990,MATCH(' TVA M'!A557,'Base de données'!A$4:A$990,0),2),"")</f>
        <v/>
      </c>
      <c r="C557" s="55" t="str">
        <f>IF(A557&lt;&gt;"",INDEX('Base de données'!A$4:L$990,MATCH(' TVA M'!A557,'Base de données'!A$4:A$990,0),12),"")</f>
        <v/>
      </c>
    </row>
    <row r="558" spans="2:3" hidden="1" x14ac:dyDescent="0.25">
      <c r="B558" s="55" t="str">
        <f>IF(A558&lt;&gt;"",INDEX('Base de données'!A$4:L$990,MATCH(' TVA M'!A558,'Base de données'!A$4:A$990,0),2),"")</f>
        <v/>
      </c>
      <c r="C558" s="55" t="str">
        <f>IF(A558&lt;&gt;"",INDEX('Base de données'!A$4:L$990,MATCH(' TVA M'!A558,'Base de données'!A$4:A$990,0),12),"")</f>
        <v/>
      </c>
    </row>
    <row r="559" spans="2:3" hidden="1" x14ac:dyDescent="0.25">
      <c r="B559" s="55" t="str">
        <f>IF(A559&lt;&gt;"",INDEX('Base de données'!A$4:L$990,MATCH(' TVA M'!A559,'Base de données'!A$4:A$990,0),2),"")</f>
        <v/>
      </c>
      <c r="C559" s="55" t="str">
        <f>IF(A559&lt;&gt;"",INDEX('Base de données'!A$4:L$990,MATCH(' TVA M'!A559,'Base de données'!A$4:A$990,0),12),"")</f>
        <v/>
      </c>
    </row>
    <row r="560" spans="2:3" hidden="1" x14ac:dyDescent="0.25">
      <c r="B560" s="55" t="str">
        <f>IF(A560&lt;&gt;"",INDEX('Base de données'!A$4:L$990,MATCH(' TVA M'!A560,'Base de données'!A$4:A$990,0),2),"")</f>
        <v/>
      </c>
      <c r="C560" s="55" t="str">
        <f>IF(A560&lt;&gt;"",INDEX('Base de données'!A$4:L$990,MATCH(' TVA M'!A560,'Base de données'!A$4:A$990,0),12),"")</f>
        <v/>
      </c>
    </row>
    <row r="561" spans="2:3" hidden="1" x14ac:dyDescent="0.25">
      <c r="B561" s="55" t="str">
        <f>IF(A561&lt;&gt;"",INDEX('Base de données'!A$4:L$990,MATCH(' TVA M'!A561,'Base de données'!A$4:A$990,0),2),"")</f>
        <v/>
      </c>
      <c r="C561" s="55" t="str">
        <f>IF(A561&lt;&gt;"",INDEX('Base de données'!A$4:L$990,MATCH(' TVA M'!A561,'Base de données'!A$4:A$990,0),12),"")</f>
        <v/>
      </c>
    </row>
    <row r="562" spans="2:3" hidden="1" x14ac:dyDescent="0.25">
      <c r="B562" s="55" t="str">
        <f>IF(A562&lt;&gt;"",INDEX('Base de données'!A$4:L$990,MATCH(' TVA M'!A562,'Base de données'!A$4:A$990,0),2),"")</f>
        <v/>
      </c>
      <c r="C562" s="55" t="str">
        <f>IF(A562&lt;&gt;"",INDEX('Base de données'!A$4:L$990,MATCH(' TVA M'!A562,'Base de données'!A$4:A$990,0),12),"")</f>
        <v/>
      </c>
    </row>
    <row r="563" spans="2:3" hidden="1" x14ac:dyDescent="0.25">
      <c r="B563" s="55" t="str">
        <f>IF(A563&lt;&gt;"",INDEX('Base de données'!A$4:L$990,MATCH(' TVA M'!A563,'Base de données'!A$4:A$990,0),2),"")</f>
        <v/>
      </c>
      <c r="C563" s="55" t="str">
        <f>IF(A563&lt;&gt;"",INDEX('Base de données'!A$4:L$990,MATCH(' TVA M'!A563,'Base de données'!A$4:A$990,0),12),"")</f>
        <v/>
      </c>
    </row>
    <row r="564" spans="2:3" hidden="1" x14ac:dyDescent="0.25">
      <c r="B564" s="55" t="str">
        <f>IF(A564&lt;&gt;"",INDEX('Base de données'!A$4:L$990,MATCH(' TVA M'!A564,'Base de données'!A$4:A$990,0),2),"")</f>
        <v/>
      </c>
      <c r="C564" s="55" t="str">
        <f>IF(A564&lt;&gt;"",INDEX('Base de données'!A$4:L$990,MATCH(' TVA M'!A564,'Base de données'!A$4:A$990,0),12),"")</f>
        <v/>
      </c>
    </row>
    <row r="565" spans="2:3" hidden="1" x14ac:dyDescent="0.25">
      <c r="B565" s="55" t="str">
        <f>IF(A565&lt;&gt;"",INDEX('Base de données'!A$4:L$990,MATCH(' TVA M'!A565,'Base de données'!A$4:A$990,0),2),"")</f>
        <v/>
      </c>
      <c r="C565" s="55" t="str">
        <f>IF(A565&lt;&gt;"",INDEX('Base de données'!A$4:L$990,MATCH(' TVA M'!A565,'Base de données'!A$4:A$990,0),12),"")</f>
        <v/>
      </c>
    </row>
    <row r="566" spans="2:3" hidden="1" x14ac:dyDescent="0.25">
      <c r="B566" s="55" t="str">
        <f>IF(A566&lt;&gt;"",INDEX('Base de données'!A$4:L$990,MATCH(' TVA M'!A566,'Base de données'!A$4:A$990,0),2),"")</f>
        <v/>
      </c>
      <c r="C566" s="55" t="str">
        <f>IF(A566&lt;&gt;"",INDEX('Base de données'!A$4:L$990,MATCH(' TVA M'!A566,'Base de données'!A$4:A$990,0),12),"")</f>
        <v/>
      </c>
    </row>
    <row r="567" spans="2:3" hidden="1" x14ac:dyDescent="0.25">
      <c r="B567" s="55" t="str">
        <f>IF(A567&lt;&gt;"",INDEX('Base de données'!A$4:L$990,MATCH(' TVA M'!A567,'Base de données'!A$4:A$990,0),2),"")</f>
        <v/>
      </c>
      <c r="C567" s="55" t="str">
        <f>IF(A567&lt;&gt;"",INDEX('Base de données'!A$4:L$990,MATCH(' TVA M'!A567,'Base de données'!A$4:A$990,0),12),"")</f>
        <v/>
      </c>
    </row>
    <row r="568" spans="2:3" hidden="1" x14ac:dyDescent="0.25">
      <c r="B568" s="55" t="str">
        <f>IF(A568&lt;&gt;"",INDEX('Base de données'!A$4:L$990,MATCH(' TVA M'!A568,'Base de données'!A$4:A$990,0),2),"")</f>
        <v/>
      </c>
      <c r="C568" s="55" t="str">
        <f>IF(A568&lt;&gt;"",INDEX('Base de données'!A$4:L$990,MATCH(' TVA M'!A568,'Base de données'!A$4:A$990,0),12),"")</f>
        <v/>
      </c>
    </row>
    <row r="569" spans="2:3" hidden="1" x14ac:dyDescent="0.25">
      <c r="B569" s="55" t="str">
        <f>IF(A569&lt;&gt;"",INDEX('Base de données'!A$4:L$990,MATCH(' TVA M'!A569,'Base de données'!A$4:A$990,0),2),"")</f>
        <v/>
      </c>
      <c r="C569" s="55" t="str">
        <f>IF(A569&lt;&gt;"",INDEX('Base de données'!A$4:L$990,MATCH(' TVA M'!A569,'Base de données'!A$4:A$990,0),12),"")</f>
        <v/>
      </c>
    </row>
    <row r="570" spans="2:3" hidden="1" x14ac:dyDescent="0.25">
      <c r="B570" s="55" t="str">
        <f>IF(A570&lt;&gt;"",INDEX('Base de données'!A$4:L$990,MATCH(' TVA M'!A570,'Base de données'!A$4:A$990,0),2),"")</f>
        <v/>
      </c>
      <c r="C570" s="55" t="str">
        <f>IF(A570&lt;&gt;"",INDEX('Base de données'!A$4:L$990,MATCH(' TVA M'!A570,'Base de données'!A$4:A$990,0),12),"")</f>
        <v/>
      </c>
    </row>
    <row r="571" spans="2:3" hidden="1" x14ac:dyDescent="0.25">
      <c r="B571" s="55" t="str">
        <f>IF(A571&lt;&gt;"",INDEX('Base de données'!A$4:L$990,MATCH(' TVA M'!A571,'Base de données'!A$4:A$990,0),2),"")</f>
        <v/>
      </c>
      <c r="C571" s="55" t="str">
        <f>IF(A571&lt;&gt;"",INDEX('Base de données'!A$4:L$990,MATCH(' TVA M'!A571,'Base de données'!A$4:A$990,0),12),"")</f>
        <v/>
      </c>
    </row>
    <row r="572" spans="2:3" hidden="1" x14ac:dyDescent="0.25">
      <c r="B572" s="55" t="str">
        <f>IF(A572&lt;&gt;"",INDEX('Base de données'!A$4:L$990,MATCH(' TVA M'!A572,'Base de données'!A$4:A$990,0),2),"")</f>
        <v/>
      </c>
      <c r="C572" s="55" t="str">
        <f>IF(A572&lt;&gt;"",INDEX('Base de données'!A$4:L$990,MATCH(' TVA M'!A572,'Base de données'!A$4:A$990,0),12),"")</f>
        <v/>
      </c>
    </row>
    <row r="573" spans="2:3" hidden="1" x14ac:dyDescent="0.25">
      <c r="B573" s="55" t="str">
        <f>IF(A573&lt;&gt;"",INDEX('Base de données'!A$4:L$990,MATCH(' TVA M'!A573,'Base de données'!A$4:A$990,0),2),"")</f>
        <v/>
      </c>
      <c r="C573" s="55" t="str">
        <f>IF(A573&lt;&gt;"",INDEX('Base de données'!A$4:L$990,MATCH(' TVA M'!A573,'Base de données'!A$4:A$990,0),12),"")</f>
        <v/>
      </c>
    </row>
    <row r="574" spans="2:3" hidden="1" x14ac:dyDescent="0.25">
      <c r="B574" s="55" t="str">
        <f>IF(A574&lt;&gt;"",INDEX('Base de données'!A$4:L$990,MATCH(' TVA M'!A574,'Base de données'!A$4:A$990,0),2),"")</f>
        <v/>
      </c>
      <c r="C574" s="55" t="str">
        <f>IF(A574&lt;&gt;"",INDEX('Base de données'!A$4:L$990,MATCH(' TVA M'!A574,'Base de données'!A$4:A$990,0),12),"")</f>
        <v/>
      </c>
    </row>
    <row r="575" spans="2:3" hidden="1" x14ac:dyDescent="0.25">
      <c r="B575" s="55" t="str">
        <f>IF(A575&lt;&gt;"",INDEX('Base de données'!A$4:L$990,MATCH(' TVA M'!A575,'Base de données'!A$4:A$990,0),2),"")</f>
        <v/>
      </c>
      <c r="C575" s="55" t="str">
        <f>IF(A575&lt;&gt;"",INDEX('Base de données'!A$4:L$990,MATCH(' TVA M'!A575,'Base de données'!A$4:A$990,0),12),"")</f>
        <v/>
      </c>
    </row>
    <row r="576" spans="2:3" hidden="1" x14ac:dyDescent="0.25">
      <c r="B576" s="55" t="str">
        <f>IF(A576&lt;&gt;"",INDEX('Base de données'!A$4:L$990,MATCH(' TVA M'!A576,'Base de données'!A$4:A$990,0),2),"")</f>
        <v/>
      </c>
      <c r="C576" s="55" t="str">
        <f>IF(A576&lt;&gt;"",INDEX('Base de données'!A$4:L$990,MATCH(' TVA M'!A576,'Base de données'!A$4:A$990,0),12),"")</f>
        <v/>
      </c>
    </row>
    <row r="577" spans="2:3" hidden="1" x14ac:dyDescent="0.25">
      <c r="B577" s="55" t="str">
        <f>IF(A577&lt;&gt;"",INDEX('Base de données'!A$4:L$990,MATCH(' TVA M'!A577,'Base de données'!A$4:A$990,0),2),"")</f>
        <v/>
      </c>
      <c r="C577" s="55" t="str">
        <f>IF(A577&lt;&gt;"",INDEX('Base de données'!A$4:L$990,MATCH(' TVA M'!A577,'Base de données'!A$4:A$990,0),12),"")</f>
        <v/>
      </c>
    </row>
    <row r="578" spans="2:3" hidden="1" x14ac:dyDescent="0.25">
      <c r="B578" s="55" t="str">
        <f>IF(A578&lt;&gt;"",INDEX('Base de données'!A$4:L$990,MATCH(' TVA M'!A578,'Base de données'!A$4:A$990,0),2),"")</f>
        <v/>
      </c>
      <c r="C578" s="55" t="str">
        <f>IF(A578&lt;&gt;"",INDEX('Base de données'!A$4:L$990,MATCH(' TVA M'!A578,'Base de données'!A$4:A$990,0),12),"")</f>
        <v/>
      </c>
    </row>
    <row r="579" spans="2:3" hidden="1" x14ac:dyDescent="0.25">
      <c r="B579" s="55" t="str">
        <f>IF(A579&lt;&gt;"",INDEX('Base de données'!A$4:L$990,MATCH(' TVA M'!A579,'Base de données'!A$4:A$990,0),2),"")</f>
        <v/>
      </c>
      <c r="C579" s="55" t="str">
        <f>IF(A579&lt;&gt;"",INDEX('Base de données'!A$4:L$990,MATCH(' TVA M'!A579,'Base de données'!A$4:A$990,0),12),"")</f>
        <v/>
      </c>
    </row>
    <row r="580" spans="2:3" hidden="1" x14ac:dyDescent="0.25">
      <c r="B580" s="55" t="str">
        <f>IF(A580&lt;&gt;"",INDEX('Base de données'!A$4:L$990,MATCH(' TVA M'!A580,'Base de données'!A$4:A$990,0),2),"")</f>
        <v/>
      </c>
      <c r="C580" s="55" t="str">
        <f>IF(A580&lt;&gt;"",INDEX('Base de données'!A$4:L$990,MATCH(' TVA M'!A580,'Base de données'!A$4:A$990,0),12),"")</f>
        <v/>
      </c>
    </row>
    <row r="581" spans="2:3" hidden="1" x14ac:dyDescent="0.25">
      <c r="B581" s="55" t="str">
        <f>IF(A581&lt;&gt;"",INDEX('Base de données'!A$4:L$990,MATCH(' TVA M'!A581,'Base de données'!A$4:A$990,0),2),"")</f>
        <v/>
      </c>
      <c r="C581" s="55" t="str">
        <f>IF(A581&lt;&gt;"",INDEX('Base de données'!A$4:L$990,MATCH(' TVA M'!A581,'Base de données'!A$4:A$990,0),12),"")</f>
        <v/>
      </c>
    </row>
    <row r="582" spans="2:3" hidden="1" x14ac:dyDescent="0.25">
      <c r="B582" s="55" t="str">
        <f>IF(A582&lt;&gt;"",INDEX('Base de données'!A$4:L$990,MATCH(' TVA M'!A582,'Base de données'!A$4:A$990,0),2),"")</f>
        <v/>
      </c>
      <c r="C582" s="55" t="str">
        <f>IF(A582&lt;&gt;"",INDEX('Base de données'!A$4:L$990,MATCH(' TVA M'!A582,'Base de données'!A$4:A$990,0),12),"")</f>
        <v/>
      </c>
    </row>
    <row r="583" spans="2:3" hidden="1" x14ac:dyDescent="0.25">
      <c r="B583" s="55" t="str">
        <f>IF(A583&lt;&gt;"",INDEX('Base de données'!A$4:L$990,MATCH(' TVA M'!A583,'Base de données'!A$4:A$990,0),2),"")</f>
        <v/>
      </c>
      <c r="C583" s="55" t="str">
        <f>IF(A583&lt;&gt;"",INDEX('Base de données'!A$4:L$990,MATCH(' TVA M'!A583,'Base de données'!A$4:A$990,0),12),"")</f>
        <v/>
      </c>
    </row>
    <row r="584" spans="2:3" hidden="1" x14ac:dyDescent="0.25">
      <c r="B584" s="55" t="str">
        <f>IF(A584&lt;&gt;"",INDEX('Base de données'!A$4:L$990,MATCH(' TVA M'!A584,'Base de données'!A$4:A$990,0),2),"")</f>
        <v/>
      </c>
      <c r="C584" s="55" t="str">
        <f>IF(A584&lt;&gt;"",INDEX('Base de données'!A$4:L$990,MATCH(' TVA M'!A584,'Base de données'!A$4:A$990,0),12),"")</f>
        <v/>
      </c>
    </row>
    <row r="585" spans="2:3" hidden="1" x14ac:dyDescent="0.25">
      <c r="B585" s="55" t="str">
        <f>IF(A585&lt;&gt;"",INDEX('Base de données'!A$4:L$990,MATCH(' TVA M'!A585,'Base de données'!A$4:A$990,0),2),"")</f>
        <v/>
      </c>
      <c r="C585" s="55" t="str">
        <f>IF(A585&lt;&gt;"",INDEX('Base de données'!A$4:L$990,MATCH(' TVA M'!A585,'Base de données'!A$4:A$990,0),12),"")</f>
        <v/>
      </c>
    </row>
    <row r="586" spans="2:3" hidden="1" x14ac:dyDescent="0.25">
      <c r="B586" s="55" t="str">
        <f>IF(A586&lt;&gt;"",INDEX('Base de données'!A$4:L$990,MATCH(' TVA M'!A586,'Base de données'!A$4:A$990,0),2),"")</f>
        <v/>
      </c>
      <c r="C586" s="55" t="str">
        <f>IF(A586&lt;&gt;"",INDEX('Base de données'!A$4:L$990,MATCH(' TVA M'!A586,'Base de données'!A$4:A$990,0),12),"")</f>
        <v/>
      </c>
    </row>
    <row r="587" spans="2:3" hidden="1" x14ac:dyDescent="0.25">
      <c r="B587" s="55" t="str">
        <f>IF(A587&lt;&gt;"",INDEX('Base de données'!A$4:L$990,MATCH(' TVA M'!A587,'Base de données'!A$4:A$990,0),2),"")</f>
        <v/>
      </c>
      <c r="C587" s="55" t="str">
        <f>IF(A587&lt;&gt;"",INDEX('Base de données'!A$4:L$990,MATCH(' TVA M'!A587,'Base de données'!A$4:A$990,0),12),"")</f>
        <v/>
      </c>
    </row>
    <row r="588" spans="2:3" hidden="1" x14ac:dyDescent="0.25">
      <c r="B588" s="55" t="str">
        <f>IF(A588&lt;&gt;"",INDEX('Base de données'!A$4:L$990,MATCH(' TVA M'!A588,'Base de données'!A$4:A$990,0),2),"")</f>
        <v/>
      </c>
      <c r="C588" s="55" t="str">
        <f>IF(A588&lt;&gt;"",INDEX('Base de données'!A$4:L$990,MATCH(' TVA M'!A588,'Base de données'!A$4:A$990,0),12),"")</f>
        <v/>
      </c>
    </row>
    <row r="589" spans="2:3" hidden="1" x14ac:dyDescent="0.25">
      <c r="B589" s="55" t="str">
        <f>IF(A589&lt;&gt;"",INDEX('Base de données'!A$4:L$990,MATCH(' TVA M'!A589,'Base de données'!A$4:A$990,0),2),"")</f>
        <v/>
      </c>
      <c r="C589" s="55" t="str">
        <f>IF(A589&lt;&gt;"",INDEX('Base de données'!A$4:L$990,MATCH(' TVA M'!A589,'Base de données'!A$4:A$990,0),12),"")</f>
        <v/>
      </c>
    </row>
    <row r="590" spans="2:3" hidden="1" x14ac:dyDescent="0.25">
      <c r="B590" s="55" t="str">
        <f>IF(A590&lt;&gt;"",INDEX('Base de données'!A$4:L$990,MATCH(' TVA M'!A590,'Base de données'!A$4:A$990,0),2),"")</f>
        <v/>
      </c>
      <c r="C590" s="55" t="str">
        <f>IF(A590&lt;&gt;"",INDEX('Base de données'!A$4:L$990,MATCH(' TVA M'!A590,'Base de données'!A$4:A$990,0),12),"")</f>
        <v/>
      </c>
    </row>
    <row r="591" spans="2:3" hidden="1" x14ac:dyDescent="0.25">
      <c r="B591" s="55" t="str">
        <f>IF(A591&lt;&gt;"",INDEX('Base de données'!A$4:L$990,MATCH(' TVA M'!A591,'Base de données'!A$4:A$990,0),2),"")</f>
        <v/>
      </c>
      <c r="C591" s="55" t="str">
        <f>IF(A591&lt;&gt;"",INDEX('Base de données'!A$4:L$990,MATCH(' TVA M'!A591,'Base de données'!A$4:A$990,0),12),"")</f>
        <v/>
      </c>
    </row>
    <row r="592" spans="2:3" hidden="1" x14ac:dyDescent="0.25">
      <c r="B592" s="55" t="str">
        <f>IF(A592&lt;&gt;"",INDEX('Base de données'!A$4:L$990,MATCH(' TVA M'!A592,'Base de données'!A$4:A$990,0),2),"")</f>
        <v/>
      </c>
      <c r="C592" s="55" t="str">
        <f>IF(A592&lt;&gt;"",INDEX('Base de données'!A$4:L$990,MATCH(' TVA M'!A592,'Base de données'!A$4:A$990,0),12),"")</f>
        <v/>
      </c>
    </row>
    <row r="593" spans="2:3" hidden="1" x14ac:dyDescent="0.25">
      <c r="B593" s="55" t="str">
        <f>IF(A593&lt;&gt;"",INDEX('Base de données'!A$4:L$990,MATCH(' TVA M'!A593,'Base de données'!A$4:A$990,0),2),"")</f>
        <v/>
      </c>
      <c r="C593" s="55" t="str">
        <f>IF(A593&lt;&gt;"",INDEX('Base de données'!A$4:L$990,MATCH(' TVA M'!A593,'Base de données'!A$4:A$990,0),12),"")</f>
        <v/>
      </c>
    </row>
    <row r="594" spans="2:3" hidden="1" x14ac:dyDescent="0.25">
      <c r="B594" s="55" t="str">
        <f>IF(A594&lt;&gt;"",INDEX('Base de données'!A$4:L$990,MATCH(' TVA M'!A594,'Base de données'!A$4:A$990,0),2),"")</f>
        <v/>
      </c>
      <c r="C594" s="55" t="str">
        <f>IF(A594&lt;&gt;"",INDEX('Base de données'!A$4:L$990,MATCH(' TVA M'!A594,'Base de données'!A$4:A$990,0),12),"")</f>
        <v/>
      </c>
    </row>
    <row r="595" spans="2:3" hidden="1" x14ac:dyDescent="0.25">
      <c r="B595" s="55" t="str">
        <f>IF(A595&lt;&gt;"",INDEX('Base de données'!A$4:L$990,MATCH(' TVA M'!A595,'Base de données'!A$4:A$990,0),2),"")</f>
        <v/>
      </c>
      <c r="C595" s="55" t="str">
        <f>IF(A595&lt;&gt;"",INDEX('Base de données'!A$4:L$990,MATCH(' TVA M'!A595,'Base de données'!A$4:A$990,0),12),"")</f>
        <v/>
      </c>
    </row>
    <row r="596" spans="2:3" hidden="1" x14ac:dyDescent="0.25">
      <c r="B596" s="55" t="str">
        <f>IF(A596&lt;&gt;"",INDEX('Base de données'!A$4:L$990,MATCH(' TVA M'!A596,'Base de données'!A$4:A$990,0),2),"")</f>
        <v/>
      </c>
      <c r="C596" s="55" t="str">
        <f>IF(A596&lt;&gt;"",INDEX('Base de données'!A$4:L$990,MATCH(' TVA M'!A596,'Base de données'!A$4:A$990,0),12),"")</f>
        <v/>
      </c>
    </row>
    <row r="597" spans="2:3" hidden="1" x14ac:dyDescent="0.25">
      <c r="B597" s="55" t="str">
        <f>IF(A597&lt;&gt;"",INDEX('Base de données'!A$4:L$990,MATCH(' TVA M'!A597,'Base de données'!A$4:A$990,0),2),"")</f>
        <v/>
      </c>
      <c r="C597" s="55" t="str">
        <f>IF(A597&lt;&gt;"",INDEX('Base de données'!A$4:L$990,MATCH(' TVA M'!A597,'Base de données'!A$4:A$990,0),12),"")</f>
        <v/>
      </c>
    </row>
    <row r="598" spans="2:3" hidden="1" x14ac:dyDescent="0.25">
      <c r="B598" s="55" t="str">
        <f>IF(A598&lt;&gt;"",INDEX('Base de données'!A$4:L$990,MATCH(' TVA M'!A598,'Base de données'!A$4:A$990,0),2),"")</f>
        <v/>
      </c>
      <c r="C598" s="55" t="str">
        <f>IF(A598&lt;&gt;"",INDEX('Base de données'!A$4:L$990,MATCH(' TVA M'!A598,'Base de données'!A$4:A$990,0),12),"")</f>
        <v/>
      </c>
    </row>
    <row r="599" spans="2:3" hidden="1" x14ac:dyDescent="0.25">
      <c r="B599" s="55" t="str">
        <f>IF(A599&lt;&gt;"",INDEX('Base de données'!A$4:L$990,MATCH(' TVA M'!A599,'Base de données'!A$4:A$990,0),2),"")</f>
        <v/>
      </c>
      <c r="C599" s="55" t="str">
        <f>IF(A599&lt;&gt;"",INDEX('Base de données'!A$4:L$990,MATCH(' TVA M'!A599,'Base de données'!A$4:A$990,0),12),"")</f>
        <v/>
      </c>
    </row>
    <row r="600" spans="2:3" hidden="1" x14ac:dyDescent="0.25">
      <c r="B600" s="55" t="str">
        <f>IF(A600&lt;&gt;"",INDEX('Base de données'!A$4:L$990,MATCH(' TVA M'!A600,'Base de données'!A$4:A$990,0),2),"")</f>
        <v/>
      </c>
      <c r="C600" s="55" t="str">
        <f>IF(A600&lt;&gt;"",INDEX('Base de données'!A$4:L$990,MATCH(' TVA M'!A600,'Base de données'!A$4:A$990,0),12),"")</f>
        <v/>
      </c>
    </row>
    <row r="601" spans="2:3" hidden="1" x14ac:dyDescent="0.25">
      <c r="B601" s="55" t="str">
        <f>IF(A601&lt;&gt;"",INDEX('Base de données'!A$4:L$990,MATCH(' TVA M'!A601,'Base de données'!A$4:A$990,0),2),"")</f>
        <v/>
      </c>
      <c r="C601" s="55" t="str">
        <f>IF(A601&lt;&gt;"",INDEX('Base de données'!A$4:L$990,MATCH(' TVA M'!A601,'Base de données'!A$4:A$990,0),12),"")</f>
        <v/>
      </c>
    </row>
    <row r="602" spans="2:3" hidden="1" x14ac:dyDescent="0.25">
      <c r="B602" s="55" t="str">
        <f>IF(A602&lt;&gt;"",INDEX('Base de données'!A$4:L$990,MATCH(' TVA M'!A602,'Base de données'!A$4:A$990,0),2),"")</f>
        <v/>
      </c>
      <c r="C602" s="55" t="str">
        <f>IF(A602&lt;&gt;"",INDEX('Base de données'!A$4:L$990,MATCH(' TVA M'!A602,'Base de données'!A$4:A$990,0),12),"")</f>
        <v/>
      </c>
    </row>
    <row r="603" spans="2:3" hidden="1" x14ac:dyDescent="0.25">
      <c r="B603" s="55" t="str">
        <f>IF(A603&lt;&gt;"",INDEX('Base de données'!A$4:L$990,MATCH(' TVA M'!A603,'Base de données'!A$4:A$990,0),2),"")</f>
        <v/>
      </c>
      <c r="C603" s="55" t="str">
        <f>IF(A603&lt;&gt;"",INDEX('Base de données'!A$4:L$990,MATCH(' TVA M'!A603,'Base de données'!A$4:A$990,0),12),"")</f>
        <v/>
      </c>
    </row>
    <row r="604" spans="2:3" hidden="1" x14ac:dyDescent="0.25">
      <c r="B604" s="55" t="str">
        <f>IF(A604&lt;&gt;"",INDEX('Base de données'!A$4:L$990,MATCH(' TVA M'!A604,'Base de données'!A$4:A$990,0),2),"")</f>
        <v/>
      </c>
      <c r="C604" s="55" t="str">
        <f>IF(A604&lt;&gt;"",INDEX('Base de données'!A$4:L$990,MATCH(' TVA M'!A604,'Base de données'!A$4:A$990,0),12),"")</f>
        <v/>
      </c>
    </row>
    <row r="605" spans="2:3" hidden="1" x14ac:dyDescent="0.25">
      <c r="B605" s="55" t="str">
        <f>IF(A605&lt;&gt;"",INDEX('Base de données'!A$4:L$990,MATCH(' TVA M'!A605,'Base de données'!A$4:A$990,0),2),"")</f>
        <v/>
      </c>
      <c r="C605" s="55" t="str">
        <f>IF(A605&lt;&gt;"",INDEX('Base de données'!A$4:L$990,MATCH(' TVA M'!A605,'Base de données'!A$4:A$990,0),12),"")</f>
        <v/>
      </c>
    </row>
    <row r="606" spans="2:3" hidden="1" x14ac:dyDescent="0.25">
      <c r="B606" s="55" t="str">
        <f>IF(A606&lt;&gt;"",INDEX('Base de données'!A$4:L$990,MATCH(' TVA M'!A606,'Base de données'!A$4:A$990,0),2),"")</f>
        <v/>
      </c>
      <c r="C606" s="55" t="str">
        <f>IF(A606&lt;&gt;"",INDEX('Base de données'!A$4:L$990,MATCH(' TVA M'!A606,'Base de données'!A$4:A$990,0),12),"")</f>
        <v/>
      </c>
    </row>
    <row r="607" spans="2:3" hidden="1" x14ac:dyDescent="0.25">
      <c r="B607" s="55" t="str">
        <f>IF(A607&lt;&gt;"",INDEX('Base de données'!A$4:L$990,MATCH(' TVA M'!A607,'Base de données'!A$4:A$990,0),2),"")</f>
        <v/>
      </c>
      <c r="C607" s="55" t="str">
        <f>IF(A607&lt;&gt;"",INDEX('Base de données'!A$4:L$990,MATCH(' TVA M'!A607,'Base de données'!A$4:A$990,0),12),"")</f>
        <v/>
      </c>
    </row>
    <row r="608" spans="2:3" hidden="1" x14ac:dyDescent="0.25">
      <c r="B608" s="55" t="str">
        <f>IF(A608&lt;&gt;"",INDEX('Base de données'!A$4:L$990,MATCH(' TVA M'!A608,'Base de données'!A$4:A$990,0),2),"")</f>
        <v/>
      </c>
      <c r="C608" s="55" t="str">
        <f>IF(A608&lt;&gt;"",INDEX('Base de données'!A$4:L$990,MATCH(' TVA M'!A608,'Base de données'!A$4:A$990,0),12),"")</f>
        <v/>
      </c>
    </row>
    <row r="609" spans="2:3" hidden="1" x14ac:dyDescent="0.25">
      <c r="B609" s="55" t="str">
        <f>IF(A609&lt;&gt;"",INDEX('Base de données'!A$4:L$990,MATCH(' TVA M'!A609,'Base de données'!A$4:A$990,0),2),"")</f>
        <v/>
      </c>
      <c r="C609" s="55" t="str">
        <f>IF(A609&lt;&gt;"",INDEX('Base de données'!A$4:L$990,MATCH(' TVA M'!A609,'Base de données'!A$4:A$990,0),12),"")</f>
        <v/>
      </c>
    </row>
    <row r="610" spans="2:3" hidden="1" x14ac:dyDescent="0.25">
      <c r="B610" s="55" t="str">
        <f>IF(A610&lt;&gt;"",INDEX('Base de données'!A$4:L$990,MATCH(' TVA M'!A610,'Base de données'!A$4:A$990,0),2),"")</f>
        <v/>
      </c>
      <c r="C610" s="55" t="str">
        <f>IF(A610&lt;&gt;"",INDEX('Base de données'!A$4:L$990,MATCH(' TVA M'!A610,'Base de données'!A$4:A$990,0),12),"")</f>
        <v/>
      </c>
    </row>
    <row r="611" spans="2:3" hidden="1" x14ac:dyDescent="0.25">
      <c r="B611" s="55" t="str">
        <f>IF(A611&lt;&gt;"",INDEX('Base de données'!A$4:L$990,MATCH(' TVA M'!A611,'Base de données'!A$4:A$990,0),2),"")</f>
        <v/>
      </c>
      <c r="C611" s="55" t="str">
        <f>IF(A611&lt;&gt;"",INDEX('Base de données'!A$4:L$990,MATCH(' TVA M'!A611,'Base de données'!A$4:A$990,0),12),"")</f>
        <v/>
      </c>
    </row>
    <row r="612" spans="2:3" hidden="1" x14ac:dyDescent="0.25">
      <c r="B612" s="55" t="str">
        <f>IF(A612&lt;&gt;"",INDEX('Base de données'!A$4:L$990,MATCH(' TVA M'!A612,'Base de données'!A$4:A$990,0),2),"")</f>
        <v/>
      </c>
      <c r="C612" s="55" t="str">
        <f>IF(A612&lt;&gt;"",INDEX('Base de données'!A$4:L$990,MATCH(' TVA M'!A612,'Base de données'!A$4:A$990,0),12),"")</f>
        <v/>
      </c>
    </row>
    <row r="613" spans="2:3" hidden="1" x14ac:dyDescent="0.25">
      <c r="B613" s="55" t="str">
        <f>IF(A613&lt;&gt;"",INDEX('Base de données'!A$4:L$990,MATCH(' TVA M'!A613,'Base de données'!A$4:A$990,0),2),"")</f>
        <v/>
      </c>
      <c r="C613" s="55" t="str">
        <f>IF(A613&lt;&gt;"",INDEX('Base de données'!A$4:L$990,MATCH(' TVA M'!A613,'Base de données'!A$4:A$990,0),12),"")</f>
        <v/>
      </c>
    </row>
    <row r="614" spans="2:3" hidden="1" x14ac:dyDescent="0.25">
      <c r="B614" s="55" t="str">
        <f>IF(A614&lt;&gt;"",INDEX('Base de données'!A$4:L$990,MATCH(' TVA M'!A614,'Base de données'!A$4:A$990,0),2),"")</f>
        <v/>
      </c>
      <c r="C614" s="55" t="str">
        <f>IF(A614&lt;&gt;"",INDEX('Base de données'!A$4:L$990,MATCH(' TVA M'!A614,'Base de données'!A$4:A$990,0),12),"")</f>
        <v/>
      </c>
    </row>
    <row r="615" spans="2:3" hidden="1" x14ac:dyDescent="0.25">
      <c r="B615" s="55" t="str">
        <f>IF(A615&lt;&gt;"",INDEX('Base de données'!A$4:L$990,MATCH(' TVA M'!A615,'Base de données'!A$4:A$990,0),2),"")</f>
        <v/>
      </c>
      <c r="C615" s="55" t="str">
        <f>IF(A615&lt;&gt;"",INDEX('Base de données'!A$4:L$990,MATCH(' TVA M'!A615,'Base de données'!A$4:A$990,0),12),"")</f>
        <v/>
      </c>
    </row>
    <row r="616" spans="2:3" hidden="1" x14ac:dyDescent="0.25">
      <c r="B616" s="55" t="str">
        <f>IF(A616&lt;&gt;"",INDEX('Base de données'!A$4:L$990,MATCH(' TVA M'!A616,'Base de données'!A$4:A$990,0),2),"")</f>
        <v/>
      </c>
      <c r="C616" s="55" t="str">
        <f>IF(A616&lt;&gt;"",INDEX('Base de données'!A$4:L$990,MATCH(' TVA M'!A616,'Base de données'!A$4:A$990,0),12),"")</f>
        <v/>
      </c>
    </row>
    <row r="617" spans="2:3" hidden="1" x14ac:dyDescent="0.25">
      <c r="B617" s="55" t="str">
        <f>IF(A617&lt;&gt;"",INDEX('Base de données'!A$4:L$990,MATCH(' TVA M'!A617,'Base de données'!A$4:A$990,0),2),"")</f>
        <v/>
      </c>
      <c r="C617" s="55" t="str">
        <f>IF(A617&lt;&gt;"",INDEX('Base de données'!A$4:L$990,MATCH(' TVA M'!A617,'Base de données'!A$4:A$990,0),12),"")</f>
        <v/>
      </c>
    </row>
    <row r="618" spans="2:3" hidden="1" x14ac:dyDescent="0.25">
      <c r="B618" s="55" t="str">
        <f>IF(A618&lt;&gt;"",INDEX('Base de données'!A$4:L$990,MATCH(' TVA M'!A618,'Base de données'!A$4:A$990,0),2),"")</f>
        <v/>
      </c>
      <c r="C618" s="55" t="str">
        <f>IF(A618&lt;&gt;"",INDEX('Base de données'!A$4:L$990,MATCH(' TVA M'!A618,'Base de données'!A$4:A$990,0),12),"")</f>
        <v/>
      </c>
    </row>
    <row r="619" spans="2:3" hidden="1" x14ac:dyDescent="0.25">
      <c r="B619" s="55" t="str">
        <f>IF(A619&lt;&gt;"",INDEX('Base de données'!A$4:L$990,MATCH(' TVA M'!A619,'Base de données'!A$4:A$990,0),2),"")</f>
        <v/>
      </c>
      <c r="C619" s="55" t="str">
        <f>IF(A619&lt;&gt;"",INDEX('Base de données'!A$4:L$990,MATCH(' TVA M'!A619,'Base de données'!A$4:A$990,0),12),"")</f>
        <v/>
      </c>
    </row>
    <row r="620" spans="2:3" hidden="1" x14ac:dyDescent="0.25">
      <c r="B620" s="55" t="str">
        <f>IF(A620&lt;&gt;"",INDEX('Base de données'!A$4:L$990,MATCH(' TVA M'!A620,'Base de données'!A$4:A$990,0),2),"")</f>
        <v/>
      </c>
      <c r="C620" s="55" t="str">
        <f>IF(A620&lt;&gt;"",INDEX('Base de données'!A$4:L$990,MATCH(' TVA M'!A620,'Base de données'!A$4:A$990,0),12),"")</f>
        <v/>
      </c>
    </row>
    <row r="621" spans="2:3" hidden="1" x14ac:dyDescent="0.25">
      <c r="B621" s="55" t="str">
        <f>IF(A621&lt;&gt;"",INDEX('Base de données'!A$4:L$990,MATCH(' TVA M'!A621,'Base de données'!A$4:A$990,0),2),"")</f>
        <v/>
      </c>
      <c r="C621" s="55" t="str">
        <f>IF(A621&lt;&gt;"",INDEX('Base de données'!A$4:L$990,MATCH(' TVA M'!A621,'Base de données'!A$4:A$990,0),12),"")</f>
        <v/>
      </c>
    </row>
    <row r="622" spans="2:3" hidden="1" x14ac:dyDescent="0.25">
      <c r="B622" s="55" t="str">
        <f>IF(A622&lt;&gt;"",INDEX('Base de données'!A$4:L$990,MATCH(' TVA M'!A622,'Base de données'!A$4:A$990,0),2),"")</f>
        <v/>
      </c>
      <c r="C622" s="55" t="str">
        <f>IF(A622&lt;&gt;"",INDEX('Base de données'!A$4:L$990,MATCH(' TVA M'!A622,'Base de données'!A$4:A$990,0),12),"")</f>
        <v/>
      </c>
    </row>
    <row r="623" spans="2:3" hidden="1" x14ac:dyDescent="0.25">
      <c r="B623" s="55" t="str">
        <f>IF(A623&lt;&gt;"",INDEX('Base de données'!A$4:L$990,MATCH(' TVA M'!A623,'Base de données'!A$4:A$990,0),2),"")</f>
        <v/>
      </c>
      <c r="C623" s="55" t="str">
        <f>IF(A623&lt;&gt;"",INDEX('Base de données'!A$4:L$990,MATCH(' TVA M'!A623,'Base de données'!A$4:A$990,0),12),"")</f>
        <v/>
      </c>
    </row>
    <row r="624" spans="2:3" hidden="1" x14ac:dyDescent="0.25">
      <c r="B624" s="55" t="str">
        <f>IF(A624&lt;&gt;"",INDEX('Base de données'!A$4:L$990,MATCH(' TVA M'!A624,'Base de données'!A$4:A$990,0),2),"")</f>
        <v/>
      </c>
      <c r="C624" s="55" t="str">
        <f>IF(A624&lt;&gt;"",INDEX('Base de données'!A$4:L$990,MATCH(' TVA M'!A624,'Base de données'!A$4:A$990,0),12),"")</f>
        <v/>
      </c>
    </row>
    <row r="625" spans="2:3" hidden="1" x14ac:dyDescent="0.25">
      <c r="B625" s="55" t="str">
        <f>IF(A625&lt;&gt;"",INDEX('Base de données'!A$4:L$990,MATCH(' TVA M'!A625,'Base de données'!A$4:A$990,0),2),"")</f>
        <v/>
      </c>
      <c r="C625" s="55" t="str">
        <f>IF(A625&lt;&gt;"",INDEX('Base de données'!A$4:L$990,MATCH(' TVA M'!A625,'Base de données'!A$4:A$990,0),12),"")</f>
        <v/>
      </c>
    </row>
    <row r="626" spans="2:3" hidden="1" x14ac:dyDescent="0.25">
      <c r="B626" s="55" t="str">
        <f>IF(A626&lt;&gt;"",INDEX('Base de données'!A$4:L$990,MATCH(' TVA M'!A626,'Base de données'!A$4:A$990,0),2),"")</f>
        <v/>
      </c>
      <c r="C626" s="55" t="str">
        <f>IF(A626&lt;&gt;"",INDEX('Base de données'!A$4:L$990,MATCH(' TVA M'!A626,'Base de données'!A$4:A$990,0),12),"")</f>
        <v/>
      </c>
    </row>
    <row r="627" spans="2:3" hidden="1" x14ac:dyDescent="0.25">
      <c r="B627" s="55" t="str">
        <f>IF(A627&lt;&gt;"",INDEX('Base de données'!A$4:L$990,MATCH(' TVA M'!A627,'Base de données'!A$4:A$990,0),2),"")</f>
        <v/>
      </c>
      <c r="C627" s="55" t="str">
        <f>IF(A627&lt;&gt;"",INDEX('Base de données'!A$4:L$990,MATCH(' TVA M'!A627,'Base de données'!A$4:A$990,0),12),"")</f>
        <v/>
      </c>
    </row>
    <row r="628" spans="2:3" hidden="1" x14ac:dyDescent="0.25">
      <c r="B628" s="55" t="str">
        <f>IF(A628&lt;&gt;"",INDEX('Base de données'!A$4:L$990,MATCH(' TVA M'!A628,'Base de données'!A$4:A$990,0),2),"")</f>
        <v/>
      </c>
      <c r="C628" s="55" t="str">
        <f>IF(A628&lt;&gt;"",INDEX('Base de données'!A$4:L$990,MATCH(' TVA M'!A628,'Base de données'!A$4:A$990,0),12),"")</f>
        <v/>
      </c>
    </row>
    <row r="629" spans="2:3" hidden="1" x14ac:dyDescent="0.25">
      <c r="B629" s="55" t="str">
        <f>IF(A629&lt;&gt;"",INDEX('Base de données'!A$4:L$990,MATCH(' TVA M'!A629,'Base de données'!A$4:A$990,0),2),"")</f>
        <v/>
      </c>
      <c r="C629" s="55" t="str">
        <f>IF(A629&lt;&gt;"",INDEX('Base de données'!A$4:L$990,MATCH(' TVA M'!A629,'Base de données'!A$4:A$990,0),12),"")</f>
        <v/>
      </c>
    </row>
    <row r="630" spans="2:3" hidden="1" x14ac:dyDescent="0.25">
      <c r="B630" s="55" t="str">
        <f>IF(A630&lt;&gt;"",INDEX('Base de données'!A$4:L$990,MATCH(' TVA M'!A630,'Base de données'!A$4:A$990,0),2),"")</f>
        <v/>
      </c>
      <c r="C630" s="55" t="str">
        <f>IF(A630&lt;&gt;"",INDEX('Base de données'!A$4:L$990,MATCH(' TVA M'!A630,'Base de données'!A$4:A$990,0),12),"")</f>
        <v/>
      </c>
    </row>
    <row r="631" spans="2:3" hidden="1" x14ac:dyDescent="0.25">
      <c r="B631" s="55" t="str">
        <f>IF(A631&lt;&gt;"",INDEX('Base de données'!A$4:L$990,MATCH(' TVA M'!A631,'Base de données'!A$4:A$990,0),2),"")</f>
        <v/>
      </c>
      <c r="C631" s="55" t="str">
        <f>IF(A631&lt;&gt;"",INDEX('Base de données'!A$4:L$990,MATCH(' TVA M'!A631,'Base de données'!A$4:A$990,0),12),"")</f>
        <v/>
      </c>
    </row>
    <row r="632" spans="2:3" hidden="1" x14ac:dyDescent="0.25">
      <c r="B632" s="55" t="str">
        <f>IF(A632&lt;&gt;"",INDEX('Base de données'!A$4:L$990,MATCH(' TVA M'!A632,'Base de données'!A$4:A$990,0),2),"")</f>
        <v/>
      </c>
      <c r="C632" s="55" t="str">
        <f>IF(A632&lt;&gt;"",INDEX('Base de données'!A$4:L$990,MATCH(' TVA M'!A632,'Base de données'!A$4:A$990,0),12),"")</f>
        <v/>
      </c>
    </row>
    <row r="633" spans="2:3" hidden="1" x14ac:dyDescent="0.25">
      <c r="B633" s="55" t="str">
        <f>IF(A633&lt;&gt;"",INDEX('Base de données'!A$4:L$990,MATCH(' TVA M'!A633,'Base de données'!A$4:A$990,0),2),"")</f>
        <v/>
      </c>
      <c r="C633" s="55" t="str">
        <f>IF(A633&lt;&gt;"",INDEX('Base de données'!A$4:L$990,MATCH(' TVA M'!A633,'Base de données'!A$4:A$990,0),12),"")</f>
        <v/>
      </c>
    </row>
    <row r="634" spans="2:3" hidden="1" x14ac:dyDescent="0.25">
      <c r="B634" s="55" t="str">
        <f>IF(A634&lt;&gt;"",INDEX('Base de données'!A$4:L$990,MATCH(' TVA M'!A634,'Base de données'!A$4:A$990,0),2),"")</f>
        <v/>
      </c>
      <c r="C634" s="55" t="str">
        <f>IF(A634&lt;&gt;"",INDEX('Base de données'!A$4:L$990,MATCH(' TVA M'!A634,'Base de données'!A$4:A$990,0),12),"")</f>
        <v/>
      </c>
    </row>
    <row r="635" spans="2:3" hidden="1" x14ac:dyDescent="0.25">
      <c r="B635" s="55" t="str">
        <f>IF(A635&lt;&gt;"",INDEX('Base de données'!A$4:L$990,MATCH(' TVA M'!A635,'Base de données'!A$4:A$990,0),2),"")</f>
        <v/>
      </c>
      <c r="C635" s="55" t="str">
        <f>IF(A635&lt;&gt;"",INDEX('Base de données'!A$4:L$990,MATCH(' TVA M'!A635,'Base de données'!A$4:A$990,0),12),"")</f>
        <v/>
      </c>
    </row>
    <row r="636" spans="2:3" hidden="1" x14ac:dyDescent="0.25">
      <c r="B636" s="55" t="str">
        <f>IF(A636&lt;&gt;"",INDEX('Base de données'!A$4:L$990,MATCH(' TVA M'!A636,'Base de données'!A$4:A$990,0),2),"")</f>
        <v/>
      </c>
      <c r="C636" s="55" t="str">
        <f>IF(A636&lt;&gt;"",INDEX('Base de données'!A$4:L$990,MATCH(' TVA M'!A636,'Base de données'!A$4:A$990,0),12),"")</f>
        <v/>
      </c>
    </row>
    <row r="637" spans="2:3" hidden="1" x14ac:dyDescent="0.25">
      <c r="B637" s="55" t="str">
        <f>IF(A637&lt;&gt;"",INDEX('Base de données'!A$4:L$990,MATCH(' TVA M'!A637,'Base de données'!A$4:A$990,0),2),"")</f>
        <v/>
      </c>
      <c r="C637" s="55" t="str">
        <f>IF(A637&lt;&gt;"",INDEX('Base de données'!A$4:L$990,MATCH(' TVA M'!A637,'Base de données'!A$4:A$990,0),12),"")</f>
        <v/>
      </c>
    </row>
    <row r="638" spans="2:3" hidden="1" x14ac:dyDescent="0.25">
      <c r="B638" s="55" t="str">
        <f>IF(A638&lt;&gt;"",INDEX('Base de données'!A$4:L$990,MATCH(' TVA M'!A638,'Base de données'!A$4:A$990,0),2),"")</f>
        <v/>
      </c>
      <c r="C638" s="55" t="str">
        <f>IF(A638&lt;&gt;"",INDEX('Base de données'!A$4:L$990,MATCH(' TVA M'!A638,'Base de données'!A$4:A$990,0),12),"")</f>
        <v/>
      </c>
    </row>
    <row r="639" spans="2:3" hidden="1" x14ac:dyDescent="0.25">
      <c r="B639" s="55" t="str">
        <f>IF(A639&lt;&gt;"",INDEX('Base de données'!A$4:L$990,MATCH(' TVA M'!A639,'Base de données'!A$4:A$990,0),2),"")</f>
        <v/>
      </c>
      <c r="C639" s="55" t="str">
        <f>IF(A639&lt;&gt;"",INDEX('Base de données'!A$4:L$990,MATCH(' TVA M'!A639,'Base de données'!A$4:A$990,0),12),"")</f>
        <v/>
      </c>
    </row>
    <row r="640" spans="2:3" hidden="1" x14ac:dyDescent="0.25">
      <c r="B640" s="55" t="str">
        <f>IF(A640&lt;&gt;"",INDEX('Base de données'!A$4:L$990,MATCH(' TVA M'!A640,'Base de données'!A$4:A$990,0),2),"")</f>
        <v/>
      </c>
      <c r="C640" s="55" t="str">
        <f>IF(A640&lt;&gt;"",INDEX('Base de données'!A$4:L$990,MATCH(' TVA M'!A640,'Base de données'!A$4:A$990,0),12),"")</f>
        <v/>
      </c>
    </row>
    <row r="641" spans="2:3" hidden="1" x14ac:dyDescent="0.25">
      <c r="B641" s="55" t="str">
        <f>IF(A641&lt;&gt;"",INDEX('Base de données'!A$4:L$990,MATCH(' TVA M'!A641,'Base de données'!A$4:A$990,0),2),"")</f>
        <v/>
      </c>
      <c r="C641" s="55" t="str">
        <f>IF(A641&lt;&gt;"",INDEX('Base de données'!A$4:L$990,MATCH(' TVA M'!A641,'Base de données'!A$4:A$990,0),12),"")</f>
        <v/>
      </c>
    </row>
    <row r="642" spans="2:3" hidden="1" x14ac:dyDescent="0.25">
      <c r="B642" s="55" t="str">
        <f>IF(A642&lt;&gt;"",INDEX('Base de données'!A$4:L$990,MATCH(' TVA M'!A642,'Base de données'!A$4:A$990,0),2),"")</f>
        <v/>
      </c>
      <c r="C642" s="55" t="str">
        <f>IF(A642&lt;&gt;"",INDEX('Base de données'!A$4:L$990,MATCH(' TVA M'!A642,'Base de données'!A$4:A$990,0),12),"")</f>
        <v/>
      </c>
    </row>
    <row r="643" spans="2:3" hidden="1" x14ac:dyDescent="0.25">
      <c r="B643" s="55" t="str">
        <f>IF(A643&lt;&gt;"",INDEX('Base de données'!A$4:L$990,MATCH(' TVA M'!A643,'Base de données'!A$4:A$990,0),2),"")</f>
        <v/>
      </c>
      <c r="C643" s="55" t="str">
        <f>IF(A643&lt;&gt;"",INDEX('Base de données'!A$4:L$990,MATCH(' TVA M'!A643,'Base de données'!A$4:A$990,0),12),"")</f>
        <v/>
      </c>
    </row>
    <row r="644" spans="2:3" hidden="1" x14ac:dyDescent="0.25">
      <c r="B644" s="55" t="str">
        <f>IF(A644&lt;&gt;"",INDEX('Base de données'!A$4:L$990,MATCH(' TVA M'!A644,'Base de données'!A$4:A$990,0),2),"")</f>
        <v/>
      </c>
      <c r="C644" s="55" t="str">
        <f>IF(A644&lt;&gt;"",INDEX('Base de données'!A$4:L$990,MATCH(' TVA M'!A644,'Base de données'!A$4:A$990,0),12),"")</f>
        <v/>
      </c>
    </row>
    <row r="645" spans="2:3" hidden="1" x14ac:dyDescent="0.25">
      <c r="B645" s="55" t="str">
        <f>IF(A645&lt;&gt;"",INDEX('Base de données'!A$4:L$990,MATCH(' TVA M'!A645,'Base de données'!A$4:A$990,0),2),"")</f>
        <v/>
      </c>
      <c r="C645" s="55" t="str">
        <f>IF(A645&lt;&gt;"",INDEX('Base de données'!A$4:L$990,MATCH(' TVA M'!A645,'Base de données'!A$4:A$990,0),12),"")</f>
        <v/>
      </c>
    </row>
    <row r="646" spans="2:3" hidden="1" x14ac:dyDescent="0.25">
      <c r="B646" s="55" t="str">
        <f>IF(A646&lt;&gt;"",INDEX('Base de données'!A$4:L$990,MATCH(' TVA M'!A646,'Base de données'!A$4:A$990,0),2),"")</f>
        <v/>
      </c>
      <c r="C646" s="55" t="str">
        <f>IF(A646&lt;&gt;"",INDEX('Base de données'!A$4:L$990,MATCH(' TVA M'!A646,'Base de données'!A$4:A$990,0),12),"")</f>
        <v/>
      </c>
    </row>
    <row r="647" spans="2:3" hidden="1" x14ac:dyDescent="0.25">
      <c r="B647" s="55" t="str">
        <f>IF(A647&lt;&gt;"",INDEX('Base de données'!A$4:L$990,MATCH(' TVA M'!A647,'Base de données'!A$4:A$990,0),2),"")</f>
        <v/>
      </c>
      <c r="C647" s="55" t="str">
        <f>IF(A647&lt;&gt;"",INDEX('Base de données'!A$4:L$990,MATCH(' TVA M'!A647,'Base de données'!A$4:A$990,0),12),"")</f>
        <v/>
      </c>
    </row>
    <row r="648" spans="2:3" hidden="1" x14ac:dyDescent="0.25">
      <c r="B648" s="55" t="str">
        <f>IF(A648&lt;&gt;"",INDEX('Base de données'!A$4:L$990,MATCH(' TVA M'!A648,'Base de données'!A$4:A$990,0),2),"")</f>
        <v/>
      </c>
      <c r="C648" s="55" t="str">
        <f>IF(A648&lt;&gt;"",INDEX('Base de données'!A$4:L$990,MATCH(' TVA M'!A648,'Base de données'!A$4:A$990,0),12),"")</f>
        <v/>
      </c>
    </row>
    <row r="649" spans="2:3" hidden="1" x14ac:dyDescent="0.25">
      <c r="B649" s="55" t="str">
        <f>IF(A649&lt;&gt;"",INDEX('Base de données'!A$4:L$990,MATCH(' TVA M'!A649,'Base de données'!A$4:A$990,0),2),"")</f>
        <v/>
      </c>
      <c r="C649" s="55" t="str">
        <f>IF(A649&lt;&gt;"",INDEX('Base de données'!A$4:L$990,MATCH(' TVA M'!A649,'Base de données'!A$4:A$990,0),12),"")</f>
        <v/>
      </c>
    </row>
    <row r="650" spans="2:3" hidden="1" x14ac:dyDescent="0.25">
      <c r="B650" s="55" t="str">
        <f>IF(A650&lt;&gt;"",INDEX('Base de données'!A$4:L$990,MATCH(' TVA M'!A650,'Base de données'!A$4:A$990,0),2),"")</f>
        <v/>
      </c>
      <c r="C650" s="55" t="str">
        <f>IF(A650&lt;&gt;"",INDEX('Base de données'!A$4:L$990,MATCH(' TVA M'!A650,'Base de données'!A$4:A$990,0),12),"")</f>
        <v/>
      </c>
    </row>
    <row r="651" spans="2:3" hidden="1" x14ac:dyDescent="0.25">
      <c r="B651" s="55" t="str">
        <f>IF(A651&lt;&gt;"",INDEX('Base de données'!A$4:L$990,MATCH(' TVA M'!A651,'Base de données'!A$4:A$990,0),2),"")</f>
        <v/>
      </c>
      <c r="C651" s="55" t="str">
        <f>IF(A651&lt;&gt;"",INDEX('Base de données'!A$4:L$990,MATCH(' TVA M'!A651,'Base de données'!A$4:A$990,0),12),"")</f>
        <v/>
      </c>
    </row>
    <row r="652" spans="2:3" hidden="1" x14ac:dyDescent="0.25">
      <c r="B652" s="55" t="str">
        <f>IF(A652&lt;&gt;"",INDEX('Base de données'!A$4:L$990,MATCH(' TVA M'!A652,'Base de données'!A$4:A$990,0),2),"")</f>
        <v/>
      </c>
      <c r="C652" s="55" t="str">
        <f>IF(A652&lt;&gt;"",INDEX('Base de données'!A$4:L$990,MATCH(' TVA M'!A652,'Base de données'!A$4:A$990,0),12),"")</f>
        <v/>
      </c>
    </row>
    <row r="653" spans="2:3" hidden="1" x14ac:dyDescent="0.25">
      <c r="B653" s="55" t="str">
        <f>IF(A653&lt;&gt;"",INDEX('Base de données'!A$4:L$990,MATCH(' TVA M'!A653,'Base de données'!A$4:A$990,0),2),"")</f>
        <v/>
      </c>
      <c r="C653" s="55" t="str">
        <f>IF(A653&lt;&gt;"",INDEX('Base de données'!A$4:L$990,MATCH(' TVA M'!A653,'Base de données'!A$4:A$990,0),12),"")</f>
        <v/>
      </c>
    </row>
    <row r="654" spans="2:3" hidden="1" x14ac:dyDescent="0.25">
      <c r="B654" s="55" t="str">
        <f>IF(A654&lt;&gt;"",INDEX('Base de données'!A$4:L$990,MATCH(' TVA M'!A654,'Base de données'!A$4:A$990,0),2),"")</f>
        <v/>
      </c>
      <c r="C654" s="55" t="str">
        <f>IF(A654&lt;&gt;"",INDEX('Base de données'!A$4:L$990,MATCH(' TVA M'!A654,'Base de données'!A$4:A$990,0),12),"")</f>
        <v/>
      </c>
    </row>
    <row r="655" spans="2:3" hidden="1" x14ac:dyDescent="0.25">
      <c r="B655" s="55" t="str">
        <f>IF(A655&lt;&gt;"",INDEX('Base de données'!A$4:L$990,MATCH(' TVA M'!A655,'Base de données'!A$4:A$990,0),2),"")</f>
        <v/>
      </c>
      <c r="C655" s="55" t="str">
        <f>IF(A655&lt;&gt;"",INDEX('Base de données'!A$4:L$990,MATCH(' TVA M'!A655,'Base de données'!A$4:A$990,0),12),"")</f>
        <v/>
      </c>
    </row>
    <row r="656" spans="2:3" hidden="1" x14ac:dyDescent="0.25">
      <c r="B656" s="55" t="str">
        <f>IF(A656&lt;&gt;"",INDEX('Base de données'!A$4:L$990,MATCH(' TVA M'!A656,'Base de données'!A$4:A$990,0),2),"")</f>
        <v/>
      </c>
      <c r="C656" s="55" t="str">
        <f>IF(A656&lt;&gt;"",INDEX('Base de données'!A$4:L$990,MATCH(' TVA M'!A656,'Base de données'!A$4:A$990,0),12),"")</f>
        <v/>
      </c>
    </row>
    <row r="657" spans="2:3" hidden="1" x14ac:dyDescent="0.25">
      <c r="B657" s="55" t="str">
        <f>IF(A657&lt;&gt;"",INDEX('Base de données'!A$4:L$990,MATCH(' TVA M'!A657,'Base de données'!A$4:A$990,0),2),"")</f>
        <v/>
      </c>
      <c r="C657" s="55" t="str">
        <f>IF(A657&lt;&gt;"",INDEX('Base de données'!A$4:L$990,MATCH(' TVA M'!A657,'Base de données'!A$4:A$990,0),12),"")</f>
        <v/>
      </c>
    </row>
    <row r="658" spans="2:3" hidden="1" x14ac:dyDescent="0.25">
      <c r="B658" s="55" t="str">
        <f>IF(A658&lt;&gt;"",INDEX('Base de données'!A$4:L$990,MATCH(' TVA M'!A658,'Base de données'!A$4:A$990,0),2),"")</f>
        <v/>
      </c>
      <c r="C658" s="55" t="str">
        <f>IF(A658&lt;&gt;"",INDEX('Base de données'!A$4:L$990,MATCH(' TVA M'!A658,'Base de données'!A$4:A$990,0),12),"")</f>
        <v/>
      </c>
    </row>
    <row r="659" spans="2:3" hidden="1" x14ac:dyDescent="0.25">
      <c r="B659" s="55" t="str">
        <f>IF(A659&lt;&gt;"",INDEX('Base de données'!A$4:L$990,MATCH(' TVA M'!A659,'Base de données'!A$4:A$990,0),2),"")</f>
        <v/>
      </c>
      <c r="C659" s="55" t="str">
        <f>IF(A659&lt;&gt;"",INDEX('Base de données'!A$4:L$990,MATCH(' TVA M'!A659,'Base de données'!A$4:A$990,0),12),"")</f>
        <v/>
      </c>
    </row>
    <row r="660" spans="2:3" hidden="1" x14ac:dyDescent="0.25">
      <c r="B660" s="55" t="str">
        <f>IF(A660&lt;&gt;"",INDEX('Base de données'!A$4:L$990,MATCH(' TVA M'!A660,'Base de données'!A$4:A$990,0),2),"")</f>
        <v/>
      </c>
      <c r="C660" s="55" t="str">
        <f>IF(A660&lt;&gt;"",INDEX('Base de données'!A$4:L$990,MATCH(' TVA M'!A660,'Base de données'!A$4:A$990,0),12),"")</f>
        <v/>
      </c>
    </row>
    <row r="661" spans="2:3" hidden="1" x14ac:dyDescent="0.25">
      <c r="B661" s="55" t="str">
        <f>IF(A661&lt;&gt;"",INDEX('Base de données'!A$4:L$990,MATCH(' TVA M'!A661,'Base de données'!A$4:A$990,0),2),"")</f>
        <v/>
      </c>
      <c r="C661" s="55" t="str">
        <f>IF(A661&lt;&gt;"",INDEX('Base de données'!A$4:L$990,MATCH(' TVA M'!A661,'Base de données'!A$4:A$990,0),12),"")</f>
        <v/>
      </c>
    </row>
    <row r="662" spans="2:3" hidden="1" x14ac:dyDescent="0.25">
      <c r="B662" s="55" t="str">
        <f>IF(A662&lt;&gt;"",INDEX('Base de données'!A$4:L$990,MATCH(' TVA M'!A662,'Base de données'!A$4:A$990,0),2),"")</f>
        <v/>
      </c>
      <c r="C662" s="55" t="str">
        <f>IF(A662&lt;&gt;"",INDEX('Base de données'!A$4:L$990,MATCH(' TVA M'!A662,'Base de données'!A$4:A$990,0),12),"")</f>
        <v/>
      </c>
    </row>
    <row r="663" spans="2:3" hidden="1" x14ac:dyDescent="0.25">
      <c r="B663" s="55" t="str">
        <f>IF(A663&lt;&gt;"",INDEX('Base de données'!A$4:L$990,MATCH(' TVA M'!A663,'Base de données'!A$4:A$990,0),2),"")</f>
        <v/>
      </c>
      <c r="C663" s="55" t="str">
        <f>IF(A663&lt;&gt;"",INDEX('Base de données'!A$4:L$990,MATCH(' TVA M'!A663,'Base de données'!A$4:A$990,0),12),"")</f>
        <v/>
      </c>
    </row>
    <row r="664" spans="2:3" hidden="1" x14ac:dyDescent="0.25">
      <c r="B664" s="55" t="str">
        <f>IF(A664&lt;&gt;"",INDEX('Base de données'!A$4:L$990,MATCH(' TVA M'!A664,'Base de données'!A$4:A$990,0),2),"")</f>
        <v/>
      </c>
      <c r="C664" s="55" t="str">
        <f>IF(A664&lt;&gt;"",INDEX('Base de données'!A$4:L$990,MATCH(' TVA M'!A664,'Base de données'!A$4:A$990,0),12),"")</f>
        <v/>
      </c>
    </row>
    <row r="665" spans="2:3" hidden="1" x14ac:dyDescent="0.25">
      <c r="B665" s="55" t="str">
        <f>IF(A665&lt;&gt;"",INDEX('Base de données'!A$4:L$990,MATCH(' TVA M'!A665,'Base de données'!A$4:A$990,0),2),"")</f>
        <v/>
      </c>
      <c r="C665" s="55" t="str">
        <f>IF(A665&lt;&gt;"",INDEX('Base de données'!A$4:L$990,MATCH(' TVA M'!A665,'Base de données'!A$4:A$990,0),12),"")</f>
        <v/>
      </c>
    </row>
    <row r="666" spans="2:3" hidden="1" x14ac:dyDescent="0.25">
      <c r="B666" s="55" t="str">
        <f>IF(A666&lt;&gt;"",INDEX('Base de données'!A$4:L$990,MATCH(' TVA M'!A666,'Base de données'!A$4:A$990,0),2),"")</f>
        <v/>
      </c>
      <c r="C666" s="55" t="str">
        <f>IF(A666&lt;&gt;"",INDEX('Base de données'!A$4:L$990,MATCH(' TVA M'!A666,'Base de données'!A$4:A$990,0),12),"")</f>
        <v/>
      </c>
    </row>
    <row r="667" spans="2:3" hidden="1" x14ac:dyDescent="0.25">
      <c r="B667" s="55" t="str">
        <f>IF(A667&lt;&gt;"",INDEX('Base de données'!A$4:L$990,MATCH(' TVA M'!A667,'Base de données'!A$4:A$990,0),2),"")</f>
        <v/>
      </c>
      <c r="C667" s="55" t="str">
        <f>IF(A667&lt;&gt;"",INDEX('Base de données'!A$4:L$990,MATCH(' TVA M'!A667,'Base de données'!A$4:A$990,0),12),"")</f>
        <v/>
      </c>
    </row>
    <row r="668" spans="2:3" hidden="1" x14ac:dyDescent="0.25">
      <c r="B668" s="55" t="str">
        <f>IF(A668&lt;&gt;"",INDEX('Base de données'!A$4:L$990,MATCH(' TVA M'!A668,'Base de données'!A$4:A$990,0),2),"")</f>
        <v/>
      </c>
      <c r="C668" s="55" t="str">
        <f>IF(A668&lt;&gt;"",INDEX('Base de données'!A$4:L$990,MATCH(' TVA M'!A668,'Base de données'!A$4:A$990,0),12),"")</f>
        <v/>
      </c>
    </row>
    <row r="669" spans="2:3" hidden="1" x14ac:dyDescent="0.25">
      <c r="B669" s="55" t="str">
        <f>IF(A669&lt;&gt;"",INDEX('Base de données'!A$4:L$990,MATCH(' TVA M'!A669,'Base de données'!A$4:A$990,0),2),"")</f>
        <v/>
      </c>
      <c r="C669" s="55" t="str">
        <f>IF(A669&lt;&gt;"",INDEX('Base de données'!A$4:L$990,MATCH(' TVA M'!A669,'Base de données'!A$4:A$990,0),12),"")</f>
        <v/>
      </c>
    </row>
    <row r="670" spans="2:3" hidden="1" x14ac:dyDescent="0.25">
      <c r="B670" s="55" t="str">
        <f>IF(A670&lt;&gt;"",INDEX('Base de données'!A$4:L$990,MATCH(' TVA M'!A670,'Base de données'!A$4:A$990,0),2),"")</f>
        <v/>
      </c>
      <c r="C670" s="55" t="str">
        <f>IF(A670&lt;&gt;"",INDEX('Base de données'!A$4:L$990,MATCH(' TVA M'!A670,'Base de données'!A$4:A$990,0),12),"")</f>
        <v/>
      </c>
    </row>
    <row r="671" spans="2:3" hidden="1" x14ac:dyDescent="0.25">
      <c r="B671" s="55" t="str">
        <f>IF(A671&lt;&gt;"",INDEX('Base de données'!A$4:L$990,MATCH(' TVA M'!A671,'Base de données'!A$4:A$990,0),2),"")</f>
        <v/>
      </c>
      <c r="C671" s="55" t="str">
        <f>IF(A671&lt;&gt;"",INDEX('Base de données'!A$4:L$990,MATCH(' TVA M'!A671,'Base de données'!A$4:A$990,0),12),"")</f>
        <v/>
      </c>
    </row>
    <row r="672" spans="2:3" hidden="1" x14ac:dyDescent="0.25">
      <c r="B672" s="55" t="str">
        <f>IF(A672&lt;&gt;"",INDEX('Base de données'!A$4:L$990,MATCH(' TVA M'!A672,'Base de données'!A$4:A$990,0),2),"")</f>
        <v/>
      </c>
      <c r="C672" s="55" t="str">
        <f>IF(A672&lt;&gt;"",INDEX('Base de données'!A$4:L$990,MATCH(' TVA M'!A672,'Base de données'!A$4:A$990,0),12),"")</f>
        <v/>
      </c>
    </row>
    <row r="673" spans="2:3" hidden="1" x14ac:dyDescent="0.25">
      <c r="B673" s="55" t="str">
        <f>IF(A673&lt;&gt;"",INDEX('Base de données'!A$4:L$990,MATCH(' TVA M'!A673,'Base de données'!A$4:A$990,0),2),"")</f>
        <v/>
      </c>
      <c r="C673" s="55" t="str">
        <f>IF(A673&lt;&gt;"",INDEX('Base de données'!A$4:L$990,MATCH(' TVA M'!A673,'Base de données'!A$4:A$990,0),12),"")</f>
        <v/>
      </c>
    </row>
    <row r="674" spans="2:3" hidden="1" x14ac:dyDescent="0.25">
      <c r="B674" s="55" t="str">
        <f>IF(A674&lt;&gt;"",INDEX('Base de données'!A$4:L$990,MATCH(' TVA M'!A674,'Base de données'!A$4:A$990,0),2),"")</f>
        <v/>
      </c>
      <c r="C674" s="55" t="str">
        <f>IF(A674&lt;&gt;"",INDEX('Base de données'!A$4:L$990,MATCH(' TVA M'!A674,'Base de données'!A$4:A$990,0),12),"")</f>
        <v/>
      </c>
    </row>
    <row r="675" spans="2:3" hidden="1" x14ac:dyDescent="0.25">
      <c r="B675" s="55" t="str">
        <f>IF(A675&lt;&gt;"",INDEX('Base de données'!A$4:L$990,MATCH(' TVA M'!A675,'Base de données'!A$4:A$990,0),2),"")</f>
        <v/>
      </c>
      <c r="C675" s="55" t="str">
        <f>IF(A675&lt;&gt;"",INDEX('Base de données'!A$4:L$990,MATCH(' TVA M'!A675,'Base de données'!A$4:A$990,0),12),"")</f>
        <v/>
      </c>
    </row>
    <row r="676" spans="2:3" hidden="1" x14ac:dyDescent="0.25">
      <c r="B676" s="55" t="str">
        <f>IF(A676&lt;&gt;"",INDEX('Base de données'!A$4:L$990,MATCH(' TVA M'!A676,'Base de données'!A$4:A$990,0),2),"")</f>
        <v/>
      </c>
      <c r="C676" s="55" t="str">
        <f>IF(A676&lt;&gt;"",INDEX('Base de données'!A$4:L$990,MATCH(' TVA M'!A676,'Base de données'!A$4:A$990,0),12),"")</f>
        <v/>
      </c>
    </row>
    <row r="677" spans="2:3" hidden="1" x14ac:dyDescent="0.25">
      <c r="B677" s="55" t="str">
        <f>IF(A677&lt;&gt;"",INDEX('Base de données'!A$4:L$990,MATCH(' TVA M'!A677,'Base de données'!A$4:A$990,0),2),"")</f>
        <v/>
      </c>
      <c r="C677" s="55" t="str">
        <f>IF(A677&lt;&gt;"",INDEX('Base de données'!A$4:L$990,MATCH(' TVA M'!A677,'Base de données'!A$4:A$990,0),12),"")</f>
        <v/>
      </c>
    </row>
    <row r="678" spans="2:3" hidden="1" x14ac:dyDescent="0.25">
      <c r="B678" s="55" t="str">
        <f>IF(A678&lt;&gt;"",INDEX('Base de données'!A$4:L$990,MATCH(' TVA M'!A678,'Base de données'!A$4:A$990,0),2),"")</f>
        <v/>
      </c>
      <c r="C678" s="55" t="str">
        <f>IF(A678&lt;&gt;"",INDEX('Base de données'!A$4:L$990,MATCH(' TVA M'!A678,'Base de données'!A$4:A$990,0),12),"")</f>
        <v/>
      </c>
    </row>
    <row r="679" spans="2:3" hidden="1" x14ac:dyDescent="0.25">
      <c r="B679" s="55" t="str">
        <f>IF(A679&lt;&gt;"",INDEX('Base de données'!A$4:L$990,MATCH(' TVA M'!A679,'Base de données'!A$4:A$990,0),2),"")</f>
        <v/>
      </c>
      <c r="C679" s="55" t="str">
        <f>IF(A679&lt;&gt;"",INDEX('Base de données'!A$4:L$990,MATCH(' TVA M'!A679,'Base de données'!A$4:A$990,0),12),"")</f>
        <v/>
      </c>
    </row>
    <row r="680" spans="2:3" hidden="1" x14ac:dyDescent="0.25">
      <c r="B680" s="55" t="str">
        <f>IF(A680&lt;&gt;"",INDEX('Base de données'!A$4:L$990,MATCH(' TVA M'!A680,'Base de données'!A$4:A$990,0),2),"")</f>
        <v/>
      </c>
      <c r="C680" s="55" t="str">
        <f>IF(A680&lt;&gt;"",INDEX('Base de données'!A$4:L$990,MATCH(' TVA M'!A680,'Base de données'!A$4:A$990,0),12),"")</f>
        <v/>
      </c>
    </row>
    <row r="681" spans="2:3" hidden="1" x14ac:dyDescent="0.25">
      <c r="B681" s="55" t="str">
        <f>IF(A681&lt;&gt;"",INDEX('Base de données'!A$4:L$990,MATCH(' TVA M'!A681,'Base de données'!A$4:A$990,0),2),"")</f>
        <v/>
      </c>
      <c r="C681" s="55" t="str">
        <f>IF(A681&lt;&gt;"",INDEX('Base de données'!A$4:L$990,MATCH(' TVA M'!A681,'Base de données'!A$4:A$990,0),12),"")</f>
        <v/>
      </c>
    </row>
    <row r="682" spans="2:3" hidden="1" x14ac:dyDescent="0.25">
      <c r="B682" s="55" t="str">
        <f>IF(A682&lt;&gt;"",INDEX('Base de données'!A$4:L$990,MATCH(' TVA M'!A682,'Base de données'!A$4:A$990,0),2),"")</f>
        <v/>
      </c>
      <c r="C682" s="55" t="str">
        <f>IF(A682&lt;&gt;"",INDEX('Base de données'!A$4:L$990,MATCH(' TVA M'!A682,'Base de données'!A$4:A$990,0),12),"")</f>
        <v/>
      </c>
    </row>
    <row r="683" spans="2:3" hidden="1" x14ac:dyDescent="0.25">
      <c r="B683" s="55" t="str">
        <f>IF(A683&lt;&gt;"",INDEX('Base de données'!A$4:L$990,MATCH(' TVA M'!A683,'Base de données'!A$4:A$990,0),2),"")</f>
        <v/>
      </c>
      <c r="C683" s="55" t="str">
        <f>IF(A683&lt;&gt;"",INDEX('Base de données'!A$4:L$990,MATCH(' TVA M'!A683,'Base de données'!A$4:A$990,0),12),"")</f>
        <v/>
      </c>
    </row>
    <row r="684" spans="2:3" hidden="1" x14ac:dyDescent="0.25">
      <c r="B684" s="55" t="str">
        <f>IF(A684&lt;&gt;"",INDEX('Base de données'!A$4:L$990,MATCH(' TVA M'!A684,'Base de données'!A$4:A$990,0),2),"")</f>
        <v/>
      </c>
      <c r="C684" s="55" t="str">
        <f>IF(A684&lt;&gt;"",INDEX('Base de données'!A$4:L$990,MATCH(' TVA M'!A684,'Base de données'!A$4:A$990,0),12),"")</f>
        <v/>
      </c>
    </row>
    <row r="685" spans="2:3" hidden="1" x14ac:dyDescent="0.25">
      <c r="B685" s="55" t="str">
        <f>IF(A685&lt;&gt;"",INDEX('Base de données'!A$4:L$990,MATCH(' TVA M'!A685,'Base de données'!A$4:A$990,0),2),"")</f>
        <v/>
      </c>
      <c r="C685" s="55" t="str">
        <f>IF(A685&lt;&gt;"",INDEX('Base de données'!A$4:L$990,MATCH(' TVA M'!A685,'Base de données'!A$4:A$990,0),12),"")</f>
        <v/>
      </c>
    </row>
    <row r="686" spans="2:3" hidden="1" x14ac:dyDescent="0.25">
      <c r="B686" s="55" t="str">
        <f>IF(A686&lt;&gt;"",INDEX('Base de données'!A$4:L$990,MATCH(' TVA M'!A686,'Base de données'!A$4:A$990,0),2),"")</f>
        <v/>
      </c>
      <c r="C686" s="55" t="str">
        <f>IF(A686&lt;&gt;"",INDEX('Base de données'!A$4:L$990,MATCH(' TVA M'!A686,'Base de données'!A$4:A$990,0),12),"")</f>
        <v/>
      </c>
    </row>
    <row r="687" spans="2:3" hidden="1" x14ac:dyDescent="0.25">
      <c r="B687" s="55" t="str">
        <f>IF(A687&lt;&gt;"",INDEX('Base de données'!A$4:L$990,MATCH(' TVA M'!A687,'Base de données'!A$4:A$990,0),2),"")</f>
        <v/>
      </c>
      <c r="C687" s="55" t="str">
        <f>IF(A687&lt;&gt;"",INDEX('Base de données'!A$4:L$990,MATCH(' TVA M'!A687,'Base de données'!A$4:A$990,0),12),"")</f>
        <v/>
      </c>
    </row>
    <row r="688" spans="2:3" hidden="1" x14ac:dyDescent="0.25">
      <c r="B688" s="55" t="str">
        <f>IF(A688&lt;&gt;"",INDEX('Base de données'!A$4:L$990,MATCH(' TVA M'!A688,'Base de données'!A$4:A$990,0),2),"")</f>
        <v/>
      </c>
      <c r="C688" s="55" t="str">
        <f>IF(A688&lt;&gt;"",INDEX('Base de données'!A$4:L$990,MATCH(' TVA M'!A688,'Base de données'!A$4:A$990,0),12),"")</f>
        <v/>
      </c>
    </row>
    <row r="689" spans="2:3" hidden="1" x14ac:dyDescent="0.25">
      <c r="B689" s="55" t="str">
        <f>IF(A689&lt;&gt;"",INDEX('Base de données'!A$4:L$990,MATCH(' TVA M'!A689,'Base de données'!A$4:A$990,0),2),"")</f>
        <v/>
      </c>
      <c r="C689" s="55" t="str">
        <f>IF(A689&lt;&gt;"",INDEX('Base de données'!A$4:L$990,MATCH(' TVA M'!A689,'Base de données'!A$4:A$990,0),12),"")</f>
        <v/>
      </c>
    </row>
    <row r="690" spans="2:3" hidden="1" x14ac:dyDescent="0.25">
      <c r="B690" s="55" t="str">
        <f>IF(A690&lt;&gt;"",INDEX('Base de données'!A$4:L$990,MATCH(' TVA M'!A690,'Base de données'!A$4:A$990,0),2),"")</f>
        <v/>
      </c>
      <c r="C690" s="55" t="str">
        <f>IF(A690&lt;&gt;"",INDEX('Base de données'!A$4:L$990,MATCH(' TVA M'!A690,'Base de données'!A$4:A$990,0),12),"")</f>
        <v/>
      </c>
    </row>
    <row r="691" spans="2:3" hidden="1" x14ac:dyDescent="0.25">
      <c r="B691" s="55" t="str">
        <f>IF(A691&lt;&gt;"",INDEX('Base de données'!A$4:L$990,MATCH(' TVA M'!A691,'Base de données'!A$4:A$990,0),2),"")</f>
        <v/>
      </c>
      <c r="C691" s="55" t="str">
        <f>IF(A691&lt;&gt;"",INDEX('Base de données'!A$4:L$990,MATCH(' TVA M'!A691,'Base de données'!A$4:A$990,0),12),"")</f>
        <v/>
      </c>
    </row>
    <row r="692" spans="2:3" hidden="1" x14ac:dyDescent="0.25">
      <c r="B692" s="55" t="str">
        <f>IF(A692&lt;&gt;"",INDEX('Base de données'!A$4:L$990,MATCH(' TVA M'!A692,'Base de données'!A$4:A$990,0),2),"")</f>
        <v/>
      </c>
      <c r="C692" s="55" t="str">
        <f>IF(A692&lt;&gt;"",INDEX('Base de données'!A$4:L$990,MATCH(' TVA M'!A692,'Base de données'!A$4:A$990,0),12),"")</f>
        <v/>
      </c>
    </row>
    <row r="693" spans="2:3" hidden="1" x14ac:dyDescent="0.25">
      <c r="B693" s="55" t="str">
        <f>IF(A693&lt;&gt;"",INDEX('Base de données'!A$4:L$990,MATCH(' TVA M'!A693,'Base de données'!A$4:A$990,0),2),"")</f>
        <v/>
      </c>
      <c r="C693" s="55" t="str">
        <f>IF(A693&lt;&gt;"",INDEX('Base de données'!A$4:L$990,MATCH(' TVA M'!A693,'Base de données'!A$4:A$990,0),12),"")</f>
        <v/>
      </c>
    </row>
    <row r="694" spans="2:3" hidden="1" x14ac:dyDescent="0.25">
      <c r="B694" s="55" t="str">
        <f>IF(A694&lt;&gt;"",INDEX('Base de données'!A$4:L$990,MATCH(' TVA M'!A694,'Base de données'!A$4:A$990,0),2),"")</f>
        <v/>
      </c>
      <c r="C694" s="55" t="str">
        <f>IF(A694&lt;&gt;"",INDEX('Base de données'!A$4:L$990,MATCH(' TVA M'!A694,'Base de données'!A$4:A$990,0),12),"")</f>
        <v/>
      </c>
    </row>
    <row r="695" spans="2:3" hidden="1" x14ac:dyDescent="0.25">
      <c r="B695" s="55" t="str">
        <f>IF(A695&lt;&gt;"",INDEX('Base de données'!A$4:L$990,MATCH(' TVA M'!A695,'Base de données'!A$4:A$990,0),2),"")</f>
        <v/>
      </c>
      <c r="C695" s="55" t="str">
        <f>IF(A695&lt;&gt;"",INDEX('Base de données'!A$4:L$990,MATCH(' TVA M'!A695,'Base de données'!A$4:A$990,0),12),"")</f>
        <v/>
      </c>
    </row>
    <row r="696" spans="2:3" hidden="1" x14ac:dyDescent="0.25">
      <c r="B696" s="55" t="str">
        <f>IF(A696&lt;&gt;"",INDEX('Base de données'!A$4:L$990,MATCH(' TVA M'!A696,'Base de données'!A$4:A$990,0),2),"")</f>
        <v/>
      </c>
      <c r="C696" s="55" t="str">
        <f>IF(A696&lt;&gt;"",INDEX('Base de données'!A$4:L$990,MATCH(' TVA M'!A696,'Base de données'!A$4:A$990,0),12),"")</f>
        <v/>
      </c>
    </row>
    <row r="697" spans="2:3" hidden="1" x14ac:dyDescent="0.25">
      <c r="B697" s="55" t="str">
        <f>IF(A697&lt;&gt;"",INDEX('Base de données'!A$4:L$990,MATCH(' TVA M'!A697,'Base de données'!A$4:A$990,0),2),"")</f>
        <v/>
      </c>
      <c r="C697" s="55" t="str">
        <f>IF(A697&lt;&gt;"",INDEX('Base de données'!A$4:L$990,MATCH(' TVA M'!A697,'Base de données'!A$4:A$990,0),12),"")</f>
        <v/>
      </c>
    </row>
    <row r="698" spans="2:3" hidden="1" x14ac:dyDescent="0.25">
      <c r="B698" s="55" t="str">
        <f>IF(A698&lt;&gt;"",INDEX('Base de données'!A$4:L$990,MATCH(' TVA M'!A698,'Base de données'!A$4:A$990,0),2),"")</f>
        <v/>
      </c>
      <c r="C698" s="55" t="str">
        <f>IF(A698&lt;&gt;"",INDEX('Base de données'!A$4:L$990,MATCH(' TVA M'!A698,'Base de données'!A$4:A$990,0),12),"")</f>
        <v/>
      </c>
    </row>
    <row r="699" spans="2:3" hidden="1" x14ac:dyDescent="0.25">
      <c r="B699" s="55" t="str">
        <f>IF(A699&lt;&gt;"",INDEX('Base de données'!A$4:L$990,MATCH(' TVA M'!A699,'Base de données'!A$4:A$990,0),2),"")</f>
        <v/>
      </c>
      <c r="C699" s="55" t="str">
        <f>IF(A699&lt;&gt;"",INDEX('Base de données'!A$4:L$990,MATCH(' TVA M'!A699,'Base de données'!A$4:A$990,0),12),"")</f>
        <v/>
      </c>
    </row>
    <row r="700" spans="2:3" hidden="1" x14ac:dyDescent="0.25">
      <c r="B700" s="55" t="str">
        <f>IF(A700&lt;&gt;"",INDEX('Base de données'!A$4:L$990,MATCH(' TVA M'!A700,'Base de données'!A$4:A$990,0),2),"")</f>
        <v/>
      </c>
      <c r="C700" s="55" t="str">
        <f>IF(A700&lt;&gt;"",INDEX('Base de données'!A$4:L$990,MATCH(' TVA M'!A700,'Base de données'!A$4:A$990,0),12),"")</f>
        <v/>
      </c>
    </row>
    <row r="701" spans="2:3" hidden="1" x14ac:dyDescent="0.25">
      <c r="B701" s="55" t="str">
        <f>IF(A701&lt;&gt;"",INDEX('Base de données'!A$4:L$990,MATCH(' TVA M'!A701,'Base de données'!A$4:A$990,0),2),"")</f>
        <v/>
      </c>
      <c r="C701" s="55" t="str">
        <f>IF(A701&lt;&gt;"",INDEX('Base de données'!A$4:L$990,MATCH(' TVA M'!A701,'Base de données'!A$4:A$990,0),12),"")</f>
        <v/>
      </c>
    </row>
    <row r="702" spans="2:3" hidden="1" x14ac:dyDescent="0.25">
      <c r="B702" s="55" t="str">
        <f>IF(A702&lt;&gt;"",INDEX('Base de données'!A$4:L$990,MATCH(' TVA M'!A702,'Base de données'!A$4:A$990,0),2),"")</f>
        <v/>
      </c>
      <c r="C702" s="55" t="str">
        <f>IF(A702&lt;&gt;"",INDEX('Base de données'!A$4:L$990,MATCH(' TVA M'!A702,'Base de données'!A$4:A$990,0),12),"")</f>
        <v/>
      </c>
    </row>
    <row r="703" spans="2:3" hidden="1" x14ac:dyDescent="0.25">
      <c r="B703" s="55" t="str">
        <f>IF(A703&lt;&gt;"",INDEX('Base de données'!A$4:L$990,MATCH(' TVA M'!A703,'Base de données'!A$4:A$990,0),2),"")</f>
        <v/>
      </c>
      <c r="C703" s="55" t="str">
        <f>IF(A703&lt;&gt;"",INDEX('Base de données'!A$4:L$990,MATCH(' TVA M'!A703,'Base de données'!A$4:A$990,0),12),"")</f>
        <v/>
      </c>
    </row>
    <row r="704" spans="2:3" hidden="1" x14ac:dyDescent="0.25">
      <c r="B704" s="55" t="str">
        <f>IF(A704&lt;&gt;"",INDEX('Base de données'!A$4:L$990,MATCH(' TVA M'!A704,'Base de données'!A$4:A$990,0),2),"")</f>
        <v/>
      </c>
      <c r="C704" s="55" t="str">
        <f>IF(A704&lt;&gt;"",INDEX('Base de données'!A$4:L$990,MATCH(' TVA M'!A704,'Base de données'!A$4:A$990,0),12),"")</f>
        <v/>
      </c>
    </row>
    <row r="705" spans="2:3" hidden="1" x14ac:dyDescent="0.25">
      <c r="B705" s="55" t="str">
        <f>IF(A705&lt;&gt;"",INDEX('Base de données'!A$4:L$990,MATCH(' TVA M'!A705,'Base de données'!A$4:A$990,0),2),"")</f>
        <v/>
      </c>
      <c r="C705" s="55" t="str">
        <f>IF(A705&lt;&gt;"",INDEX('Base de données'!A$4:L$990,MATCH(' TVA M'!A705,'Base de données'!A$4:A$990,0),12),"")</f>
        <v/>
      </c>
    </row>
    <row r="706" spans="2:3" hidden="1" x14ac:dyDescent="0.25">
      <c r="B706" s="55" t="str">
        <f>IF(A706&lt;&gt;"",INDEX('Base de données'!A$4:L$990,MATCH(' TVA M'!A706,'Base de données'!A$4:A$990,0),2),"")</f>
        <v/>
      </c>
      <c r="C706" s="55" t="str">
        <f>IF(A706&lt;&gt;"",INDEX('Base de données'!A$4:L$990,MATCH(' TVA M'!A706,'Base de données'!A$4:A$990,0),12),"")</f>
        <v/>
      </c>
    </row>
    <row r="707" spans="2:3" hidden="1" x14ac:dyDescent="0.25">
      <c r="B707" s="55" t="str">
        <f>IF(A707&lt;&gt;"",INDEX('Base de données'!A$4:L$990,MATCH(' TVA M'!A707,'Base de données'!A$4:A$990,0),2),"")</f>
        <v/>
      </c>
      <c r="C707" s="55" t="str">
        <f>IF(A707&lt;&gt;"",INDEX('Base de données'!A$4:L$990,MATCH(' TVA M'!A707,'Base de données'!A$4:A$990,0),12),"")</f>
        <v/>
      </c>
    </row>
    <row r="708" spans="2:3" hidden="1" x14ac:dyDescent="0.25">
      <c r="B708" s="55" t="str">
        <f>IF(A708&lt;&gt;"",INDEX('Base de données'!A$4:L$990,MATCH(' TVA M'!A708,'Base de données'!A$4:A$990,0),2),"")</f>
        <v/>
      </c>
      <c r="C708" s="55" t="str">
        <f>IF(A708&lt;&gt;"",INDEX('Base de données'!A$4:L$990,MATCH(' TVA M'!A708,'Base de données'!A$4:A$990,0),12),"")</f>
        <v/>
      </c>
    </row>
    <row r="709" spans="2:3" hidden="1" x14ac:dyDescent="0.25">
      <c r="B709" s="55" t="str">
        <f>IF(A709&lt;&gt;"",INDEX('Base de données'!A$4:L$990,MATCH(' TVA M'!A709,'Base de données'!A$4:A$990,0),2),"")</f>
        <v/>
      </c>
      <c r="C709" s="55" t="str">
        <f>IF(A709&lt;&gt;"",INDEX('Base de données'!A$4:L$990,MATCH(' TVA M'!A709,'Base de données'!A$4:A$990,0),12),"")</f>
        <v/>
      </c>
    </row>
    <row r="710" spans="2:3" hidden="1" x14ac:dyDescent="0.25">
      <c r="B710" s="55" t="str">
        <f>IF(A710&lt;&gt;"",INDEX('Base de données'!A$4:L$990,MATCH(' TVA M'!A710,'Base de données'!A$4:A$990,0),2),"")</f>
        <v/>
      </c>
      <c r="C710" s="55" t="str">
        <f>IF(A710&lt;&gt;"",INDEX('Base de données'!A$4:L$990,MATCH(' TVA M'!A710,'Base de données'!A$4:A$990,0),12),"")</f>
        <v/>
      </c>
    </row>
    <row r="711" spans="2:3" hidden="1" x14ac:dyDescent="0.25">
      <c r="B711" s="55" t="str">
        <f>IF(A711&lt;&gt;"",INDEX('Base de données'!A$4:L$990,MATCH(' TVA M'!A711,'Base de données'!A$4:A$990,0),2),"")</f>
        <v/>
      </c>
      <c r="C711" s="55" t="str">
        <f>IF(A711&lt;&gt;"",INDEX('Base de données'!A$4:L$990,MATCH(' TVA M'!A711,'Base de données'!A$4:A$990,0),12),"")</f>
        <v/>
      </c>
    </row>
    <row r="712" spans="2:3" hidden="1" x14ac:dyDescent="0.25">
      <c r="B712" s="55" t="str">
        <f>IF(A712&lt;&gt;"",INDEX('Base de données'!A$4:L$990,MATCH(' TVA M'!A712,'Base de données'!A$4:A$990,0),2),"")</f>
        <v/>
      </c>
      <c r="C712" s="55" t="str">
        <f>IF(A712&lt;&gt;"",INDEX('Base de données'!A$4:L$990,MATCH(' TVA M'!A712,'Base de données'!A$4:A$990,0),12),"")</f>
        <v/>
      </c>
    </row>
    <row r="713" spans="2:3" hidden="1" x14ac:dyDescent="0.25">
      <c r="B713" s="55" t="str">
        <f>IF(A713&lt;&gt;"",INDEX('Base de données'!A$4:L$990,MATCH(' TVA M'!A713,'Base de données'!A$4:A$990,0),2),"")</f>
        <v/>
      </c>
      <c r="C713" s="55" t="str">
        <f>IF(A713&lt;&gt;"",INDEX('Base de données'!A$4:L$990,MATCH(' TVA M'!A713,'Base de données'!A$4:A$990,0),12),"")</f>
        <v/>
      </c>
    </row>
    <row r="714" spans="2:3" hidden="1" x14ac:dyDescent="0.25">
      <c r="B714" s="55" t="str">
        <f>IF(A714&lt;&gt;"",INDEX('Base de données'!A$4:L$990,MATCH(' TVA M'!A714,'Base de données'!A$4:A$990,0),2),"")</f>
        <v/>
      </c>
      <c r="C714" s="55" t="str">
        <f>IF(A714&lt;&gt;"",INDEX('Base de données'!A$4:L$990,MATCH(' TVA M'!A714,'Base de données'!A$4:A$990,0),12),"")</f>
        <v/>
      </c>
    </row>
    <row r="715" spans="2:3" hidden="1" x14ac:dyDescent="0.25">
      <c r="B715" s="55" t="str">
        <f>IF(A715&lt;&gt;"",INDEX('Base de données'!A$4:L$990,MATCH(' TVA M'!A715,'Base de données'!A$4:A$990,0),2),"")</f>
        <v/>
      </c>
      <c r="C715" s="55" t="str">
        <f>IF(A715&lt;&gt;"",INDEX('Base de données'!A$4:L$990,MATCH(' TVA M'!A715,'Base de données'!A$4:A$990,0),12),"")</f>
        <v/>
      </c>
    </row>
    <row r="716" spans="2:3" hidden="1" x14ac:dyDescent="0.25">
      <c r="B716" s="55" t="str">
        <f>IF(A716&lt;&gt;"",INDEX('Base de données'!A$4:L$990,MATCH(' TVA M'!A716,'Base de données'!A$4:A$990,0),2),"")</f>
        <v/>
      </c>
      <c r="C716" s="55" t="str">
        <f>IF(A716&lt;&gt;"",INDEX('Base de données'!A$4:L$990,MATCH(' TVA M'!A716,'Base de données'!A$4:A$990,0),12),"")</f>
        <v/>
      </c>
    </row>
    <row r="717" spans="2:3" hidden="1" x14ac:dyDescent="0.25">
      <c r="B717" s="55" t="str">
        <f>IF(A717&lt;&gt;"",INDEX('Base de données'!A$4:L$990,MATCH(' TVA M'!A717,'Base de données'!A$4:A$990,0),2),"")</f>
        <v/>
      </c>
      <c r="C717" s="55" t="str">
        <f>IF(A717&lt;&gt;"",INDEX('Base de données'!A$4:L$990,MATCH(' TVA M'!A717,'Base de données'!A$4:A$990,0),12),"")</f>
        <v/>
      </c>
    </row>
    <row r="718" spans="2:3" hidden="1" x14ac:dyDescent="0.25">
      <c r="B718" s="55" t="str">
        <f>IF(A718&lt;&gt;"",INDEX('Base de données'!A$4:L$990,MATCH(' TVA M'!A718,'Base de données'!A$4:A$990,0),2),"")</f>
        <v/>
      </c>
      <c r="C718" s="55" t="str">
        <f>IF(A718&lt;&gt;"",INDEX('Base de données'!A$4:L$990,MATCH(' TVA M'!A718,'Base de données'!A$4:A$990,0),12),"")</f>
        <v/>
      </c>
    </row>
    <row r="719" spans="2:3" hidden="1" x14ac:dyDescent="0.25">
      <c r="B719" s="55" t="str">
        <f>IF(A719&lt;&gt;"",INDEX('Base de données'!A$4:L$990,MATCH(' TVA M'!A719,'Base de données'!A$4:A$990,0),2),"")</f>
        <v/>
      </c>
      <c r="C719" s="55" t="str">
        <f>IF(A719&lt;&gt;"",INDEX('Base de données'!A$4:L$990,MATCH(' TVA M'!A719,'Base de données'!A$4:A$990,0),12),"")</f>
        <v/>
      </c>
    </row>
    <row r="720" spans="2:3" hidden="1" x14ac:dyDescent="0.25">
      <c r="B720" s="55" t="str">
        <f>IF(A720&lt;&gt;"",INDEX('Base de données'!A$4:L$990,MATCH(' TVA M'!A720,'Base de données'!A$4:A$990,0),2),"")</f>
        <v/>
      </c>
      <c r="C720" s="55" t="str">
        <f>IF(A720&lt;&gt;"",INDEX('Base de données'!A$4:L$990,MATCH(' TVA M'!A720,'Base de données'!A$4:A$990,0),12),"")</f>
        <v/>
      </c>
    </row>
    <row r="721" spans="2:3" hidden="1" x14ac:dyDescent="0.25">
      <c r="B721" s="55" t="str">
        <f>IF(A721&lt;&gt;"",INDEX('Base de données'!A$4:L$990,MATCH(' TVA M'!A721,'Base de données'!A$4:A$990,0),2),"")</f>
        <v/>
      </c>
      <c r="C721" s="55" t="str">
        <f>IF(A721&lt;&gt;"",INDEX('Base de données'!A$4:L$990,MATCH(' TVA M'!A721,'Base de données'!A$4:A$990,0),12),"")</f>
        <v/>
      </c>
    </row>
    <row r="722" spans="2:3" hidden="1" x14ac:dyDescent="0.25">
      <c r="B722" s="55" t="str">
        <f>IF(A722&lt;&gt;"",INDEX('Base de données'!A$4:L$990,MATCH(' TVA M'!A722,'Base de données'!A$4:A$990,0),2),"")</f>
        <v/>
      </c>
      <c r="C722" s="55" t="str">
        <f>IF(A722&lt;&gt;"",INDEX('Base de données'!A$4:L$990,MATCH(' TVA M'!A722,'Base de données'!A$4:A$990,0),12),"")</f>
        <v/>
      </c>
    </row>
    <row r="723" spans="2:3" hidden="1" x14ac:dyDescent="0.25">
      <c r="B723" s="55" t="str">
        <f>IF(A723&lt;&gt;"",INDEX('Base de données'!A$4:L$990,MATCH(' TVA M'!A723,'Base de données'!A$4:A$990,0),2),"")</f>
        <v/>
      </c>
      <c r="C723" s="55" t="str">
        <f>IF(A723&lt;&gt;"",INDEX('Base de données'!A$4:L$990,MATCH(' TVA M'!A723,'Base de données'!A$4:A$990,0),12),"")</f>
        <v/>
      </c>
    </row>
    <row r="724" spans="2:3" hidden="1" x14ac:dyDescent="0.25">
      <c r="B724" s="55" t="str">
        <f>IF(A724&lt;&gt;"",INDEX('Base de données'!A$4:L$990,MATCH(' TVA M'!A724,'Base de données'!A$4:A$990,0),2),"")</f>
        <v/>
      </c>
      <c r="C724" s="55" t="str">
        <f>IF(A724&lt;&gt;"",INDEX('Base de données'!A$4:L$990,MATCH(' TVA M'!A724,'Base de données'!A$4:A$990,0),12),"")</f>
        <v/>
      </c>
    </row>
    <row r="725" spans="2:3" hidden="1" x14ac:dyDescent="0.25">
      <c r="B725" s="55" t="str">
        <f>IF(A725&lt;&gt;"",INDEX('Base de données'!A$4:L$990,MATCH(' TVA M'!A725,'Base de données'!A$4:A$990,0),2),"")</f>
        <v/>
      </c>
      <c r="C725" s="55" t="str">
        <f>IF(A725&lt;&gt;"",INDEX('Base de données'!A$4:L$990,MATCH(' TVA M'!A725,'Base de données'!A$4:A$990,0),12),"")</f>
        <v/>
      </c>
    </row>
    <row r="726" spans="2:3" hidden="1" x14ac:dyDescent="0.25">
      <c r="B726" s="55" t="str">
        <f>IF(A726&lt;&gt;"",INDEX('Base de données'!A$4:L$990,MATCH(' TVA M'!A726,'Base de données'!A$4:A$990,0),2),"")</f>
        <v/>
      </c>
      <c r="C726" s="55" t="str">
        <f>IF(A726&lt;&gt;"",INDEX('Base de données'!A$4:L$990,MATCH(' TVA M'!A726,'Base de données'!A$4:A$990,0),12),"")</f>
        <v/>
      </c>
    </row>
    <row r="727" spans="2:3" hidden="1" x14ac:dyDescent="0.25">
      <c r="B727" s="55" t="str">
        <f>IF(A727&lt;&gt;"",INDEX('Base de données'!A$4:L$990,MATCH(' TVA M'!A727,'Base de données'!A$4:A$990,0),2),"")</f>
        <v/>
      </c>
      <c r="C727" s="55" t="str">
        <f>IF(A727&lt;&gt;"",INDEX('Base de données'!A$4:L$990,MATCH(' TVA M'!A727,'Base de données'!A$4:A$990,0),12),"")</f>
        <v/>
      </c>
    </row>
    <row r="728" spans="2:3" hidden="1" x14ac:dyDescent="0.25">
      <c r="B728" s="55" t="str">
        <f>IF(A728&lt;&gt;"",INDEX('Base de données'!A$4:L$990,MATCH(' TVA M'!A728,'Base de données'!A$4:A$990,0),2),"")</f>
        <v/>
      </c>
      <c r="C728" s="55" t="str">
        <f>IF(A728&lt;&gt;"",INDEX('Base de données'!A$4:L$990,MATCH(' TVA M'!A728,'Base de données'!A$4:A$990,0),12),"")</f>
        <v/>
      </c>
    </row>
    <row r="729" spans="2:3" hidden="1" x14ac:dyDescent="0.25">
      <c r="B729" s="55" t="str">
        <f>IF(A729&lt;&gt;"",INDEX('Base de données'!A$4:L$990,MATCH(' TVA M'!A729,'Base de données'!A$4:A$990,0),2),"")</f>
        <v/>
      </c>
      <c r="C729" s="55" t="str">
        <f>IF(A729&lt;&gt;"",INDEX('Base de données'!A$4:L$990,MATCH(' TVA M'!A729,'Base de données'!A$4:A$990,0),12),"")</f>
        <v/>
      </c>
    </row>
    <row r="730" spans="2:3" hidden="1" x14ac:dyDescent="0.25">
      <c r="B730" s="55" t="str">
        <f>IF(A730&lt;&gt;"",INDEX('Base de données'!A$4:L$990,MATCH(' TVA M'!A730,'Base de données'!A$4:A$990,0),2),"")</f>
        <v/>
      </c>
      <c r="C730" s="55" t="str">
        <f>IF(A730&lt;&gt;"",INDEX('Base de données'!A$4:L$990,MATCH(' TVA M'!A730,'Base de données'!A$4:A$990,0),12),"")</f>
        <v/>
      </c>
    </row>
    <row r="731" spans="2:3" hidden="1" x14ac:dyDescent="0.25">
      <c r="B731" s="55" t="str">
        <f>IF(A731&lt;&gt;"",INDEX('Base de données'!A$4:L$990,MATCH(' TVA M'!A731,'Base de données'!A$4:A$990,0),2),"")</f>
        <v/>
      </c>
      <c r="C731" s="55" t="str">
        <f>IF(A731&lt;&gt;"",INDEX('Base de données'!A$4:L$990,MATCH(' TVA M'!A731,'Base de données'!A$4:A$990,0),12),"")</f>
        <v/>
      </c>
    </row>
    <row r="732" spans="2:3" hidden="1" x14ac:dyDescent="0.25">
      <c r="B732" s="55" t="str">
        <f>IF(A732&lt;&gt;"",INDEX('Base de données'!A$4:L$990,MATCH(' TVA M'!A732,'Base de données'!A$4:A$990,0),2),"")</f>
        <v/>
      </c>
      <c r="C732" s="55" t="str">
        <f>IF(A732&lt;&gt;"",INDEX('Base de données'!A$4:L$990,MATCH(' TVA M'!A732,'Base de données'!A$4:A$990,0),12),"")</f>
        <v/>
      </c>
    </row>
    <row r="733" spans="2:3" hidden="1" x14ac:dyDescent="0.25">
      <c r="B733" s="55" t="str">
        <f>IF(A733&lt;&gt;"",INDEX('Base de données'!A$4:L$990,MATCH(' TVA M'!A733,'Base de données'!A$4:A$990,0),2),"")</f>
        <v/>
      </c>
      <c r="C733" s="55" t="str">
        <f>IF(A733&lt;&gt;"",INDEX('Base de données'!A$4:L$990,MATCH(' TVA M'!A733,'Base de données'!A$4:A$990,0),12),"")</f>
        <v/>
      </c>
    </row>
    <row r="734" spans="2:3" hidden="1" x14ac:dyDescent="0.25">
      <c r="B734" s="55" t="str">
        <f>IF(A734&lt;&gt;"",INDEX('Base de données'!A$4:L$990,MATCH(' TVA M'!A734,'Base de données'!A$4:A$990,0),2),"")</f>
        <v/>
      </c>
      <c r="C734" s="55" t="str">
        <f>IF(A734&lt;&gt;"",INDEX('Base de données'!A$4:L$990,MATCH(' TVA M'!A734,'Base de données'!A$4:A$990,0),12),"")</f>
        <v/>
      </c>
    </row>
    <row r="735" spans="2:3" hidden="1" x14ac:dyDescent="0.25">
      <c r="B735" s="55" t="str">
        <f>IF(A735&lt;&gt;"",INDEX('Base de données'!A$4:L$990,MATCH(' TVA M'!A735,'Base de données'!A$4:A$990,0),2),"")</f>
        <v/>
      </c>
      <c r="C735" s="55" t="str">
        <f>IF(A735&lt;&gt;"",INDEX('Base de données'!A$4:L$990,MATCH(' TVA M'!A735,'Base de données'!A$4:A$990,0),12),"")</f>
        <v/>
      </c>
    </row>
    <row r="736" spans="2:3" hidden="1" x14ac:dyDescent="0.25">
      <c r="B736" s="55" t="str">
        <f>IF(A736&lt;&gt;"",INDEX('Base de données'!A$4:L$990,MATCH(' TVA M'!A736,'Base de données'!A$4:A$990,0),2),"")</f>
        <v/>
      </c>
      <c r="C736" s="55" t="str">
        <f>IF(A736&lt;&gt;"",INDEX('Base de données'!A$4:L$990,MATCH(' TVA M'!A736,'Base de données'!A$4:A$990,0),12),"")</f>
        <v/>
      </c>
    </row>
    <row r="737" spans="2:3" hidden="1" x14ac:dyDescent="0.25">
      <c r="B737" s="55" t="str">
        <f>IF(A737&lt;&gt;"",INDEX('Base de données'!A$4:L$990,MATCH(' TVA M'!A737,'Base de données'!A$4:A$990,0),2),"")</f>
        <v/>
      </c>
      <c r="C737" s="55" t="str">
        <f>IF(A737&lt;&gt;"",INDEX('Base de données'!A$4:L$990,MATCH(' TVA M'!A737,'Base de données'!A$4:A$990,0),12),"")</f>
        <v/>
      </c>
    </row>
    <row r="738" spans="2:3" hidden="1" x14ac:dyDescent="0.25">
      <c r="B738" s="55" t="str">
        <f>IF(A738&lt;&gt;"",INDEX('Base de données'!A$4:L$990,MATCH(' TVA M'!A738,'Base de données'!A$4:A$990,0),2),"")</f>
        <v/>
      </c>
      <c r="C738" s="55" t="str">
        <f>IF(A738&lt;&gt;"",INDEX('Base de données'!A$4:L$990,MATCH(' TVA M'!A738,'Base de données'!A$4:A$990,0),12),"")</f>
        <v/>
      </c>
    </row>
    <row r="739" spans="2:3" hidden="1" x14ac:dyDescent="0.25">
      <c r="B739" s="55" t="str">
        <f>IF(A739&lt;&gt;"",INDEX('Base de données'!A$4:L$990,MATCH(' TVA M'!A739,'Base de données'!A$4:A$990,0),2),"")</f>
        <v/>
      </c>
      <c r="C739" s="55" t="str">
        <f>IF(A739&lt;&gt;"",INDEX('Base de données'!A$4:L$990,MATCH(' TVA M'!A739,'Base de données'!A$4:A$990,0),12),"")</f>
        <v/>
      </c>
    </row>
    <row r="740" spans="2:3" hidden="1" x14ac:dyDescent="0.25">
      <c r="B740" s="55" t="str">
        <f>IF(A740&lt;&gt;"",INDEX('Base de données'!A$4:L$990,MATCH(' TVA M'!A740,'Base de données'!A$4:A$990,0),2),"")</f>
        <v/>
      </c>
      <c r="C740" s="55" t="str">
        <f>IF(A740&lt;&gt;"",INDEX('Base de données'!A$4:L$990,MATCH(' TVA M'!A740,'Base de données'!A$4:A$990,0),12),"")</f>
        <v/>
      </c>
    </row>
    <row r="741" spans="2:3" hidden="1" x14ac:dyDescent="0.25">
      <c r="B741" s="55" t="str">
        <f>IF(A741&lt;&gt;"",INDEX('Base de données'!A$4:L$990,MATCH(' TVA M'!A741,'Base de données'!A$4:A$990,0),2),"")</f>
        <v/>
      </c>
      <c r="C741" s="55" t="str">
        <f>IF(A741&lt;&gt;"",INDEX('Base de données'!A$4:L$990,MATCH(' TVA M'!A741,'Base de données'!A$4:A$990,0),12),"")</f>
        <v/>
      </c>
    </row>
    <row r="742" spans="2:3" hidden="1" x14ac:dyDescent="0.25">
      <c r="B742" s="55" t="str">
        <f>IF(A742&lt;&gt;"",INDEX('Base de données'!A$4:L$990,MATCH(' TVA M'!A742,'Base de données'!A$4:A$990,0),2),"")</f>
        <v/>
      </c>
      <c r="C742" s="55" t="str">
        <f>IF(A742&lt;&gt;"",INDEX('Base de données'!A$4:L$990,MATCH(' TVA M'!A742,'Base de données'!A$4:A$990,0),12),"")</f>
        <v/>
      </c>
    </row>
    <row r="743" spans="2:3" hidden="1" x14ac:dyDescent="0.25">
      <c r="B743" s="55" t="str">
        <f>IF(A743&lt;&gt;"",INDEX('Base de données'!A$4:L$990,MATCH(' TVA M'!A743,'Base de données'!A$4:A$990,0),2),"")</f>
        <v/>
      </c>
      <c r="C743" s="55" t="str">
        <f>IF(A743&lt;&gt;"",INDEX('Base de données'!A$4:L$990,MATCH(' TVA M'!A743,'Base de données'!A$4:A$990,0),12),"")</f>
        <v/>
      </c>
    </row>
    <row r="744" spans="2:3" hidden="1" x14ac:dyDescent="0.25">
      <c r="B744" s="55" t="str">
        <f>IF(A744&lt;&gt;"",INDEX('Base de données'!A$4:L$990,MATCH(' TVA M'!A744,'Base de données'!A$4:A$990,0),2),"")</f>
        <v/>
      </c>
      <c r="C744" s="55" t="str">
        <f>IF(A744&lt;&gt;"",INDEX('Base de données'!A$4:L$990,MATCH(' TVA M'!A744,'Base de données'!A$4:A$990,0),12),"")</f>
        <v/>
      </c>
    </row>
    <row r="745" spans="2:3" hidden="1" x14ac:dyDescent="0.25">
      <c r="B745" s="55" t="str">
        <f>IF(A745&lt;&gt;"",INDEX('Base de données'!A$4:L$990,MATCH(' TVA M'!A745,'Base de données'!A$4:A$990,0),2),"")</f>
        <v/>
      </c>
      <c r="C745" s="55" t="str">
        <f>IF(A745&lt;&gt;"",INDEX('Base de données'!A$4:L$990,MATCH(' TVA M'!A745,'Base de données'!A$4:A$990,0),12),"")</f>
        <v/>
      </c>
    </row>
    <row r="746" spans="2:3" hidden="1" x14ac:dyDescent="0.25">
      <c r="B746" s="55" t="str">
        <f>IF(A746&lt;&gt;"",INDEX('Base de données'!A$4:L$990,MATCH(' TVA M'!A746,'Base de données'!A$4:A$990,0),2),"")</f>
        <v/>
      </c>
      <c r="C746" s="55" t="str">
        <f>IF(A746&lt;&gt;"",INDEX('Base de données'!A$4:L$990,MATCH(' TVA M'!A746,'Base de données'!A$4:A$990,0),12),"")</f>
        <v/>
      </c>
    </row>
    <row r="747" spans="2:3" hidden="1" x14ac:dyDescent="0.25">
      <c r="B747" s="55" t="str">
        <f>IF(A747&lt;&gt;"",INDEX('Base de données'!A$4:L$990,MATCH(' TVA M'!A747,'Base de données'!A$4:A$990,0),2),"")</f>
        <v/>
      </c>
      <c r="C747" s="55" t="str">
        <f>IF(A747&lt;&gt;"",INDEX('Base de données'!A$4:L$990,MATCH(' TVA M'!A747,'Base de données'!A$4:A$990,0),12),"")</f>
        <v/>
      </c>
    </row>
    <row r="748" spans="2:3" hidden="1" x14ac:dyDescent="0.25">
      <c r="B748" s="55" t="str">
        <f>IF(A748&lt;&gt;"",INDEX('Base de données'!A$4:L$990,MATCH(' TVA M'!A748,'Base de données'!A$4:A$990,0),2),"")</f>
        <v/>
      </c>
      <c r="C748" s="55" t="str">
        <f>IF(A748&lt;&gt;"",INDEX('Base de données'!A$4:L$990,MATCH(' TVA M'!A748,'Base de données'!A$4:A$990,0),12),"")</f>
        <v/>
      </c>
    </row>
    <row r="749" spans="2:3" hidden="1" x14ac:dyDescent="0.25">
      <c r="B749" s="55" t="str">
        <f>IF(A749&lt;&gt;"",INDEX('Base de données'!A$4:L$990,MATCH(' TVA M'!A749,'Base de données'!A$4:A$990,0),2),"")</f>
        <v/>
      </c>
      <c r="C749" s="55" t="str">
        <f>IF(A749&lt;&gt;"",INDEX('Base de données'!A$4:L$990,MATCH(' TVA M'!A749,'Base de données'!A$4:A$990,0),12),"")</f>
        <v/>
      </c>
    </row>
    <row r="750" spans="2:3" hidden="1" x14ac:dyDescent="0.25">
      <c r="B750" s="55" t="str">
        <f>IF(A750&lt;&gt;"",INDEX('Base de données'!A$4:L$990,MATCH(' TVA M'!A750,'Base de données'!A$4:A$990,0),2),"")</f>
        <v/>
      </c>
      <c r="C750" s="55" t="str">
        <f>IF(A750&lt;&gt;"",INDEX('Base de données'!A$4:L$990,MATCH(' TVA M'!A750,'Base de données'!A$4:A$990,0),12),"")</f>
        <v/>
      </c>
    </row>
    <row r="751" spans="2:3" hidden="1" x14ac:dyDescent="0.25">
      <c r="B751" s="55" t="str">
        <f>IF(A751&lt;&gt;"",INDEX('Base de données'!A$4:L$990,MATCH(' TVA M'!A751,'Base de données'!A$4:A$990,0),2),"")</f>
        <v/>
      </c>
      <c r="C751" s="55" t="str">
        <f>IF(A751&lt;&gt;"",INDEX('Base de données'!A$4:L$990,MATCH(' TVA M'!A751,'Base de données'!A$4:A$990,0),12),"")</f>
        <v/>
      </c>
    </row>
    <row r="752" spans="2:3" hidden="1" x14ac:dyDescent="0.25">
      <c r="B752" s="55" t="str">
        <f>IF(A752&lt;&gt;"",INDEX('Base de données'!A$4:L$990,MATCH(' TVA M'!A752,'Base de données'!A$4:A$990,0),2),"")</f>
        <v/>
      </c>
      <c r="C752" s="55" t="str">
        <f>IF(A752&lt;&gt;"",INDEX('Base de données'!A$4:L$990,MATCH(' TVA M'!A752,'Base de données'!A$4:A$990,0),12),"")</f>
        <v/>
      </c>
    </row>
    <row r="753" spans="2:3" hidden="1" x14ac:dyDescent="0.25">
      <c r="B753" s="55" t="str">
        <f>IF(A753&lt;&gt;"",INDEX('Base de données'!A$4:L$990,MATCH(' TVA M'!A753,'Base de données'!A$4:A$990,0),2),"")</f>
        <v/>
      </c>
      <c r="C753" s="55" t="str">
        <f>IF(A753&lt;&gt;"",INDEX('Base de données'!A$4:L$990,MATCH(' TVA M'!A753,'Base de données'!A$4:A$990,0),12),"")</f>
        <v/>
      </c>
    </row>
    <row r="754" spans="2:3" hidden="1" x14ac:dyDescent="0.25">
      <c r="B754" s="55" t="str">
        <f>IF(A754&lt;&gt;"",INDEX('Base de données'!A$4:L$990,MATCH(' TVA M'!A754,'Base de données'!A$4:A$990,0),2),"")</f>
        <v/>
      </c>
      <c r="C754" s="55" t="str">
        <f>IF(A754&lt;&gt;"",INDEX('Base de données'!A$4:L$990,MATCH(' TVA M'!A754,'Base de données'!A$4:A$990,0),12),"")</f>
        <v/>
      </c>
    </row>
    <row r="755" spans="2:3" hidden="1" x14ac:dyDescent="0.25">
      <c r="B755" s="55" t="str">
        <f>IF(A755&lt;&gt;"",INDEX('Base de données'!A$4:L$990,MATCH(' TVA M'!A755,'Base de données'!A$4:A$990,0),2),"")</f>
        <v/>
      </c>
      <c r="C755" s="55" t="str">
        <f>IF(A755&lt;&gt;"",INDEX('Base de données'!A$4:L$990,MATCH(' TVA M'!A755,'Base de données'!A$4:A$990,0),12),"")</f>
        <v/>
      </c>
    </row>
    <row r="756" spans="2:3" hidden="1" x14ac:dyDescent="0.25">
      <c r="B756" s="55" t="str">
        <f>IF(A756&lt;&gt;"",INDEX('Base de données'!A$4:L$990,MATCH(' TVA M'!A756,'Base de données'!A$4:A$990,0),2),"")</f>
        <v/>
      </c>
      <c r="C756" s="55" t="str">
        <f>IF(A756&lt;&gt;"",INDEX('Base de données'!A$4:L$990,MATCH(' TVA M'!A756,'Base de données'!A$4:A$990,0),12),"")</f>
        <v/>
      </c>
    </row>
    <row r="757" spans="2:3" hidden="1" x14ac:dyDescent="0.25">
      <c r="B757" s="55" t="str">
        <f>IF(A757&lt;&gt;"",INDEX('Base de données'!A$4:L$990,MATCH(' TVA M'!A757,'Base de données'!A$4:A$990,0),2),"")</f>
        <v/>
      </c>
      <c r="C757" s="55" t="str">
        <f>IF(A757&lt;&gt;"",INDEX('Base de données'!A$4:L$990,MATCH(' TVA M'!A757,'Base de données'!A$4:A$990,0),12),"")</f>
        <v/>
      </c>
    </row>
    <row r="758" spans="2:3" hidden="1" x14ac:dyDescent="0.25">
      <c r="B758" s="55" t="str">
        <f>IF(A758&lt;&gt;"",INDEX('Base de données'!A$4:L$990,MATCH(' TVA M'!A758,'Base de données'!A$4:A$990,0),2),"")</f>
        <v/>
      </c>
      <c r="C758" s="55" t="str">
        <f>IF(A758&lt;&gt;"",INDEX('Base de données'!A$4:L$990,MATCH(' TVA M'!A758,'Base de données'!A$4:A$990,0),12),"")</f>
        <v/>
      </c>
    </row>
    <row r="759" spans="2:3" hidden="1" x14ac:dyDescent="0.25">
      <c r="B759" s="55" t="str">
        <f>IF(A759&lt;&gt;"",INDEX('Base de données'!A$4:L$990,MATCH(' TVA M'!A759,'Base de données'!A$4:A$990,0),2),"")</f>
        <v/>
      </c>
      <c r="C759" s="55" t="str">
        <f>IF(A759&lt;&gt;"",INDEX('Base de données'!A$4:L$990,MATCH(' TVA M'!A759,'Base de données'!A$4:A$990,0),12),"")</f>
        <v/>
      </c>
    </row>
    <row r="760" spans="2:3" hidden="1" x14ac:dyDescent="0.25">
      <c r="B760" s="55" t="str">
        <f>IF(A760&lt;&gt;"",INDEX('Base de données'!A$4:L$990,MATCH(' TVA M'!A760,'Base de données'!A$4:A$990,0),2),"")</f>
        <v/>
      </c>
      <c r="C760" s="55" t="str">
        <f>IF(A760&lt;&gt;"",INDEX('Base de données'!A$4:L$990,MATCH(' TVA M'!A760,'Base de données'!A$4:A$990,0),12),"")</f>
        <v/>
      </c>
    </row>
    <row r="761" spans="2:3" hidden="1" x14ac:dyDescent="0.25">
      <c r="B761" s="55" t="str">
        <f>IF(A761&lt;&gt;"",INDEX('Base de données'!A$4:L$990,MATCH(' TVA M'!A761,'Base de données'!A$4:A$990,0),2),"")</f>
        <v/>
      </c>
      <c r="C761" s="55" t="str">
        <f>IF(A761&lt;&gt;"",INDEX('Base de données'!A$4:L$990,MATCH(' TVA M'!A761,'Base de données'!A$4:A$990,0),12),"")</f>
        <v/>
      </c>
    </row>
    <row r="762" spans="2:3" hidden="1" x14ac:dyDescent="0.25">
      <c r="B762" s="55" t="str">
        <f>IF(A762&lt;&gt;"",INDEX('Base de données'!A$4:L$990,MATCH(' TVA M'!A762,'Base de données'!A$4:A$990,0),2),"")</f>
        <v/>
      </c>
      <c r="C762" s="55" t="str">
        <f>IF(A762&lt;&gt;"",INDEX('Base de données'!A$4:L$990,MATCH(' TVA M'!A762,'Base de données'!A$4:A$990,0),12),"")</f>
        <v/>
      </c>
    </row>
    <row r="763" spans="2:3" hidden="1" x14ac:dyDescent="0.25">
      <c r="B763" s="55" t="str">
        <f>IF(A763&lt;&gt;"",INDEX('Base de données'!A$4:L$990,MATCH(' TVA M'!A763,'Base de données'!A$4:A$990,0),2),"")</f>
        <v/>
      </c>
      <c r="C763" s="55" t="str">
        <f>IF(A763&lt;&gt;"",INDEX('Base de données'!A$4:L$990,MATCH(' TVA M'!A763,'Base de données'!A$4:A$990,0),12),"")</f>
        <v/>
      </c>
    </row>
    <row r="764" spans="2:3" hidden="1" x14ac:dyDescent="0.25">
      <c r="B764" s="55" t="str">
        <f>IF(A764&lt;&gt;"",INDEX('Base de données'!A$4:L$990,MATCH(' TVA M'!A764,'Base de données'!A$4:A$990,0),2),"")</f>
        <v/>
      </c>
      <c r="C764" s="55" t="str">
        <f>IF(A764&lt;&gt;"",INDEX('Base de données'!A$4:L$990,MATCH(' TVA M'!A764,'Base de données'!A$4:A$990,0),12),"")</f>
        <v/>
      </c>
    </row>
    <row r="765" spans="2:3" hidden="1" x14ac:dyDescent="0.25">
      <c r="B765" s="55" t="str">
        <f>IF(A765&lt;&gt;"",INDEX('Base de données'!A$4:L$990,MATCH(' TVA M'!A765,'Base de données'!A$4:A$990,0),2),"")</f>
        <v/>
      </c>
      <c r="C765" s="55" t="str">
        <f>IF(A765&lt;&gt;"",INDEX('Base de données'!A$4:L$990,MATCH(' TVA M'!A765,'Base de données'!A$4:A$990,0),12),"")</f>
        <v/>
      </c>
    </row>
    <row r="766" spans="2:3" hidden="1" x14ac:dyDescent="0.25">
      <c r="B766" s="55" t="str">
        <f>IF(A766&lt;&gt;"",INDEX('Base de données'!A$4:L$990,MATCH(' TVA M'!A766,'Base de données'!A$4:A$990,0),2),"")</f>
        <v/>
      </c>
      <c r="C766" s="55" t="str">
        <f>IF(A766&lt;&gt;"",INDEX('Base de données'!A$4:L$990,MATCH(' TVA M'!A766,'Base de données'!A$4:A$990,0),12),"")</f>
        <v/>
      </c>
    </row>
    <row r="767" spans="2:3" hidden="1" x14ac:dyDescent="0.25">
      <c r="B767" s="55" t="str">
        <f>IF(A767&lt;&gt;"",INDEX('Base de données'!A$4:L$990,MATCH(' TVA M'!A767,'Base de données'!A$4:A$990,0),2),"")</f>
        <v/>
      </c>
      <c r="C767" s="55" t="str">
        <f>IF(A767&lt;&gt;"",INDEX('Base de données'!A$4:L$990,MATCH(' TVA M'!A767,'Base de données'!A$4:A$990,0),12),"")</f>
        <v/>
      </c>
    </row>
    <row r="768" spans="2:3" hidden="1" x14ac:dyDescent="0.25">
      <c r="B768" s="55" t="str">
        <f>IF(A768&lt;&gt;"",INDEX('Base de données'!A$4:L$990,MATCH(' TVA M'!A768,'Base de données'!A$4:A$990,0),2),"")</f>
        <v/>
      </c>
      <c r="C768" s="55" t="str">
        <f>IF(A768&lt;&gt;"",INDEX('Base de données'!A$4:L$990,MATCH(' TVA M'!A768,'Base de données'!A$4:A$990,0),12),"")</f>
        <v/>
      </c>
    </row>
    <row r="769" spans="2:3" hidden="1" x14ac:dyDescent="0.25">
      <c r="B769" s="55" t="str">
        <f>IF(A769&lt;&gt;"",INDEX('Base de données'!A$4:L$990,MATCH(' TVA M'!A769,'Base de données'!A$4:A$990,0),2),"")</f>
        <v/>
      </c>
      <c r="C769" s="55" t="str">
        <f>IF(A769&lt;&gt;"",INDEX('Base de données'!A$4:L$990,MATCH(' TVA M'!A769,'Base de données'!A$4:A$990,0),12),"")</f>
        <v/>
      </c>
    </row>
    <row r="770" spans="2:3" hidden="1" x14ac:dyDescent="0.25">
      <c r="B770" s="55" t="str">
        <f>IF(A770&lt;&gt;"",INDEX('Base de données'!A$4:L$990,MATCH(' TVA M'!A770,'Base de données'!A$4:A$990,0),2),"")</f>
        <v/>
      </c>
      <c r="C770" s="55" t="str">
        <f>IF(A770&lt;&gt;"",INDEX('Base de données'!A$4:L$990,MATCH(' TVA M'!A770,'Base de données'!A$4:A$990,0),12),"")</f>
        <v/>
      </c>
    </row>
    <row r="771" spans="2:3" hidden="1" x14ac:dyDescent="0.25">
      <c r="B771" s="55" t="str">
        <f>IF(A771&lt;&gt;"",INDEX('Base de données'!A$4:L$990,MATCH(' TVA M'!A771,'Base de données'!A$4:A$990,0),2),"")</f>
        <v/>
      </c>
      <c r="C771" s="55" t="str">
        <f>IF(A771&lt;&gt;"",INDEX('Base de données'!A$4:L$990,MATCH(' TVA M'!A771,'Base de données'!A$4:A$990,0),12),"")</f>
        <v/>
      </c>
    </row>
    <row r="772" spans="2:3" hidden="1" x14ac:dyDescent="0.25">
      <c r="B772" s="55" t="str">
        <f>IF(A772&lt;&gt;"",INDEX('Base de données'!A$4:L$990,MATCH(' TVA M'!A772,'Base de données'!A$4:A$990,0),2),"")</f>
        <v/>
      </c>
      <c r="C772" s="55" t="str">
        <f>IF(A772&lt;&gt;"",INDEX('Base de données'!A$4:L$990,MATCH(' TVA M'!A772,'Base de données'!A$4:A$990,0),12),"")</f>
        <v/>
      </c>
    </row>
    <row r="773" spans="2:3" hidden="1" x14ac:dyDescent="0.25">
      <c r="B773" s="55" t="str">
        <f>IF(A773&lt;&gt;"",INDEX('Base de données'!A$4:L$990,MATCH(' TVA M'!A773,'Base de données'!A$4:A$990,0),2),"")</f>
        <v/>
      </c>
      <c r="C773" s="55" t="str">
        <f>IF(A773&lt;&gt;"",INDEX('Base de données'!A$4:L$990,MATCH(' TVA M'!A773,'Base de données'!A$4:A$990,0),12),"")</f>
        <v/>
      </c>
    </row>
    <row r="774" spans="2:3" hidden="1" x14ac:dyDescent="0.25">
      <c r="B774" s="55" t="str">
        <f>IF(A774&lt;&gt;"",INDEX('Base de données'!A$4:L$990,MATCH(' TVA M'!A774,'Base de données'!A$4:A$990,0),2),"")</f>
        <v/>
      </c>
      <c r="C774" s="55" t="str">
        <f>IF(A774&lt;&gt;"",INDEX('Base de données'!A$4:L$990,MATCH(' TVA M'!A774,'Base de données'!A$4:A$990,0),12),"")</f>
        <v/>
      </c>
    </row>
    <row r="775" spans="2:3" hidden="1" x14ac:dyDescent="0.25">
      <c r="B775" s="55" t="str">
        <f>IF(A775&lt;&gt;"",INDEX('Base de données'!A$4:L$990,MATCH(' TVA M'!A775,'Base de données'!A$4:A$990,0),2),"")</f>
        <v/>
      </c>
      <c r="C775" s="55" t="str">
        <f>IF(A775&lt;&gt;"",INDEX('Base de données'!A$4:L$990,MATCH(' TVA M'!A775,'Base de données'!A$4:A$990,0),12),"")</f>
        <v/>
      </c>
    </row>
    <row r="776" spans="2:3" hidden="1" x14ac:dyDescent="0.25">
      <c r="B776" s="55" t="str">
        <f>IF(A776&lt;&gt;"",INDEX('Base de données'!A$4:L$990,MATCH(' TVA M'!A776,'Base de données'!A$4:A$990,0),2),"")</f>
        <v/>
      </c>
      <c r="C776" s="55" t="str">
        <f>IF(A776&lt;&gt;"",INDEX('Base de données'!A$4:L$990,MATCH(' TVA M'!A776,'Base de données'!A$4:A$990,0),12),"")</f>
        <v/>
      </c>
    </row>
    <row r="777" spans="2:3" hidden="1" x14ac:dyDescent="0.25">
      <c r="B777" s="55" t="str">
        <f>IF(A777&lt;&gt;"",INDEX('Base de données'!A$4:L$990,MATCH(' TVA M'!A777,'Base de données'!A$4:A$990,0),2),"")</f>
        <v/>
      </c>
      <c r="C777" s="55" t="str">
        <f>IF(A777&lt;&gt;"",INDEX('Base de données'!A$4:L$990,MATCH(' TVA M'!A777,'Base de données'!A$4:A$990,0),12),"")</f>
        <v/>
      </c>
    </row>
    <row r="778" spans="2:3" hidden="1" x14ac:dyDescent="0.25">
      <c r="B778" s="55" t="str">
        <f>IF(A778&lt;&gt;"",INDEX('Base de données'!A$4:L$990,MATCH(' TVA M'!A778,'Base de données'!A$4:A$990,0),2),"")</f>
        <v/>
      </c>
      <c r="C778" s="55" t="str">
        <f>IF(A778&lt;&gt;"",INDEX('Base de données'!A$4:L$990,MATCH(' TVA M'!A778,'Base de données'!A$4:A$990,0),12),"")</f>
        <v/>
      </c>
    </row>
    <row r="779" spans="2:3" hidden="1" x14ac:dyDescent="0.25">
      <c r="B779" s="55" t="str">
        <f>IF(A779&lt;&gt;"",INDEX('Base de données'!A$4:L$990,MATCH(' TVA M'!A779,'Base de données'!A$4:A$990,0),2),"")</f>
        <v/>
      </c>
      <c r="C779" s="55" t="str">
        <f>IF(A779&lt;&gt;"",INDEX('Base de données'!A$4:L$990,MATCH(' TVA M'!A779,'Base de données'!A$4:A$990,0),12),"")</f>
        <v/>
      </c>
    </row>
    <row r="780" spans="2:3" hidden="1" x14ac:dyDescent="0.25">
      <c r="B780" s="55" t="str">
        <f>IF(A780&lt;&gt;"",INDEX('Base de données'!A$4:L$990,MATCH(' TVA M'!A780,'Base de données'!A$4:A$990,0),2),"")</f>
        <v/>
      </c>
      <c r="C780" s="55" t="str">
        <f>IF(A780&lt;&gt;"",INDEX('Base de données'!A$4:L$990,MATCH(' TVA M'!A780,'Base de données'!A$4:A$990,0),12),"")</f>
        <v/>
      </c>
    </row>
    <row r="781" spans="2:3" hidden="1" x14ac:dyDescent="0.25">
      <c r="B781" s="55" t="str">
        <f>IF(A781&lt;&gt;"",INDEX('Base de données'!A$4:L$990,MATCH(' TVA M'!A781,'Base de données'!A$4:A$990,0),2),"")</f>
        <v/>
      </c>
      <c r="C781" s="55" t="str">
        <f>IF(A781&lt;&gt;"",INDEX('Base de données'!A$4:L$990,MATCH(' TVA M'!A781,'Base de données'!A$4:A$990,0),12),"")</f>
        <v/>
      </c>
    </row>
    <row r="782" spans="2:3" hidden="1" x14ac:dyDescent="0.25">
      <c r="B782" s="55" t="str">
        <f>IF(A782&lt;&gt;"",INDEX('Base de données'!A$4:L$990,MATCH(' TVA M'!A782,'Base de données'!A$4:A$990,0),2),"")</f>
        <v/>
      </c>
      <c r="C782" s="55" t="str">
        <f>IF(A782&lt;&gt;"",INDEX('Base de données'!A$4:L$990,MATCH(' TVA M'!A782,'Base de données'!A$4:A$990,0),12),"")</f>
        <v/>
      </c>
    </row>
    <row r="783" spans="2:3" hidden="1" x14ac:dyDescent="0.25">
      <c r="B783" s="55" t="str">
        <f>IF(A783&lt;&gt;"",INDEX('Base de données'!A$4:L$990,MATCH(' TVA M'!A783,'Base de données'!A$4:A$990,0),2),"")</f>
        <v/>
      </c>
      <c r="C783" s="55" t="str">
        <f>IF(A783&lt;&gt;"",INDEX('Base de données'!A$4:L$990,MATCH(' TVA M'!A783,'Base de données'!A$4:A$990,0),12),"")</f>
        <v/>
      </c>
    </row>
    <row r="784" spans="2:3" hidden="1" x14ac:dyDescent="0.25">
      <c r="B784" s="55" t="str">
        <f>IF(A784&lt;&gt;"",INDEX('Base de données'!A$4:L$990,MATCH(' TVA M'!A784,'Base de données'!A$4:A$990,0),2),"")</f>
        <v/>
      </c>
      <c r="C784" s="55" t="str">
        <f>IF(A784&lt;&gt;"",INDEX('Base de données'!A$4:L$990,MATCH(' TVA M'!A784,'Base de données'!A$4:A$990,0),12),"")</f>
        <v/>
      </c>
    </row>
    <row r="785" spans="2:3" hidden="1" x14ac:dyDescent="0.25">
      <c r="B785" s="55" t="str">
        <f>IF(A785&lt;&gt;"",INDEX('Base de données'!A$4:L$990,MATCH(' TVA M'!A785,'Base de données'!A$4:A$990,0),2),"")</f>
        <v/>
      </c>
      <c r="C785" s="55" t="str">
        <f>IF(A785&lt;&gt;"",INDEX('Base de données'!A$4:L$990,MATCH(' TVA M'!A785,'Base de données'!A$4:A$990,0),12),"")</f>
        <v/>
      </c>
    </row>
    <row r="786" spans="2:3" hidden="1" x14ac:dyDescent="0.25">
      <c r="B786" s="55" t="str">
        <f>IF(A786&lt;&gt;"",INDEX('Base de données'!A$4:L$990,MATCH(' TVA M'!A786,'Base de données'!A$4:A$990,0),2),"")</f>
        <v/>
      </c>
      <c r="C786" s="55" t="str">
        <f>IF(A786&lt;&gt;"",INDEX('Base de données'!A$4:L$990,MATCH(' TVA M'!A786,'Base de données'!A$4:A$990,0),12),"")</f>
        <v/>
      </c>
    </row>
    <row r="787" spans="2:3" hidden="1" x14ac:dyDescent="0.25">
      <c r="B787" s="55" t="str">
        <f>IF(A787&lt;&gt;"",INDEX('Base de données'!A$4:L$990,MATCH(' TVA M'!A787,'Base de données'!A$4:A$990,0),2),"")</f>
        <v/>
      </c>
      <c r="C787" s="55" t="str">
        <f>IF(A787&lt;&gt;"",INDEX('Base de données'!A$4:L$990,MATCH(' TVA M'!A787,'Base de données'!A$4:A$990,0),12),"")</f>
        <v/>
      </c>
    </row>
    <row r="788" spans="2:3" hidden="1" x14ac:dyDescent="0.25">
      <c r="B788" s="55" t="str">
        <f>IF(A788&lt;&gt;"",INDEX('Base de données'!A$4:L$990,MATCH(' TVA M'!A788,'Base de données'!A$4:A$990,0),2),"")</f>
        <v/>
      </c>
      <c r="C788" s="55" t="str">
        <f>IF(A788&lt;&gt;"",INDEX('Base de données'!A$4:L$990,MATCH(' TVA M'!A788,'Base de données'!A$4:A$990,0),12),"")</f>
        <v/>
      </c>
    </row>
    <row r="789" spans="2:3" hidden="1" x14ac:dyDescent="0.25">
      <c r="B789" s="55" t="str">
        <f>IF(A789&lt;&gt;"",INDEX('Base de données'!A$4:L$990,MATCH(' TVA M'!A789,'Base de données'!A$4:A$990,0),2),"")</f>
        <v/>
      </c>
      <c r="C789" s="55" t="str">
        <f>IF(A789&lt;&gt;"",INDEX('Base de données'!A$4:L$990,MATCH(' TVA M'!A789,'Base de données'!A$4:A$990,0),12),"")</f>
        <v/>
      </c>
    </row>
    <row r="790" spans="2:3" hidden="1" x14ac:dyDescent="0.25">
      <c r="B790" s="55" t="str">
        <f>IF(A790&lt;&gt;"",INDEX('Base de données'!A$4:L$990,MATCH(' TVA M'!A790,'Base de données'!A$4:A$990,0),2),"")</f>
        <v/>
      </c>
      <c r="C790" s="55" t="str">
        <f>IF(A790&lt;&gt;"",INDEX('Base de données'!A$4:L$990,MATCH(' TVA M'!A790,'Base de données'!A$4:A$990,0),12),"")</f>
        <v/>
      </c>
    </row>
    <row r="791" spans="2:3" hidden="1" x14ac:dyDescent="0.25">
      <c r="B791" s="55" t="str">
        <f>IF(A791&lt;&gt;"",INDEX('Base de données'!A$4:L$990,MATCH(' TVA M'!A791,'Base de données'!A$4:A$990,0),2),"")</f>
        <v/>
      </c>
      <c r="C791" s="55" t="str">
        <f>IF(A791&lt;&gt;"",INDEX('Base de données'!A$4:L$990,MATCH(' TVA M'!A791,'Base de données'!A$4:A$990,0),12),"")</f>
        <v/>
      </c>
    </row>
    <row r="792" spans="2:3" hidden="1" x14ac:dyDescent="0.25">
      <c r="B792" s="55" t="str">
        <f>IF(A792&lt;&gt;"",INDEX('Base de données'!A$4:L$990,MATCH(' TVA M'!A792,'Base de données'!A$4:A$990,0),2),"")</f>
        <v/>
      </c>
      <c r="C792" s="55" t="str">
        <f>IF(A792&lt;&gt;"",INDEX('Base de données'!A$4:L$990,MATCH(' TVA M'!A792,'Base de données'!A$4:A$990,0),12),"")</f>
        <v/>
      </c>
    </row>
    <row r="793" spans="2:3" hidden="1" x14ac:dyDescent="0.25">
      <c r="B793" s="55" t="str">
        <f>IF(A793&lt;&gt;"",INDEX('Base de données'!A$4:L$990,MATCH(' TVA M'!A793,'Base de données'!A$4:A$990,0),2),"")</f>
        <v/>
      </c>
      <c r="C793" s="55" t="str">
        <f>IF(A793&lt;&gt;"",INDEX('Base de données'!A$4:L$990,MATCH(' TVA M'!A793,'Base de données'!A$4:A$990,0),12),"")</f>
        <v/>
      </c>
    </row>
    <row r="794" spans="2:3" hidden="1" x14ac:dyDescent="0.25">
      <c r="B794" s="55" t="str">
        <f>IF(A794&lt;&gt;"",INDEX('Base de données'!A$4:L$990,MATCH(' TVA M'!A794,'Base de données'!A$4:A$990,0),2),"")</f>
        <v/>
      </c>
      <c r="C794" s="55" t="str">
        <f>IF(A794&lt;&gt;"",INDEX('Base de données'!A$4:L$990,MATCH(' TVA M'!A794,'Base de données'!A$4:A$990,0),12),"")</f>
        <v/>
      </c>
    </row>
    <row r="795" spans="2:3" hidden="1" x14ac:dyDescent="0.25">
      <c r="B795" s="55" t="str">
        <f>IF(A795&lt;&gt;"",INDEX('Base de données'!A$4:L$990,MATCH(' TVA M'!A795,'Base de données'!A$4:A$990,0),2),"")</f>
        <v/>
      </c>
      <c r="C795" s="55" t="str">
        <f>IF(A795&lt;&gt;"",INDEX('Base de données'!A$4:L$990,MATCH(' TVA M'!A795,'Base de données'!A$4:A$990,0),12),"")</f>
        <v/>
      </c>
    </row>
    <row r="796" spans="2:3" hidden="1" x14ac:dyDescent="0.25">
      <c r="B796" s="55" t="str">
        <f>IF(A796&lt;&gt;"",INDEX('Base de données'!A$4:L$990,MATCH(' TVA M'!A796,'Base de données'!A$4:A$990,0),2),"")</f>
        <v/>
      </c>
      <c r="C796" s="55" t="str">
        <f>IF(A796&lt;&gt;"",INDEX('Base de données'!A$4:L$990,MATCH(' TVA M'!A796,'Base de données'!A$4:A$990,0),12),"")</f>
        <v/>
      </c>
    </row>
    <row r="797" spans="2:3" hidden="1" x14ac:dyDescent="0.25">
      <c r="B797" s="55" t="str">
        <f>IF(A797&lt;&gt;"",INDEX('Base de données'!A$4:L$990,MATCH(' TVA M'!A797,'Base de données'!A$4:A$990,0),2),"")</f>
        <v/>
      </c>
      <c r="C797" s="55" t="str">
        <f>IF(A797&lt;&gt;"",INDEX('Base de données'!A$4:L$990,MATCH(' TVA M'!A797,'Base de données'!A$4:A$990,0),12),"")</f>
        <v/>
      </c>
    </row>
    <row r="798" spans="2:3" hidden="1" x14ac:dyDescent="0.25">
      <c r="B798" s="55" t="str">
        <f>IF(A798&lt;&gt;"",INDEX('Base de données'!A$4:L$990,MATCH(' TVA M'!A798,'Base de données'!A$4:A$990,0),2),"")</f>
        <v/>
      </c>
      <c r="C798" s="55" t="str">
        <f>IF(A798&lt;&gt;"",INDEX('Base de données'!A$4:L$990,MATCH(' TVA M'!A798,'Base de données'!A$4:A$990,0),12),"")</f>
        <v/>
      </c>
    </row>
    <row r="799" spans="2:3" hidden="1" x14ac:dyDescent="0.25">
      <c r="B799" s="55" t="str">
        <f>IF(A799&lt;&gt;"",INDEX('Base de données'!A$4:L$990,MATCH(' TVA M'!A799,'Base de données'!A$4:A$990,0),2),"")</f>
        <v/>
      </c>
      <c r="C799" s="55" t="str">
        <f>IF(A799&lt;&gt;"",INDEX('Base de données'!A$4:L$990,MATCH(' TVA M'!A799,'Base de données'!A$4:A$990,0),12),"")</f>
        <v/>
      </c>
    </row>
    <row r="800" spans="2:3" hidden="1" x14ac:dyDescent="0.25">
      <c r="B800" s="55" t="str">
        <f>IF(A800&lt;&gt;"",INDEX('Base de données'!A$4:L$990,MATCH(' TVA M'!A800,'Base de données'!A$4:A$990,0),2),"")</f>
        <v/>
      </c>
      <c r="C800" s="55" t="str">
        <f>IF(A800&lt;&gt;"",INDEX('Base de données'!A$4:L$990,MATCH(' TVA M'!A800,'Base de données'!A$4:A$990,0),12),"")</f>
        <v/>
      </c>
    </row>
    <row r="801" spans="2:3" hidden="1" x14ac:dyDescent="0.25">
      <c r="B801" s="55" t="str">
        <f>IF(A801&lt;&gt;"",INDEX('Base de données'!A$4:L$990,MATCH(' TVA M'!A801,'Base de données'!A$4:A$990,0),2),"")</f>
        <v/>
      </c>
      <c r="C801" s="55" t="str">
        <f>IF(A801&lt;&gt;"",INDEX('Base de données'!A$4:L$990,MATCH(' TVA M'!A801,'Base de données'!A$4:A$990,0),12),"")</f>
        <v/>
      </c>
    </row>
    <row r="802" spans="2:3" hidden="1" x14ac:dyDescent="0.25">
      <c r="B802" s="55" t="str">
        <f>IF(A802&lt;&gt;"",INDEX('Base de données'!A$4:L$990,MATCH(' TVA M'!A802,'Base de données'!A$4:A$990,0),2),"")</f>
        <v/>
      </c>
      <c r="C802" s="55" t="str">
        <f>IF(A802&lt;&gt;"",INDEX('Base de données'!A$4:L$990,MATCH(' TVA M'!A802,'Base de données'!A$4:A$990,0),12),"")</f>
        <v/>
      </c>
    </row>
    <row r="803" spans="2:3" hidden="1" x14ac:dyDescent="0.25">
      <c r="B803" s="55" t="str">
        <f>IF(A803&lt;&gt;"",INDEX('Base de données'!A$4:L$990,MATCH(' TVA M'!A803,'Base de données'!A$4:A$990,0),2),"")</f>
        <v/>
      </c>
      <c r="C803" s="55" t="str">
        <f>IF(A803&lt;&gt;"",INDEX('Base de données'!A$4:L$990,MATCH(' TVA M'!A803,'Base de données'!A$4:A$990,0),12),"")</f>
        <v/>
      </c>
    </row>
    <row r="804" spans="2:3" hidden="1" x14ac:dyDescent="0.25">
      <c r="B804" s="55" t="str">
        <f>IF(A804&lt;&gt;"",INDEX('Base de données'!A$4:L$990,MATCH(' TVA M'!A804,'Base de données'!A$4:A$990,0),2),"")</f>
        <v/>
      </c>
      <c r="C804" s="55" t="str">
        <f>IF(A804&lt;&gt;"",INDEX('Base de données'!A$4:L$990,MATCH(' TVA M'!A804,'Base de données'!A$4:A$990,0),12),"")</f>
        <v/>
      </c>
    </row>
    <row r="805" spans="2:3" hidden="1" x14ac:dyDescent="0.25">
      <c r="B805" s="55" t="str">
        <f>IF(A805&lt;&gt;"",INDEX('Base de données'!A$4:L$990,MATCH(' TVA M'!A805,'Base de données'!A$4:A$990,0),2),"")</f>
        <v/>
      </c>
      <c r="C805" s="55" t="str">
        <f>IF(A805&lt;&gt;"",INDEX('Base de données'!A$4:L$990,MATCH(' TVA M'!A805,'Base de données'!A$4:A$990,0),12),"")</f>
        <v/>
      </c>
    </row>
    <row r="806" spans="2:3" hidden="1" x14ac:dyDescent="0.25">
      <c r="B806" s="55" t="str">
        <f>IF(A806&lt;&gt;"",INDEX('Base de données'!A$4:L$990,MATCH(' TVA M'!A806,'Base de données'!A$4:A$990,0),2),"")</f>
        <v/>
      </c>
      <c r="C806" s="55" t="str">
        <f>IF(A806&lt;&gt;"",INDEX('Base de données'!A$4:L$990,MATCH(' TVA M'!A806,'Base de données'!A$4:A$990,0),12),"")</f>
        <v/>
      </c>
    </row>
    <row r="807" spans="2:3" hidden="1" x14ac:dyDescent="0.25">
      <c r="B807" s="55" t="str">
        <f>IF(A807&lt;&gt;"",INDEX('Base de données'!A$4:L$990,MATCH(' TVA M'!A807,'Base de données'!A$4:A$990,0),2),"")</f>
        <v/>
      </c>
      <c r="C807" s="55" t="str">
        <f>IF(A807&lt;&gt;"",INDEX('Base de données'!A$4:L$990,MATCH(' TVA M'!A807,'Base de données'!A$4:A$990,0),12),"")</f>
        <v/>
      </c>
    </row>
    <row r="808" spans="2:3" hidden="1" x14ac:dyDescent="0.25">
      <c r="B808" s="55" t="str">
        <f>IF(A808&lt;&gt;"",INDEX('Base de données'!A$4:L$990,MATCH(' TVA M'!A808,'Base de données'!A$4:A$990,0),2),"")</f>
        <v/>
      </c>
      <c r="C808" s="55" t="str">
        <f>IF(A808&lt;&gt;"",INDEX('Base de données'!A$4:L$990,MATCH(' TVA M'!A808,'Base de données'!A$4:A$990,0),12),"")</f>
        <v/>
      </c>
    </row>
    <row r="809" spans="2:3" hidden="1" x14ac:dyDescent="0.25">
      <c r="B809" s="55" t="str">
        <f>IF(A809&lt;&gt;"",INDEX('Base de données'!A$4:L$990,MATCH(' TVA M'!A809,'Base de données'!A$4:A$990,0),2),"")</f>
        <v/>
      </c>
      <c r="C809" s="55" t="str">
        <f>IF(A809&lt;&gt;"",INDEX('Base de données'!A$4:L$990,MATCH(' TVA M'!A809,'Base de données'!A$4:A$990,0),12),"")</f>
        <v/>
      </c>
    </row>
    <row r="810" spans="2:3" hidden="1" x14ac:dyDescent="0.25">
      <c r="B810" s="55" t="str">
        <f>IF(A810&lt;&gt;"",INDEX('Base de données'!A$4:L$990,MATCH(' TVA M'!A810,'Base de données'!A$4:A$990,0),2),"")</f>
        <v/>
      </c>
      <c r="C810" s="55" t="str">
        <f>IF(A810&lt;&gt;"",INDEX('Base de données'!A$4:L$990,MATCH(' TVA M'!A810,'Base de données'!A$4:A$990,0),12),"")</f>
        <v/>
      </c>
    </row>
    <row r="811" spans="2:3" hidden="1" x14ac:dyDescent="0.25">
      <c r="B811" s="55" t="str">
        <f>IF(A811&lt;&gt;"",INDEX('Base de données'!A$4:L$990,MATCH(' TVA M'!A811,'Base de données'!A$4:A$990,0),2),"")</f>
        <v/>
      </c>
      <c r="C811" s="55" t="str">
        <f>IF(A811&lt;&gt;"",INDEX('Base de données'!A$4:L$990,MATCH(' TVA M'!A811,'Base de données'!A$4:A$990,0),12),"")</f>
        <v/>
      </c>
    </row>
    <row r="812" spans="2:3" hidden="1" x14ac:dyDescent="0.25">
      <c r="B812" s="55" t="str">
        <f>IF(A812&lt;&gt;"",INDEX('Base de données'!A$4:L$990,MATCH(' TVA M'!A812,'Base de données'!A$4:A$990,0),2),"")</f>
        <v/>
      </c>
      <c r="C812" s="55" t="str">
        <f>IF(A812&lt;&gt;"",INDEX('Base de données'!A$4:L$990,MATCH(' TVA M'!A812,'Base de données'!A$4:A$990,0),12),"")</f>
        <v/>
      </c>
    </row>
    <row r="813" spans="2:3" hidden="1" x14ac:dyDescent="0.25">
      <c r="B813" s="55" t="str">
        <f>IF(A813&lt;&gt;"",INDEX('Base de données'!A$4:L$990,MATCH(' TVA M'!A813,'Base de données'!A$4:A$990,0),2),"")</f>
        <v/>
      </c>
      <c r="C813" s="55" t="str">
        <f>IF(A813&lt;&gt;"",INDEX('Base de données'!A$4:L$990,MATCH(' TVA M'!A813,'Base de données'!A$4:A$990,0),12),"")</f>
        <v/>
      </c>
    </row>
    <row r="814" spans="2:3" hidden="1" x14ac:dyDescent="0.25">
      <c r="B814" s="55" t="str">
        <f>IF(A814&lt;&gt;"",INDEX('Base de données'!A$4:L$990,MATCH(' TVA M'!A814,'Base de données'!A$4:A$990,0),2),"")</f>
        <v/>
      </c>
      <c r="C814" s="55" t="str">
        <f>IF(A814&lt;&gt;"",INDEX('Base de données'!A$4:L$990,MATCH(' TVA M'!A814,'Base de données'!A$4:A$990,0),12),"")</f>
        <v/>
      </c>
    </row>
    <row r="815" spans="2:3" hidden="1" x14ac:dyDescent="0.25">
      <c r="B815" s="55" t="str">
        <f>IF(A815&lt;&gt;"",INDEX('Base de données'!A$4:L$990,MATCH(' TVA M'!A815,'Base de données'!A$4:A$990,0),2),"")</f>
        <v/>
      </c>
      <c r="C815" s="55" t="str">
        <f>IF(A815&lt;&gt;"",INDEX('Base de données'!A$4:L$990,MATCH(' TVA M'!A815,'Base de données'!A$4:A$990,0),12),"")</f>
        <v/>
      </c>
    </row>
    <row r="816" spans="2:3" hidden="1" x14ac:dyDescent="0.25">
      <c r="B816" s="55" t="str">
        <f>IF(A816&lt;&gt;"",INDEX('Base de données'!A$4:L$990,MATCH(' TVA M'!A816,'Base de données'!A$4:A$990,0),2),"")</f>
        <v/>
      </c>
      <c r="C816" s="55" t="str">
        <f>IF(A816&lt;&gt;"",INDEX('Base de données'!A$4:L$990,MATCH(' TVA M'!A816,'Base de données'!A$4:A$990,0),12),"")</f>
        <v/>
      </c>
    </row>
    <row r="817" spans="2:3" hidden="1" x14ac:dyDescent="0.25">
      <c r="B817" s="55" t="str">
        <f>IF(A817&lt;&gt;"",INDEX('Base de données'!A$4:L$990,MATCH(' TVA M'!A817,'Base de données'!A$4:A$990,0),2),"")</f>
        <v/>
      </c>
      <c r="C817" s="55" t="str">
        <f>IF(A817&lt;&gt;"",INDEX('Base de données'!A$4:L$990,MATCH(' TVA M'!A817,'Base de données'!A$4:A$990,0),12),"")</f>
        <v/>
      </c>
    </row>
    <row r="818" spans="2:3" hidden="1" x14ac:dyDescent="0.25">
      <c r="B818" s="55" t="str">
        <f>IF(A818&lt;&gt;"",INDEX('Base de données'!A$4:L$990,MATCH(' TVA M'!A818,'Base de données'!A$4:A$990,0),2),"")</f>
        <v/>
      </c>
      <c r="C818" s="55" t="str">
        <f>IF(A818&lt;&gt;"",INDEX('Base de données'!A$4:L$990,MATCH(' TVA M'!A818,'Base de données'!A$4:A$990,0),12),"")</f>
        <v/>
      </c>
    </row>
    <row r="819" spans="2:3" hidden="1" x14ac:dyDescent="0.25">
      <c r="B819" s="55" t="str">
        <f>IF(A819&lt;&gt;"",INDEX('Base de données'!A$4:L$990,MATCH(' TVA M'!A819,'Base de données'!A$4:A$990,0),2),"")</f>
        <v/>
      </c>
      <c r="C819" s="55" t="str">
        <f>IF(A819&lt;&gt;"",INDEX('Base de données'!A$4:L$990,MATCH(' TVA M'!A819,'Base de données'!A$4:A$990,0),12),"")</f>
        <v/>
      </c>
    </row>
    <row r="820" spans="2:3" hidden="1" x14ac:dyDescent="0.25">
      <c r="B820" s="55" t="str">
        <f>IF(A820&lt;&gt;"",INDEX('Base de données'!A$4:L$990,MATCH(' TVA M'!A820,'Base de données'!A$4:A$990,0),2),"")</f>
        <v/>
      </c>
      <c r="C820" s="55" t="str">
        <f>IF(A820&lt;&gt;"",INDEX('Base de données'!A$4:L$990,MATCH(' TVA M'!A820,'Base de données'!A$4:A$990,0),12),"")</f>
        <v/>
      </c>
    </row>
    <row r="821" spans="2:3" hidden="1" x14ac:dyDescent="0.25">
      <c r="B821" s="55" t="str">
        <f>IF(A821&lt;&gt;"",INDEX('Base de données'!A$4:L$990,MATCH(' TVA M'!A821,'Base de données'!A$4:A$990,0),2),"")</f>
        <v/>
      </c>
      <c r="C821" s="55" t="str">
        <f>IF(A821&lt;&gt;"",INDEX('Base de données'!A$4:L$990,MATCH(' TVA M'!A821,'Base de données'!A$4:A$990,0),12),"")</f>
        <v/>
      </c>
    </row>
    <row r="822" spans="2:3" hidden="1" x14ac:dyDescent="0.25">
      <c r="B822" s="55" t="str">
        <f>IF(A822&lt;&gt;"",INDEX('Base de données'!A$4:L$990,MATCH(' TVA M'!A822,'Base de données'!A$4:A$990,0),2),"")</f>
        <v/>
      </c>
      <c r="C822" s="55" t="str">
        <f>IF(A822&lt;&gt;"",INDEX('Base de données'!A$4:L$990,MATCH(' TVA M'!A822,'Base de données'!A$4:A$990,0),12),"")</f>
        <v/>
      </c>
    </row>
    <row r="823" spans="2:3" hidden="1" x14ac:dyDescent="0.25">
      <c r="B823" s="55" t="str">
        <f>IF(A823&lt;&gt;"",INDEX('Base de données'!A$4:L$990,MATCH(' TVA M'!A823,'Base de données'!A$4:A$990,0),2),"")</f>
        <v/>
      </c>
      <c r="C823" s="55" t="str">
        <f>IF(A823&lt;&gt;"",INDEX('Base de données'!A$4:L$990,MATCH(' TVA M'!A823,'Base de données'!A$4:A$990,0),12),"")</f>
        <v/>
      </c>
    </row>
    <row r="824" spans="2:3" hidden="1" x14ac:dyDescent="0.25">
      <c r="B824" s="55" t="str">
        <f>IF(A824&lt;&gt;"",INDEX('Base de données'!A$4:L$990,MATCH(' TVA M'!A824,'Base de données'!A$4:A$990,0),2),"")</f>
        <v/>
      </c>
      <c r="C824" s="55" t="str">
        <f>IF(A824&lt;&gt;"",INDEX('Base de données'!A$4:L$990,MATCH(' TVA M'!A824,'Base de données'!A$4:A$990,0),12),"")</f>
        <v/>
      </c>
    </row>
    <row r="825" spans="2:3" hidden="1" x14ac:dyDescent="0.25">
      <c r="B825" s="55" t="str">
        <f>IF(A825&lt;&gt;"",INDEX('Base de données'!A$4:L$990,MATCH(' TVA M'!A825,'Base de données'!A$4:A$990,0),2),"")</f>
        <v/>
      </c>
      <c r="C825" s="55" t="str">
        <f>IF(A825&lt;&gt;"",INDEX('Base de données'!A$4:L$990,MATCH(' TVA M'!A825,'Base de données'!A$4:A$990,0),12),"")</f>
        <v/>
      </c>
    </row>
    <row r="826" spans="2:3" hidden="1" x14ac:dyDescent="0.25">
      <c r="B826" s="55" t="str">
        <f>IF(A826&lt;&gt;"",INDEX('Base de données'!A$4:L$990,MATCH(' TVA M'!A826,'Base de données'!A$4:A$990,0),2),"")</f>
        <v/>
      </c>
      <c r="C826" s="55" t="str">
        <f>IF(A826&lt;&gt;"",INDEX('Base de données'!A$4:L$990,MATCH(' TVA M'!A826,'Base de données'!A$4:A$990,0),12),"")</f>
        <v/>
      </c>
    </row>
    <row r="827" spans="2:3" hidden="1" x14ac:dyDescent="0.25">
      <c r="B827" s="55" t="str">
        <f>IF(A827&lt;&gt;"",INDEX('Base de données'!A$4:L$990,MATCH(' TVA M'!A827,'Base de données'!A$4:A$990,0),2),"")</f>
        <v/>
      </c>
      <c r="C827" s="55" t="str">
        <f>IF(A827&lt;&gt;"",INDEX('Base de données'!A$4:L$990,MATCH(' TVA M'!A827,'Base de données'!A$4:A$990,0),12),"")</f>
        <v/>
      </c>
    </row>
    <row r="828" spans="2:3" hidden="1" x14ac:dyDescent="0.25">
      <c r="B828" s="55" t="str">
        <f>IF(A828&lt;&gt;"",INDEX('Base de données'!A$4:L$990,MATCH(' TVA M'!A828,'Base de données'!A$4:A$990,0),2),"")</f>
        <v/>
      </c>
      <c r="C828" s="55" t="str">
        <f>IF(A828&lt;&gt;"",INDEX('Base de données'!A$4:L$990,MATCH(' TVA M'!A828,'Base de données'!A$4:A$990,0),12),"")</f>
        <v/>
      </c>
    </row>
    <row r="829" spans="2:3" hidden="1" x14ac:dyDescent="0.25">
      <c r="B829" s="55" t="str">
        <f>IF(A829&lt;&gt;"",INDEX('Base de données'!A$4:L$990,MATCH(' TVA M'!A829,'Base de données'!A$4:A$990,0),2),"")</f>
        <v/>
      </c>
      <c r="C829" s="55" t="str">
        <f>IF(A829&lt;&gt;"",INDEX('Base de données'!A$4:L$990,MATCH(' TVA M'!A829,'Base de données'!A$4:A$990,0),12),"")</f>
        <v/>
      </c>
    </row>
    <row r="830" spans="2:3" hidden="1" x14ac:dyDescent="0.25">
      <c r="B830" s="55" t="str">
        <f>IF(A830&lt;&gt;"",INDEX('Base de données'!A$4:L$990,MATCH(' TVA M'!A830,'Base de données'!A$4:A$990,0),2),"")</f>
        <v/>
      </c>
      <c r="C830" s="55" t="str">
        <f>IF(A830&lt;&gt;"",INDEX('Base de données'!A$4:L$990,MATCH(' TVA M'!A830,'Base de données'!A$4:A$990,0),12),"")</f>
        <v/>
      </c>
    </row>
    <row r="831" spans="2:3" hidden="1" x14ac:dyDescent="0.25">
      <c r="B831" s="55" t="str">
        <f>IF(A831&lt;&gt;"",INDEX('Base de données'!A$4:L$990,MATCH(' TVA M'!A831,'Base de données'!A$4:A$990,0),2),"")</f>
        <v/>
      </c>
      <c r="C831" s="55" t="str">
        <f>IF(A831&lt;&gt;"",INDEX('Base de données'!A$4:L$990,MATCH(' TVA M'!A831,'Base de données'!A$4:A$990,0),12),"")</f>
        <v/>
      </c>
    </row>
    <row r="832" spans="2:3" hidden="1" x14ac:dyDescent="0.25">
      <c r="B832" s="55" t="str">
        <f>IF(A832&lt;&gt;"",INDEX('Base de données'!A$4:L$990,MATCH(' TVA M'!A832,'Base de données'!A$4:A$990,0),2),"")</f>
        <v/>
      </c>
      <c r="C832" s="55" t="str">
        <f>IF(A832&lt;&gt;"",INDEX('Base de données'!A$4:L$990,MATCH(' TVA M'!A832,'Base de données'!A$4:A$990,0),12),"")</f>
        <v/>
      </c>
    </row>
    <row r="833" spans="2:3" hidden="1" x14ac:dyDescent="0.25">
      <c r="B833" s="55" t="str">
        <f>IF(A833&lt;&gt;"",INDEX('Base de données'!A$4:L$990,MATCH(' TVA M'!A833,'Base de données'!A$4:A$990,0),2),"")</f>
        <v/>
      </c>
      <c r="C833" s="55" t="str">
        <f>IF(A833&lt;&gt;"",INDEX('Base de données'!A$4:L$990,MATCH(' TVA M'!A833,'Base de données'!A$4:A$990,0),12),"")</f>
        <v/>
      </c>
    </row>
    <row r="834" spans="2:3" hidden="1" x14ac:dyDescent="0.25">
      <c r="B834" s="55" t="str">
        <f>IF(A834&lt;&gt;"",INDEX('Base de données'!A$4:L$990,MATCH(' TVA M'!A834,'Base de données'!A$4:A$990,0),2),"")</f>
        <v/>
      </c>
      <c r="C834" s="55" t="str">
        <f>IF(A834&lt;&gt;"",INDEX('Base de données'!A$4:L$990,MATCH(' TVA M'!A834,'Base de données'!A$4:A$990,0),12),"")</f>
        <v/>
      </c>
    </row>
    <row r="835" spans="2:3" hidden="1" x14ac:dyDescent="0.25">
      <c r="B835" s="55" t="str">
        <f>IF(A835&lt;&gt;"",INDEX('Base de données'!A$4:L$990,MATCH(' TVA M'!A835,'Base de données'!A$4:A$990,0),2),"")</f>
        <v/>
      </c>
      <c r="C835" s="55" t="str">
        <f>IF(A835&lt;&gt;"",INDEX('Base de données'!A$4:L$990,MATCH(' TVA M'!A835,'Base de données'!A$4:A$990,0),12),"")</f>
        <v/>
      </c>
    </row>
    <row r="836" spans="2:3" hidden="1" x14ac:dyDescent="0.25">
      <c r="B836" s="55" t="str">
        <f>IF(A836&lt;&gt;"",INDEX('Base de données'!A$4:L$990,MATCH(' TVA M'!A836,'Base de données'!A$4:A$990,0),2),"")</f>
        <v/>
      </c>
      <c r="C836" s="55" t="str">
        <f>IF(A836&lt;&gt;"",INDEX('Base de données'!A$4:L$990,MATCH(' TVA M'!A836,'Base de données'!A$4:A$990,0),12),"")</f>
        <v/>
      </c>
    </row>
    <row r="837" spans="2:3" hidden="1" x14ac:dyDescent="0.25">
      <c r="B837" s="55" t="str">
        <f>IF(A837&lt;&gt;"",INDEX('Base de données'!A$4:L$990,MATCH(' TVA M'!A837,'Base de données'!A$4:A$990,0),2),"")</f>
        <v/>
      </c>
      <c r="C837" s="55" t="str">
        <f>IF(A837&lt;&gt;"",INDEX('Base de données'!A$4:L$990,MATCH(' TVA M'!A837,'Base de données'!A$4:A$990,0),12),"")</f>
        <v/>
      </c>
    </row>
    <row r="838" spans="2:3" hidden="1" x14ac:dyDescent="0.25">
      <c r="B838" s="55" t="str">
        <f>IF(A838&lt;&gt;"",INDEX('Base de données'!A$4:L$990,MATCH(' TVA M'!A838,'Base de données'!A$4:A$990,0),2),"")</f>
        <v/>
      </c>
      <c r="C838" s="55" t="str">
        <f>IF(A838&lt;&gt;"",INDEX('Base de données'!A$4:L$990,MATCH(' TVA M'!A838,'Base de données'!A$4:A$990,0),12),"")</f>
        <v/>
      </c>
    </row>
    <row r="839" spans="2:3" hidden="1" x14ac:dyDescent="0.25">
      <c r="B839" s="55" t="str">
        <f>IF(A839&lt;&gt;"",INDEX('Base de données'!A$4:L$990,MATCH(' TVA M'!A839,'Base de données'!A$4:A$990,0),2),"")</f>
        <v/>
      </c>
      <c r="C839" s="55" t="str">
        <f>IF(A839&lt;&gt;"",INDEX('Base de données'!A$4:L$990,MATCH(' TVA M'!A839,'Base de données'!A$4:A$990,0),12),"")</f>
        <v/>
      </c>
    </row>
    <row r="840" spans="2:3" hidden="1" x14ac:dyDescent="0.25">
      <c r="B840" s="55" t="str">
        <f>IF(A840&lt;&gt;"",INDEX('Base de données'!A$4:L$990,MATCH(' TVA M'!A840,'Base de données'!A$4:A$990,0),2),"")</f>
        <v/>
      </c>
      <c r="C840" s="55" t="str">
        <f>IF(A840&lt;&gt;"",INDEX('Base de données'!A$4:L$990,MATCH(' TVA M'!A840,'Base de données'!A$4:A$990,0),12),"")</f>
        <v/>
      </c>
    </row>
    <row r="841" spans="2:3" hidden="1" x14ac:dyDescent="0.25">
      <c r="B841" s="55" t="str">
        <f>IF(A841&lt;&gt;"",INDEX('Base de données'!A$4:L$990,MATCH(' TVA M'!A841,'Base de données'!A$4:A$990,0),2),"")</f>
        <v/>
      </c>
      <c r="C841" s="55" t="str">
        <f>IF(A841&lt;&gt;"",INDEX('Base de données'!A$4:L$990,MATCH(' TVA M'!A841,'Base de données'!A$4:A$990,0),12),"")</f>
        <v/>
      </c>
    </row>
    <row r="842" spans="2:3" hidden="1" x14ac:dyDescent="0.25">
      <c r="B842" s="55" t="str">
        <f>IF(A842&lt;&gt;"",INDEX('Base de données'!A$4:L$990,MATCH(' TVA M'!A842,'Base de données'!A$4:A$990,0),2),"")</f>
        <v/>
      </c>
      <c r="C842" s="55" t="str">
        <f>IF(A842&lt;&gt;"",INDEX('Base de données'!A$4:L$990,MATCH(' TVA M'!A842,'Base de données'!A$4:A$990,0),12),"")</f>
        <v/>
      </c>
    </row>
    <row r="843" spans="2:3" hidden="1" x14ac:dyDescent="0.25">
      <c r="B843" s="55" t="str">
        <f>IF(A843&lt;&gt;"",INDEX('Base de données'!A$4:L$990,MATCH(' TVA M'!A843,'Base de données'!A$4:A$990,0),2),"")</f>
        <v/>
      </c>
      <c r="C843" s="55" t="str">
        <f>IF(A843&lt;&gt;"",INDEX('Base de données'!A$4:L$990,MATCH(' TVA M'!A843,'Base de données'!A$4:A$990,0),12),"")</f>
        <v/>
      </c>
    </row>
    <row r="844" spans="2:3" hidden="1" x14ac:dyDescent="0.25">
      <c r="B844" s="55" t="str">
        <f>IF(A844&lt;&gt;"",INDEX('Base de données'!A$4:L$990,MATCH(' TVA M'!A844,'Base de données'!A$4:A$990,0),2),"")</f>
        <v/>
      </c>
      <c r="C844" s="55" t="str">
        <f>IF(A844&lt;&gt;"",INDEX('Base de données'!A$4:L$990,MATCH(' TVA M'!A844,'Base de données'!A$4:A$990,0),12),"")</f>
        <v/>
      </c>
    </row>
    <row r="845" spans="2:3" hidden="1" x14ac:dyDescent="0.25">
      <c r="B845" s="55" t="str">
        <f>IF(A845&lt;&gt;"",INDEX('Base de données'!A$4:L$990,MATCH(' TVA M'!A845,'Base de données'!A$4:A$990,0),2),"")</f>
        <v/>
      </c>
      <c r="C845" s="55" t="str">
        <f>IF(A845&lt;&gt;"",INDEX('Base de données'!A$4:L$990,MATCH(' TVA M'!A845,'Base de données'!A$4:A$990,0),12),"")</f>
        <v/>
      </c>
    </row>
    <row r="846" spans="2:3" hidden="1" x14ac:dyDescent="0.25">
      <c r="B846" s="55" t="str">
        <f>IF(A846&lt;&gt;"",INDEX('Base de données'!A$4:L$990,MATCH(' TVA M'!A846,'Base de données'!A$4:A$990,0),2),"")</f>
        <v/>
      </c>
      <c r="C846" s="55" t="str">
        <f>IF(A846&lt;&gt;"",INDEX('Base de données'!A$4:L$990,MATCH(' TVA M'!A846,'Base de données'!A$4:A$990,0),12),"")</f>
        <v/>
      </c>
    </row>
    <row r="847" spans="2:3" hidden="1" x14ac:dyDescent="0.25">
      <c r="B847" s="55" t="str">
        <f>IF(A847&lt;&gt;"",INDEX('Base de données'!A$4:L$990,MATCH(' TVA M'!A847,'Base de données'!A$4:A$990,0),2),"")</f>
        <v/>
      </c>
      <c r="C847" s="55" t="str">
        <f>IF(A847&lt;&gt;"",INDEX('Base de données'!A$4:L$990,MATCH(' TVA M'!A847,'Base de données'!A$4:A$990,0),12),"")</f>
        <v/>
      </c>
    </row>
    <row r="848" spans="2:3" hidden="1" x14ac:dyDescent="0.25">
      <c r="B848" s="55" t="str">
        <f>IF(A848&lt;&gt;"",INDEX('Base de données'!A$4:L$990,MATCH(' TVA M'!A848,'Base de données'!A$4:A$990,0),2),"")</f>
        <v/>
      </c>
      <c r="C848" s="55" t="str">
        <f>IF(A848&lt;&gt;"",INDEX('Base de données'!A$4:L$990,MATCH(' TVA M'!A848,'Base de données'!A$4:A$990,0),12),"")</f>
        <v/>
      </c>
    </row>
    <row r="849" spans="2:3" hidden="1" x14ac:dyDescent="0.25">
      <c r="B849" s="55" t="str">
        <f>IF(A849&lt;&gt;"",INDEX('Base de données'!A$4:L$990,MATCH(' TVA M'!A849,'Base de données'!A$4:A$990,0),2),"")</f>
        <v/>
      </c>
      <c r="C849" s="55" t="str">
        <f>IF(A849&lt;&gt;"",INDEX('Base de données'!A$4:L$990,MATCH(' TVA M'!A849,'Base de données'!A$4:A$990,0),12),"")</f>
        <v/>
      </c>
    </row>
    <row r="850" spans="2:3" hidden="1" x14ac:dyDescent="0.25">
      <c r="B850" s="55" t="str">
        <f>IF(A850&lt;&gt;"",INDEX('Base de données'!A$4:L$990,MATCH(' TVA M'!A850,'Base de données'!A$4:A$990,0),2),"")</f>
        <v/>
      </c>
      <c r="C850" s="55" t="str">
        <f>IF(A850&lt;&gt;"",INDEX('Base de données'!A$4:L$990,MATCH(' TVA M'!A850,'Base de données'!A$4:A$990,0),12),"")</f>
        <v/>
      </c>
    </row>
    <row r="851" spans="2:3" hidden="1" x14ac:dyDescent="0.25">
      <c r="B851" s="55" t="str">
        <f>IF(A851&lt;&gt;"",INDEX('Base de données'!A$4:L$990,MATCH(' TVA M'!A851,'Base de données'!A$4:A$990,0),2),"")</f>
        <v/>
      </c>
      <c r="C851" s="55" t="str">
        <f>IF(A851&lt;&gt;"",INDEX('Base de données'!A$4:L$990,MATCH(' TVA M'!A851,'Base de données'!A$4:A$990,0),12),"")</f>
        <v/>
      </c>
    </row>
    <row r="852" spans="2:3" hidden="1" x14ac:dyDescent="0.25">
      <c r="B852" s="55" t="str">
        <f>IF(A852&lt;&gt;"",INDEX('Base de données'!A$4:L$990,MATCH(' TVA M'!A852,'Base de données'!A$4:A$990,0),2),"")</f>
        <v/>
      </c>
      <c r="C852" s="55" t="str">
        <f>IF(A852&lt;&gt;"",INDEX('Base de données'!A$4:L$990,MATCH(' TVA M'!A852,'Base de données'!A$4:A$990,0),12),"")</f>
        <v/>
      </c>
    </row>
    <row r="853" spans="2:3" hidden="1" x14ac:dyDescent="0.25">
      <c r="B853" s="55" t="str">
        <f>IF(A853&lt;&gt;"",INDEX('Base de données'!A$4:L$990,MATCH(' TVA M'!A853,'Base de données'!A$4:A$990,0),2),"")</f>
        <v/>
      </c>
      <c r="C853" s="55" t="str">
        <f>IF(A853&lt;&gt;"",INDEX('Base de données'!A$4:L$990,MATCH(' TVA M'!A853,'Base de données'!A$4:A$990,0),12),"")</f>
        <v/>
      </c>
    </row>
    <row r="854" spans="2:3" hidden="1" x14ac:dyDescent="0.25">
      <c r="B854" s="55" t="str">
        <f>IF(A854&lt;&gt;"",INDEX('Base de données'!A$4:L$990,MATCH(' TVA M'!A854,'Base de données'!A$4:A$990,0),2),"")</f>
        <v/>
      </c>
      <c r="C854" s="55" t="str">
        <f>IF(A854&lt;&gt;"",INDEX('Base de données'!A$4:L$990,MATCH(' TVA M'!A854,'Base de données'!A$4:A$990,0),12),"")</f>
        <v/>
      </c>
    </row>
    <row r="855" spans="2:3" hidden="1" x14ac:dyDescent="0.25">
      <c r="B855" s="55" t="str">
        <f>IF(A855&lt;&gt;"",INDEX('Base de données'!A$4:L$990,MATCH(' TVA M'!A855,'Base de données'!A$4:A$990,0),2),"")</f>
        <v/>
      </c>
      <c r="C855" s="55" t="str">
        <f>IF(A855&lt;&gt;"",INDEX('Base de données'!A$4:L$990,MATCH(' TVA M'!A855,'Base de données'!A$4:A$990,0),12),"")</f>
        <v/>
      </c>
    </row>
    <row r="856" spans="2:3" hidden="1" x14ac:dyDescent="0.25">
      <c r="B856" s="55" t="str">
        <f>IF(A856&lt;&gt;"",INDEX('Base de données'!A$4:L$990,MATCH(' TVA M'!A856,'Base de données'!A$4:A$990,0),2),"")</f>
        <v/>
      </c>
      <c r="C856" s="55" t="str">
        <f>IF(A856&lt;&gt;"",INDEX('Base de données'!A$4:L$990,MATCH(' TVA M'!A856,'Base de données'!A$4:A$990,0),12),"")</f>
        <v/>
      </c>
    </row>
    <row r="857" spans="2:3" hidden="1" x14ac:dyDescent="0.25">
      <c r="B857" s="55" t="str">
        <f>IF(A857&lt;&gt;"",INDEX('Base de données'!A$4:L$990,MATCH(' TVA M'!A857,'Base de données'!A$4:A$990,0),2),"")</f>
        <v/>
      </c>
      <c r="C857" s="55" t="str">
        <f>IF(A857&lt;&gt;"",INDEX('Base de données'!A$4:L$990,MATCH(' TVA M'!A857,'Base de données'!A$4:A$990,0),12),"")</f>
        <v/>
      </c>
    </row>
    <row r="858" spans="2:3" hidden="1" x14ac:dyDescent="0.25">
      <c r="B858" s="55" t="str">
        <f>IF(A858&lt;&gt;"",INDEX('Base de données'!A$4:L$990,MATCH(' TVA M'!A858,'Base de données'!A$4:A$990,0),2),"")</f>
        <v/>
      </c>
      <c r="C858" s="55" t="str">
        <f>IF(A858&lt;&gt;"",INDEX('Base de données'!A$4:L$990,MATCH(' TVA M'!A858,'Base de données'!A$4:A$990,0),12),"")</f>
        <v/>
      </c>
    </row>
    <row r="859" spans="2:3" hidden="1" x14ac:dyDescent="0.25">
      <c r="B859" s="55" t="str">
        <f>IF(A859&lt;&gt;"",INDEX('Base de données'!A$4:L$990,MATCH(' TVA M'!A859,'Base de données'!A$4:A$990,0),2),"")</f>
        <v/>
      </c>
      <c r="C859" s="55" t="str">
        <f>IF(A859&lt;&gt;"",INDEX('Base de données'!A$4:L$990,MATCH(' TVA M'!A859,'Base de données'!A$4:A$990,0),12),"")</f>
        <v/>
      </c>
    </row>
    <row r="860" spans="2:3" hidden="1" x14ac:dyDescent="0.25">
      <c r="B860" s="55" t="str">
        <f>IF(A860&lt;&gt;"",INDEX('Base de données'!A$4:L$990,MATCH(' TVA M'!A860,'Base de données'!A$4:A$990,0),2),"")</f>
        <v/>
      </c>
      <c r="C860" s="55" t="str">
        <f>IF(A860&lt;&gt;"",INDEX('Base de données'!A$4:L$990,MATCH(' TVA M'!A860,'Base de données'!A$4:A$990,0),12),"")</f>
        <v/>
      </c>
    </row>
    <row r="861" spans="2:3" hidden="1" x14ac:dyDescent="0.25">
      <c r="B861" s="55" t="str">
        <f>IF(A861&lt;&gt;"",INDEX('Base de données'!A$4:L$990,MATCH(' TVA M'!A861,'Base de données'!A$4:A$990,0),2),"")</f>
        <v/>
      </c>
      <c r="C861" s="55" t="str">
        <f>IF(A861&lt;&gt;"",INDEX('Base de données'!A$4:L$990,MATCH(' TVA M'!A861,'Base de données'!A$4:A$990,0),12),"")</f>
        <v/>
      </c>
    </row>
    <row r="862" spans="2:3" hidden="1" x14ac:dyDescent="0.25">
      <c r="B862" s="55" t="str">
        <f>IF(A862&lt;&gt;"",INDEX('Base de données'!A$4:L$990,MATCH(' TVA M'!A862,'Base de données'!A$4:A$990,0),2),"")</f>
        <v/>
      </c>
      <c r="C862" s="55" t="str">
        <f>IF(A862&lt;&gt;"",INDEX('Base de données'!A$4:L$990,MATCH(' TVA M'!A862,'Base de données'!A$4:A$990,0),12),"")</f>
        <v/>
      </c>
    </row>
    <row r="863" spans="2:3" hidden="1" x14ac:dyDescent="0.25">
      <c r="B863" s="55" t="str">
        <f>IF(A863&lt;&gt;"",INDEX('Base de données'!A$4:L$990,MATCH(' TVA M'!A863,'Base de données'!A$4:A$990,0),2),"")</f>
        <v/>
      </c>
      <c r="C863" s="55" t="str">
        <f>IF(A863&lt;&gt;"",INDEX('Base de données'!A$4:L$990,MATCH(' TVA M'!A863,'Base de données'!A$4:A$990,0),12),"")</f>
        <v/>
      </c>
    </row>
    <row r="864" spans="2:3" hidden="1" x14ac:dyDescent="0.25">
      <c r="B864" s="55" t="str">
        <f>IF(A864&lt;&gt;"",INDEX('Base de données'!A$4:L$990,MATCH(' TVA M'!A864,'Base de données'!A$4:A$990,0),2),"")</f>
        <v/>
      </c>
      <c r="C864" s="55" t="str">
        <f>IF(A864&lt;&gt;"",INDEX('Base de données'!A$4:L$990,MATCH(' TVA M'!A864,'Base de données'!A$4:A$990,0),12),"")</f>
        <v/>
      </c>
    </row>
    <row r="865" spans="2:3" hidden="1" x14ac:dyDescent="0.25">
      <c r="B865" s="55" t="str">
        <f>IF(A865&lt;&gt;"",INDEX('Base de données'!A$4:L$990,MATCH(' TVA M'!A865,'Base de données'!A$4:A$990,0),2),"")</f>
        <v/>
      </c>
      <c r="C865" s="55" t="str">
        <f>IF(A865&lt;&gt;"",INDEX('Base de données'!A$4:L$990,MATCH(' TVA M'!A865,'Base de données'!A$4:A$990,0),12),"")</f>
        <v/>
      </c>
    </row>
    <row r="866" spans="2:3" hidden="1" x14ac:dyDescent="0.25">
      <c r="B866" s="55" t="str">
        <f>IF(A866&lt;&gt;"",INDEX('Base de données'!A$4:L$990,MATCH(' TVA M'!A866,'Base de données'!A$4:A$990,0),2),"")</f>
        <v/>
      </c>
      <c r="C866" s="55" t="str">
        <f>IF(A866&lt;&gt;"",INDEX('Base de données'!A$4:L$990,MATCH(' TVA M'!A866,'Base de données'!A$4:A$990,0),12),"")</f>
        <v/>
      </c>
    </row>
    <row r="867" spans="2:3" hidden="1" x14ac:dyDescent="0.25">
      <c r="B867" s="55" t="str">
        <f>IF(A867&lt;&gt;"",INDEX('Base de données'!A$4:L$990,MATCH(' TVA M'!A867,'Base de données'!A$4:A$990,0),2),"")</f>
        <v/>
      </c>
      <c r="C867" s="55" t="str">
        <f>IF(A867&lt;&gt;"",INDEX('Base de données'!A$4:L$990,MATCH(' TVA M'!A867,'Base de données'!A$4:A$990,0),12),"")</f>
        <v/>
      </c>
    </row>
    <row r="868" spans="2:3" hidden="1" x14ac:dyDescent="0.25">
      <c r="B868" s="55" t="str">
        <f>IF(A868&lt;&gt;"",INDEX('Base de données'!A$4:L$990,MATCH(' TVA M'!A868,'Base de données'!A$4:A$990,0),2),"")</f>
        <v/>
      </c>
      <c r="C868" s="55" t="str">
        <f>IF(A868&lt;&gt;"",INDEX('Base de données'!A$4:L$990,MATCH(' TVA M'!A868,'Base de données'!A$4:A$990,0),12),"")</f>
        <v/>
      </c>
    </row>
    <row r="869" spans="2:3" hidden="1" x14ac:dyDescent="0.25">
      <c r="B869" s="55" t="str">
        <f>IF(A869&lt;&gt;"",INDEX('Base de données'!A$4:L$990,MATCH(' TVA M'!A869,'Base de données'!A$4:A$990,0),2),"")</f>
        <v/>
      </c>
      <c r="C869" s="55" t="str">
        <f>IF(A869&lt;&gt;"",INDEX('Base de données'!A$4:L$990,MATCH(' TVA M'!A869,'Base de données'!A$4:A$990,0),12),"")</f>
        <v/>
      </c>
    </row>
    <row r="870" spans="2:3" hidden="1" x14ac:dyDescent="0.25">
      <c r="B870" s="55" t="str">
        <f>IF(A870&lt;&gt;"",INDEX('Base de données'!A$4:L$990,MATCH(' TVA M'!A870,'Base de données'!A$4:A$990,0),2),"")</f>
        <v/>
      </c>
      <c r="C870" s="55" t="str">
        <f>IF(A870&lt;&gt;"",INDEX('Base de données'!A$4:L$990,MATCH(' TVA M'!A870,'Base de données'!A$4:A$990,0),12),"")</f>
        <v/>
      </c>
    </row>
    <row r="871" spans="2:3" hidden="1" x14ac:dyDescent="0.25">
      <c r="B871" s="55" t="str">
        <f>IF(A871&lt;&gt;"",INDEX('Base de données'!A$4:L$990,MATCH(' TVA M'!A871,'Base de données'!A$4:A$990,0),2),"")</f>
        <v/>
      </c>
      <c r="C871" s="55" t="str">
        <f>IF(A871&lt;&gt;"",INDEX('Base de données'!A$4:L$990,MATCH(' TVA M'!A871,'Base de données'!A$4:A$990,0),12),"")</f>
        <v/>
      </c>
    </row>
    <row r="872" spans="2:3" hidden="1" x14ac:dyDescent="0.25">
      <c r="B872" s="55" t="str">
        <f>IF(A872&lt;&gt;"",INDEX('Base de données'!A$4:L$990,MATCH(' TVA M'!A872,'Base de données'!A$4:A$990,0),2),"")</f>
        <v/>
      </c>
      <c r="C872" s="55" t="str">
        <f>IF(A872&lt;&gt;"",INDEX('Base de données'!A$4:L$990,MATCH(' TVA M'!A872,'Base de données'!A$4:A$990,0),12),"")</f>
        <v/>
      </c>
    </row>
    <row r="873" spans="2:3" hidden="1" x14ac:dyDescent="0.25">
      <c r="B873" s="55" t="str">
        <f>IF(A873&lt;&gt;"",INDEX('Base de données'!A$4:L$990,MATCH(' TVA M'!A873,'Base de données'!A$4:A$990,0),2),"")</f>
        <v/>
      </c>
      <c r="C873" s="55" t="str">
        <f>IF(A873&lt;&gt;"",INDEX('Base de données'!A$4:L$990,MATCH(' TVA M'!A873,'Base de données'!A$4:A$990,0),12),"")</f>
        <v/>
      </c>
    </row>
    <row r="874" spans="2:3" hidden="1" x14ac:dyDescent="0.25">
      <c r="B874" s="55" t="str">
        <f>IF(A874&lt;&gt;"",INDEX('Base de données'!A$4:L$990,MATCH(' TVA M'!A874,'Base de données'!A$4:A$990,0),2),"")</f>
        <v/>
      </c>
      <c r="C874" s="55" t="str">
        <f>IF(A874&lt;&gt;"",INDEX('Base de données'!A$4:L$990,MATCH(' TVA M'!A874,'Base de données'!A$4:A$990,0),12),"")</f>
        <v/>
      </c>
    </row>
    <row r="875" spans="2:3" hidden="1" x14ac:dyDescent="0.25">
      <c r="B875" s="55" t="str">
        <f>IF(A875&lt;&gt;"",INDEX('Base de données'!A$4:L$990,MATCH(' TVA M'!A875,'Base de données'!A$4:A$990,0),2),"")</f>
        <v/>
      </c>
      <c r="C875" s="55" t="str">
        <f>IF(A875&lt;&gt;"",INDEX('Base de données'!A$4:L$990,MATCH(' TVA M'!A875,'Base de données'!A$4:A$990,0),12),"")</f>
        <v/>
      </c>
    </row>
    <row r="876" spans="2:3" hidden="1" x14ac:dyDescent="0.25">
      <c r="B876" s="55" t="str">
        <f>IF(A876&lt;&gt;"",INDEX('Base de données'!A$4:L$990,MATCH(' TVA M'!A876,'Base de données'!A$4:A$990,0),2),"")</f>
        <v/>
      </c>
      <c r="C876" s="55" t="str">
        <f>IF(A876&lt;&gt;"",INDEX('Base de données'!A$4:L$990,MATCH(' TVA M'!A876,'Base de données'!A$4:A$990,0),12),"")</f>
        <v/>
      </c>
    </row>
    <row r="877" spans="2:3" hidden="1" x14ac:dyDescent="0.25">
      <c r="B877" s="55" t="str">
        <f>IF(A877&lt;&gt;"",INDEX('Base de données'!A$4:L$990,MATCH(' TVA M'!A877,'Base de données'!A$4:A$990,0),2),"")</f>
        <v/>
      </c>
      <c r="C877" s="55" t="str">
        <f>IF(A877&lt;&gt;"",INDEX('Base de données'!A$4:L$990,MATCH(' TVA M'!A877,'Base de données'!A$4:A$990,0),12),"")</f>
        <v/>
      </c>
    </row>
    <row r="878" spans="2:3" hidden="1" x14ac:dyDescent="0.25">
      <c r="B878" s="55" t="str">
        <f>IF(A878&lt;&gt;"",INDEX('Base de données'!A$4:L$990,MATCH(' TVA M'!A878,'Base de données'!A$4:A$990,0),2),"")</f>
        <v/>
      </c>
      <c r="C878" s="55" t="str">
        <f>IF(A878&lt;&gt;"",INDEX('Base de données'!A$4:L$990,MATCH(' TVA M'!A878,'Base de données'!A$4:A$990,0),12),"")</f>
        <v/>
      </c>
    </row>
    <row r="879" spans="2:3" hidden="1" x14ac:dyDescent="0.25">
      <c r="B879" s="55" t="str">
        <f>IF(A879&lt;&gt;"",INDEX('Base de données'!A$4:L$990,MATCH(' TVA M'!A879,'Base de données'!A$4:A$990,0),2),"")</f>
        <v/>
      </c>
      <c r="C879" s="55" t="str">
        <f>IF(A879&lt;&gt;"",INDEX('Base de données'!A$4:L$990,MATCH(' TVA M'!A879,'Base de données'!A$4:A$990,0),12),"")</f>
        <v/>
      </c>
    </row>
    <row r="880" spans="2:3" hidden="1" x14ac:dyDescent="0.25">
      <c r="B880" s="55" t="str">
        <f>IF(A880&lt;&gt;"",INDEX('Base de données'!A$4:L$990,MATCH(' TVA M'!A880,'Base de données'!A$4:A$990,0),2),"")</f>
        <v/>
      </c>
      <c r="C880" s="55" t="str">
        <f>IF(A880&lt;&gt;"",INDEX('Base de données'!A$4:L$990,MATCH(' TVA M'!A880,'Base de données'!A$4:A$990,0),12),"")</f>
        <v/>
      </c>
    </row>
    <row r="881" spans="2:3" hidden="1" x14ac:dyDescent="0.25">
      <c r="B881" s="55" t="str">
        <f>IF(A881&lt;&gt;"",INDEX('Base de données'!A$4:L$990,MATCH(' TVA M'!A881,'Base de données'!A$4:A$990,0),2),"")</f>
        <v/>
      </c>
      <c r="C881" s="55" t="str">
        <f>IF(A881&lt;&gt;"",INDEX('Base de données'!A$4:L$990,MATCH(' TVA M'!A881,'Base de données'!A$4:A$990,0),12),"")</f>
        <v/>
      </c>
    </row>
    <row r="882" spans="2:3" hidden="1" x14ac:dyDescent="0.25">
      <c r="B882" s="55" t="str">
        <f>IF(A882&lt;&gt;"",INDEX('Base de données'!A$4:L$990,MATCH(' TVA M'!A882,'Base de données'!A$4:A$990,0),2),"")</f>
        <v/>
      </c>
      <c r="C882" s="55" t="str">
        <f>IF(A882&lt;&gt;"",INDEX('Base de données'!A$4:L$990,MATCH(' TVA M'!A882,'Base de données'!A$4:A$990,0),12),"")</f>
        <v/>
      </c>
    </row>
    <row r="883" spans="2:3" hidden="1" x14ac:dyDescent="0.25">
      <c r="B883" s="55" t="str">
        <f>IF(A883&lt;&gt;"",INDEX('Base de données'!A$4:L$990,MATCH(' TVA M'!A883,'Base de données'!A$4:A$990,0),2),"")</f>
        <v/>
      </c>
      <c r="C883" s="55" t="str">
        <f>IF(A883&lt;&gt;"",INDEX('Base de données'!A$4:L$990,MATCH(' TVA M'!A883,'Base de données'!A$4:A$990,0),12),"")</f>
        <v/>
      </c>
    </row>
    <row r="884" spans="2:3" hidden="1" x14ac:dyDescent="0.25">
      <c r="B884" s="55" t="str">
        <f>IF(A884&lt;&gt;"",INDEX('Base de données'!A$4:L$990,MATCH(' TVA M'!A884,'Base de données'!A$4:A$990,0),2),"")</f>
        <v/>
      </c>
      <c r="C884" s="55" t="str">
        <f>IF(A884&lt;&gt;"",INDEX('Base de données'!A$4:L$990,MATCH(' TVA M'!A884,'Base de données'!A$4:A$990,0),12),"")</f>
        <v/>
      </c>
    </row>
    <row r="885" spans="2:3" hidden="1" x14ac:dyDescent="0.25">
      <c r="B885" s="55" t="str">
        <f>IF(A885&lt;&gt;"",INDEX('Base de données'!A$4:L$990,MATCH(' TVA M'!A885,'Base de données'!A$4:A$990,0),2),"")</f>
        <v/>
      </c>
      <c r="C885" s="55" t="str">
        <f>IF(A885&lt;&gt;"",INDEX('Base de données'!A$4:L$990,MATCH(' TVA M'!A885,'Base de données'!A$4:A$990,0),12),"")</f>
        <v/>
      </c>
    </row>
    <row r="886" spans="2:3" hidden="1" x14ac:dyDescent="0.25">
      <c r="B886" s="55" t="str">
        <f>IF(A886&lt;&gt;"",INDEX('Base de données'!A$4:L$990,MATCH(' TVA M'!A886,'Base de données'!A$4:A$990,0),2),"")</f>
        <v/>
      </c>
      <c r="C886" s="55" t="str">
        <f>IF(A886&lt;&gt;"",INDEX('Base de données'!A$4:L$990,MATCH(' TVA M'!A886,'Base de données'!A$4:A$990,0),12),"")</f>
        <v/>
      </c>
    </row>
    <row r="887" spans="2:3" hidden="1" x14ac:dyDescent="0.25">
      <c r="B887" s="55" t="str">
        <f>IF(A887&lt;&gt;"",INDEX('Base de données'!A$4:L$990,MATCH(' TVA M'!A887,'Base de données'!A$4:A$990,0),2),"")</f>
        <v/>
      </c>
      <c r="C887" s="55" t="str">
        <f>IF(A887&lt;&gt;"",INDEX('Base de données'!A$4:L$990,MATCH(' TVA M'!A887,'Base de données'!A$4:A$990,0),12),"")</f>
        <v/>
      </c>
    </row>
    <row r="888" spans="2:3" hidden="1" x14ac:dyDescent="0.25">
      <c r="B888" s="55" t="str">
        <f>IF(A888&lt;&gt;"",INDEX('Base de données'!A$4:L$990,MATCH(' TVA M'!A888,'Base de données'!A$4:A$990,0),2),"")</f>
        <v/>
      </c>
      <c r="C888" s="55" t="str">
        <f>IF(A888&lt;&gt;"",INDEX('Base de données'!A$4:L$990,MATCH(' TVA M'!A888,'Base de données'!A$4:A$990,0),12),"")</f>
        <v/>
      </c>
    </row>
    <row r="889" spans="2:3" hidden="1" x14ac:dyDescent="0.25">
      <c r="B889" s="55" t="str">
        <f>IF(A889&lt;&gt;"",INDEX('Base de données'!A$4:L$990,MATCH(' TVA M'!A889,'Base de données'!A$4:A$990,0),2),"")</f>
        <v/>
      </c>
      <c r="C889" s="55" t="str">
        <f>IF(A889&lt;&gt;"",INDEX('Base de données'!A$4:L$990,MATCH(' TVA M'!A889,'Base de données'!A$4:A$990,0),12),"")</f>
        <v/>
      </c>
    </row>
    <row r="890" spans="2:3" hidden="1" x14ac:dyDescent="0.25">
      <c r="B890" s="55" t="str">
        <f>IF(A890&lt;&gt;"",INDEX('Base de données'!A$4:L$990,MATCH(' TVA M'!A890,'Base de données'!A$4:A$990,0),2),"")</f>
        <v/>
      </c>
      <c r="C890" s="55" t="str">
        <f>IF(A890&lt;&gt;"",INDEX('Base de données'!A$4:L$990,MATCH(' TVA M'!A890,'Base de données'!A$4:A$990,0),12),"")</f>
        <v/>
      </c>
    </row>
    <row r="891" spans="2:3" hidden="1" x14ac:dyDescent="0.25">
      <c r="B891" s="55" t="str">
        <f>IF(A891&lt;&gt;"",INDEX('Base de données'!A$4:L$990,MATCH(' TVA M'!A891,'Base de données'!A$4:A$990,0),2),"")</f>
        <v/>
      </c>
      <c r="C891" s="55" t="str">
        <f>IF(A891&lt;&gt;"",INDEX('Base de données'!A$4:L$990,MATCH(' TVA M'!A891,'Base de données'!A$4:A$990,0),12),"")</f>
        <v/>
      </c>
    </row>
    <row r="892" spans="2:3" hidden="1" x14ac:dyDescent="0.25">
      <c r="B892" s="55" t="str">
        <f>IF(A892&lt;&gt;"",INDEX('Base de données'!A$4:L$990,MATCH(' TVA M'!A892,'Base de données'!A$4:A$990,0),2),"")</f>
        <v/>
      </c>
      <c r="C892" s="55" t="str">
        <f>IF(A892&lt;&gt;"",INDEX('Base de données'!A$4:L$990,MATCH(' TVA M'!A892,'Base de données'!A$4:A$990,0),12),"")</f>
        <v/>
      </c>
    </row>
    <row r="893" spans="2:3" hidden="1" x14ac:dyDescent="0.25">
      <c r="B893" s="55" t="str">
        <f>IF(A893&lt;&gt;"",INDEX('Base de données'!A$4:L$990,MATCH(' TVA M'!A893,'Base de données'!A$4:A$990,0),2),"")</f>
        <v/>
      </c>
      <c r="C893" s="55" t="str">
        <f>IF(A893&lt;&gt;"",INDEX('Base de données'!A$4:L$990,MATCH(' TVA M'!A893,'Base de données'!A$4:A$990,0),12),"")</f>
        <v/>
      </c>
    </row>
    <row r="894" spans="2:3" hidden="1" x14ac:dyDescent="0.25">
      <c r="B894" s="55" t="str">
        <f>IF(A894&lt;&gt;"",INDEX('Base de données'!A$4:L$990,MATCH(' TVA M'!A894,'Base de données'!A$4:A$990,0),2),"")</f>
        <v/>
      </c>
      <c r="C894" s="55" t="str">
        <f>IF(A894&lt;&gt;"",INDEX('Base de données'!A$4:L$990,MATCH(' TVA M'!A894,'Base de données'!A$4:A$990,0),12),"")</f>
        <v/>
      </c>
    </row>
    <row r="895" spans="2:3" hidden="1" x14ac:dyDescent="0.25">
      <c r="B895" s="55" t="str">
        <f>IF(A895&lt;&gt;"",INDEX('Base de données'!A$4:L$990,MATCH(' TVA M'!A895,'Base de données'!A$4:A$990,0),2),"")</f>
        <v/>
      </c>
      <c r="C895" s="55" t="str">
        <f>IF(A895&lt;&gt;"",INDEX('Base de données'!A$4:L$990,MATCH(' TVA M'!A895,'Base de données'!A$4:A$990,0),12),"")</f>
        <v/>
      </c>
    </row>
    <row r="896" spans="2:3" hidden="1" x14ac:dyDescent="0.25">
      <c r="B896" s="55" t="str">
        <f>IF(A896&lt;&gt;"",INDEX('Base de données'!A$4:L$990,MATCH(' TVA M'!A896,'Base de données'!A$4:A$990,0),2),"")</f>
        <v/>
      </c>
      <c r="C896" s="55" t="str">
        <f>IF(A896&lt;&gt;"",INDEX('Base de données'!A$4:L$990,MATCH(' TVA M'!A896,'Base de données'!A$4:A$990,0),12),"")</f>
        <v/>
      </c>
    </row>
    <row r="897" spans="2:3" hidden="1" x14ac:dyDescent="0.25">
      <c r="B897" s="55" t="str">
        <f>IF(A897&lt;&gt;"",INDEX('Base de données'!A$4:L$990,MATCH(' TVA M'!A897,'Base de données'!A$4:A$990,0),2),"")</f>
        <v/>
      </c>
      <c r="C897" s="55" t="str">
        <f>IF(A897&lt;&gt;"",INDEX('Base de données'!A$4:L$990,MATCH(' TVA M'!A897,'Base de données'!A$4:A$990,0),12),"")</f>
        <v/>
      </c>
    </row>
    <row r="898" spans="2:3" hidden="1" x14ac:dyDescent="0.25">
      <c r="B898" s="55" t="str">
        <f>IF(A898&lt;&gt;"",INDEX('Base de données'!A$4:L$990,MATCH(' TVA M'!A898,'Base de données'!A$4:A$990,0),2),"")</f>
        <v/>
      </c>
      <c r="C898" s="55" t="str">
        <f>IF(A898&lt;&gt;"",INDEX('Base de données'!A$4:L$990,MATCH(' TVA M'!A898,'Base de données'!A$4:A$990,0),12),"")</f>
        <v/>
      </c>
    </row>
    <row r="899" spans="2:3" hidden="1" x14ac:dyDescent="0.25">
      <c r="B899" s="55" t="str">
        <f>IF(A899&lt;&gt;"",INDEX('Base de données'!A$4:L$990,MATCH(' TVA M'!A899,'Base de données'!A$4:A$990,0),2),"")</f>
        <v/>
      </c>
      <c r="C899" s="55" t="str">
        <f>IF(A899&lt;&gt;"",INDEX('Base de données'!A$4:L$990,MATCH(' TVA M'!A899,'Base de données'!A$4:A$990,0),12),"")</f>
        <v/>
      </c>
    </row>
    <row r="900" spans="2:3" hidden="1" x14ac:dyDescent="0.25">
      <c r="B900" s="55" t="str">
        <f>IF(A900&lt;&gt;"",INDEX('Base de données'!A$4:L$990,MATCH(' TVA M'!A900,'Base de données'!A$4:A$990,0),2),"")</f>
        <v/>
      </c>
      <c r="C900" s="55" t="str">
        <f>IF(A900&lt;&gt;"",INDEX('Base de données'!A$4:L$990,MATCH(' TVA M'!A900,'Base de données'!A$4:A$990,0),12),"")</f>
        <v/>
      </c>
    </row>
    <row r="901" spans="2:3" hidden="1" x14ac:dyDescent="0.25">
      <c r="B901" s="55" t="str">
        <f>IF(A901&lt;&gt;"",INDEX('Base de données'!A$4:L$990,MATCH(' TVA M'!A901,'Base de données'!A$4:A$990,0),2),"")</f>
        <v/>
      </c>
      <c r="C901" s="55" t="str">
        <f>IF(A901&lt;&gt;"",INDEX('Base de données'!A$4:L$990,MATCH(' TVA M'!A901,'Base de données'!A$4:A$990,0),12),"")</f>
        <v/>
      </c>
    </row>
    <row r="902" spans="2:3" hidden="1" x14ac:dyDescent="0.25">
      <c r="B902" s="55" t="str">
        <f>IF(A902&lt;&gt;"",INDEX('Base de données'!A$4:L$990,MATCH(' TVA M'!A902,'Base de données'!A$4:A$990,0),2),"")</f>
        <v/>
      </c>
      <c r="C902" s="55" t="str">
        <f>IF(A902&lt;&gt;"",INDEX('Base de données'!A$4:L$990,MATCH(' TVA M'!A902,'Base de données'!A$4:A$990,0),12),"")</f>
        <v/>
      </c>
    </row>
    <row r="903" spans="2:3" hidden="1" x14ac:dyDescent="0.25">
      <c r="B903" s="55" t="str">
        <f>IF(A903&lt;&gt;"",INDEX('Base de données'!A$4:L$990,MATCH(' TVA M'!A903,'Base de données'!A$4:A$990,0),2),"")</f>
        <v/>
      </c>
      <c r="C903" s="55" t="str">
        <f>IF(A903&lt;&gt;"",INDEX('Base de données'!A$4:L$990,MATCH(' TVA M'!A903,'Base de données'!A$4:A$990,0),12),"")</f>
        <v/>
      </c>
    </row>
    <row r="904" spans="2:3" hidden="1" x14ac:dyDescent="0.25">
      <c r="B904" s="55" t="str">
        <f>IF(A904&lt;&gt;"",INDEX('Base de données'!A$4:L$990,MATCH(' TVA M'!A904,'Base de données'!A$4:A$990,0),2),"")</f>
        <v/>
      </c>
      <c r="C904" s="55" t="str">
        <f>IF(A904&lt;&gt;"",INDEX('Base de données'!A$4:L$990,MATCH(' TVA M'!A904,'Base de données'!A$4:A$990,0),12),"")</f>
        <v/>
      </c>
    </row>
    <row r="905" spans="2:3" hidden="1" x14ac:dyDescent="0.25">
      <c r="B905" s="55" t="str">
        <f>IF(A905&lt;&gt;"",INDEX('Base de données'!A$4:L$990,MATCH(' TVA M'!A905,'Base de données'!A$4:A$990,0),2),"")</f>
        <v/>
      </c>
      <c r="C905" s="55" t="str">
        <f>IF(A905&lt;&gt;"",INDEX('Base de données'!A$4:L$990,MATCH(' TVA M'!A905,'Base de données'!A$4:A$990,0),12),"")</f>
        <v/>
      </c>
    </row>
    <row r="906" spans="2:3" hidden="1" x14ac:dyDescent="0.25">
      <c r="B906" s="55" t="str">
        <f>IF(A906&lt;&gt;"",INDEX('Base de données'!A$4:L$990,MATCH(' TVA M'!A906,'Base de données'!A$4:A$990,0),2),"")</f>
        <v/>
      </c>
      <c r="C906" s="55" t="str">
        <f>IF(A906&lt;&gt;"",INDEX('Base de données'!A$4:L$990,MATCH(' TVA M'!A906,'Base de données'!A$4:A$990,0),12),"")</f>
        <v/>
      </c>
    </row>
    <row r="907" spans="2:3" hidden="1" x14ac:dyDescent="0.25">
      <c r="B907" s="55" t="str">
        <f>IF(A907&lt;&gt;"",INDEX('Base de données'!A$4:L$990,MATCH(' TVA M'!A907,'Base de données'!A$4:A$990,0),2),"")</f>
        <v/>
      </c>
      <c r="C907" s="55" t="str">
        <f>IF(A907&lt;&gt;"",INDEX('Base de données'!A$4:L$990,MATCH(' TVA M'!A907,'Base de données'!A$4:A$990,0),12),"")</f>
        <v/>
      </c>
    </row>
    <row r="908" spans="2:3" hidden="1" x14ac:dyDescent="0.25">
      <c r="B908" s="55" t="str">
        <f>IF(A908&lt;&gt;"",INDEX('Base de données'!A$4:L$990,MATCH(' TVA M'!A908,'Base de données'!A$4:A$990,0),2),"")</f>
        <v/>
      </c>
      <c r="C908" s="55" t="str">
        <f>IF(A908&lt;&gt;"",INDEX('Base de données'!A$4:L$990,MATCH(' TVA M'!A908,'Base de données'!A$4:A$990,0),12),"")</f>
        <v/>
      </c>
    </row>
    <row r="909" spans="2:3" hidden="1" x14ac:dyDescent="0.25">
      <c r="B909" s="55" t="str">
        <f>IF(A909&lt;&gt;"",INDEX('Base de données'!A$4:L$990,MATCH(' TVA M'!A909,'Base de données'!A$4:A$990,0),2),"")</f>
        <v/>
      </c>
      <c r="C909" s="55" t="str">
        <f>IF(A909&lt;&gt;"",INDEX('Base de données'!A$4:L$990,MATCH(' TVA M'!A909,'Base de données'!A$4:A$990,0),12),"")</f>
        <v/>
      </c>
    </row>
    <row r="910" spans="2:3" hidden="1" x14ac:dyDescent="0.25">
      <c r="B910" s="55" t="str">
        <f>IF(A910&lt;&gt;"",INDEX('Base de données'!A$4:L$990,MATCH(' TVA M'!A910,'Base de données'!A$4:A$990,0),2),"")</f>
        <v/>
      </c>
      <c r="C910" s="55" t="str">
        <f>IF(A910&lt;&gt;"",INDEX('Base de données'!A$4:L$990,MATCH(' TVA M'!A910,'Base de données'!A$4:A$990,0),12),"")</f>
        <v/>
      </c>
    </row>
    <row r="911" spans="2:3" hidden="1" x14ac:dyDescent="0.25">
      <c r="B911" s="55" t="str">
        <f>IF(A911&lt;&gt;"",INDEX('Base de données'!A$4:L$990,MATCH(' TVA M'!A911,'Base de données'!A$4:A$990,0),2),"")</f>
        <v/>
      </c>
      <c r="C911" s="55" t="str">
        <f>IF(A911&lt;&gt;"",INDEX('Base de données'!A$4:L$990,MATCH(' TVA M'!A911,'Base de données'!A$4:A$990,0),12),"")</f>
        <v/>
      </c>
    </row>
    <row r="912" spans="2:3" hidden="1" x14ac:dyDescent="0.25">
      <c r="B912" s="55" t="str">
        <f>IF(A912&lt;&gt;"",INDEX('Base de données'!A$4:L$990,MATCH(' TVA M'!A912,'Base de données'!A$4:A$990,0),2),"")</f>
        <v/>
      </c>
      <c r="C912" s="55" t="str">
        <f>IF(A912&lt;&gt;"",INDEX('Base de données'!A$4:L$990,MATCH(' TVA M'!A912,'Base de données'!A$4:A$990,0),12),"")</f>
        <v/>
      </c>
    </row>
    <row r="913" spans="2:3" hidden="1" x14ac:dyDescent="0.25">
      <c r="B913" s="55" t="str">
        <f>IF(A913&lt;&gt;"",INDEX('Base de données'!A$4:L$990,MATCH(' TVA M'!A913,'Base de données'!A$4:A$990,0),2),"")</f>
        <v/>
      </c>
      <c r="C913" s="55" t="str">
        <f>IF(A913&lt;&gt;"",INDEX('Base de données'!A$4:L$990,MATCH(' TVA M'!A913,'Base de données'!A$4:A$990,0),12),"")</f>
        <v/>
      </c>
    </row>
    <row r="914" spans="2:3" hidden="1" x14ac:dyDescent="0.25">
      <c r="B914" s="55" t="str">
        <f>IF(A914&lt;&gt;"",INDEX('Base de données'!A$4:L$990,MATCH(' TVA M'!A914,'Base de données'!A$4:A$990,0),2),"")</f>
        <v/>
      </c>
      <c r="C914" s="55" t="str">
        <f>IF(A914&lt;&gt;"",INDEX('Base de données'!A$4:L$990,MATCH(' TVA M'!A914,'Base de données'!A$4:A$990,0),12),"")</f>
        <v/>
      </c>
    </row>
    <row r="915" spans="2:3" hidden="1" x14ac:dyDescent="0.25">
      <c r="B915" s="55" t="str">
        <f>IF(A915&lt;&gt;"",INDEX('Base de données'!A$4:L$990,MATCH(' TVA M'!A915,'Base de données'!A$4:A$990,0),2),"")</f>
        <v/>
      </c>
      <c r="C915" s="55" t="str">
        <f>IF(A915&lt;&gt;"",INDEX('Base de données'!A$4:L$990,MATCH(' TVA M'!A915,'Base de données'!A$4:A$990,0),12),"")</f>
        <v/>
      </c>
    </row>
    <row r="916" spans="2:3" hidden="1" x14ac:dyDescent="0.25">
      <c r="B916" s="55" t="str">
        <f>IF(A916&lt;&gt;"",INDEX('Base de données'!A$4:L$990,MATCH(' TVA M'!A916,'Base de données'!A$4:A$990,0),2),"")</f>
        <v/>
      </c>
      <c r="C916" s="55" t="str">
        <f>IF(A916&lt;&gt;"",INDEX('Base de données'!A$4:L$990,MATCH(' TVA M'!A916,'Base de données'!A$4:A$990,0),12),"")</f>
        <v/>
      </c>
    </row>
    <row r="917" spans="2:3" hidden="1" x14ac:dyDescent="0.25">
      <c r="B917" s="55" t="str">
        <f>IF(A917&lt;&gt;"",INDEX('Base de données'!A$4:L$990,MATCH(' TVA M'!A917,'Base de données'!A$4:A$990,0),2),"")</f>
        <v/>
      </c>
      <c r="C917" s="55" t="str">
        <f>IF(A917&lt;&gt;"",INDEX('Base de données'!A$4:L$990,MATCH(' TVA M'!A917,'Base de données'!A$4:A$990,0),12),"")</f>
        <v/>
      </c>
    </row>
    <row r="918" spans="2:3" hidden="1" x14ac:dyDescent="0.25">
      <c r="B918" s="55" t="str">
        <f>IF(A918&lt;&gt;"",INDEX('Base de données'!A$4:L$990,MATCH(' TVA M'!A918,'Base de données'!A$4:A$990,0),2),"")</f>
        <v/>
      </c>
      <c r="C918" s="55" t="str">
        <f>IF(A918&lt;&gt;"",INDEX('Base de données'!A$4:L$990,MATCH(' TVA M'!A918,'Base de données'!A$4:A$990,0),12),"")</f>
        <v/>
      </c>
    </row>
    <row r="919" spans="2:3" hidden="1" x14ac:dyDescent="0.25">
      <c r="B919" s="55" t="str">
        <f>IF(A919&lt;&gt;"",INDEX('Base de données'!A$4:L$990,MATCH(' TVA M'!A919,'Base de données'!A$4:A$990,0),2),"")</f>
        <v/>
      </c>
      <c r="C919" s="55" t="str">
        <f>IF(A919&lt;&gt;"",INDEX('Base de données'!A$4:L$990,MATCH(' TVA M'!A919,'Base de données'!A$4:A$990,0),12),"")</f>
        <v/>
      </c>
    </row>
    <row r="920" spans="2:3" hidden="1" x14ac:dyDescent="0.25">
      <c r="B920" s="55" t="str">
        <f>IF(A920&lt;&gt;"",INDEX('Base de données'!A$4:L$990,MATCH(' TVA M'!A920,'Base de données'!A$4:A$990,0),2),"")</f>
        <v/>
      </c>
      <c r="C920" s="55" t="str">
        <f>IF(A920&lt;&gt;"",INDEX('Base de données'!A$4:L$990,MATCH(' TVA M'!A920,'Base de données'!A$4:A$990,0),12),"")</f>
        <v/>
      </c>
    </row>
    <row r="921" spans="2:3" hidden="1" x14ac:dyDescent="0.25">
      <c r="B921" s="55" t="str">
        <f>IF(A921&lt;&gt;"",INDEX('Base de données'!A$4:L$990,MATCH(' TVA M'!A921,'Base de données'!A$4:A$990,0),2),"")</f>
        <v/>
      </c>
      <c r="C921" s="55" t="str">
        <f>IF(A921&lt;&gt;"",INDEX('Base de données'!A$4:L$990,MATCH(' TVA M'!A921,'Base de données'!A$4:A$990,0),12),"")</f>
        <v/>
      </c>
    </row>
    <row r="922" spans="2:3" hidden="1" x14ac:dyDescent="0.25">
      <c r="B922" s="55" t="str">
        <f>IF(A922&lt;&gt;"",INDEX('Base de données'!A$4:L$990,MATCH(' TVA M'!A922,'Base de données'!A$4:A$990,0),2),"")</f>
        <v/>
      </c>
      <c r="C922" s="55" t="str">
        <f>IF(A922&lt;&gt;"",INDEX('Base de données'!A$4:L$990,MATCH(' TVA M'!A922,'Base de données'!A$4:A$990,0),12),"")</f>
        <v/>
      </c>
    </row>
    <row r="923" spans="2:3" hidden="1" x14ac:dyDescent="0.25">
      <c r="B923" s="55" t="str">
        <f>IF(A923&lt;&gt;"",INDEX('Base de données'!A$4:L$990,MATCH(' TVA M'!A923,'Base de données'!A$4:A$990,0),2),"")</f>
        <v/>
      </c>
      <c r="C923" s="55" t="str">
        <f>IF(A923&lt;&gt;"",INDEX('Base de données'!A$4:L$990,MATCH(' TVA M'!A923,'Base de données'!A$4:A$990,0),12),"")</f>
        <v/>
      </c>
    </row>
    <row r="924" spans="2:3" hidden="1" x14ac:dyDescent="0.25">
      <c r="B924" s="55" t="str">
        <f>IF(A924&lt;&gt;"",INDEX('Base de données'!A$4:L$990,MATCH(' TVA M'!A924,'Base de données'!A$4:A$990,0),2),"")</f>
        <v/>
      </c>
      <c r="C924" s="55" t="str">
        <f>IF(A924&lt;&gt;"",INDEX('Base de données'!A$4:L$990,MATCH(' TVA M'!A924,'Base de données'!A$4:A$990,0),12),"")</f>
        <v/>
      </c>
    </row>
    <row r="925" spans="2:3" hidden="1" x14ac:dyDescent="0.25">
      <c r="B925" s="55" t="str">
        <f>IF(A925&lt;&gt;"",INDEX('Base de données'!A$4:L$990,MATCH(' TVA M'!A925,'Base de données'!A$4:A$990,0),2),"")</f>
        <v/>
      </c>
      <c r="C925" s="55" t="str">
        <f>IF(A925&lt;&gt;"",INDEX('Base de données'!A$4:L$990,MATCH(' TVA M'!A925,'Base de données'!A$4:A$990,0),12),"")</f>
        <v/>
      </c>
    </row>
    <row r="926" spans="2:3" hidden="1" x14ac:dyDescent="0.25">
      <c r="B926" s="55" t="str">
        <f>IF(A926&lt;&gt;"",INDEX('Base de données'!A$4:L$990,MATCH(' TVA M'!A926,'Base de données'!A$4:A$990,0),2),"")</f>
        <v/>
      </c>
      <c r="C926" s="55" t="str">
        <f>IF(A926&lt;&gt;"",INDEX('Base de données'!A$4:L$990,MATCH(' TVA M'!A926,'Base de données'!A$4:A$990,0),12),"")</f>
        <v/>
      </c>
    </row>
    <row r="927" spans="2:3" hidden="1" x14ac:dyDescent="0.25">
      <c r="B927" s="55" t="str">
        <f>IF(A927&lt;&gt;"",INDEX('Base de données'!A$4:L$990,MATCH(' TVA M'!A927,'Base de données'!A$4:A$990,0),2),"")</f>
        <v/>
      </c>
      <c r="C927" s="55" t="str">
        <f>IF(A927&lt;&gt;"",INDEX('Base de données'!A$4:L$990,MATCH(' TVA M'!A927,'Base de données'!A$4:A$990,0),12),"")</f>
        <v/>
      </c>
    </row>
    <row r="928" spans="2:3" hidden="1" x14ac:dyDescent="0.25">
      <c r="B928" s="55" t="str">
        <f>IF(A928&lt;&gt;"",INDEX('Base de données'!A$4:L$990,MATCH(' TVA M'!A928,'Base de données'!A$4:A$990,0),2),"")</f>
        <v/>
      </c>
      <c r="C928" s="55" t="str">
        <f>IF(A928&lt;&gt;"",INDEX('Base de données'!A$4:L$990,MATCH(' TVA M'!A928,'Base de données'!A$4:A$990,0),12),"")</f>
        <v/>
      </c>
    </row>
    <row r="929" spans="2:3" hidden="1" x14ac:dyDescent="0.25">
      <c r="B929" s="55" t="str">
        <f>IF(A929&lt;&gt;"",INDEX('Base de données'!A$4:L$990,MATCH(' TVA M'!A929,'Base de données'!A$4:A$990,0),2),"")</f>
        <v/>
      </c>
      <c r="C929" s="55" t="str">
        <f>IF(A929&lt;&gt;"",INDEX('Base de données'!A$4:L$990,MATCH(' TVA M'!A929,'Base de données'!A$4:A$990,0),12),"")</f>
        <v/>
      </c>
    </row>
    <row r="930" spans="2:3" hidden="1" x14ac:dyDescent="0.25">
      <c r="B930" s="55" t="str">
        <f>IF(A930&lt;&gt;"",INDEX('Base de données'!A$4:L$990,MATCH(' TVA M'!A930,'Base de données'!A$4:A$990,0),2),"")</f>
        <v/>
      </c>
      <c r="C930" s="55" t="str">
        <f>IF(A930&lt;&gt;"",INDEX('Base de données'!A$4:L$990,MATCH(' TVA M'!A930,'Base de données'!A$4:A$990,0),12),"")</f>
        <v/>
      </c>
    </row>
    <row r="931" spans="2:3" hidden="1" x14ac:dyDescent="0.25">
      <c r="B931" s="55" t="str">
        <f>IF(A931&lt;&gt;"",INDEX('Base de données'!A$4:L$990,MATCH(' TVA M'!A931,'Base de données'!A$4:A$990,0),2),"")</f>
        <v/>
      </c>
      <c r="C931" s="55" t="str">
        <f>IF(A931&lt;&gt;"",INDEX('Base de données'!A$4:L$990,MATCH(' TVA M'!A931,'Base de données'!A$4:A$990,0),12),"")</f>
        <v/>
      </c>
    </row>
    <row r="932" spans="2:3" hidden="1" x14ac:dyDescent="0.25">
      <c r="B932" s="55" t="str">
        <f>IF(A932&lt;&gt;"",INDEX('Base de données'!A$4:L$990,MATCH(' TVA M'!A932,'Base de données'!A$4:A$990,0),2),"")</f>
        <v/>
      </c>
      <c r="C932" s="55" t="str">
        <f>IF(A932&lt;&gt;"",INDEX('Base de données'!A$4:L$990,MATCH(' TVA M'!A932,'Base de données'!A$4:A$990,0),12),"")</f>
        <v/>
      </c>
    </row>
    <row r="933" spans="2:3" hidden="1" x14ac:dyDescent="0.25">
      <c r="B933" s="55" t="str">
        <f>IF(A933&lt;&gt;"",INDEX('Base de données'!A$4:L$990,MATCH(' TVA M'!A933,'Base de données'!A$4:A$990,0),2),"")</f>
        <v/>
      </c>
      <c r="C933" s="55" t="str">
        <f>IF(A933&lt;&gt;"",INDEX('Base de données'!A$4:L$990,MATCH(' TVA M'!A933,'Base de données'!A$4:A$990,0),12),"")</f>
        <v/>
      </c>
    </row>
    <row r="934" spans="2:3" hidden="1" x14ac:dyDescent="0.25">
      <c r="B934" s="55" t="str">
        <f>IF(A934&lt;&gt;"",INDEX('Base de données'!A$4:L$990,MATCH(' TVA M'!A934,'Base de données'!A$4:A$990,0),2),"")</f>
        <v/>
      </c>
      <c r="C934" s="55" t="str">
        <f>IF(A934&lt;&gt;"",INDEX('Base de données'!A$4:L$990,MATCH(' TVA M'!A934,'Base de données'!A$4:A$990,0),12),"")</f>
        <v/>
      </c>
    </row>
    <row r="935" spans="2:3" hidden="1" x14ac:dyDescent="0.25">
      <c r="B935" s="55" t="str">
        <f>IF(A935&lt;&gt;"",INDEX('Base de données'!A$4:L$990,MATCH(' TVA M'!A935,'Base de données'!A$4:A$990,0),2),"")</f>
        <v/>
      </c>
      <c r="C935" s="55" t="str">
        <f>IF(A935&lt;&gt;"",INDEX('Base de données'!A$4:L$990,MATCH(' TVA M'!A935,'Base de données'!A$4:A$990,0),12),"")</f>
        <v/>
      </c>
    </row>
    <row r="936" spans="2:3" hidden="1" x14ac:dyDescent="0.25">
      <c r="B936" s="55" t="str">
        <f>IF(A936&lt;&gt;"",INDEX('Base de données'!A$4:L$990,MATCH(' TVA M'!A936,'Base de données'!A$4:A$990,0),2),"")</f>
        <v/>
      </c>
      <c r="C936" s="55" t="str">
        <f>IF(A936&lt;&gt;"",INDEX('Base de données'!A$4:L$990,MATCH(' TVA M'!A936,'Base de données'!A$4:A$990,0),12),"")</f>
        <v/>
      </c>
    </row>
    <row r="937" spans="2:3" hidden="1" x14ac:dyDescent="0.25">
      <c r="B937" s="55" t="str">
        <f>IF(A937&lt;&gt;"",INDEX('Base de données'!A$4:L$990,MATCH(' TVA M'!A937,'Base de données'!A$4:A$990,0),2),"")</f>
        <v/>
      </c>
      <c r="C937" s="55" t="str">
        <f>IF(A937&lt;&gt;"",INDEX('Base de données'!A$4:L$990,MATCH(' TVA M'!A937,'Base de données'!A$4:A$990,0),12),"")</f>
        <v/>
      </c>
    </row>
    <row r="938" spans="2:3" hidden="1" x14ac:dyDescent="0.25">
      <c r="B938" s="55" t="str">
        <f>IF(A938&lt;&gt;"",INDEX('Base de données'!A$4:L$990,MATCH(' TVA M'!A938,'Base de données'!A$4:A$990,0),2),"")</f>
        <v/>
      </c>
      <c r="C938" s="55" t="str">
        <f>IF(A938&lt;&gt;"",INDEX('Base de données'!A$4:L$990,MATCH(' TVA M'!A938,'Base de données'!A$4:A$990,0),12),"")</f>
        <v/>
      </c>
    </row>
    <row r="939" spans="2:3" hidden="1" x14ac:dyDescent="0.25">
      <c r="B939" s="55" t="str">
        <f>IF(A939&lt;&gt;"",INDEX('Base de données'!A$4:L$990,MATCH(' TVA M'!A939,'Base de données'!A$4:A$990,0),2),"")</f>
        <v/>
      </c>
      <c r="C939" s="55" t="str">
        <f>IF(A939&lt;&gt;"",INDEX('Base de données'!A$4:L$990,MATCH(' TVA M'!A939,'Base de données'!A$4:A$990,0),12),"")</f>
        <v/>
      </c>
    </row>
    <row r="940" spans="2:3" hidden="1" x14ac:dyDescent="0.25">
      <c r="B940" s="55" t="str">
        <f>IF(A940&lt;&gt;"",INDEX('Base de données'!A$4:L$990,MATCH(' TVA M'!A940,'Base de données'!A$4:A$990,0),2),"")</f>
        <v/>
      </c>
      <c r="C940" s="55" t="str">
        <f>IF(A940&lt;&gt;"",INDEX('Base de données'!A$4:L$990,MATCH(' TVA M'!A940,'Base de données'!A$4:A$990,0),12),"")</f>
        <v/>
      </c>
    </row>
    <row r="941" spans="2:3" hidden="1" x14ac:dyDescent="0.25">
      <c r="B941" s="55" t="str">
        <f>IF(A941&lt;&gt;"",INDEX('Base de données'!A$4:L$990,MATCH(' TVA M'!A941,'Base de données'!A$4:A$990,0),2),"")</f>
        <v/>
      </c>
      <c r="C941" s="55" t="str">
        <f>IF(A941&lt;&gt;"",INDEX('Base de données'!A$4:L$990,MATCH(' TVA M'!A941,'Base de données'!A$4:A$990,0),12),"")</f>
        <v/>
      </c>
    </row>
    <row r="942" spans="2:3" hidden="1" x14ac:dyDescent="0.25">
      <c r="B942" s="55" t="str">
        <f>IF(A942&lt;&gt;"",INDEX('Base de données'!A$4:L$990,MATCH(' TVA M'!A942,'Base de données'!A$4:A$990,0),2),"")</f>
        <v/>
      </c>
      <c r="C942" s="55" t="str">
        <f>IF(A942&lt;&gt;"",INDEX('Base de données'!A$4:L$990,MATCH(' TVA M'!A942,'Base de données'!A$4:A$990,0),12),"")</f>
        <v/>
      </c>
    </row>
    <row r="943" spans="2:3" hidden="1" x14ac:dyDescent="0.25">
      <c r="B943" s="55" t="str">
        <f>IF(A943&lt;&gt;"",INDEX('Base de données'!A$4:L$990,MATCH(' TVA M'!A943,'Base de données'!A$4:A$990,0),2),"")</f>
        <v/>
      </c>
      <c r="C943" s="55" t="str">
        <f>IF(A943&lt;&gt;"",INDEX('Base de données'!A$4:L$990,MATCH(' TVA M'!A943,'Base de données'!A$4:A$990,0),12),"")</f>
        <v/>
      </c>
    </row>
    <row r="944" spans="2:3" hidden="1" x14ac:dyDescent="0.25">
      <c r="B944" s="55" t="str">
        <f>IF(A944&lt;&gt;"",INDEX('Base de données'!A$4:L$990,MATCH(' TVA M'!A944,'Base de données'!A$4:A$990,0),2),"")</f>
        <v/>
      </c>
      <c r="C944" s="55" t="str">
        <f>IF(A944&lt;&gt;"",INDEX('Base de données'!A$4:L$990,MATCH(' TVA M'!A944,'Base de données'!A$4:A$990,0),12),"")</f>
        <v/>
      </c>
    </row>
    <row r="945" spans="2:3" hidden="1" x14ac:dyDescent="0.25">
      <c r="B945" s="55" t="str">
        <f>IF(A945&lt;&gt;"",INDEX('Base de données'!A$4:L$990,MATCH(' TVA M'!A945,'Base de données'!A$4:A$990,0),2),"")</f>
        <v/>
      </c>
      <c r="C945" s="55" t="str">
        <f>IF(A945&lt;&gt;"",INDEX('Base de données'!A$4:L$990,MATCH(' TVA M'!A945,'Base de données'!A$4:A$990,0),12),"")</f>
        <v/>
      </c>
    </row>
    <row r="946" spans="2:3" hidden="1" x14ac:dyDescent="0.25">
      <c r="B946" s="55" t="str">
        <f>IF(A946&lt;&gt;"",INDEX('Base de données'!A$4:L$990,MATCH(' TVA M'!A946,'Base de données'!A$4:A$990,0),2),"")</f>
        <v/>
      </c>
      <c r="C946" s="55" t="str">
        <f>IF(A946&lt;&gt;"",INDEX('Base de données'!A$4:L$990,MATCH(' TVA M'!A946,'Base de données'!A$4:A$990,0),12),"")</f>
        <v/>
      </c>
    </row>
    <row r="947" spans="2:3" hidden="1" x14ac:dyDescent="0.25">
      <c r="B947" s="55" t="str">
        <f>IF(A947&lt;&gt;"",INDEX('Base de données'!A$4:L$990,MATCH(' TVA M'!A947,'Base de données'!A$4:A$990,0),2),"")</f>
        <v/>
      </c>
      <c r="C947" s="55" t="str">
        <f>IF(A947&lt;&gt;"",INDEX('Base de données'!A$4:L$990,MATCH(' TVA M'!A947,'Base de données'!A$4:A$990,0),12),"")</f>
        <v/>
      </c>
    </row>
    <row r="948" spans="2:3" hidden="1" x14ac:dyDescent="0.25">
      <c r="B948" s="55" t="str">
        <f>IF(A948&lt;&gt;"",INDEX('Base de données'!A$4:L$990,MATCH(' TVA M'!A948,'Base de données'!A$4:A$990,0),2),"")</f>
        <v/>
      </c>
      <c r="C948" s="55" t="str">
        <f>IF(A948&lt;&gt;"",INDEX('Base de données'!A$4:L$990,MATCH(' TVA M'!A948,'Base de données'!A$4:A$990,0),12),"")</f>
        <v/>
      </c>
    </row>
    <row r="949" spans="2:3" hidden="1" x14ac:dyDescent="0.25">
      <c r="B949" s="55" t="str">
        <f>IF(A949&lt;&gt;"",INDEX('Base de données'!A$4:L$990,MATCH(' TVA M'!A949,'Base de données'!A$4:A$990,0),2),"")</f>
        <v/>
      </c>
      <c r="C949" s="55" t="str">
        <f>IF(A949&lt;&gt;"",INDEX('Base de données'!A$4:L$990,MATCH(' TVA M'!A949,'Base de données'!A$4:A$990,0),12),"")</f>
        <v/>
      </c>
    </row>
    <row r="950" spans="2:3" hidden="1" x14ac:dyDescent="0.25">
      <c r="B950" s="55" t="str">
        <f>IF(A950&lt;&gt;"",INDEX('Base de données'!A$4:L$990,MATCH(' TVA M'!A950,'Base de données'!A$4:A$990,0),2),"")</f>
        <v/>
      </c>
      <c r="C950" s="55" t="str">
        <f>IF(A950&lt;&gt;"",INDEX('Base de données'!A$4:L$990,MATCH(' TVA M'!A950,'Base de données'!A$4:A$990,0),12),"")</f>
        <v/>
      </c>
    </row>
    <row r="951" spans="2:3" hidden="1" x14ac:dyDescent="0.25">
      <c r="B951" s="55" t="str">
        <f>IF(A951&lt;&gt;"",INDEX('Base de données'!A$4:L$990,MATCH(' TVA M'!A951,'Base de données'!A$4:A$990,0),2),"")</f>
        <v/>
      </c>
      <c r="C951" s="55" t="str">
        <f>IF(A951&lt;&gt;"",INDEX('Base de données'!A$4:L$990,MATCH(' TVA M'!A951,'Base de données'!A$4:A$990,0),12),"")</f>
        <v/>
      </c>
    </row>
    <row r="952" spans="2:3" hidden="1" x14ac:dyDescent="0.25">
      <c r="B952" s="55" t="str">
        <f>IF(A952&lt;&gt;"",INDEX('Base de données'!A$4:L$990,MATCH(' TVA M'!A952,'Base de données'!A$4:A$990,0),2),"")</f>
        <v/>
      </c>
      <c r="C952" s="55" t="str">
        <f>IF(A952&lt;&gt;"",INDEX('Base de données'!A$4:L$990,MATCH(' TVA M'!A952,'Base de données'!A$4:A$990,0),12),"")</f>
        <v/>
      </c>
    </row>
    <row r="953" spans="2:3" hidden="1" x14ac:dyDescent="0.25">
      <c r="B953" s="55" t="str">
        <f>IF(A953&lt;&gt;"",INDEX('Base de données'!A$4:L$990,MATCH(' TVA M'!A953,'Base de données'!A$4:A$990,0),2),"")</f>
        <v/>
      </c>
      <c r="C953" s="55" t="str">
        <f>IF(A953&lt;&gt;"",INDEX('Base de données'!A$4:L$990,MATCH(' TVA M'!A953,'Base de données'!A$4:A$990,0),12),"")</f>
        <v/>
      </c>
    </row>
    <row r="954" spans="2:3" hidden="1" x14ac:dyDescent="0.25">
      <c r="B954" s="55" t="str">
        <f>IF(A954&lt;&gt;"",INDEX('Base de données'!A$4:L$990,MATCH(' TVA M'!A954,'Base de données'!A$4:A$990,0),2),"")</f>
        <v/>
      </c>
      <c r="C954" s="55" t="str">
        <f>IF(A954&lt;&gt;"",INDEX('Base de données'!A$4:L$990,MATCH(' TVA M'!A954,'Base de données'!A$4:A$990,0),12),"")</f>
        <v/>
      </c>
    </row>
    <row r="955" spans="2:3" hidden="1" x14ac:dyDescent="0.25">
      <c r="B955" s="55" t="str">
        <f>IF(A955&lt;&gt;"",INDEX('Base de données'!A$4:L$990,MATCH(' TVA M'!A955,'Base de données'!A$4:A$990,0),2),"")</f>
        <v/>
      </c>
      <c r="C955" s="55" t="str">
        <f>IF(A955&lt;&gt;"",INDEX('Base de données'!A$4:L$990,MATCH(' TVA M'!A955,'Base de données'!A$4:A$990,0),12),"")</f>
        <v/>
      </c>
    </row>
    <row r="956" spans="2:3" hidden="1" x14ac:dyDescent="0.25">
      <c r="B956" s="55" t="str">
        <f>IF(A956&lt;&gt;"",INDEX('Base de données'!A$4:L$990,MATCH(' TVA M'!A956,'Base de données'!A$4:A$990,0),2),"")</f>
        <v/>
      </c>
      <c r="C956" s="55" t="str">
        <f>IF(A956&lt;&gt;"",INDEX('Base de données'!A$4:L$990,MATCH(' TVA M'!A956,'Base de données'!A$4:A$990,0),12),"")</f>
        <v/>
      </c>
    </row>
    <row r="957" spans="2:3" hidden="1" x14ac:dyDescent="0.25">
      <c r="B957" s="55" t="str">
        <f>IF(A957&lt;&gt;"",INDEX('Base de données'!A$4:L$990,MATCH(' TVA M'!A957,'Base de données'!A$4:A$990,0),2),"")</f>
        <v/>
      </c>
      <c r="C957" s="55" t="str">
        <f>IF(A957&lt;&gt;"",INDEX('Base de données'!A$4:L$990,MATCH(' TVA M'!A957,'Base de données'!A$4:A$990,0),12),"")</f>
        <v/>
      </c>
    </row>
    <row r="958" spans="2:3" hidden="1" x14ac:dyDescent="0.25">
      <c r="B958" s="55" t="str">
        <f>IF(A958&lt;&gt;"",INDEX('Base de données'!A$4:L$990,MATCH(' TVA M'!A958,'Base de données'!A$4:A$990,0),2),"")</f>
        <v/>
      </c>
      <c r="C958" s="55" t="str">
        <f>IF(A958&lt;&gt;"",INDEX('Base de données'!A$4:L$990,MATCH(' TVA M'!A958,'Base de données'!A$4:A$990,0),12),"")</f>
        <v/>
      </c>
    </row>
    <row r="959" spans="2:3" hidden="1" x14ac:dyDescent="0.25">
      <c r="B959" s="55" t="str">
        <f>IF(A959&lt;&gt;"",INDEX('Base de données'!A$4:L$990,MATCH(' TVA M'!A959,'Base de données'!A$4:A$990,0),2),"")</f>
        <v/>
      </c>
      <c r="C959" s="55" t="str">
        <f>IF(A959&lt;&gt;"",INDEX('Base de données'!A$4:L$990,MATCH(' TVA M'!A959,'Base de données'!A$4:A$990,0),12),"")</f>
        <v/>
      </c>
    </row>
    <row r="960" spans="2:3" hidden="1" x14ac:dyDescent="0.25">
      <c r="B960" s="55" t="str">
        <f>IF(A960&lt;&gt;"",INDEX('Base de données'!A$4:L$990,MATCH(' TVA M'!A960,'Base de données'!A$4:A$990,0),2),"")</f>
        <v/>
      </c>
      <c r="C960" s="55" t="str">
        <f>IF(A960&lt;&gt;"",INDEX('Base de données'!A$4:L$990,MATCH(' TVA M'!A960,'Base de données'!A$4:A$990,0),12),"")</f>
        <v/>
      </c>
    </row>
    <row r="961" spans="2:3" hidden="1" x14ac:dyDescent="0.25">
      <c r="B961" s="55" t="str">
        <f>IF(A961&lt;&gt;"",INDEX('Base de données'!A$4:L$990,MATCH(' TVA M'!A961,'Base de données'!A$4:A$990,0),2),"")</f>
        <v/>
      </c>
      <c r="C961" s="55" t="str">
        <f>IF(A961&lt;&gt;"",INDEX('Base de données'!A$4:L$990,MATCH(' TVA M'!A961,'Base de données'!A$4:A$990,0),12),"")</f>
        <v/>
      </c>
    </row>
    <row r="962" spans="2:3" hidden="1" x14ac:dyDescent="0.25">
      <c r="B962" s="55" t="str">
        <f>IF(A962&lt;&gt;"",INDEX('Base de données'!A$4:L$990,MATCH(' TVA M'!A962,'Base de données'!A$4:A$990,0),2),"")</f>
        <v/>
      </c>
      <c r="C962" s="55" t="str">
        <f>IF(A962&lt;&gt;"",INDEX('Base de données'!A$4:L$990,MATCH(' TVA M'!A962,'Base de données'!A$4:A$990,0),12),"")</f>
        <v/>
      </c>
    </row>
    <row r="963" spans="2:3" hidden="1" x14ac:dyDescent="0.25">
      <c r="B963" s="55" t="str">
        <f>IF(A963&lt;&gt;"",INDEX('Base de données'!A$4:L$990,MATCH(' TVA M'!A963,'Base de données'!A$4:A$990,0),2),"")</f>
        <v/>
      </c>
      <c r="C963" s="55" t="str">
        <f>IF(A963&lt;&gt;"",INDEX('Base de données'!A$4:L$990,MATCH(' TVA M'!A963,'Base de données'!A$4:A$990,0),12),"")</f>
        <v/>
      </c>
    </row>
    <row r="964" spans="2:3" hidden="1" x14ac:dyDescent="0.25">
      <c r="B964" s="55" t="str">
        <f>IF(A964&lt;&gt;"",INDEX('Base de données'!A$4:L$990,MATCH(' TVA M'!A964,'Base de données'!A$4:A$990,0),2),"")</f>
        <v/>
      </c>
      <c r="C964" s="55" t="str">
        <f>IF(A964&lt;&gt;"",INDEX('Base de données'!A$4:L$990,MATCH(' TVA M'!A964,'Base de données'!A$4:A$990,0),12),"")</f>
        <v/>
      </c>
    </row>
    <row r="965" spans="2:3" hidden="1" x14ac:dyDescent="0.25">
      <c r="B965" s="55" t="str">
        <f>IF(A965&lt;&gt;"",INDEX('Base de données'!A$4:L$990,MATCH(' TVA M'!A965,'Base de données'!A$4:A$990,0),2),"")</f>
        <v/>
      </c>
      <c r="C965" s="55" t="str">
        <f>IF(A965&lt;&gt;"",INDEX('Base de données'!A$4:L$990,MATCH(' TVA M'!A965,'Base de données'!A$4:A$990,0),12),"")</f>
        <v/>
      </c>
    </row>
    <row r="966" spans="2:3" hidden="1" x14ac:dyDescent="0.25">
      <c r="B966" s="55" t="str">
        <f>IF(A966&lt;&gt;"",INDEX('Base de données'!A$4:L$990,MATCH(' TVA M'!A966,'Base de données'!A$4:A$990,0),2),"")</f>
        <v/>
      </c>
      <c r="C966" s="55" t="str">
        <f>IF(A966&lt;&gt;"",INDEX('Base de données'!A$4:L$990,MATCH(' TVA M'!A966,'Base de données'!A$4:A$990,0),12),"")</f>
        <v/>
      </c>
    </row>
    <row r="967" spans="2:3" hidden="1" x14ac:dyDescent="0.25">
      <c r="B967" s="55" t="str">
        <f>IF(A967&lt;&gt;"",INDEX('Base de données'!A$4:L$990,MATCH(' TVA M'!A967,'Base de données'!A$4:A$990,0),2),"")</f>
        <v/>
      </c>
      <c r="C967" s="55" t="str">
        <f>IF(A967&lt;&gt;"",INDEX('Base de données'!A$4:L$990,MATCH(' TVA M'!A967,'Base de données'!A$4:A$990,0),12),"")</f>
        <v/>
      </c>
    </row>
    <row r="968" spans="2:3" hidden="1" x14ac:dyDescent="0.25">
      <c r="B968" s="55" t="str">
        <f>IF(A968&lt;&gt;"",INDEX('Base de données'!A$4:L$990,MATCH(' TVA M'!A968,'Base de données'!A$4:A$990,0),2),"")</f>
        <v/>
      </c>
      <c r="C968" s="55" t="str">
        <f>IF(A968&lt;&gt;"",INDEX('Base de données'!A$4:L$990,MATCH(' TVA M'!A968,'Base de données'!A$4:A$990,0),12),"")</f>
        <v/>
      </c>
    </row>
    <row r="969" spans="2:3" hidden="1" x14ac:dyDescent="0.25">
      <c r="B969" s="55" t="str">
        <f>IF(A969&lt;&gt;"",INDEX('Base de données'!A$4:L$990,MATCH(' TVA M'!A969,'Base de données'!A$4:A$990,0),2),"")</f>
        <v/>
      </c>
      <c r="C969" s="55" t="str">
        <f>IF(A969&lt;&gt;"",INDEX('Base de données'!A$4:L$990,MATCH(' TVA M'!A969,'Base de données'!A$4:A$990,0),12),"")</f>
        <v/>
      </c>
    </row>
    <row r="970" spans="2:3" hidden="1" x14ac:dyDescent="0.25">
      <c r="B970" s="55" t="str">
        <f>IF(A970&lt;&gt;"",INDEX('Base de données'!A$4:L$990,MATCH(' TVA M'!A970,'Base de données'!A$4:A$990,0),2),"")</f>
        <v/>
      </c>
      <c r="C970" s="55" t="str">
        <f>IF(A970&lt;&gt;"",INDEX('Base de données'!A$4:L$990,MATCH(' TVA M'!A970,'Base de données'!A$4:A$990,0),12),"")</f>
        <v/>
      </c>
    </row>
    <row r="971" spans="2:3" hidden="1" x14ac:dyDescent="0.25">
      <c r="B971" s="55" t="str">
        <f>IF(A971&lt;&gt;"",INDEX('Base de données'!A$4:L$990,MATCH(' TVA M'!A971,'Base de données'!A$4:A$990,0),2),"")</f>
        <v/>
      </c>
      <c r="C971" s="55" t="str">
        <f>IF(A971&lt;&gt;"",INDEX('Base de données'!A$4:L$990,MATCH(' TVA M'!A971,'Base de données'!A$4:A$990,0),12),"")</f>
        <v/>
      </c>
    </row>
    <row r="972" spans="2:3" hidden="1" x14ac:dyDescent="0.25">
      <c r="B972" s="55" t="str">
        <f>IF(A972&lt;&gt;"",INDEX('Base de données'!A$4:L$990,MATCH(' TVA M'!A972,'Base de données'!A$4:A$990,0),2),"")</f>
        <v/>
      </c>
      <c r="C972" s="55" t="str">
        <f>IF(A972&lt;&gt;"",INDEX('Base de données'!A$4:L$990,MATCH(' TVA M'!A972,'Base de données'!A$4:A$990,0),12),"")</f>
        <v/>
      </c>
    </row>
    <row r="973" spans="2:3" hidden="1" x14ac:dyDescent="0.25">
      <c r="B973" s="55" t="str">
        <f>IF(A973&lt;&gt;"",INDEX('Base de données'!A$4:L$990,MATCH(' TVA M'!A973,'Base de données'!A$4:A$990,0),2),"")</f>
        <v/>
      </c>
      <c r="C973" s="55" t="str">
        <f>IF(A973&lt;&gt;"",INDEX('Base de données'!A$4:L$990,MATCH(' TVA M'!A973,'Base de données'!A$4:A$990,0),12),"")</f>
        <v/>
      </c>
    </row>
    <row r="974" spans="2:3" hidden="1" x14ac:dyDescent="0.25">
      <c r="B974" s="55" t="str">
        <f>IF(A974&lt;&gt;"",INDEX('Base de données'!A$4:L$990,MATCH(' TVA M'!A974,'Base de données'!A$4:A$990,0),2),"")</f>
        <v/>
      </c>
      <c r="C974" s="55" t="str">
        <f>IF(A974&lt;&gt;"",INDEX('Base de données'!A$4:L$990,MATCH(' TVA M'!A974,'Base de données'!A$4:A$990,0),12),"")</f>
        <v/>
      </c>
    </row>
    <row r="975" spans="2:3" hidden="1" x14ac:dyDescent="0.25">
      <c r="B975" s="55" t="str">
        <f>IF(A975&lt;&gt;"",INDEX('Base de données'!A$4:L$990,MATCH(' TVA M'!A975,'Base de données'!A$4:A$990,0),2),"")</f>
        <v/>
      </c>
      <c r="C975" s="55" t="str">
        <f>IF(A975&lt;&gt;"",INDEX('Base de données'!A$4:L$990,MATCH(' TVA M'!A975,'Base de données'!A$4:A$990,0),12),"")</f>
        <v/>
      </c>
    </row>
    <row r="976" spans="2:3" hidden="1" x14ac:dyDescent="0.25">
      <c r="B976" s="55" t="str">
        <f>IF(A976&lt;&gt;"",INDEX('Base de données'!A$4:L$990,MATCH(' TVA M'!A976,'Base de données'!A$4:A$990,0),2),"")</f>
        <v/>
      </c>
      <c r="C976" s="55" t="str">
        <f>IF(A976&lt;&gt;"",INDEX('Base de données'!A$4:L$990,MATCH(' TVA M'!A976,'Base de données'!A$4:A$990,0),12),"")</f>
        <v/>
      </c>
    </row>
    <row r="977" spans="2:3" hidden="1" x14ac:dyDescent="0.25">
      <c r="B977" s="55" t="str">
        <f>IF(A977&lt;&gt;"",INDEX('Base de données'!A$4:L$990,MATCH(' TVA M'!A977,'Base de données'!A$4:A$990,0),2),"")</f>
        <v/>
      </c>
      <c r="C977" s="55" t="str">
        <f>IF(A977&lt;&gt;"",INDEX('Base de données'!A$4:L$990,MATCH(' TVA M'!A977,'Base de données'!A$4:A$990,0),12),"")</f>
        <v/>
      </c>
    </row>
    <row r="978" spans="2:3" hidden="1" x14ac:dyDescent="0.25">
      <c r="B978" s="55" t="str">
        <f>IF(A978&lt;&gt;"",INDEX('Base de données'!A$4:L$990,MATCH(' TVA M'!A978,'Base de données'!A$4:A$990,0),2),"")</f>
        <v/>
      </c>
      <c r="C978" s="55" t="str">
        <f>IF(A978&lt;&gt;"",INDEX('Base de données'!A$4:L$990,MATCH(' TVA M'!A978,'Base de données'!A$4:A$990,0),12),"")</f>
        <v/>
      </c>
    </row>
    <row r="979" spans="2:3" hidden="1" x14ac:dyDescent="0.25">
      <c r="B979" s="55" t="str">
        <f>IF(A979&lt;&gt;"",INDEX('Base de données'!A$4:L$990,MATCH(' TVA M'!A979,'Base de données'!A$4:A$990,0),2),"")</f>
        <v/>
      </c>
      <c r="C979" s="55" t="str">
        <f>IF(A979&lt;&gt;"",INDEX('Base de données'!A$4:L$990,MATCH(' TVA M'!A979,'Base de données'!A$4:A$990,0),12),"")</f>
        <v/>
      </c>
    </row>
    <row r="980" spans="2:3" hidden="1" x14ac:dyDescent="0.25">
      <c r="B980" s="55" t="str">
        <f>IF(A980&lt;&gt;"",INDEX('Base de données'!A$4:L$990,MATCH(' TVA M'!A980,'Base de données'!A$4:A$990,0),2),"")</f>
        <v/>
      </c>
      <c r="C980" s="55" t="str">
        <f>IF(A980&lt;&gt;"",INDEX('Base de données'!A$4:L$990,MATCH(' TVA M'!A980,'Base de données'!A$4:A$990,0),12),"")</f>
        <v/>
      </c>
    </row>
    <row r="981" spans="2:3" hidden="1" x14ac:dyDescent="0.25">
      <c r="B981" s="55" t="str">
        <f>IF(A981&lt;&gt;"",INDEX('Base de données'!A$4:L$990,MATCH(' TVA M'!A981,'Base de données'!A$4:A$990,0),2),"")</f>
        <v/>
      </c>
      <c r="C981" s="55" t="str">
        <f>IF(A981&lt;&gt;"",INDEX('Base de données'!A$4:L$990,MATCH(' TVA M'!A981,'Base de données'!A$4:A$990,0),12),"")</f>
        <v/>
      </c>
    </row>
    <row r="982" spans="2:3" hidden="1" x14ac:dyDescent="0.25">
      <c r="B982" s="55" t="str">
        <f>IF(A982&lt;&gt;"",INDEX('Base de données'!A$4:L$990,MATCH(' TVA M'!A982,'Base de données'!A$4:A$990,0),2),"")</f>
        <v/>
      </c>
      <c r="C982" s="55" t="str">
        <f>IF(A982&lt;&gt;"",INDEX('Base de données'!A$4:L$990,MATCH(' TVA M'!A982,'Base de données'!A$4:A$990,0),12),"")</f>
        <v/>
      </c>
    </row>
    <row r="983" spans="2:3" hidden="1" x14ac:dyDescent="0.25">
      <c r="B983" s="55" t="str">
        <f>IF(A983&lt;&gt;"",INDEX('Base de données'!A$4:L$990,MATCH(' TVA M'!A983,'Base de données'!A$4:A$990,0),2),"")</f>
        <v/>
      </c>
      <c r="C983" s="55" t="str">
        <f>IF(A983&lt;&gt;"",INDEX('Base de données'!A$4:L$990,MATCH(' TVA M'!A983,'Base de données'!A$4:A$990,0),12),"")</f>
        <v/>
      </c>
    </row>
    <row r="984" spans="2:3" hidden="1" x14ac:dyDescent="0.25">
      <c r="B984" s="55" t="str">
        <f>IF(A984&lt;&gt;"",INDEX('Base de données'!A$4:L$990,MATCH(' TVA M'!A984,'Base de données'!A$4:A$990,0),2),"")</f>
        <v/>
      </c>
      <c r="C984" s="55" t="str">
        <f>IF(A984&lt;&gt;"",INDEX('Base de données'!A$4:L$990,MATCH(' TVA M'!A984,'Base de données'!A$4:A$990,0),12),"")</f>
        <v/>
      </c>
    </row>
    <row r="985" spans="2:3" hidden="1" x14ac:dyDescent="0.25">
      <c r="B985" s="55" t="str">
        <f>IF(A985&lt;&gt;"",INDEX('Base de données'!A$4:L$990,MATCH(' TVA M'!A985,'Base de données'!A$4:A$990,0),2),"")</f>
        <v/>
      </c>
      <c r="C985" s="55" t="str">
        <f>IF(A985&lt;&gt;"",INDEX('Base de données'!A$4:L$990,MATCH(' TVA M'!A985,'Base de données'!A$4:A$990,0),12),"")</f>
        <v/>
      </c>
    </row>
    <row r="986" spans="2:3" hidden="1" x14ac:dyDescent="0.25">
      <c r="B986" s="55" t="str">
        <f>IF(A986&lt;&gt;"",INDEX('Base de données'!A$4:L$990,MATCH(' TVA M'!A986,'Base de données'!A$4:A$990,0),2),"")</f>
        <v/>
      </c>
      <c r="C986" s="55" t="str">
        <f>IF(A986&lt;&gt;"",INDEX('Base de données'!A$4:L$990,MATCH(' TVA M'!A986,'Base de données'!A$4:A$990,0),12),"")</f>
        <v/>
      </c>
    </row>
    <row r="987" spans="2:3" hidden="1" x14ac:dyDescent="0.25">
      <c r="B987" s="55" t="str">
        <f>IF(A987&lt;&gt;"",INDEX('Base de données'!A$4:L$990,MATCH(' TVA M'!A987,'Base de données'!A$4:A$990,0),2),"")</f>
        <v/>
      </c>
      <c r="C987" s="55" t="str">
        <f>IF(A987&lt;&gt;"",INDEX('Base de données'!A$4:L$990,MATCH(' TVA M'!A987,'Base de données'!A$4:A$990,0),12),"")</f>
        <v/>
      </c>
    </row>
    <row r="988" spans="2:3" hidden="1" x14ac:dyDescent="0.25">
      <c r="B988" s="55" t="str">
        <f>IF(A988&lt;&gt;"",INDEX('Base de données'!A$4:L$990,MATCH(' TVA M'!A988,'Base de données'!A$4:A$990,0),2),"")</f>
        <v/>
      </c>
      <c r="C988" s="55" t="str">
        <f>IF(A988&lt;&gt;"",INDEX('Base de données'!A$4:L$990,MATCH(' TVA M'!A988,'Base de données'!A$4:A$990,0),12),"")</f>
        <v/>
      </c>
    </row>
    <row r="989" spans="2:3" hidden="1" x14ac:dyDescent="0.25">
      <c r="B989" s="55" t="str">
        <f>IF(A989&lt;&gt;"",INDEX('Base de données'!A$4:L$990,MATCH(' TVA M'!A989,'Base de données'!A$4:A$990,0),2),"")</f>
        <v/>
      </c>
      <c r="C989" s="55" t="str">
        <f>IF(A989&lt;&gt;"",INDEX('Base de données'!A$4:L$990,MATCH(' TVA M'!A989,'Base de données'!A$4:A$990,0),12),"")</f>
        <v/>
      </c>
    </row>
    <row r="990" spans="2:3" hidden="1" x14ac:dyDescent="0.25">
      <c r="B990" s="55" t="str">
        <f>IF(A990&lt;&gt;"",INDEX('Base de données'!A$4:L$990,MATCH(' TVA M'!A990,'Base de données'!A$4:A$990,0),2),"")</f>
        <v/>
      </c>
      <c r="C990" s="55" t="str">
        <f>IF(A990&lt;&gt;"",INDEX('Base de données'!A$4:L$990,MATCH(' TVA M'!A990,'Base de données'!A$4:A$990,0),12),"")</f>
        <v/>
      </c>
    </row>
    <row r="991" spans="2:3" hidden="1" x14ac:dyDescent="0.25">
      <c r="B991" s="55" t="str">
        <f>IF(A991&lt;&gt;"",INDEX('Base de données'!A$4:L$990,MATCH(' TVA M'!A991,'Base de données'!A$4:A$990,0),2),"")</f>
        <v/>
      </c>
      <c r="C991" s="55" t="str">
        <f>IF(A991&lt;&gt;"",INDEX('Base de données'!A$4:L$990,MATCH(' TVA M'!A991,'Base de données'!A$4:A$990,0),12),"")</f>
        <v/>
      </c>
    </row>
    <row r="992" spans="2:3" hidden="1" x14ac:dyDescent="0.25">
      <c r="B992" s="55" t="str">
        <f>IF(A992&lt;&gt;"",INDEX('Base de données'!A$4:L$990,MATCH(' TVA M'!A992,'Base de données'!A$4:A$990,0),2),"")</f>
        <v/>
      </c>
      <c r="C992" s="55" t="str">
        <f>IF(A992&lt;&gt;"",INDEX('Base de données'!A$4:L$990,MATCH(' TVA M'!A992,'Base de données'!A$4:A$990,0),12),"")</f>
        <v/>
      </c>
    </row>
    <row r="993" spans="2:3" hidden="1" x14ac:dyDescent="0.25">
      <c r="B993" s="55" t="str">
        <f>IF(A993&lt;&gt;"",INDEX('Base de données'!A$4:L$990,MATCH(' TVA M'!A993,'Base de données'!A$4:A$990,0),2),"")</f>
        <v/>
      </c>
      <c r="C993" s="55" t="str">
        <f>IF(A993&lt;&gt;"",INDEX('Base de données'!A$4:L$990,MATCH(' TVA M'!A993,'Base de données'!A$4:A$990,0),12),"")</f>
        <v/>
      </c>
    </row>
    <row r="994" spans="2:3" hidden="1" x14ac:dyDescent="0.25">
      <c r="B994" s="55" t="str">
        <f>IF(A994&lt;&gt;"",INDEX('Base de données'!A$4:L$990,MATCH(' TVA M'!A994,'Base de données'!A$4:A$990,0),2),"")</f>
        <v/>
      </c>
      <c r="C994" s="55" t="str">
        <f>IF(A994&lt;&gt;"",INDEX('Base de données'!A$4:L$990,MATCH(' TVA M'!A994,'Base de données'!A$4:A$990,0),12),"")</f>
        <v/>
      </c>
    </row>
    <row r="995" spans="2:3" hidden="1" x14ac:dyDescent="0.25">
      <c r="B995" s="55" t="str">
        <f>IF(A995&lt;&gt;"",INDEX('Base de données'!A$4:L$990,MATCH(' TVA M'!A995,'Base de données'!A$4:A$990,0),2),"")</f>
        <v/>
      </c>
      <c r="C995" s="55" t="str">
        <f>IF(A995&lt;&gt;"",INDEX('Base de données'!A$4:L$990,MATCH(' TVA M'!A995,'Base de données'!A$4:A$990,0),12),"")</f>
        <v/>
      </c>
    </row>
    <row r="996" spans="2:3" hidden="1" x14ac:dyDescent="0.25">
      <c r="B996" s="55" t="str">
        <f>IF(A996&lt;&gt;"",INDEX('Base de données'!A$4:L$990,MATCH(' TVA M'!A996,'Base de données'!A$4:A$990,0),2),"")</f>
        <v/>
      </c>
      <c r="C996" s="55" t="str">
        <f>IF(A996&lt;&gt;"",INDEX('Base de données'!A$4:L$990,MATCH(' TVA M'!A996,'Base de données'!A$4:A$990,0),12),"")</f>
        <v/>
      </c>
    </row>
    <row r="997" spans="2:3" hidden="1" x14ac:dyDescent="0.25">
      <c r="B997" s="55" t="str">
        <f>IF(A997&lt;&gt;"",INDEX('Base de données'!A$4:L$990,MATCH(' TVA M'!A997,'Base de données'!A$4:A$990,0),2),"")</f>
        <v/>
      </c>
      <c r="C997" s="55" t="str">
        <f>IF(A997&lt;&gt;"",INDEX('Base de données'!A$4:L$990,MATCH(' TVA M'!A997,'Base de données'!A$4:A$990,0),12),"")</f>
        <v/>
      </c>
    </row>
    <row r="998" spans="2:3" hidden="1" x14ac:dyDescent="0.25">
      <c r="B998" s="55" t="str">
        <f>IF(A998&lt;&gt;"",INDEX('Base de données'!A$4:L$990,MATCH(' TVA M'!A998,'Base de données'!A$4:A$990,0),2),"")</f>
        <v/>
      </c>
      <c r="C998" s="55" t="str">
        <f>IF(A998&lt;&gt;"",INDEX('Base de données'!A$4:L$990,MATCH(' TVA M'!A998,'Base de données'!A$4:A$990,0),12),"")</f>
        <v/>
      </c>
    </row>
    <row r="999" spans="2:3" hidden="1" x14ac:dyDescent="0.25">
      <c r="B999" s="55" t="str">
        <f>IF(A999&lt;&gt;"",INDEX('Base de données'!A$4:L$990,MATCH(' TVA M'!A999,'Base de données'!A$4:A$990,0),2),"")</f>
        <v/>
      </c>
      <c r="C999" s="55" t="str">
        <f>IF(A999&lt;&gt;"",INDEX('Base de données'!A$4:L$990,MATCH(' TVA M'!A999,'Base de données'!A$4:A$990,0),12),"")</f>
        <v/>
      </c>
    </row>
    <row r="1000" spans="2:3" hidden="1" x14ac:dyDescent="0.25">
      <c r="B1000" s="55" t="str">
        <f>IF(A1000&lt;&gt;"",INDEX('Base de données'!A$4:L$990,MATCH(' TVA M'!A1000,'Base de données'!A$4:A$990,0),2),"")</f>
        <v/>
      </c>
      <c r="C1000" s="55" t="str">
        <f>IF(A1000&lt;&gt;"",INDEX('Base de données'!A$4:L$990,MATCH(' TVA M'!A1000,'Base de données'!A$4:A$990,0),12),"")</f>
        <v/>
      </c>
    </row>
    <row r="1001" spans="2:3" hidden="1" x14ac:dyDescent="0.25">
      <c r="B1001" s="55" t="str">
        <f>IF(A1001&lt;&gt;"",INDEX('Base de données'!A$4:L$990,MATCH(' TVA M'!A1001,'Base de données'!A$4:A$990,0),2),"")</f>
        <v/>
      </c>
      <c r="C1001" s="55" t="str">
        <f>IF(A1001&lt;&gt;"",INDEX('Base de données'!A$4:L$990,MATCH(' TVA M'!A1001,'Base de données'!A$4:A$990,0),12),"")</f>
        <v/>
      </c>
    </row>
    <row r="1002" spans="2:3" hidden="1" x14ac:dyDescent="0.25">
      <c r="B1002" s="55" t="str">
        <f>IF(A1002&lt;&gt;"",INDEX('Base de données'!A$4:L$990,MATCH(' TVA M'!A1002,'Base de données'!A$4:A$990,0),2),"")</f>
        <v/>
      </c>
      <c r="C1002" s="55" t="str">
        <f>IF(A1002&lt;&gt;"",INDEX('Base de données'!A$4:L$990,MATCH(' TVA M'!A1002,'Base de données'!A$4:A$990,0),12),"")</f>
        <v/>
      </c>
    </row>
    <row r="1003" spans="2:3" hidden="1" x14ac:dyDescent="0.25">
      <c r="B1003" s="55" t="str">
        <f>IF(A1003&lt;&gt;"",INDEX('Base de données'!A$4:L$990,MATCH(' TVA M'!A1003,'Base de données'!A$4:A$990,0),2),"")</f>
        <v/>
      </c>
      <c r="C1003" s="55" t="str">
        <f>IF(A1003&lt;&gt;"",INDEX('Base de données'!A$4:L$990,MATCH(' TVA M'!A1003,'Base de données'!A$4:A$990,0),12),"")</f>
        <v/>
      </c>
    </row>
    <row r="1004" spans="2:3" hidden="1" x14ac:dyDescent="0.25">
      <c r="B1004" s="55" t="str">
        <f>IF(A1004&lt;&gt;"",INDEX('Base de données'!A$4:L$990,MATCH(' TVA M'!A1004,'Base de données'!A$4:A$990,0),2),"")</f>
        <v/>
      </c>
      <c r="C1004" s="55" t="str">
        <f>IF(A1004&lt;&gt;"",INDEX('Base de données'!A$4:L$990,MATCH(' TVA M'!A1004,'Base de données'!A$4:A$990,0),12),"")</f>
        <v/>
      </c>
    </row>
    <row r="1005" spans="2:3" hidden="1" x14ac:dyDescent="0.25">
      <c r="B1005" s="55" t="str">
        <f>IF(A1005&lt;&gt;"",INDEX('Base de données'!A$4:L$990,MATCH(' TVA M'!A1005,'Base de données'!A$4:A$990,0),2),"")</f>
        <v/>
      </c>
      <c r="C1005" s="55" t="str">
        <f>IF(A1005&lt;&gt;"",INDEX('Base de données'!A$4:L$990,MATCH(' TVA M'!A1005,'Base de données'!A$4:A$990,0),12),"")</f>
        <v/>
      </c>
    </row>
    <row r="1006" spans="2:3" hidden="1" x14ac:dyDescent="0.25">
      <c r="B1006" s="55" t="str">
        <f>IF(A1006&lt;&gt;"",INDEX('Base de données'!A$4:L$990,MATCH(' TVA M'!A1006,'Base de données'!A$4:A$990,0),2),"")</f>
        <v/>
      </c>
      <c r="C1006" s="55" t="str">
        <f>IF(A1006&lt;&gt;"",INDEX('Base de données'!A$4:L$990,MATCH(' TVA M'!A1006,'Base de données'!A$4:A$990,0),12),"")</f>
        <v/>
      </c>
    </row>
    <row r="1007" spans="2:3" hidden="1" x14ac:dyDescent="0.25">
      <c r="B1007" s="55" t="str">
        <f>IF(A1007&lt;&gt;"",INDEX('Base de données'!A$4:L$990,MATCH(' TVA M'!A1007,'Base de données'!A$4:A$990,0),2),"")</f>
        <v/>
      </c>
      <c r="C1007" s="55" t="str">
        <f>IF(A1007&lt;&gt;"",INDEX('Base de données'!A$4:L$990,MATCH(' TVA M'!A1007,'Base de données'!A$4:A$990,0),12),"")</f>
        <v/>
      </c>
    </row>
    <row r="1008" spans="2:3" hidden="1" x14ac:dyDescent="0.25">
      <c r="B1008" s="55" t="str">
        <f>IF(A1008&lt;&gt;"",INDEX('Base de données'!A$4:L$990,MATCH(' TVA M'!A1008,'Base de données'!A$4:A$990,0),2),"")</f>
        <v/>
      </c>
      <c r="C1008" s="55" t="str">
        <f>IF(A1008&lt;&gt;"",INDEX('Base de données'!A$4:L$990,MATCH(' TVA M'!A1008,'Base de données'!A$4:A$990,0),12),"")</f>
        <v/>
      </c>
    </row>
    <row r="1009" spans="2:3" hidden="1" x14ac:dyDescent="0.25">
      <c r="B1009" s="55" t="str">
        <f>IF(A1009&lt;&gt;"",INDEX('Base de données'!A$4:L$990,MATCH(' TVA M'!A1009,'Base de données'!A$4:A$990,0),2),"")</f>
        <v/>
      </c>
      <c r="C1009" s="55" t="str">
        <f>IF(A1009&lt;&gt;"",INDEX('Base de données'!A$4:L$990,MATCH(' TVA M'!A1009,'Base de données'!A$4:A$990,0),12),"")</f>
        <v/>
      </c>
    </row>
    <row r="1010" spans="2:3" hidden="1" x14ac:dyDescent="0.25">
      <c r="B1010" s="55" t="str">
        <f>IF(A1010&lt;&gt;"",INDEX('Base de données'!A$4:L$990,MATCH(' TVA M'!A1010,'Base de données'!A$4:A$990,0),2),"")</f>
        <v/>
      </c>
      <c r="C1010" s="55" t="str">
        <f>IF(A1010&lt;&gt;"",INDEX('Base de données'!A$4:L$990,MATCH(' TVA M'!A1010,'Base de données'!A$4:A$990,0),12),"")</f>
        <v/>
      </c>
    </row>
    <row r="1011" spans="2:3" hidden="1" x14ac:dyDescent="0.25">
      <c r="B1011" s="55" t="str">
        <f>IF(A1011&lt;&gt;"",INDEX('Base de données'!A$4:L$990,MATCH(' TVA M'!A1011,'Base de données'!A$4:A$990,0),2),"")</f>
        <v/>
      </c>
      <c r="C1011" s="55" t="str">
        <f>IF(A1011&lt;&gt;"",INDEX('Base de données'!A$4:L$990,MATCH(' TVA M'!A1011,'Base de données'!A$4:A$990,0),12),"")</f>
        <v/>
      </c>
    </row>
    <row r="1012" spans="2:3" hidden="1" x14ac:dyDescent="0.25">
      <c r="B1012" s="55" t="str">
        <f>IF(A1012&lt;&gt;"",INDEX('Base de données'!A$4:L$990,MATCH(' TVA M'!A1012,'Base de données'!A$4:A$990,0),2),"")</f>
        <v/>
      </c>
      <c r="C1012" s="55" t="str">
        <f>IF(A1012&lt;&gt;"",INDEX('Base de données'!A$4:L$990,MATCH(' TVA M'!A1012,'Base de données'!A$4:A$990,0),12),"")</f>
        <v/>
      </c>
    </row>
    <row r="1013" spans="2:3" hidden="1" x14ac:dyDescent="0.25">
      <c r="B1013" s="55" t="str">
        <f>IF(A1013&lt;&gt;"",INDEX('Base de données'!A$4:L$990,MATCH(' TVA M'!A1013,'Base de données'!A$4:A$990,0),2),"")</f>
        <v/>
      </c>
      <c r="C1013" s="55" t="str">
        <f>IF(A1013&lt;&gt;"",INDEX('Base de données'!A$4:L$990,MATCH(' TVA M'!A1013,'Base de données'!A$4:A$990,0),12),"")</f>
        <v/>
      </c>
    </row>
    <row r="1014" spans="2:3" hidden="1" x14ac:dyDescent="0.25">
      <c r="B1014" s="55" t="str">
        <f>IF(A1014&lt;&gt;"",INDEX('Base de données'!A$4:L$990,MATCH(' TVA M'!A1014,'Base de données'!A$4:A$990,0),2),"")</f>
        <v/>
      </c>
      <c r="C1014" s="55" t="str">
        <f>IF(A1014&lt;&gt;"",INDEX('Base de données'!A$4:L$990,MATCH(' TVA M'!A1014,'Base de données'!A$4:A$990,0),12),"")</f>
        <v/>
      </c>
    </row>
    <row r="1015" spans="2:3" hidden="1" x14ac:dyDescent="0.25">
      <c r="B1015" s="55" t="str">
        <f>IF(A1015&lt;&gt;"",INDEX('Base de données'!A$4:L$990,MATCH(' TVA M'!A1015,'Base de données'!A$4:A$990,0),2),"")</f>
        <v/>
      </c>
      <c r="C1015" s="55" t="str">
        <f>IF(A1015&lt;&gt;"",INDEX('Base de données'!A$4:L$990,MATCH(' TVA M'!A1015,'Base de données'!A$4:A$990,0),12),"")</f>
        <v/>
      </c>
    </row>
    <row r="1016" spans="2:3" hidden="1" x14ac:dyDescent="0.25">
      <c r="B1016" s="55" t="str">
        <f>IF(A1016&lt;&gt;"",INDEX('Base de données'!A$4:L$990,MATCH(' TVA M'!A1016,'Base de données'!A$4:A$990,0),2),"")</f>
        <v/>
      </c>
      <c r="C1016" s="55" t="str">
        <f>IF(A1016&lt;&gt;"",INDEX('Base de données'!A$4:L$990,MATCH(' TVA M'!A1016,'Base de données'!A$4:A$990,0),12),"")</f>
        <v/>
      </c>
    </row>
    <row r="1017" spans="2:3" hidden="1" x14ac:dyDescent="0.25">
      <c r="B1017" s="55" t="str">
        <f>IF(A1017&lt;&gt;"",INDEX('Base de données'!A$4:L$990,MATCH(' TVA M'!A1017,'Base de données'!A$4:A$990,0),2),"")</f>
        <v/>
      </c>
      <c r="C1017" s="55" t="str">
        <f>IF(A1017&lt;&gt;"",INDEX('Base de données'!A$4:L$990,MATCH(' TVA M'!A1017,'Base de données'!A$4:A$990,0),12),"")</f>
        <v/>
      </c>
    </row>
    <row r="1018" spans="2:3" hidden="1" x14ac:dyDescent="0.25">
      <c r="B1018" s="55" t="str">
        <f>IF(A1018&lt;&gt;"",INDEX('Base de données'!A$4:L$990,MATCH(' TVA M'!A1018,'Base de données'!A$4:A$990,0),2),"")</f>
        <v/>
      </c>
      <c r="C1018" s="55" t="str">
        <f>IF(A1018&lt;&gt;"",INDEX('Base de données'!A$4:L$990,MATCH(' TVA M'!A1018,'Base de données'!A$4:A$990,0),12),"")</f>
        <v/>
      </c>
    </row>
    <row r="1019" spans="2:3" hidden="1" x14ac:dyDescent="0.25">
      <c r="B1019" s="55" t="str">
        <f>IF(A1019&lt;&gt;"",INDEX('Base de données'!A$4:L$990,MATCH(' TVA M'!A1019,'Base de données'!A$4:A$990,0),2),"")</f>
        <v/>
      </c>
      <c r="C1019" s="55" t="str">
        <f>IF(A1019&lt;&gt;"",INDEX('Base de données'!A$4:L$990,MATCH(' TVA M'!A1019,'Base de données'!A$4:A$990,0),12),"")</f>
        <v/>
      </c>
    </row>
    <row r="1020" spans="2:3" hidden="1" x14ac:dyDescent="0.25">
      <c r="B1020" s="55" t="str">
        <f>IF(A1020&lt;&gt;"",INDEX('Base de données'!A$4:L$990,MATCH(' TVA M'!A1020,'Base de données'!A$4:A$990,0),2),"")</f>
        <v/>
      </c>
      <c r="C1020" s="55" t="str">
        <f>IF(A1020&lt;&gt;"",INDEX('Base de données'!A$4:L$990,MATCH(' TVA M'!A1020,'Base de données'!A$4:A$990,0),12),"")</f>
        <v/>
      </c>
    </row>
    <row r="1021" spans="2:3" hidden="1" x14ac:dyDescent="0.25">
      <c r="B1021" s="55" t="str">
        <f>IF(A1021&lt;&gt;"",INDEX('Base de données'!A$4:L$990,MATCH(' TVA M'!A1021,'Base de données'!A$4:A$990,0),2),"")</f>
        <v/>
      </c>
      <c r="C1021" s="55" t="str">
        <f>IF(A1021&lt;&gt;"",INDEX('Base de données'!A$4:L$990,MATCH(' TVA M'!A1021,'Base de données'!A$4:A$990,0),12),"")</f>
        <v/>
      </c>
    </row>
    <row r="1022" spans="2:3" hidden="1" x14ac:dyDescent="0.25">
      <c r="B1022" s="55" t="str">
        <f>IF(A1022&lt;&gt;"",INDEX('Base de données'!A$4:L$990,MATCH(' TVA M'!A1022,'Base de données'!A$4:A$990,0),2),"")</f>
        <v/>
      </c>
      <c r="C1022" s="55" t="str">
        <f>IF(A1022&lt;&gt;"",INDEX('Base de données'!A$4:L$990,MATCH(' TVA M'!A1022,'Base de données'!A$4:A$990,0),12),"")</f>
        <v/>
      </c>
    </row>
    <row r="1023" spans="2:3" hidden="1" x14ac:dyDescent="0.25">
      <c r="B1023" s="55" t="str">
        <f>IF(A1023&lt;&gt;"",INDEX('Base de données'!A$4:L$990,MATCH(' TVA M'!A1023,'Base de données'!A$4:A$990,0),2),"")</f>
        <v/>
      </c>
      <c r="C1023" s="55" t="str">
        <f>IF(A1023&lt;&gt;"",INDEX('Base de données'!A$4:L$990,MATCH(' TVA M'!A1023,'Base de données'!A$4:A$990,0),12),"")</f>
        <v/>
      </c>
    </row>
    <row r="1024" spans="2:3" hidden="1" x14ac:dyDescent="0.25">
      <c r="B1024" s="55" t="str">
        <f>IF(A1024&lt;&gt;"",INDEX('Base de données'!A$4:L$990,MATCH(' TVA M'!A1024,'Base de données'!A$4:A$990,0),2),"")</f>
        <v/>
      </c>
      <c r="C1024" s="55" t="str">
        <f>IF(A1024&lt;&gt;"",INDEX('Base de données'!A$4:L$990,MATCH(' TVA M'!A1024,'Base de données'!A$4:A$990,0),12),"")</f>
        <v/>
      </c>
    </row>
    <row r="1025" spans="2:3" hidden="1" x14ac:dyDescent="0.25">
      <c r="B1025" s="55" t="str">
        <f>IF(A1025&lt;&gt;"",INDEX('Base de données'!A$4:L$990,MATCH(' TVA M'!A1025,'Base de données'!A$4:A$990,0),2),"")</f>
        <v/>
      </c>
      <c r="C1025" s="55" t="str">
        <f>IF(A1025&lt;&gt;"",INDEX('Base de données'!A$4:L$990,MATCH(' TVA M'!A1025,'Base de données'!A$4:A$990,0),12),"")</f>
        <v/>
      </c>
    </row>
    <row r="1026" spans="2:3" hidden="1" x14ac:dyDescent="0.25">
      <c r="B1026" s="55" t="str">
        <f>IF(A1026&lt;&gt;"",INDEX('Base de données'!A$4:L$990,MATCH(' TVA M'!A1026,'Base de données'!A$4:A$990,0),2),"")</f>
        <v/>
      </c>
      <c r="C1026" s="55" t="str">
        <f>IF(A1026&lt;&gt;"",INDEX('Base de données'!A$4:L$990,MATCH(' TVA M'!A1026,'Base de données'!A$4:A$990,0),12),"")</f>
        <v/>
      </c>
    </row>
    <row r="1027" spans="2:3" hidden="1" x14ac:dyDescent="0.25">
      <c r="B1027" s="55" t="str">
        <f>IF(A1027&lt;&gt;"",INDEX('Base de données'!A$4:L$990,MATCH(' TVA M'!A1027,'Base de données'!A$4:A$990,0),2),"")</f>
        <v/>
      </c>
      <c r="C1027" s="55" t="str">
        <f>IF(A1027&lt;&gt;"",INDEX('Base de données'!A$4:L$990,MATCH(' TVA M'!A1027,'Base de données'!A$4:A$990,0),12),"")</f>
        <v/>
      </c>
    </row>
    <row r="1028" spans="2:3" hidden="1" x14ac:dyDescent="0.25">
      <c r="B1028" s="55" t="str">
        <f>IF(A1028&lt;&gt;"",INDEX('Base de données'!A$4:L$990,MATCH(' TVA M'!A1028,'Base de données'!A$4:A$990,0),2),"")</f>
        <v/>
      </c>
      <c r="C1028" s="55" t="str">
        <f>IF(A1028&lt;&gt;"",INDEX('Base de données'!A$4:L$990,MATCH(' TVA M'!A1028,'Base de données'!A$4:A$990,0),12),"")</f>
        <v/>
      </c>
    </row>
    <row r="1029" spans="2:3" hidden="1" x14ac:dyDescent="0.25">
      <c r="B1029" s="55" t="str">
        <f>IF(A1029&lt;&gt;"",INDEX('Base de données'!A$4:L$990,MATCH(' TVA M'!A1029,'Base de données'!A$4:A$990,0),2),"")</f>
        <v/>
      </c>
      <c r="C1029" s="55" t="str">
        <f>IF(A1029&lt;&gt;"",INDEX('Base de données'!A$4:L$990,MATCH(' TVA M'!A1029,'Base de données'!A$4:A$990,0),12),"")</f>
        <v/>
      </c>
    </row>
    <row r="1030" spans="2:3" hidden="1" x14ac:dyDescent="0.25">
      <c r="B1030" s="55" t="str">
        <f>IF(A1030&lt;&gt;"",INDEX('Base de données'!A$4:L$990,MATCH(' TVA M'!A1030,'Base de données'!A$4:A$990,0),2),"")</f>
        <v/>
      </c>
      <c r="C1030" s="55" t="str">
        <f>IF(A1030&lt;&gt;"",INDEX('Base de données'!A$4:L$990,MATCH(' TVA M'!A1030,'Base de données'!A$4:A$990,0),12),"")</f>
        <v/>
      </c>
    </row>
    <row r="1031" spans="2:3" hidden="1" x14ac:dyDescent="0.25">
      <c r="B1031" s="55" t="str">
        <f>IF(A1031&lt;&gt;"",INDEX('Base de données'!A$4:L$990,MATCH(' TVA M'!A1031,'Base de données'!A$4:A$990,0),2),"")</f>
        <v/>
      </c>
      <c r="C1031" s="55" t="str">
        <f>IF(A1031&lt;&gt;"",INDEX('Base de données'!A$4:L$990,MATCH(' TVA M'!A1031,'Base de données'!A$4:A$990,0),12),"")</f>
        <v/>
      </c>
    </row>
    <row r="1032" spans="2:3" hidden="1" x14ac:dyDescent="0.25">
      <c r="B1032" s="55" t="str">
        <f>IF(A1032&lt;&gt;"",INDEX('Base de données'!A$4:L$990,MATCH(' TVA M'!A1032,'Base de données'!A$4:A$990,0),2),"")</f>
        <v/>
      </c>
      <c r="C1032" s="55" t="str">
        <f>IF(A1032&lt;&gt;"",INDEX('Base de données'!A$4:L$990,MATCH(' TVA M'!A1032,'Base de données'!A$4:A$990,0),12),"")</f>
        <v/>
      </c>
    </row>
    <row r="1033" spans="2:3" hidden="1" x14ac:dyDescent="0.25">
      <c r="B1033" s="55" t="str">
        <f>IF(A1033&lt;&gt;"",INDEX('Base de données'!A$4:L$990,MATCH(' TVA M'!A1033,'Base de données'!A$4:A$990,0),2),"")</f>
        <v/>
      </c>
      <c r="C1033" s="55" t="str">
        <f>IF(A1033&lt;&gt;"",INDEX('Base de données'!A$4:L$990,MATCH(' TVA M'!A1033,'Base de données'!A$4:A$990,0),12),"")</f>
        <v/>
      </c>
    </row>
    <row r="1034" spans="2:3" hidden="1" x14ac:dyDescent="0.25">
      <c r="B1034" s="55" t="str">
        <f>IF(A1034&lt;&gt;"",INDEX('Base de données'!A$4:L$990,MATCH(' TVA M'!A1034,'Base de données'!A$4:A$990,0),2),"")</f>
        <v/>
      </c>
      <c r="C1034" s="55" t="str">
        <f>IF(A1034&lt;&gt;"",INDEX('Base de données'!A$4:L$990,MATCH(' TVA M'!A1034,'Base de données'!A$4:A$990,0),12),"")</f>
        <v/>
      </c>
    </row>
    <row r="1035" spans="2:3" hidden="1" x14ac:dyDescent="0.25">
      <c r="B1035" s="55" t="str">
        <f>IF(A1035&lt;&gt;"",INDEX('Base de données'!A$4:L$990,MATCH(' TVA M'!A1035,'Base de données'!A$4:A$990,0),2),"")</f>
        <v/>
      </c>
      <c r="C1035" s="55" t="str">
        <f>IF(A1035&lt;&gt;"",INDEX('Base de données'!A$4:L$990,MATCH(' TVA M'!A1035,'Base de données'!A$4:A$990,0),12),"")</f>
        <v/>
      </c>
    </row>
    <row r="1036" spans="2:3" hidden="1" x14ac:dyDescent="0.25">
      <c r="B1036" s="55" t="str">
        <f>IF(A1036&lt;&gt;"",INDEX('Base de données'!A$4:L$990,MATCH(' TVA M'!A1036,'Base de données'!A$4:A$990,0),2),"")</f>
        <v/>
      </c>
      <c r="C1036" s="55" t="str">
        <f>IF(A1036&lt;&gt;"",INDEX('Base de données'!A$4:L$990,MATCH(' TVA M'!A1036,'Base de données'!A$4:A$990,0),12),"")</f>
        <v/>
      </c>
    </row>
    <row r="1037" spans="2:3" hidden="1" x14ac:dyDescent="0.25">
      <c r="B1037" s="55" t="str">
        <f>IF(A1037&lt;&gt;"",INDEX('Base de données'!A$4:L$990,MATCH(' TVA M'!A1037,'Base de données'!A$4:A$990,0),2),"")</f>
        <v/>
      </c>
      <c r="C1037" s="55" t="str">
        <f>IF(A1037&lt;&gt;"",INDEX('Base de données'!A$4:L$990,MATCH(' TVA M'!A1037,'Base de données'!A$4:A$990,0),12),"")</f>
        <v/>
      </c>
    </row>
    <row r="1038" spans="2:3" hidden="1" x14ac:dyDescent="0.25">
      <c r="B1038" s="55" t="str">
        <f>IF(A1038&lt;&gt;"",INDEX('Base de données'!A$4:L$990,MATCH(' TVA M'!A1038,'Base de données'!A$4:A$990,0),2),"")</f>
        <v/>
      </c>
      <c r="C1038" s="55" t="str">
        <f>IF(A1038&lt;&gt;"",INDEX('Base de données'!A$4:L$990,MATCH(' TVA M'!A1038,'Base de données'!A$4:A$990,0),12),"")</f>
        <v/>
      </c>
    </row>
    <row r="1039" spans="2:3" hidden="1" x14ac:dyDescent="0.25">
      <c r="B1039" s="55" t="str">
        <f>IF(A1039&lt;&gt;"",INDEX('Base de données'!A$4:L$990,MATCH(' TVA M'!A1039,'Base de données'!A$4:A$990,0),2),"")</f>
        <v/>
      </c>
      <c r="C1039" s="55" t="str">
        <f>IF(A1039&lt;&gt;"",INDEX('Base de données'!A$4:L$990,MATCH(' TVA M'!A1039,'Base de données'!A$4:A$990,0),12),"")</f>
        <v/>
      </c>
    </row>
    <row r="1040" spans="2:3" hidden="1" x14ac:dyDescent="0.25">
      <c r="B1040" s="55" t="str">
        <f>IF(A1040&lt;&gt;"",INDEX('Base de données'!A$4:L$990,MATCH(' TVA M'!A1040,'Base de données'!A$4:A$990,0),2),"")</f>
        <v/>
      </c>
      <c r="C1040" s="55" t="str">
        <f>IF(A1040&lt;&gt;"",INDEX('Base de données'!A$4:L$990,MATCH(' TVA M'!A1040,'Base de données'!A$4:A$990,0),12),"")</f>
        <v/>
      </c>
    </row>
    <row r="1041" spans="2:3" hidden="1" x14ac:dyDescent="0.25">
      <c r="B1041" s="55" t="str">
        <f>IF(A1041&lt;&gt;"",INDEX('Base de données'!A$4:L$990,MATCH(' TVA M'!A1041,'Base de données'!A$4:A$990,0),2),"")</f>
        <v/>
      </c>
      <c r="C1041" s="55" t="str">
        <f>IF(A1041&lt;&gt;"",INDEX('Base de données'!A$4:L$990,MATCH(' TVA M'!A1041,'Base de données'!A$4:A$990,0),12),"")</f>
        <v/>
      </c>
    </row>
    <row r="1042" spans="2:3" hidden="1" x14ac:dyDescent="0.25">
      <c r="B1042" s="55" t="str">
        <f>IF(A1042&lt;&gt;"",INDEX('Base de données'!A$4:L$990,MATCH(' TVA M'!A1042,'Base de données'!A$4:A$990,0),2),"")</f>
        <v/>
      </c>
      <c r="C1042" s="55" t="str">
        <f>IF(A1042&lt;&gt;"",INDEX('Base de données'!A$4:L$990,MATCH(' TVA M'!A1042,'Base de données'!A$4:A$990,0),12),"")</f>
        <v/>
      </c>
    </row>
    <row r="1043" spans="2:3" hidden="1" x14ac:dyDescent="0.25">
      <c r="B1043" s="55" t="str">
        <f>IF(A1043&lt;&gt;"",INDEX('Base de données'!A$4:L$990,MATCH(' TVA M'!A1043,'Base de données'!A$4:A$990,0),2),"")</f>
        <v/>
      </c>
      <c r="C1043" s="55" t="str">
        <f>IF(A1043&lt;&gt;"",INDEX('Base de données'!A$4:L$990,MATCH(' TVA M'!A1043,'Base de données'!A$4:A$990,0),12),"")</f>
        <v/>
      </c>
    </row>
    <row r="1044" spans="2:3" hidden="1" x14ac:dyDescent="0.25">
      <c r="B1044" s="55" t="str">
        <f>IF(A1044&lt;&gt;"",INDEX('Base de données'!A$4:L$990,MATCH(' TVA M'!A1044,'Base de données'!A$4:A$990,0),2),"")</f>
        <v/>
      </c>
      <c r="C1044" s="55" t="str">
        <f>IF(A1044&lt;&gt;"",INDEX('Base de données'!A$4:L$990,MATCH(' TVA M'!A1044,'Base de données'!A$4:A$990,0),12),"")</f>
        <v/>
      </c>
    </row>
    <row r="1045" spans="2:3" hidden="1" x14ac:dyDescent="0.25">
      <c r="B1045" s="55" t="str">
        <f>IF(A1045&lt;&gt;"",INDEX('Base de données'!A$4:L$990,MATCH(' TVA M'!A1045,'Base de données'!A$4:A$990,0),2),"")</f>
        <v/>
      </c>
      <c r="C1045" s="55" t="str">
        <f>IF(A1045&lt;&gt;"",INDEX('Base de données'!A$4:L$990,MATCH(' TVA M'!A1045,'Base de données'!A$4:A$990,0),12),"")</f>
        <v/>
      </c>
    </row>
    <row r="1046" spans="2:3" hidden="1" x14ac:dyDescent="0.25">
      <c r="B1046" s="55" t="str">
        <f>IF(A1046&lt;&gt;"",INDEX('Base de données'!A$4:L$990,MATCH(' TVA M'!A1046,'Base de données'!A$4:A$990,0),2),"")</f>
        <v/>
      </c>
      <c r="C1046" s="55" t="str">
        <f>IF(A1046&lt;&gt;"",INDEX('Base de données'!A$4:L$990,MATCH(' TVA M'!A1046,'Base de données'!A$4:A$990,0),12),"")</f>
        <v/>
      </c>
    </row>
    <row r="1047" spans="2:3" hidden="1" x14ac:dyDescent="0.25">
      <c r="B1047" s="55" t="str">
        <f>IF(A1047&lt;&gt;"",INDEX('Base de données'!A$4:L$990,MATCH(' TVA M'!A1047,'Base de données'!A$4:A$990,0),2),"")</f>
        <v/>
      </c>
      <c r="C1047" s="55" t="str">
        <f>IF(A1047&lt;&gt;"",INDEX('Base de données'!A$4:L$990,MATCH(' TVA M'!A1047,'Base de données'!A$4:A$990,0),12),"")</f>
        <v/>
      </c>
    </row>
    <row r="1048" spans="2:3" hidden="1" x14ac:dyDescent="0.25">
      <c r="B1048" s="55" t="str">
        <f>IF(A1048&lt;&gt;"",INDEX('Base de données'!A$4:L$990,MATCH(' TVA M'!A1048,'Base de données'!A$4:A$990,0),2),"")</f>
        <v/>
      </c>
      <c r="C1048" s="55" t="str">
        <f>IF(A1048&lt;&gt;"",INDEX('Base de données'!A$4:L$990,MATCH(' TVA M'!A1048,'Base de données'!A$4:A$990,0),12),"")</f>
        <v/>
      </c>
    </row>
    <row r="1049" spans="2:3" hidden="1" x14ac:dyDescent="0.25">
      <c r="B1049" s="55" t="str">
        <f>IF(A1049&lt;&gt;"",INDEX('Base de données'!A$4:L$990,MATCH(' TVA M'!A1049,'Base de données'!A$4:A$990,0),2),"")</f>
        <v/>
      </c>
      <c r="C1049" s="55" t="str">
        <f>IF(A1049&lt;&gt;"",INDEX('Base de données'!A$4:L$990,MATCH(' TVA M'!A1049,'Base de données'!A$4:A$990,0),12),"")</f>
        <v/>
      </c>
    </row>
    <row r="1050" spans="2:3" hidden="1" x14ac:dyDescent="0.25">
      <c r="B1050" s="55" t="str">
        <f>IF(A1050&lt;&gt;"",INDEX('Base de données'!A$4:L$990,MATCH(' TVA M'!A1050,'Base de données'!A$4:A$990,0),2),"")</f>
        <v/>
      </c>
      <c r="C1050" s="55" t="str">
        <f>IF(A1050&lt;&gt;"",INDEX('Base de données'!A$4:L$990,MATCH(' TVA M'!A1050,'Base de données'!A$4:A$990,0),12),"")</f>
        <v/>
      </c>
    </row>
    <row r="1051" spans="2:3" hidden="1" x14ac:dyDescent="0.25">
      <c r="B1051" s="55" t="str">
        <f>IF(A1051&lt;&gt;"",INDEX('Base de données'!A$4:L$990,MATCH(' TVA M'!A1051,'Base de données'!A$4:A$990,0),2),"")</f>
        <v/>
      </c>
      <c r="C1051" s="55" t="str">
        <f>IF(A1051&lt;&gt;"",INDEX('Base de données'!A$4:L$990,MATCH(' TVA M'!A1051,'Base de données'!A$4:A$990,0),12),"")</f>
        <v/>
      </c>
    </row>
    <row r="1052" spans="2:3" hidden="1" x14ac:dyDescent="0.25">
      <c r="B1052" s="55" t="str">
        <f>IF(A1052&lt;&gt;"",INDEX('Base de données'!A$4:L$990,MATCH(' TVA M'!A1052,'Base de données'!A$4:A$990,0),2),"")</f>
        <v/>
      </c>
      <c r="C1052" s="55" t="str">
        <f>IF(A1052&lt;&gt;"",INDEX('Base de données'!A$4:L$990,MATCH(' TVA M'!A1052,'Base de données'!A$4:A$990,0),12),"")</f>
        <v/>
      </c>
    </row>
    <row r="1053" spans="2:3" hidden="1" x14ac:dyDescent="0.25">
      <c r="B1053" s="55" t="str">
        <f>IF(A1053&lt;&gt;"",INDEX('Base de données'!A$4:L$990,MATCH(' TVA M'!A1053,'Base de données'!A$4:A$990,0),2),"")</f>
        <v/>
      </c>
      <c r="C1053" s="55" t="str">
        <f>IF(A1053&lt;&gt;"",INDEX('Base de données'!A$4:L$990,MATCH(' TVA M'!A1053,'Base de données'!A$4:A$990,0),12),"")</f>
        <v/>
      </c>
    </row>
    <row r="1054" spans="2:3" hidden="1" x14ac:dyDescent="0.25">
      <c r="B1054" s="55" t="str">
        <f>IF(A1054&lt;&gt;"",INDEX('Base de données'!A$4:L$990,MATCH(' TVA M'!A1054,'Base de données'!A$4:A$990,0),2),"")</f>
        <v/>
      </c>
      <c r="C1054" s="55" t="str">
        <f>IF(A1054&lt;&gt;"",INDEX('Base de données'!A$4:L$990,MATCH(' TVA M'!A1054,'Base de données'!A$4:A$990,0),12),"")</f>
        <v/>
      </c>
    </row>
    <row r="1055" spans="2:3" hidden="1" x14ac:dyDescent="0.25">
      <c r="B1055" s="55" t="str">
        <f>IF(A1055&lt;&gt;"",INDEX('Base de données'!A$4:L$990,MATCH(' TVA M'!A1055,'Base de données'!A$4:A$990,0),2),"")</f>
        <v/>
      </c>
      <c r="C1055" s="55" t="str">
        <f>IF(A1055&lt;&gt;"",INDEX('Base de données'!A$4:L$990,MATCH(' TVA M'!A1055,'Base de données'!A$4:A$990,0),12),"")</f>
        <v/>
      </c>
    </row>
    <row r="1056" spans="2:3" hidden="1" x14ac:dyDescent="0.25">
      <c r="B1056" s="55" t="str">
        <f>IF(A1056&lt;&gt;"",INDEX('Base de données'!A$4:L$990,MATCH(' TVA M'!A1056,'Base de données'!A$4:A$990,0),2),"")</f>
        <v/>
      </c>
      <c r="C1056" s="55" t="str">
        <f>IF(A1056&lt;&gt;"",INDEX('Base de données'!A$4:L$990,MATCH(' TVA M'!A1056,'Base de données'!A$4:A$990,0),12),"")</f>
        <v/>
      </c>
    </row>
    <row r="1057" spans="2:3" hidden="1" x14ac:dyDescent="0.25">
      <c r="B1057" s="55" t="str">
        <f>IF(A1057&lt;&gt;"",INDEX('Base de données'!A$4:L$990,MATCH(' TVA M'!A1057,'Base de données'!A$4:A$990,0),2),"")</f>
        <v/>
      </c>
      <c r="C1057" s="55" t="str">
        <f>IF(A1057&lt;&gt;"",INDEX('Base de données'!A$4:L$990,MATCH(' TVA M'!A1057,'Base de données'!A$4:A$990,0),12),"")</f>
        <v/>
      </c>
    </row>
    <row r="1058" spans="2:3" hidden="1" x14ac:dyDescent="0.25">
      <c r="B1058" s="55" t="str">
        <f>IF(A1058&lt;&gt;"",INDEX('Base de données'!A$4:L$990,MATCH(' TVA M'!A1058,'Base de données'!A$4:A$990,0),2),"")</f>
        <v/>
      </c>
      <c r="C1058" s="55" t="str">
        <f>IF(A1058&lt;&gt;"",INDEX('Base de données'!A$4:L$990,MATCH(' TVA M'!A1058,'Base de données'!A$4:A$990,0),12),"")</f>
        <v/>
      </c>
    </row>
    <row r="1059" spans="2:3" hidden="1" x14ac:dyDescent="0.25">
      <c r="B1059" s="55" t="str">
        <f>IF(A1059&lt;&gt;"",INDEX('Base de données'!A$4:L$990,MATCH(' TVA M'!A1059,'Base de données'!A$4:A$990,0),2),"")</f>
        <v/>
      </c>
      <c r="C1059" s="55" t="str">
        <f>IF(A1059&lt;&gt;"",INDEX('Base de données'!A$4:L$990,MATCH(' TVA M'!A1059,'Base de données'!A$4:A$990,0),12),"")</f>
        <v/>
      </c>
    </row>
    <row r="1060" spans="2:3" hidden="1" x14ac:dyDescent="0.25">
      <c r="B1060" s="55" t="str">
        <f>IF(A1060&lt;&gt;"",INDEX('Base de données'!A$4:L$990,MATCH(' TVA M'!A1060,'Base de données'!A$4:A$990,0),2),"")</f>
        <v/>
      </c>
      <c r="C1060" s="55" t="str">
        <f>IF(A1060&lt;&gt;"",INDEX('Base de données'!A$4:L$990,MATCH(' TVA M'!A1060,'Base de données'!A$4:A$990,0),12),"")</f>
        <v/>
      </c>
    </row>
    <row r="1061" spans="2:3" hidden="1" x14ac:dyDescent="0.25">
      <c r="B1061" s="55" t="str">
        <f>IF(A1061&lt;&gt;"",INDEX('Base de données'!A$4:L$990,MATCH(' TVA M'!A1061,'Base de données'!A$4:A$990,0),2),"")</f>
        <v/>
      </c>
      <c r="C1061" s="55" t="str">
        <f>IF(A1061&lt;&gt;"",INDEX('Base de données'!A$4:L$990,MATCH(' TVA M'!A1061,'Base de données'!A$4:A$990,0),12),"")</f>
        <v/>
      </c>
    </row>
    <row r="1062" spans="2:3" hidden="1" x14ac:dyDescent="0.25">
      <c r="B1062" s="55" t="str">
        <f>IF(A1062&lt;&gt;"",INDEX('Base de données'!A$4:L$990,MATCH(' TVA M'!A1062,'Base de données'!A$4:A$990,0),2),"")</f>
        <v/>
      </c>
      <c r="C1062" s="55" t="str">
        <f>IF(A1062&lt;&gt;"",INDEX('Base de données'!A$4:L$990,MATCH(' TVA M'!A1062,'Base de données'!A$4:A$990,0),12),"")</f>
        <v/>
      </c>
    </row>
    <row r="1063" spans="2:3" hidden="1" x14ac:dyDescent="0.25">
      <c r="B1063" s="55" t="str">
        <f>IF(A1063&lt;&gt;"",INDEX('Base de données'!A$4:L$990,MATCH(' TVA M'!A1063,'Base de données'!A$4:A$990,0),2),"")</f>
        <v/>
      </c>
      <c r="C1063" s="55" t="str">
        <f>IF(A1063&lt;&gt;"",INDEX('Base de données'!A$4:L$990,MATCH(' TVA M'!A1063,'Base de données'!A$4:A$990,0),12),"")</f>
        <v/>
      </c>
    </row>
    <row r="1064" spans="2:3" hidden="1" x14ac:dyDescent="0.25">
      <c r="B1064" s="55" t="str">
        <f>IF(A1064&lt;&gt;"",INDEX('Base de données'!A$4:L$990,MATCH(' TVA M'!A1064,'Base de données'!A$4:A$990,0),2),"")</f>
        <v/>
      </c>
      <c r="C1064" s="55" t="str">
        <f>IF(A1064&lt;&gt;"",INDEX('Base de données'!A$4:L$990,MATCH(' TVA M'!A1064,'Base de données'!A$4:A$990,0),12),"")</f>
        <v/>
      </c>
    </row>
    <row r="1065" spans="2:3" hidden="1" x14ac:dyDescent="0.25">
      <c r="B1065" s="55" t="str">
        <f>IF(A1065&lt;&gt;"",INDEX('Base de données'!A$4:L$990,MATCH(' TVA M'!A1065,'Base de données'!A$4:A$990,0),2),"")</f>
        <v/>
      </c>
      <c r="C1065" s="55" t="str">
        <f>IF(A1065&lt;&gt;"",INDEX('Base de données'!A$4:L$990,MATCH(' TVA M'!A1065,'Base de données'!A$4:A$990,0),12),"")</f>
        <v/>
      </c>
    </row>
    <row r="1066" spans="2:3" hidden="1" x14ac:dyDescent="0.25">
      <c r="B1066" s="55" t="str">
        <f>IF(A1066&lt;&gt;"",INDEX('Base de données'!A$4:L$990,MATCH(' TVA M'!A1066,'Base de données'!A$4:A$990,0),2),"")</f>
        <v/>
      </c>
      <c r="C1066" s="55" t="str">
        <f>IF(A1066&lt;&gt;"",INDEX('Base de données'!A$4:L$990,MATCH(' TVA M'!A1066,'Base de données'!A$4:A$990,0),12),"")</f>
        <v/>
      </c>
    </row>
    <row r="1067" spans="2:3" hidden="1" x14ac:dyDescent="0.25">
      <c r="B1067" s="55" t="str">
        <f>IF(A1067&lt;&gt;"",INDEX('Base de données'!A$4:L$990,MATCH(' TVA M'!A1067,'Base de données'!A$4:A$990,0),2),"")</f>
        <v/>
      </c>
      <c r="C1067" s="55" t="str">
        <f>IF(A1067&lt;&gt;"",INDEX('Base de données'!A$4:L$990,MATCH(' TVA M'!A1067,'Base de données'!A$4:A$990,0),12),"")</f>
        <v/>
      </c>
    </row>
    <row r="1068" spans="2:3" hidden="1" x14ac:dyDescent="0.25">
      <c r="B1068" s="55" t="str">
        <f>IF(A1068&lt;&gt;"",INDEX('Base de données'!A$4:L$990,MATCH(' TVA M'!A1068,'Base de données'!A$4:A$990,0),2),"")</f>
        <v/>
      </c>
      <c r="C1068" s="55" t="str">
        <f>IF(A1068&lt;&gt;"",INDEX('Base de données'!A$4:L$990,MATCH(' TVA M'!A1068,'Base de données'!A$4:A$990,0),12),"")</f>
        <v/>
      </c>
    </row>
    <row r="1069" spans="2:3" hidden="1" x14ac:dyDescent="0.25">
      <c r="B1069" s="55" t="str">
        <f>IF(A1069&lt;&gt;"",INDEX('Base de données'!A$4:L$990,MATCH(' TVA M'!A1069,'Base de données'!A$4:A$990,0),2),"")</f>
        <v/>
      </c>
      <c r="C1069" s="55" t="str">
        <f>IF(A1069&lt;&gt;"",INDEX('Base de données'!A$4:L$990,MATCH(' TVA M'!A1069,'Base de données'!A$4:A$990,0),12),"")</f>
        <v/>
      </c>
    </row>
    <row r="1070" spans="2:3" hidden="1" x14ac:dyDescent="0.25">
      <c r="B1070" s="55" t="str">
        <f>IF(A1070&lt;&gt;"",INDEX('Base de données'!A$4:L$990,MATCH(' TVA M'!A1070,'Base de données'!A$4:A$990,0),2),"")</f>
        <v/>
      </c>
      <c r="C1070" s="55" t="str">
        <f>IF(A1070&lt;&gt;"",INDEX('Base de données'!A$4:L$990,MATCH(' TVA M'!A1070,'Base de données'!A$4:A$990,0),12),"")</f>
        <v/>
      </c>
    </row>
    <row r="1071" spans="2:3" hidden="1" x14ac:dyDescent="0.25">
      <c r="B1071" s="55" t="str">
        <f>IF(A1071&lt;&gt;"",INDEX('Base de données'!A$4:L$990,MATCH(' TVA M'!A1071,'Base de données'!A$4:A$990,0),2),"")</f>
        <v/>
      </c>
      <c r="C1071" s="55" t="str">
        <f>IF(A1071&lt;&gt;"",INDEX('Base de données'!A$4:L$990,MATCH(' TVA M'!A1071,'Base de données'!A$4:A$990,0),12),"")</f>
        <v/>
      </c>
    </row>
    <row r="1072" spans="2:3" hidden="1" x14ac:dyDescent="0.25">
      <c r="B1072" s="55" t="str">
        <f>IF(A1072&lt;&gt;"",INDEX('Base de données'!A$4:L$990,MATCH(' TVA M'!A1072,'Base de données'!A$4:A$990,0),2),"")</f>
        <v/>
      </c>
      <c r="C1072" s="55" t="str">
        <f>IF(A1072&lt;&gt;"",INDEX('Base de données'!A$4:L$990,MATCH(' TVA M'!A1072,'Base de données'!A$4:A$990,0),12),"")</f>
        <v/>
      </c>
    </row>
    <row r="1073" spans="2:3" hidden="1" x14ac:dyDescent="0.25">
      <c r="B1073" s="55" t="str">
        <f>IF(A1073&lt;&gt;"",INDEX('Base de données'!A$4:L$990,MATCH(' TVA M'!A1073,'Base de données'!A$4:A$990,0),2),"")</f>
        <v/>
      </c>
      <c r="C1073" s="55" t="str">
        <f>IF(A1073&lt;&gt;"",INDEX('Base de données'!A$4:L$990,MATCH(' TVA M'!A1073,'Base de données'!A$4:A$990,0),12),"")</f>
        <v/>
      </c>
    </row>
    <row r="1074" spans="2:3" hidden="1" x14ac:dyDescent="0.25">
      <c r="B1074" s="55" t="str">
        <f>IF(A1074&lt;&gt;"",INDEX('Base de données'!A$4:L$990,MATCH(' TVA M'!A1074,'Base de données'!A$4:A$990,0),2),"")</f>
        <v/>
      </c>
      <c r="C1074" s="55" t="str">
        <f>IF(A1074&lt;&gt;"",INDEX('Base de données'!A$4:L$990,MATCH(' TVA M'!A1074,'Base de données'!A$4:A$990,0),12),"")</f>
        <v/>
      </c>
    </row>
    <row r="1075" spans="2:3" hidden="1" x14ac:dyDescent="0.25">
      <c r="B1075" s="55" t="str">
        <f>IF(A1075&lt;&gt;"",INDEX('Base de données'!A$4:L$990,MATCH(' TVA M'!A1075,'Base de données'!A$4:A$990,0),2),"")</f>
        <v/>
      </c>
      <c r="C1075" s="55" t="str">
        <f>IF(A1075&lt;&gt;"",INDEX('Base de données'!A$4:L$990,MATCH(' TVA M'!A1075,'Base de données'!A$4:A$990,0),12),"")</f>
        <v/>
      </c>
    </row>
    <row r="1076" spans="2:3" hidden="1" x14ac:dyDescent="0.25">
      <c r="B1076" s="55" t="str">
        <f>IF(A1076&lt;&gt;"",INDEX('Base de données'!A$4:L$990,MATCH(' TVA M'!A1076,'Base de données'!A$4:A$990,0),2),"")</f>
        <v/>
      </c>
      <c r="C1076" s="55" t="str">
        <f>IF(A1076&lt;&gt;"",INDEX('Base de données'!A$4:L$990,MATCH(' TVA M'!A1076,'Base de données'!A$4:A$990,0),12),"")</f>
        <v/>
      </c>
    </row>
    <row r="1077" spans="2:3" hidden="1" x14ac:dyDescent="0.25">
      <c r="B1077" s="55" t="str">
        <f>IF(A1077&lt;&gt;"",INDEX('Base de données'!A$4:L$990,MATCH(' TVA M'!A1077,'Base de données'!A$4:A$990,0),2),"")</f>
        <v/>
      </c>
      <c r="C1077" s="55" t="str">
        <f>IF(A1077&lt;&gt;"",INDEX('Base de données'!A$4:L$990,MATCH(' TVA M'!A1077,'Base de données'!A$4:A$990,0),12),"")</f>
        <v/>
      </c>
    </row>
    <row r="1078" spans="2:3" hidden="1" x14ac:dyDescent="0.25">
      <c r="B1078" s="55" t="str">
        <f>IF(A1078&lt;&gt;"",INDEX('Base de données'!A$4:L$990,MATCH(' TVA M'!A1078,'Base de données'!A$4:A$990,0),2),"")</f>
        <v/>
      </c>
      <c r="C1078" s="55" t="str">
        <f>IF(A1078&lt;&gt;"",INDEX('Base de données'!A$4:L$990,MATCH(' TVA M'!A1078,'Base de données'!A$4:A$990,0),12),"")</f>
        <v/>
      </c>
    </row>
    <row r="1079" spans="2:3" hidden="1" x14ac:dyDescent="0.25">
      <c r="B1079" s="55" t="str">
        <f>IF(A1079&lt;&gt;"",INDEX('Base de données'!A$4:L$990,MATCH(' TVA M'!A1079,'Base de données'!A$4:A$990,0),2),"")</f>
        <v/>
      </c>
      <c r="C1079" s="55" t="str">
        <f>IF(A1079&lt;&gt;"",INDEX('Base de données'!A$4:L$990,MATCH(' TVA M'!A1079,'Base de données'!A$4:A$990,0),12),"")</f>
        <v/>
      </c>
    </row>
    <row r="1080" spans="2:3" hidden="1" x14ac:dyDescent="0.25">
      <c r="B1080" s="55" t="str">
        <f>IF(A1080&lt;&gt;"",INDEX('Base de données'!A$4:L$990,MATCH(' TVA M'!A1080,'Base de données'!A$4:A$990,0),2),"")</f>
        <v/>
      </c>
      <c r="C1080" s="55" t="str">
        <f>IF(A1080&lt;&gt;"",INDEX('Base de données'!A$4:L$990,MATCH(' TVA M'!A1080,'Base de données'!A$4:A$990,0),12),"")</f>
        <v/>
      </c>
    </row>
    <row r="1081" spans="2:3" hidden="1" x14ac:dyDescent="0.25">
      <c r="B1081" s="55" t="str">
        <f>IF(A1081&lt;&gt;"",INDEX('Base de données'!A$4:L$990,MATCH(' TVA M'!A1081,'Base de données'!A$4:A$990,0),2),"")</f>
        <v/>
      </c>
      <c r="C1081" s="55" t="str">
        <f>IF(A1081&lt;&gt;"",INDEX('Base de données'!A$4:L$990,MATCH(' TVA M'!A1081,'Base de données'!A$4:A$990,0),12),"")</f>
        <v/>
      </c>
    </row>
    <row r="1082" spans="2:3" hidden="1" x14ac:dyDescent="0.25">
      <c r="B1082" s="55" t="str">
        <f>IF(A1082&lt;&gt;"",INDEX('Base de données'!A$4:L$990,MATCH(' TVA M'!A1082,'Base de données'!A$4:A$990,0),2),"")</f>
        <v/>
      </c>
      <c r="C1082" s="55" t="str">
        <f>IF(A1082&lt;&gt;"",INDEX('Base de données'!A$4:L$990,MATCH(' TVA M'!A1082,'Base de données'!A$4:A$990,0),12),"")</f>
        <v/>
      </c>
    </row>
    <row r="1083" spans="2:3" hidden="1" x14ac:dyDescent="0.25">
      <c r="B1083" s="55" t="str">
        <f>IF(A1083&lt;&gt;"",INDEX('Base de données'!A$4:L$990,MATCH(' TVA M'!A1083,'Base de données'!A$4:A$990,0),2),"")</f>
        <v/>
      </c>
      <c r="C1083" s="55" t="str">
        <f>IF(A1083&lt;&gt;"",INDEX('Base de données'!A$4:L$990,MATCH(' TVA M'!A1083,'Base de données'!A$4:A$990,0),12),"")</f>
        <v/>
      </c>
    </row>
    <row r="1084" spans="2:3" hidden="1" x14ac:dyDescent="0.25">
      <c r="B1084" s="55" t="str">
        <f>IF(A1084&lt;&gt;"",INDEX('Base de données'!A$4:L$990,MATCH(' TVA M'!A1084,'Base de données'!A$4:A$990,0),2),"")</f>
        <v/>
      </c>
      <c r="C1084" s="55" t="str">
        <f>IF(A1084&lt;&gt;"",INDEX('Base de données'!A$4:L$990,MATCH(' TVA M'!A1084,'Base de données'!A$4:A$990,0),12),"")</f>
        <v/>
      </c>
    </row>
    <row r="1085" spans="2:3" hidden="1" x14ac:dyDescent="0.25">
      <c r="B1085" s="55" t="str">
        <f>IF(A1085&lt;&gt;"",INDEX('Base de données'!A$4:L$990,MATCH(' TVA M'!A1085,'Base de données'!A$4:A$990,0),2),"")</f>
        <v/>
      </c>
      <c r="C1085" s="55" t="str">
        <f>IF(A1085&lt;&gt;"",INDEX('Base de données'!A$4:L$990,MATCH(' TVA M'!A1085,'Base de données'!A$4:A$990,0),12),"")</f>
        <v/>
      </c>
    </row>
    <row r="1086" spans="2:3" hidden="1" x14ac:dyDescent="0.25">
      <c r="B1086" s="55" t="str">
        <f>IF(A1086&lt;&gt;"",INDEX('Base de données'!A$4:L$990,MATCH(' TVA M'!A1086,'Base de données'!A$4:A$990,0),2),"")</f>
        <v/>
      </c>
      <c r="C1086" s="55" t="str">
        <f>IF(A1086&lt;&gt;"",INDEX('Base de données'!A$4:L$990,MATCH(' TVA M'!A1086,'Base de données'!A$4:A$990,0),12),"")</f>
        <v/>
      </c>
    </row>
    <row r="1087" spans="2:3" hidden="1" x14ac:dyDescent="0.25">
      <c r="B1087" s="55" t="str">
        <f>IF(A1087&lt;&gt;"",INDEX('Base de données'!A$4:L$990,MATCH(' TVA M'!A1087,'Base de données'!A$4:A$990,0),2),"")</f>
        <v/>
      </c>
      <c r="C1087" s="55" t="str">
        <f>IF(A1087&lt;&gt;"",INDEX('Base de données'!A$4:L$990,MATCH(' TVA M'!A1087,'Base de données'!A$4:A$990,0),12),"")</f>
        <v/>
      </c>
    </row>
    <row r="1088" spans="2:3" hidden="1" x14ac:dyDescent="0.25">
      <c r="B1088" s="55" t="str">
        <f>IF(A1088&lt;&gt;"",INDEX('Base de données'!A$4:L$990,MATCH(' TVA M'!A1088,'Base de données'!A$4:A$990,0),2),"")</f>
        <v/>
      </c>
      <c r="C1088" s="55" t="str">
        <f>IF(A1088&lt;&gt;"",INDEX('Base de données'!A$4:L$990,MATCH(' TVA M'!A1088,'Base de données'!A$4:A$990,0),12),"")</f>
        <v/>
      </c>
    </row>
    <row r="1089" spans="2:3" hidden="1" x14ac:dyDescent="0.25">
      <c r="B1089" s="55" t="str">
        <f>IF(A1089&lt;&gt;"",INDEX('Base de données'!A$4:L$990,MATCH(' TVA M'!A1089,'Base de données'!A$4:A$990,0),2),"")</f>
        <v/>
      </c>
      <c r="C1089" s="55" t="str">
        <f>IF(A1089&lt;&gt;"",INDEX('Base de données'!A$4:L$990,MATCH(' TVA M'!A1089,'Base de données'!A$4:A$990,0),12),"")</f>
        <v/>
      </c>
    </row>
    <row r="1090" spans="2:3" hidden="1" x14ac:dyDescent="0.25">
      <c r="B1090" s="55" t="str">
        <f>IF(A1090&lt;&gt;"",INDEX('Base de données'!A$4:L$990,MATCH(' TVA M'!A1090,'Base de données'!A$4:A$990,0),2),"")</f>
        <v/>
      </c>
      <c r="C1090" s="55" t="str">
        <f>IF(A1090&lt;&gt;"",INDEX('Base de données'!A$4:L$990,MATCH(' TVA M'!A1090,'Base de données'!A$4:A$990,0),12),"")</f>
        <v/>
      </c>
    </row>
    <row r="1091" spans="2:3" hidden="1" x14ac:dyDescent="0.25">
      <c r="B1091" s="55" t="str">
        <f>IF(A1091&lt;&gt;"",INDEX('Base de données'!A$4:L$990,MATCH(' TVA M'!A1091,'Base de données'!A$4:A$990,0),2),"")</f>
        <v/>
      </c>
      <c r="C1091" s="55" t="str">
        <f>IF(A1091&lt;&gt;"",INDEX('Base de données'!A$4:L$990,MATCH(' TVA M'!A1091,'Base de données'!A$4:A$990,0),12),"")</f>
        <v/>
      </c>
    </row>
    <row r="1092" spans="2:3" hidden="1" x14ac:dyDescent="0.25">
      <c r="B1092" s="55" t="str">
        <f>IF(A1092&lt;&gt;"",INDEX('Base de données'!A$4:L$990,MATCH(' TVA M'!A1092,'Base de données'!A$4:A$990,0),2),"")</f>
        <v/>
      </c>
      <c r="C1092" s="55" t="str">
        <f>IF(A1092&lt;&gt;"",INDEX('Base de données'!A$4:L$990,MATCH(' TVA M'!A1092,'Base de données'!A$4:A$990,0),12),"")</f>
        <v/>
      </c>
    </row>
    <row r="1093" spans="2:3" hidden="1" x14ac:dyDescent="0.25">
      <c r="B1093" s="55" t="str">
        <f>IF(A1093&lt;&gt;"",INDEX('Base de données'!A$4:L$990,MATCH(' TVA M'!A1093,'Base de données'!A$4:A$990,0),2),"")</f>
        <v/>
      </c>
      <c r="C1093" s="55" t="str">
        <f>IF(A1093&lt;&gt;"",INDEX('Base de données'!A$4:L$990,MATCH(' TVA M'!A1093,'Base de données'!A$4:A$990,0),12),"")</f>
        <v/>
      </c>
    </row>
    <row r="1094" spans="2:3" hidden="1" x14ac:dyDescent="0.25">
      <c r="B1094" s="55" t="str">
        <f>IF(A1094&lt;&gt;"",INDEX('Base de données'!A$4:L$990,MATCH(' TVA M'!A1094,'Base de données'!A$4:A$990,0),2),"")</f>
        <v/>
      </c>
      <c r="C1094" s="55" t="str">
        <f>IF(A1094&lt;&gt;"",INDEX('Base de données'!A$4:L$990,MATCH(' TVA M'!A1094,'Base de données'!A$4:A$990,0),12),"")</f>
        <v/>
      </c>
    </row>
    <row r="1095" spans="2:3" hidden="1" x14ac:dyDescent="0.25">
      <c r="B1095" s="55" t="str">
        <f>IF(A1095&lt;&gt;"",INDEX('Base de données'!A$4:L$990,MATCH(' TVA M'!A1095,'Base de données'!A$4:A$990,0),2),"")</f>
        <v/>
      </c>
      <c r="C1095" s="55" t="str">
        <f>IF(A1095&lt;&gt;"",INDEX('Base de données'!A$4:L$990,MATCH(' TVA M'!A1095,'Base de données'!A$4:A$990,0),12),"")</f>
        <v/>
      </c>
    </row>
    <row r="1096" spans="2:3" hidden="1" x14ac:dyDescent="0.25">
      <c r="B1096" s="55" t="str">
        <f>IF(A1096&lt;&gt;"",INDEX('Base de données'!A$4:L$990,MATCH(' TVA M'!A1096,'Base de données'!A$4:A$990,0),2),"")</f>
        <v/>
      </c>
      <c r="C1096" s="55" t="str">
        <f>IF(A1096&lt;&gt;"",INDEX('Base de données'!A$4:L$990,MATCH(' TVA M'!A1096,'Base de données'!A$4:A$990,0),12),"")</f>
        <v/>
      </c>
    </row>
    <row r="1097" spans="2:3" hidden="1" x14ac:dyDescent="0.25">
      <c r="B1097" s="55" t="str">
        <f>IF(A1097&lt;&gt;"",INDEX('Base de données'!A$4:L$990,MATCH(' TVA M'!A1097,'Base de données'!A$4:A$990,0),2),"")</f>
        <v/>
      </c>
      <c r="C1097" s="55" t="str">
        <f>IF(A1097&lt;&gt;"",INDEX('Base de données'!A$4:L$990,MATCH(' TVA M'!A1097,'Base de données'!A$4:A$990,0),12),"")</f>
        <v/>
      </c>
    </row>
    <row r="1098" spans="2:3" hidden="1" x14ac:dyDescent="0.25">
      <c r="B1098" s="55" t="str">
        <f>IF(A1098&lt;&gt;"",INDEX('Base de données'!A$4:L$990,MATCH(' TVA M'!A1098,'Base de données'!A$4:A$990,0),2),"")</f>
        <v/>
      </c>
      <c r="C1098" s="55" t="str">
        <f>IF(A1098&lt;&gt;"",INDEX('Base de données'!A$4:L$990,MATCH(' TVA M'!A1098,'Base de données'!A$4:A$990,0),12),"")</f>
        <v/>
      </c>
    </row>
    <row r="1099" spans="2:3" hidden="1" x14ac:dyDescent="0.25">
      <c r="B1099" s="55" t="str">
        <f>IF(A1099&lt;&gt;"",INDEX('Base de données'!A$4:L$990,MATCH(' TVA M'!A1099,'Base de données'!A$4:A$990,0),2),"")</f>
        <v/>
      </c>
      <c r="C1099" s="55" t="str">
        <f>IF(A1099&lt;&gt;"",INDEX('Base de données'!A$4:L$990,MATCH(' TVA M'!A1099,'Base de données'!A$4:A$990,0),12),"")</f>
        <v/>
      </c>
    </row>
    <row r="1100" spans="2:3" hidden="1" x14ac:dyDescent="0.25">
      <c r="B1100" s="55" t="str">
        <f>IF(A1100&lt;&gt;"",INDEX('Base de données'!A$4:L$990,MATCH(' TVA M'!A1100,'Base de données'!A$4:A$990,0),2),"")</f>
        <v/>
      </c>
      <c r="C1100" s="55" t="str">
        <f>IF(A1100&lt;&gt;"",INDEX('Base de données'!A$4:L$990,MATCH(' TVA M'!A1100,'Base de données'!A$4:A$990,0),12),"")</f>
        <v/>
      </c>
    </row>
    <row r="1101" spans="2:3" hidden="1" x14ac:dyDescent="0.25">
      <c r="B1101" s="55" t="str">
        <f>IF(A1101&lt;&gt;"",INDEX('Base de données'!A$4:L$990,MATCH(' TVA M'!A1101,'Base de données'!A$4:A$990,0),2),"")</f>
        <v/>
      </c>
      <c r="C1101" s="55" t="str">
        <f>IF(A1101&lt;&gt;"",INDEX('Base de données'!A$4:L$990,MATCH(' TVA M'!A1101,'Base de données'!A$4:A$990,0),12),"")</f>
        <v/>
      </c>
    </row>
    <row r="1102" spans="2:3" hidden="1" x14ac:dyDescent="0.25">
      <c r="B1102" s="55" t="str">
        <f>IF(A1102&lt;&gt;"",INDEX('Base de données'!A$4:L$990,MATCH(' TVA M'!A1102,'Base de données'!A$4:A$990,0),2),"")</f>
        <v/>
      </c>
      <c r="C1102" s="55" t="str">
        <f>IF(A1102&lt;&gt;"",INDEX('Base de données'!A$4:L$990,MATCH(' TVA M'!A1102,'Base de données'!A$4:A$990,0),12),"")</f>
        <v/>
      </c>
    </row>
    <row r="1103" spans="2:3" hidden="1" x14ac:dyDescent="0.25">
      <c r="B1103" s="55" t="str">
        <f>IF(A1103&lt;&gt;"",INDEX('Base de données'!A$4:L$990,MATCH(' TVA M'!A1103,'Base de données'!A$4:A$990,0),2),"")</f>
        <v/>
      </c>
      <c r="C1103" s="55" t="str">
        <f>IF(A1103&lt;&gt;"",INDEX('Base de données'!A$4:L$990,MATCH(' TVA M'!A1103,'Base de données'!A$4:A$990,0),12),"")</f>
        <v/>
      </c>
    </row>
    <row r="1104" spans="2:3" hidden="1" x14ac:dyDescent="0.25">
      <c r="B1104" s="55" t="str">
        <f>IF(A1104&lt;&gt;"",INDEX('Base de données'!A$4:L$990,MATCH(' TVA M'!A1104,'Base de données'!A$4:A$990,0),2),"")</f>
        <v/>
      </c>
      <c r="C1104" s="55" t="str">
        <f>IF(A1104&lt;&gt;"",INDEX('Base de données'!A$4:L$990,MATCH(' TVA M'!A1104,'Base de données'!A$4:A$990,0),12),"")</f>
        <v/>
      </c>
    </row>
    <row r="1105" spans="2:3" hidden="1" x14ac:dyDescent="0.25">
      <c r="B1105" s="55" t="str">
        <f>IF(A1105&lt;&gt;"",INDEX('Base de données'!A$4:L$990,MATCH(' TVA M'!A1105,'Base de données'!A$4:A$990,0),2),"")</f>
        <v/>
      </c>
      <c r="C1105" s="55" t="str">
        <f>IF(A1105&lt;&gt;"",INDEX('Base de données'!A$4:L$990,MATCH(' TVA M'!A1105,'Base de données'!A$4:A$990,0),12),"")</f>
        <v/>
      </c>
    </row>
    <row r="1106" spans="2:3" hidden="1" x14ac:dyDescent="0.25">
      <c r="B1106" s="55" t="str">
        <f>IF(A1106&lt;&gt;"",INDEX('Base de données'!A$4:L$990,MATCH(' TVA M'!A1106,'Base de données'!A$4:A$990,0),2),"")</f>
        <v/>
      </c>
      <c r="C1106" s="55" t="str">
        <f>IF(A1106&lt;&gt;"",INDEX('Base de données'!A$4:L$990,MATCH(' TVA M'!A1106,'Base de données'!A$4:A$990,0),12),"")</f>
        <v/>
      </c>
    </row>
    <row r="1107" spans="2:3" hidden="1" x14ac:dyDescent="0.25">
      <c r="B1107" s="55" t="str">
        <f>IF(A1107&lt;&gt;"",INDEX('Base de données'!A$4:L$990,MATCH(' TVA M'!A1107,'Base de données'!A$4:A$990,0),2),"")</f>
        <v/>
      </c>
      <c r="C1107" s="55" t="str">
        <f>IF(A1107&lt;&gt;"",INDEX('Base de données'!A$4:L$990,MATCH(' TVA M'!A1107,'Base de données'!A$4:A$990,0),12),"")</f>
        <v/>
      </c>
    </row>
    <row r="1108" spans="2:3" hidden="1" x14ac:dyDescent="0.25">
      <c r="B1108" s="55" t="str">
        <f>IF(A1108&lt;&gt;"",INDEX('Base de données'!A$4:L$990,MATCH(' TVA M'!A1108,'Base de données'!A$4:A$990,0),2),"")</f>
        <v/>
      </c>
      <c r="C1108" s="55" t="str">
        <f>IF(A1108&lt;&gt;"",INDEX('Base de données'!A$4:L$990,MATCH(' TVA M'!A1108,'Base de données'!A$4:A$990,0),12),"")</f>
        <v/>
      </c>
    </row>
    <row r="1109" spans="2:3" hidden="1" x14ac:dyDescent="0.25">
      <c r="B1109" s="55" t="str">
        <f>IF(A1109&lt;&gt;"",INDEX('Base de données'!A$4:L$990,MATCH(' TVA M'!A1109,'Base de données'!A$4:A$990,0),2),"")</f>
        <v/>
      </c>
      <c r="C1109" s="55" t="str">
        <f>IF(A1109&lt;&gt;"",INDEX('Base de données'!A$4:L$990,MATCH(' TVA M'!A1109,'Base de données'!A$4:A$990,0),12),"")</f>
        <v/>
      </c>
    </row>
    <row r="1110" spans="2:3" hidden="1" x14ac:dyDescent="0.25">
      <c r="B1110" s="55" t="str">
        <f>IF(A1110&lt;&gt;"",INDEX('Base de données'!A$4:L$990,MATCH(' TVA M'!A1110,'Base de données'!A$4:A$990,0),2),"")</f>
        <v/>
      </c>
      <c r="C1110" s="55" t="str">
        <f>IF(A1110&lt;&gt;"",INDEX('Base de données'!A$4:L$990,MATCH(' TVA M'!A1110,'Base de données'!A$4:A$990,0),12),"")</f>
        <v/>
      </c>
    </row>
    <row r="1111" spans="2:3" hidden="1" x14ac:dyDescent="0.25">
      <c r="B1111" s="55" t="str">
        <f>IF(A1111&lt;&gt;"",INDEX('Base de données'!A$4:L$990,MATCH(' TVA M'!A1111,'Base de données'!A$4:A$990,0),2),"")</f>
        <v/>
      </c>
      <c r="C1111" s="55" t="str">
        <f>IF(A1111&lt;&gt;"",INDEX('Base de données'!A$4:L$990,MATCH(' TVA M'!A1111,'Base de données'!A$4:A$990,0),12),"")</f>
        <v/>
      </c>
    </row>
    <row r="1112" spans="2:3" hidden="1" x14ac:dyDescent="0.25">
      <c r="B1112" s="55" t="str">
        <f>IF(A1112&lt;&gt;"",INDEX('Base de données'!A$4:L$990,MATCH(' TVA M'!A1112,'Base de données'!A$4:A$990,0),2),"")</f>
        <v/>
      </c>
      <c r="C1112" s="55" t="str">
        <f>IF(A1112&lt;&gt;"",INDEX('Base de données'!A$4:L$990,MATCH(' TVA M'!A1112,'Base de données'!A$4:A$990,0),12),"")</f>
        <v/>
      </c>
    </row>
    <row r="1113" spans="2:3" hidden="1" x14ac:dyDescent="0.25">
      <c r="B1113" s="55" t="str">
        <f>IF(A1113&lt;&gt;"",INDEX('Base de données'!A$4:L$990,MATCH(' TVA M'!A1113,'Base de données'!A$4:A$990,0),2),"")</f>
        <v/>
      </c>
      <c r="C1113" s="55" t="str">
        <f>IF(A1113&lt;&gt;"",INDEX('Base de données'!A$4:L$990,MATCH(' TVA M'!A1113,'Base de données'!A$4:A$990,0),12),"")</f>
        <v/>
      </c>
    </row>
    <row r="1114" spans="2:3" hidden="1" x14ac:dyDescent="0.25">
      <c r="B1114" s="55" t="str">
        <f>IF(A1114&lt;&gt;"",INDEX('Base de données'!A$4:L$990,MATCH(' TVA M'!A1114,'Base de données'!A$4:A$990,0),2),"")</f>
        <v/>
      </c>
      <c r="C1114" s="55" t="str">
        <f>IF(A1114&lt;&gt;"",INDEX('Base de données'!A$4:L$990,MATCH(' TVA M'!A1114,'Base de données'!A$4:A$990,0),12),"")</f>
        <v/>
      </c>
    </row>
    <row r="1115" spans="2:3" hidden="1" x14ac:dyDescent="0.25">
      <c r="B1115" s="55" t="str">
        <f>IF(A1115&lt;&gt;"",INDEX('Base de données'!A$4:L$990,MATCH(' TVA M'!A1115,'Base de données'!A$4:A$990,0),2),"")</f>
        <v/>
      </c>
      <c r="C1115" s="55" t="str">
        <f>IF(A1115&lt;&gt;"",INDEX('Base de données'!A$4:L$990,MATCH(' TVA M'!A1115,'Base de données'!A$4:A$990,0),12),"")</f>
        <v/>
      </c>
    </row>
    <row r="1116" spans="2:3" hidden="1" x14ac:dyDescent="0.25">
      <c r="B1116" s="55" t="str">
        <f>IF(A1116&lt;&gt;"",INDEX('Base de données'!A$4:L$990,MATCH(' TVA M'!A1116,'Base de données'!A$4:A$990,0),2),"")</f>
        <v/>
      </c>
      <c r="C1116" s="55" t="str">
        <f>IF(A1116&lt;&gt;"",INDEX('Base de données'!A$4:L$990,MATCH(' TVA M'!A1116,'Base de données'!A$4:A$990,0),12),"")</f>
        <v/>
      </c>
    </row>
    <row r="1117" spans="2:3" hidden="1" x14ac:dyDescent="0.25">
      <c r="B1117" s="55" t="str">
        <f>IF(A1117&lt;&gt;"",INDEX('Base de données'!A$4:L$990,MATCH(' TVA M'!A1117,'Base de données'!A$4:A$990,0),2),"")</f>
        <v/>
      </c>
      <c r="C1117" s="55" t="str">
        <f>IF(A1117&lt;&gt;"",INDEX('Base de données'!A$4:L$990,MATCH(' TVA M'!A1117,'Base de données'!A$4:A$990,0),12),"")</f>
        <v/>
      </c>
    </row>
    <row r="1118" spans="2:3" hidden="1" x14ac:dyDescent="0.25">
      <c r="B1118" s="55" t="str">
        <f>IF(A1118&lt;&gt;"",INDEX('Base de données'!A$4:L$990,MATCH(' TVA M'!A1118,'Base de données'!A$4:A$990,0),2),"")</f>
        <v/>
      </c>
      <c r="C1118" s="55" t="str">
        <f>IF(A1118&lt;&gt;"",INDEX('Base de données'!A$4:L$990,MATCH(' TVA M'!A1118,'Base de données'!A$4:A$990,0),12),"")</f>
        <v/>
      </c>
    </row>
    <row r="1119" spans="2:3" hidden="1" x14ac:dyDescent="0.25">
      <c r="B1119" s="55" t="str">
        <f>IF(A1119&lt;&gt;"",INDEX('Base de données'!A$4:L$990,MATCH(' TVA M'!A1119,'Base de données'!A$4:A$990,0),2),"")</f>
        <v/>
      </c>
      <c r="C1119" s="55" t="str">
        <f>IF(A1119&lt;&gt;"",INDEX('Base de données'!A$4:L$990,MATCH(' TVA M'!A1119,'Base de données'!A$4:A$990,0),12),"")</f>
        <v/>
      </c>
    </row>
    <row r="1120" spans="2:3" hidden="1" x14ac:dyDescent="0.25">
      <c r="B1120" s="55" t="str">
        <f>IF(A1120&lt;&gt;"",INDEX('Base de données'!A$4:L$990,MATCH(' TVA M'!A1120,'Base de données'!A$4:A$990,0),2),"")</f>
        <v/>
      </c>
      <c r="C1120" s="55" t="str">
        <f>IF(A1120&lt;&gt;"",INDEX('Base de données'!A$4:L$990,MATCH(' TVA M'!A1120,'Base de données'!A$4:A$990,0),12),"")</f>
        <v/>
      </c>
    </row>
    <row r="1121" spans="2:3" hidden="1" x14ac:dyDescent="0.25">
      <c r="B1121" s="55" t="str">
        <f>IF(A1121&lt;&gt;"",INDEX('Base de données'!A$4:L$990,MATCH(' TVA M'!A1121,'Base de données'!A$4:A$990,0),2),"")</f>
        <v/>
      </c>
      <c r="C1121" s="55" t="str">
        <f>IF(A1121&lt;&gt;"",INDEX('Base de données'!A$4:L$990,MATCH(' TVA M'!A1121,'Base de données'!A$4:A$990,0),12),"")</f>
        <v/>
      </c>
    </row>
    <row r="1122" spans="2:3" hidden="1" x14ac:dyDescent="0.25">
      <c r="B1122" s="55" t="str">
        <f>IF(A1122&lt;&gt;"",INDEX('Base de données'!A$4:L$990,MATCH(' TVA M'!A1122,'Base de données'!A$4:A$990,0),2),"")</f>
        <v/>
      </c>
      <c r="C1122" s="55" t="str">
        <f>IF(A1122&lt;&gt;"",INDEX('Base de données'!A$4:L$990,MATCH(' TVA M'!A1122,'Base de données'!A$4:A$990,0),12),"")</f>
        <v/>
      </c>
    </row>
    <row r="1123" spans="2:3" hidden="1" x14ac:dyDescent="0.25">
      <c r="B1123" s="55" t="str">
        <f>IF(A1123&lt;&gt;"",INDEX('Base de données'!A$4:L$990,MATCH(' TVA M'!A1123,'Base de données'!A$4:A$990,0),2),"")</f>
        <v/>
      </c>
      <c r="C1123" s="55" t="str">
        <f>IF(A1123&lt;&gt;"",INDEX('Base de données'!A$4:L$990,MATCH(' TVA M'!A1123,'Base de données'!A$4:A$990,0),12),"")</f>
        <v/>
      </c>
    </row>
    <row r="1124" spans="2:3" hidden="1" x14ac:dyDescent="0.25">
      <c r="B1124" s="55" t="str">
        <f>IF(A1124&lt;&gt;"",INDEX('Base de données'!A$4:L$990,MATCH(' TVA M'!A1124,'Base de données'!A$4:A$990,0),2),"")</f>
        <v/>
      </c>
      <c r="C1124" s="55" t="str">
        <f>IF(A1124&lt;&gt;"",INDEX('Base de données'!A$4:L$990,MATCH(' TVA M'!A1124,'Base de données'!A$4:A$990,0),12),"")</f>
        <v/>
      </c>
    </row>
    <row r="1125" spans="2:3" hidden="1" x14ac:dyDescent="0.25">
      <c r="B1125" s="55" t="str">
        <f>IF(A1125&lt;&gt;"",INDEX('Base de données'!A$4:L$990,MATCH(' TVA M'!A1125,'Base de données'!A$4:A$990,0),2),"")</f>
        <v/>
      </c>
      <c r="C1125" s="55" t="str">
        <f>IF(A1125&lt;&gt;"",INDEX('Base de données'!A$4:L$990,MATCH(' TVA M'!A1125,'Base de données'!A$4:A$990,0),12),"")</f>
        <v/>
      </c>
    </row>
    <row r="1126" spans="2:3" hidden="1" x14ac:dyDescent="0.25">
      <c r="B1126" s="55" t="str">
        <f>IF(A1126&lt;&gt;"",INDEX('Base de données'!A$4:L$990,MATCH(' TVA M'!A1126,'Base de données'!A$4:A$990,0),2),"")</f>
        <v/>
      </c>
      <c r="C1126" s="55" t="str">
        <f>IF(A1126&lt;&gt;"",INDEX('Base de données'!A$4:L$990,MATCH(' TVA M'!A1126,'Base de données'!A$4:A$990,0),12),"")</f>
        <v/>
      </c>
    </row>
    <row r="1127" spans="2:3" hidden="1" x14ac:dyDescent="0.25">
      <c r="B1127" s="55" t="str">
        <f>IF(A1127&lt;&gt;"",INDEX('Base de données'!A$4:L$990,MATCH(' TVA M'!A1127,'Base de données'!A$4:A$990,0),2),"")</f>
        <v/>
      </c>
      <c r="C1127" s="55" t="str">
        <f>IF(A1127&lt;&gt;"",INDEX('Base de données'!A$4:L$990,MATCH(' TVA M'!A1127,'Base de données'!A$4:A$990,0),12),"")</f>
        <v/>
      </c>
    </row>
    <row r="1128" spans="2:3" hidden="1" x14ac:dyDescent="0.25">
      <c r="B1128" s="55" t="str">
        <f>IF(A1128&lt;&gt;"",INDEX('Base de données'!A$4:L$990,MATCH(' TVA M'!A1128,'Base de données'!A$4:A$990,0),2),"")</f>
        <v/>
      </c>
      <c r="C1128" s="55" t="str">
        <f>IF(A1128&lt;&gt;"",INDEX('Base de données'!A$4:L$990,MATCH(' TVA M'!A1128,'Base de données'!A$4:A$990,0),12),"")</f>
        <v/>
      </c>
    </row>
    <row r="1129" spans="2:3" hidden="1" x14ac:dyDescent="0.25">
      <c r="B1129" s="55" t="str">
        <f>IF(A1129&lt;&gt;"",INDEX('Base de données'!A$4:L$990,MATCH(' TVA M'!A1129,'Base de données'!A$4:A$990,0),2),"")</f>
        <v/>
      </c>
      <c r="C1129" s="55" t="str">
        <f>IF(A1129&lt;&gt;"",INDEX('Base de données'!A$4:L$990,MATCH(' TVA M'!A1129,'Base de données'!A$4:A$990,0),12),"")</f>
        <v/>
      </c>
    </row>
    <row r="1130" spans="2:3" hidden="1" x14ac:dyDescent="0.25">
      <c r="B1130" s="55" t="str">
        <f>IF(A1130&lt;&gt;"",INDEX('Base de données'!A$4:L$990,MATCH(' TVA M'!A1130,'Base de données'!A$4:A$990,0),2),"")</f>
        <v/>
      </c>
      <c r="C1130" s="55" t="str">
        <f>IF(A1130&lt;&gt;"",INDEX('Base de données'!A$4:L$990,MATCH(' TVA M'!A1130,'Base de données'!A$4:A$990,0),12),"")</f>
        <v/>
      </c>
    </row>
    <row r="1131" spans="2:3" hidden="1" x14ac:dyDescent="0.25">
      <c r="B1131" s="55" t="str">
        <f>IF(A1131&lt;&gt;"",INDEX('Base de données'!A$4:L$990,MATCH(' TVA M'!A1131,'Base de données'!A$4:A$990,0),2),"")</f>
        <v/>
      </c>
      <c r="C1131" s="55" t="str">
        <f>IF(A1131&lt;&gt;"",INDEX('Base de données'!A$4:L$990,MATCH(' TVA M'!A1131,'Base de données'!A$4:A$990,0),12),"")</f>
        <v/>
      </c>
    </row>
    <row r="1132" spans="2:3" hidden="1" x14ac:dyDescent="0.25">
      <c r="B1132" s="55" t="str">
        <f>IF(A1132&lt;&gt;"",INDEX('Base de données'!A$4:L$990,MATCH(' TVA M'!A1132,'Base de données'!A$4:A$990,0),2),"")</f>
        <v/>
      </c>
      <c r="C1132" s="55" t="str">
        <f>IF(A1132&lt;&gt;"",INDEX('Base de données'!A$4:L$990,MATCH(' TVA M'!A1132,'Base de données'!A$4:A$990,0),12),"")</f>
        <v/>
      </c>
    </row>
    <row r="1133" spans="2:3" hidden="1" x14ac:dyDescent="0.25">
      <c r="B1133" s="55" t="str">
        <f>IF(A1133&lt;&gt;"",INDEX('Base de données'!A$4:L$990,MATCH(' TVA M'!A1133,'Base de données'!A$4:A$990,0),2),"")</f>
        <v/>
      </c>
      <c r="C1133" s="55" t="str">
        <f>IF(A1133&lt;&gt;"",INDEX('Base de données'!A$4:L$990,MATCH(' TVA M'!A1133,'Base de données'!A$4:A$990,0),12),"")</f>
        <v/>
      </c>
    </row>
    <row r="1134" spans="2:3" hidden="1" x14ac:dyDescent="0.25">
      <c r="B1134" s="55" t="str">
        <f>IF(A1134&lt;&gt;"",INDEX('Base de données'!A$4:L$990,MATCH(' TVA M'!A1134,'Base de données'!A$4:A$990,0),2),"")</f>
        <v/>
      </c>
      <c r="C1134" s="55" t="str">
        <f>IF(A1134&lt;&gt;"",INDEX('Base de données'!A$4:L$990,MATCH(' TVA M'!A1134,'Base de données'!A$4:A$990,0),12),"")</f>
        <v/>
      </c>
    </row>
    <row r="1135" spans="2:3" hidden="1" x14ac:dyDescent="0.25">
      <c r="B1135" s="55" t="str">
        <f>IF(A1135&lt;&gt;"",INDEX('Base de données'!A$4:L$990,MATCH(' TVA M'!A1135,'Base de données'!A$4:A$990,0),2),"")</f>
        <v/>
      </c>
      <c r="C1135" s="55" t="str">
        <f>IF(A1135&lt;&gt;"",INDEX('Base de données'!A$4:L$990,MATCH(' TVA M'!A1135,'Base de données'!A$4:A$990,0),12),"")</f>
        <v/>
      </c>
    </row>
    <row r="1136" spans="2:3" hidden="1" x14ac:dyDescent="0.25">
      <c r="B1136" s="55" t="str">
        <f>IF(A1136&lt;&gt;"",INDEX('Base de données'!A$4:L$990,MATCH(' TVA M'!A1136,'Base de données'!A$4:A$990,0),2),"")</f>
        <v/>
      </c>
      <c r="C1136" s="55" t="str">
        <f>IF(A1136&lt;&gt;"",INDEX('Base de données'!A$4:L$990,MATCH(' TVA M'!A1136,'Base de données'!A$4:A$990,0),12),"")</f>
        <v/>
      </c>
    </row>
    <row r="1137" spans="2:3" hidden="1" x14ac:dyDescent="0.25">
      <c r="B1137" s="55" t="str">
        <f>IF(A1137&lt;&gt;"",INDEX('Base de données'!A$4:L$990,MATCH(' TVA M'!A1137,'Base de données'!A$4:A$990,0),2),"")</f>
        <v/>
      </c>
      <c r="C1137" s="55" t="str">
        <f>IF(A1137&lt;&gt;"",INDEX('Base de données'!A$4:L$990,MATCH(' TVA M'!A1137,'Base de données'!A$4:A$990,0),12),"")</f>
        <v/>
      </c>
    </row>
    <row r="1138" spans="2:3" hidden="1" x14ac:dyDescent="0.25">
      <c r="B1138" s="55" t="str">
        <f>IF(A1138&lt;&gt;"",INDEX('Base de données'!A$4:L$990,MATCH(' TVA M'!A1138,'Base de données'!A$4:A$990,0),2),"")</f>
        <v/>
      </c>
      <c r="C1138" s="55" t="str">
        <f>IF(A1138&lt;&gt;"",INDEX('Base de données'!A$4:L$990,MATCH(' TVA M'!A1138,'Base de données'!A$4:A$990,0),12),"")</f>
        <v/>
      </c>
    </row>
    <row r="1139" spans="2:3" hidden="1" x14ac:dyDescent="0.25">
      <c r="B1139" s="55" t="str">
        <f>IF(A1139&lt;&gt;"",INDEX('Base de données'!A$4:L$990,MATCH(' TVA M'!A1139,'Base de données'!A$4:A$990,0),2),"")</f>
        <v/>
      </c>
      <c r="C1139" s="55" t="str">
        <f>IF(A1139&lt;&gt;"",INDEX('Base de données'!A$4:L$990,MATCH(' TVA M'!A1139,'Base de données'!A$4:A$990,0),12),"")</f>
        <v/>
      </c>
    </row>
    <row r="1140" spans="2:3" hidden="1" x14ac:dyDescent="0.25">
      <c r="B1140" s="55" t="str">
        <f>IF(A1140&lt;&gt;"",INDEX('Base de données'!A$4:L$990,MATCH(' TVA M'!A1140,'Base de données'!A$4:A$990,0),2),"")</f>
        <v/>
      </c>
      <c r="C1140" s="55" t="str">
        <f>IF(A1140&lt;&gt;"",INDEX('Base de données'!A$4:L$990,MATCH(' TVA M'!A1140,'Base de données'!A$4:A$990,0),12),"")</f>
        <v/>
      </c>
    </row>
    <row r="1141" spans="2:3" hidden="1" x14ac:dyDescent="0.25">
      <c r="B1141" s="55" t="str">
        <f>IF(A1141&lt;&gt;"",INDEX('Base de données'!A$4:L$990,MATCH(' TVA M'!A1141,'Base de données'!A$4:A$990,0),2),"")</f>
        <v/>
      </c>
      <c r="C1141" s="55" t="str">
        <f>IF(A1141&lt;&gt;"",INDEX('Base de données'!A$4:L$990,MATCH(' TVA M'!A1141,'Base de données'!A$4:A$990,0),12),"")</f>
        <v/>
      </c>
    </row>
    <row r="1142" spans="2:3" hidden="1" x14ac:dyDescent="0.25">
      <c r="B1142" s="55" t="str">
        <f>IF(A1142&lt;&gt;"",INDEX('Base de données'!A$4:L$990,MATCH(' TVA M'!A1142,'Base de données'!A$4:A$990,0),2),"")</f>
        <v/>
      </c>
      <c r="C1142" s="55" t="str">
        <f>IF(A1142&lt;&gt;"",INDEX('Base de données'!A$4:L$990,MATCH(' TVA M'!A1142,'Base de données'!A$4:A$990,0),12),"")</f>
        <v/>
      </c>
    </row>
    <row r="1143" spans="2:3" hidden="1" x14ac:dyDescent="0.25">
      <c r="B1143" s="55" t="str">
        <f>IF(A1143&lt;&gt;"",INDEX('Base de données'!A$4:L$990,MATCH(' TVA M'!A1143,'Base de données'!A$4:A$990,0),2),"")</f>
        <v/>
      </c>
      <c r="C1143" s="55" t="str">
        <f>IF(A1143&lt;&gt;"",INDEX('Base de données'!A$4:L$990,MATCH(' TVA M'!A1143,'Base de données'!A$4:A$990,0),12),"")</f>
        <v/>
      </c>
    </row>
    <row r="1144" spans="2:3" hidden="1" x14ac:dyDescent="0.25">
      <c r="B1144" s="55" t="str">
        <f>IF(A1144&lt;&gt;"",INDEX('Base de données'!A$4:L$990,MATCH(' TVA M'!A1144,'Base de données'!A$4:A$990,0),2),"")</f>
        <v/>
      </c>
      <c r="C1144" s="55" t="str">
        <f>IF(A1144&lt;&gt;"",INDEX('Base de données'!A$4:L$990,MATCH(' TVA M'!A1144,'Base de données'!A$4:A$990,0),12),"")</f>
        <v/>
      </c>
    </row>
    <row r="1145" spans="2:3" hidden="1" x14ac:dyDescent="0.25">
      <c r="B1145" s="55" t="str">
        <f>IF(A1145&lt;&gt;"",INDEX('Base de données'!A$4:L$990,MATCH(' TVA M'!A1145,'Base de données'!A$4:A$990,0),2),"")</f>
        <v/>
      </c>
      <c r="C1145" s="55" t="str">
        <f>IF(A1145&lt;&gt;"",INDEX('Base de données'!A$4:L$990,MATCH(' TVA M'!A1145,'Base de données'!A$4:A$990,0),12),"")</f>
        <v/>
      </c>
    </row>
    <row r="1146" spans="2:3" hidden="1" x14ac:dyDescent="0.25">
      <c r="B1146" s="55" t="str">
        <f>IF(A1146&lt;&gt;"",INDEX('Base de données'!A$4:L$990,MATCH(' TVA M'!A1146,'Base de données'!A$4:A$990,0),2),"")</f>
        <v/>
      </c>
      <c r="C1146" s="55" t="str">
        <f>IF(A1146&lt;&gt;"",INDEX('Base de données'!A$4:L$990,MATCH(' TVA M'!A1146,'Base de données'!A$4:A$990,0),12),"")</f>
        <v/>
      </c>
    </row>
    <row r="1147" spans="2:3" hidden="1" x14ac:dyDescent="0.25">
      <c r="B1147" s="55" t="str">
        <f>IF(A1147&lt;&gt;"",INDEX('Base de données'!A$4:L$990,MATCH(' TVA M'!A1147,'Base de données'!A$4:A$990,0),2),"")</f>
        <v/>
      </c>
      <c r="C1147" s="55" t="str">
        <f>IF(A1147&lt;&gt;"",INDEX('Base de données'!A$4:L$990,MATCH(' TVA M'!A1147,'Base de données'!A$4:A$990,0),12),"")</f>
        <v/>
      </c>
    </row>
    <row r="1148" spans="2:3" hidden="1" x14ac:dyDescent="0.25">
      <c r="B1148" s="55" t="str">
        <f>IF(A1148&lt;&gt;"",INDEX('Base de données'!A$4:L$990,MATCH(' TVA M'!A1148,'Base de données'!A$4:A$990,0),2),"")</f>
        <v/>
      </c>
      <c r="C1148" s="55" t="str">
        <f>IF(A1148&lt;&gt;"",INDEX('Base de données'!A$4:L$990,MATCH(' TVA M'!A1148,'Base de données'!A$4:A$990,0),12),"")</f>
        <v/>
      </c>
    </row>
    <row r="1149" spans="2:3" hidden="1" x14ac:dyDescent="0.25">
      <c r="B1149" s="55" t="str">
        <f>IF(A1149&lt;&gt;"",INDEX('Base de données'!A$4:L$990,MATCH(' TVA M'!A1149,'Base de données'!A$4:A$990,0),2),"")</f>
        <v/>
      </c>
      <c r="C1149" s="55" t="str">
        <f>IF(A1149&lt;&gt;"",INDEX('Base de données'!A$4:L$990,MATCH(' TVA M'!A1149,'Base de données'!A$4:A$990,0),12),"")</f>
        <v/>
      </c>
    </row>
    <row r="1150" spans="2:3" hidden="1" x14ac:dyDescent="0.25">
      <c r="B1150" s="55" t="str">
        <f>IF(A1150&lt;&gt;"",INDEX('Base de données'!A$4:L$990,MATCH(' TVA M'!A1150,'Base de données'!A$4:A$990,0),2),"")</f>
        <v/>
      </c>
      <c r="C1150" s="55" t="str">
        <f>IF(A1150&lt;&gt;"",INDEX('Base de données'!A$4:L$990,MATCH(' TVA M'!A1150,'Base de données'!A$4:A$990,0),12),"")</f>
        <v/>
      </c>
    </row>
    <row r="1151" spans="2:3" hidden="1" x14ac:dyDescent="0.25">
      <c r="B1151" s="55" t="str">
        <f>IF(A1151&lt;&gt;"",INDEX('Base de données'!A$4:L$990,MATCH(' TVA M'!A1151,'Base de données'!A$4:A$990,0),2),"")</f>
        <v/>
      </c>
      <c r="C1151" s="55" t="str">
        <f>IF(A1151&lt;&gt;"",INDEX('Base de données'!A$4:L$990,MATCH(' TVA M'!A1151,'Base de données'!A$4:A$990,0),12),"")</f>
        <v/>
      </c>
    </row>
    <row r="1152" spans="2:3" hidden="1" x14ac:dyDescent="0.25">
      <c r="B1152" s="55" t="str">
        <f>IF(A1152&lt;&gt;"",INDEX('Base de données'!A$4:L$990,MATCH(' TVA M'!A1152,'Base de données'!A$4:A$990,0),2),"")</f>
        <v/>
      </c>
      <c r="C1152" s="55" t="str">
        <f>IF(A1152&lt;&gt;"",INDEX('Base de données'!A$4:L$990,MATCH(' TVA M'!A1152,'Base de données'!A$4:A$990,0),12),"")</f>
        <v/>
      </c>
    </row>
    <row r="1153" spans="2:3" hidden="1" x14ac:dyDescent="0.25">
      <c r="B1153" s="55" t="str">
        <f>IF(A1153&lt;&gt;"",INDEX('Base de données'!A$4:L$990,MATCH(' TVA M'!A1153,'Base de données'!A$4:A$990,0),2),"")</f>
        <v/>
      </c>
      <c r="C1153" s="55" t="str">
        <f>IF(A1153&lt;&gt;"",INDEX('Base de données'!A$4:L$990,MATCH(' TVA M'!A1153,'Base de données'!A$4:A$990,0),12),"")</f>
        <v/>
      </c>
    </row>
    <row r="1154" spans="2:3" hidden="1" x14ac:dyDescent="0.25">
      <c r="B1154" s="55" t="str">
        <f>IF(A1154&lt;&gt;"",INDEX('Base de données'!A$4:L$990,MATCH(' TVA M'!A1154,'Base de données'!A$4:A$990,0),2),"")</f>
        <v/>
      </c>
      <c r="C1154" s="55" t="str">
        <f>IF(A1154&lt;&gt;"",INDEX('Base de données'!A$4:L$990,MATCH(' TVA M'!A1154,'Base de données'!A$4:A$990,0),12),"")</f>
        <v/>
      </c>
    </row>
    <row r="1155" spans="2:3" hidden="1" x14ac:dyDescent="0.25">
      <c r="B1155" s="55" t="str">
        <f>IF(A1155&lt;&gt;"",INDEX('Base de données'!A$4:L$990,MATCH(' TVA M'!A1155,'Base de données'!A$4:A$990,0),2),"")</f>
        <v/>
      </c>
      <c r="C1155" s="55" t="str">
        <f>IF(A1155&lt;&gt;"",INDEX('Base de données'!A$4:L$990,MATCH(' TVA M'!A1155,'Base de données'!A$4:A$990,0),12),"")</f>
        <v/>
      </c>
    </row>
    <row r="1156" spans="2:3" hidden="1" x14ac:dyDescent="0.25">
      <c r="B1156" s="55" t="str">
        <f>IF(A1156&lt;&gt;"",INDEX('Base de données'!A$4:L$990,MATCH(' TVA M'!A1156,'Base de données'!A$4:A$990,0),2),"")</f>
        <v/>
      </c>
      <c r="C1156" s="55" t="str">
        <f>IF(A1156&lt;&gt;"",INDEX('Base de données'!A$4:L$990,MATCH(' TVA M'!A1156,'Base de données'!A$4:A$990,0),12),"")</f>
        <v/>
      </c>
    </row>
    <row r="1157" spans="2:3" hidden="1" x14ac:dyDescent="0.25">
      <c r="B1157" s="55" t="str">
        <f>IF(A1157&lt;&gt;"",INDEX('Base de données'!A$4:L$990,MATCH(' TVA M'!A1157,'Base de données'!A$4:A$990,0),2),"")</f>
        <v/>
      </c>
      <c r="C1157" s="55" t="str">
        <f>IF(A1157&lt;&gt;"",INDEX('Base de données'!A$4:L$990,MATCH(' TVA M'!A1157,'Base de données'!A$4:A$990,0),12),"")</f>
        <v/>
      </c>
    </row>
    <row r="1158" spans="2:3" hidden="1" x14ac:dyDescent="0.25">
      <c r="B1158" s="55" t="str">
        <f>IF(A1158&lt;&gt;"",INDEX('Base de données'!A$4:L$990,MATCH(' TVA M'!A1158,'Base de données'!A$4:A$990,0),2),"")</f>
        <v/>
      </c>
      <c r="C1158" s="55" t="str">
        <f>IF(A1158&lt;&gt;"",INDEX('Base de données'!A$4:L$990,MATCH(' TVA M'!A1158,'Base de données'!A$4:A$990,0),12),"")</f>
        <v/>
      </c>
    </row>
    <row r="1159" spans="2:3" hidden="1" x14ac:dyDescent="0.25">
      <c r="B1159" s="55" t="str">
        <f>IF(A1159&lt;&gt;"",INDEX('Base de données'!A$4:L$990,MATCH(' TVA M'!A1159,'Base de données'!A$4:A$990,0),2),"")</f>
        <v/>
      </c>
      <c r="C1159" s="55" t="str">
        <f>IF(A1159&lt;&gt;"",INDEX('Base de données'!A$4:L$990,MATCH(' TVA M'!A1159,'Base de données'!A$4:A$990,0),12),"")</f>
        <v/>
      </c>
    </row>
    <row r="1160" spans="2:3" hidden="1" x14ac:dyDescent="0.25">
      <c r="B1160" s="55" t="str">
        <f>IF(A1160&lt;&gt;"",INDEX('Base de données'!A$4:L$990,MATCH(' TVA M'!A1160,'Base de données'!A$4:A$990,0),2),"")</f>
        <v/>
      </c>
      <c r="C1160" s="55" t="str">
        <f>IF(A1160&lt;&gt;"",INDEX('Base de données'!A$4:L$990,MATCH(' TVA M'!A1160,'Base de données'!A$4:A$990,0),12),"")</f>
        <v/>
      </c>
    </row>
    <row r="1161" spans="2:3" hidden="1" x14ac:dyDescent="0.25">
      <c r="B1161" s="55" t="str">
        <f>IF(A1161&lt;&gt;"",INDEX('Base de données'!A$4:L$990,MATCH(' TVA M'!A1161,'Base de données'!A$4:A$990,0),2),"")</f>
        <v/>
      </c>
      <c r="C1161" s="55" t="str">
        <f>IF(A1161&lt;&gt;"",INDEX('Base de données'!A$4:L$990,MATCH(' TVA M'!A1161,'Base de données'!A$4:A$990,0),12),"")</f>
        <v/>
      </c>
    </row>
    <row r="1162" spans="2:3" hidden="1" x14ac:dyDescent="0.25">
      <c r="B1162" s="55" t="str">
        <f>IF(A1162&lt;&gt;"",INDEX('Base de données'!A$4:L$990,MATCH(' TVA M'!A1162,'Base de données'!A$4:A$990,0),2),"")</f>
        <v/>
      </c>
      <c r="C1162" s="55" t="str">
        <f>IF(A1162&lt;&gt;"",INDEX('Base de données'!A$4:L$990,MATCH(' TVA M'!A1162,'Base de données'!A$4:A$990,0),12),"")</f>
        <v/>
      </c>
    </row>
    <row r="1163" spans="2:3" hidden="1" x14ac:dyDescent="0.25">
      <c r="B1163" s="55" t="str">
        <f>IF(A1163&lt;&gt;"",INDEX('Base de données'!A$4:L$990,MATCH(' TVA M'!A1163,'Base de données'!A$4:A$990,0),2),"")</f>
        <v/>
      </c>
      <c r="C1163" s="55" t="str">
        <f>IF(A1163&lt;&gt;"",INDEX('Base de données'!A$4:L$990,MATCH(' TVA M'!A1163,'Base de données'!A$4:A$990,0),12),"")</f>
        <v/>
      </c>
    </row>
    <row r="1164" spans="2:3" hidden="1" x14ac:dyDescent="0.25">
      <c r="B1164" s="55" t="str">
        <f>IF(A1164&lt;&gt;"",INDEX('Base de données'!A$4:L$990,MATCH(' TVA M'!A1164,'Base de données'!A$4:A$990,0),2),"")</f>
        <v/>
      </c>
      <c r="C1164" s="55" t="str">
        <f>IF(A1164&lt;&gt;"",INDEX('Base de données'!A$4:L$990,MATCH(' TVA M'!A1164,'Base de données'!A$4:A$990,0),12),"")</f>
        <v/>
      </c>
    </row>
    <row r="1165" spans="2:3" hidden="1" x14ac:dyDescent="0.25">
      <c r="B1165" s="55" t="str">
        <f>IF(A1165&lt;&gt;"",INDEX('Base de données'!A$4:L$990,MATCH(' TVA M'!A1165,'Base de données'!A$4:A$990,0),2),"")</f>
        <v/>
      </c>
      <c r="C1165" s="55" t="str">
        <f>IF(A1165&lt;&gt;"",INDEX('Base de données'!A$4:L$990,MATCH(' TVA M'!A1165,'Base de données'!A$4:A$990,0),12),"")</f>
        <v/>
      </c>
    </row>
    <row r="1166" spans="2:3" hidden="1" x14ac:dyDescent="0.25">
      <c r="B1166" s="55" t="str">
        <f>IF(A1166&lt;&gt;"",INDEX('Base de données'!A$4:L$990,MATCH(' TVA M'!A1166,'Base de données'!A$4:A$990,0),2),"")</f>
        <v/>
      </c>
      <c r="C1166" s="55" t="str">
        <f>IF(A1166&lt;&gt;"",INDEX('Base de données'!A$4:L$990,MATCH(' TVA M'!A1166,'Base de données'!A$4:A$990,0),12),"")</f>
        <v/>
      </c>
    </row>
    <row r="1167" spans="2:3" hidden="1" x14ac:dyDescent="0.25">
      <c r="B1167" s="55" t="str">
        <f>IF(A1167&lt;&gt;"",INDEX('Base de données'!A$4:L$990,MATCH(' TVA M'!A1167,'Base de données'!A$4:A$990,0),2),"")</f>
        <v/>
      </c>
      <c r="C1167" s="55" t="str">
        <f>IF(A1167&lt;&gt;"",INDEX('Base de données'!A$4:L$990,MATCH(' TVA M'!A1167,'Base de données'!A$4:A$990,0),12),"")</f>
        <v/>
      </c>
    </row>
    <row r="1168" spans="2:3" hidden="1" x14ac:dyDescent="0.25">
      <c r="B1168" s="55" t="str">
        <f>IF(A1168&lt;&gt;"",INDEX('Base de données'!A$4:L$990,MATCH(' TVA M'!A1168,'Base de données'!A$4:A$990,0),2),"")</f>
        <v/>
      </c>
      <c r="C1168" s="55" t="str">
        <f>IF(A1168&lt;&gt;"",INDEX('Base de données'!A$4:L$990,MATCH(' TVA M'!A1168,'Base de données'!A$4:A$990,0),12),"")</f>
        <v/>
      </c>
    </row>
    <row r="1169" spans="2:3" hidden="1" x14ac:dyDescent="0.25">
      <c r="B1169" s="55" t="str">
        <f>IF(A1169&lt;&gt;"",INDEX('Base de données'!A$4:L$990,MATCH(' TVA M'!A1169,'Base de données'!A$4:A$990,0),2),"")</f>
        <v/>
      </c>
      <c r="C1169" s="55" t="str">
        <f>IF(A1169&lt;&gt;"",INDEX('Base de données'!A$4:L$990,MATCH(' TVA M'!A1169,'Base de données'!A$4:A$990,0),12),"")</f>
        <v/>
      </c>
    </row>
    <row r="1170" spans="2:3" hidden="1" x14ac:dyDescent="0.25">
      <c r="B1170" s="55" t="str">
        <f>IF(A1170&lt;&gt;"",INDEX('Base de données'!A$4:L$990,MATCH(' TVA M'!A1170,'Base de données'!A$4:A$990,0),2),"")</f>
        <v/>
      </c>
      <c r="C1170" s="55" t="str">
        <f>IF(A1170&lt;&gt;"",INDEX('Base de données'!A$4:L$990,MATCH(' TVA M'!A1170,'Base de données'!A$4:A$990,0),12),"")</f>
        <v/>
      </c>
    </row>
    <row r="1171" spans="2:3" hidden="1" x14ac:dyDescent="0.25">
      <c r="B1171" s="55" t="str">
        <f>IF(A1171&lt;&gt;"",INDEX('Base de données'!A$4:L$990,MATCH(' TVA M'!A1171,'Base de données'!A$4:A$990,0),2),"")</f>
        <v/>
      </c>
      <c r="C1171" s="55" t="str">
        <f>IF(A1171&lt;&gt;"",INDEX('Base de données'!A$4:L$990,MATCH(' TVA M'!A1171,'Base de données'!A$4:A$990,0),12),"")</f>
        <v/>
      </c>
    </row>
    <row r="1172" spans="2:3" hidden="1" x14ac:dyDescent="0.25">
      <c r="B1172" s="55" t="str">
        <f>IF(A1172&lt;&gt;"",INDEX('Base de données'!A$4:L$990,MATCH(' TVA M'!A1172,'Base de données'!A$4:A$990,0),2),"")</f>
        <v/>
      </c>
      <c r="C1172" s="55" t="str">
        <f>IF(A1172&lt;&gt;"",INDEX('Base de données'!A$4:L$990,MATCH(' TVA M'!A1172,'Base de données'!A$4:A$990,0),12),"")</f>
        <v/>
      </c>
    </row>
    <row r="1173" spans="2:3" hidden="1" x14ac:dyDescent="0.25">
      <c r="B1173" s="55" t="str">
        <f>IF(A1173&lt;&gt;"",INDEX('Base de données'!A$4:L$990,MATCH(' TVA M'!A1173,'Base de données'!A$4:A$990,0),2),"")</f>
        <v/>
      </c>
      <c r="C1173" s="55" t="str">
        <f>IF(A1173&lt;&gt;"",INDEX('Base de données'!A$4:L$990,MATCH(' TVA M'!A1173,'Base de données'!A$4:A$990,0),12),"")</f>
        <v/>
      </c>
    </row>
    <row r="1174" spans="2:3" hidden="1" x14ac:dyDescent="0.25">
      <c r="B1174" s="55" t="str">
        <f>IF(A1174&lt;&gt;"",INDEX('Base de données'!A$4:L$990,MATCH(' TVA M'!A1174,'Base de données'!A$4:A$990,0),2),"")</f>
        <v/>
      </c>
      <c r="C1174" s="55" t="str">
        <f>IF(A1174&lt;&gt;"",INDEX('Base de données'!A$4:L$990,MATCH(' TVA M'!A1174,'Base de données'!A$4:A$990,0),12),"")</f>
        <v/>
      </c>
    </row>
    <row r="1175" spans="2:3" hidden="1" x14ac:dyDescent="0.25">
      <c r="B1175" s="55" t="str">
        <f>IF(A1175&lt;&gt;"",INDEX('Base de données'!A$4:L$990,MATCH(' TVA M'!A1175,'Base de données'!A$4:A$990,0),2),"")</f>
        <v/>
      </c>
      <c r="C1175" s="55" t="str">
        <f>IF(A1175&lt;&gt;"",INDEX('Base de données'!A$4:L$990,MATCH(' TVA M'!A1175,'Base de données'!A$4:A$990,0),12),"")</f>
        <v/>
      </c>
    </row>
    <row r="1176" spans="2:3" hidden="1" x14ac:dyDescent="0.25">
      <c r="B1176" s="55" t="str">
        <f>IF(A1176&lt;&gt;"",INDEX('Base de données'!A$4:L$990,MATCH(' TVA M'!A1176,'Base de données'!A$4:A$990,0),2),"")</f>
        <v/>
      </c>
      <c r="C1176" s="55" t="str">
        <f>IF(A1176&lt;&gt;"",INDEX('Base de données'!A$4:L$990,MATCH(' TVA M'!A1176,'Base de données'!A$4:A$990,0),12),"")</f>
        <v/>
      </c>
    </row>
    <row r="1177" spans="2:3" hidden="1" x14ac:dyDescent="0.25">
      <c r="B1177" s="55" t="str">
        <f>IF(A1177&lt;&gt;"",INDEX('Base de données'!A$4:L$990,MATCH(' TVA M'!A1177,'Base de données'!A$4:A$990,0),2),"")</f>
        <v/>
      </c>
      <c r="C1177" s="55" t="str">
        <f>IF(A1177&lt;&gt;"",INDEX('Base de données'!A$4:L$990,MATCH(' TVA M'!A1177,'Base de données'!A$4:A$990,0),12),"")</f>
        <v/>
      </c>
    </row>
    <row r="1178" spans="2:3" hidden="1" x14ac:dyDescent="0.25">
      <c r="B1178" s="55" t="str">
        <f>IF(A1178&lt;&gt;"",INDEX('Base de données'!A$4:L$990,MATCH(' TVA M'!A1178,'Base de données'!A$4:A$990,0),2),"")</f>
        <v/>
      </c>
      <c r="C1178" s="55" t="str">
        <f>IF(A1178&lt;&gt;"",INDEX('Base de données'!A$4:L$990,MATCH(' TVA M'!A1178,'Base de données'!A$4:A$990,0),12),"")</f>
        <v/>
      </c>
    </row>
    <row r="1179" spans="2:3" hidden="1" x14ac:dyDescent="0.25">
      <c r="B1179" s="55" t="str">
        <f>IF(A1179&lt;&gt;"",INDEX('Base de données'!A$4:L$990,MATCH(' TVA M'!A1179,'Base de données'!A$4:A$990,0),2),"")</f>
        <v/>
      </c>
      <c r="C1179" s="55" t="str">
        <f>IF(A1179&lt;&gt;"",INDEX('Base de données'!A$4:L$990,MATCH(' TVA M'!A1179,'Base de données'!A$4:A$990,0),12),"")</f>
        <v/>
      </c>
    </row>
    <row r="1180" spans="2:3" hidden="1" x14ac:dyDescent="0.25">
      <c r="B1180" s="55" t="str">
        <f>IF(A1180&lt;&gt;"",INDEX('Base de données'!A$4:L$990,MATCH(' TVA M'!A1180,'Base de données'!A$4:A$990,0),2),"")</f>
        <v/>
      </c>
      <c r="C1180" s="55" t="str">
        <f>IF(A1180&lt;&gt;"",INDEX('Base de données'!A$4:L$990,MATCH(' TVA M'!A1180,'Base de données'!A$4:A$990,0),12),"")</f>
        <v/>
      </c>
    </row>
    <row r="1181" spans="2:3" hidden="1" x14ac:dyDescent="0.25">
      <c r="B1181" s="55" t="str">
        <f>IF(A1181&lt;&gt;"",INDEX('Base de données'!A$4:L$990,MATCH(' TVA M'!A1181,'Base de données'!A$4:A$990,0),2),"")</f>
        <v/>
      </c>
      <c r="C1181" s="55" t="str">
        <f>IF(A1181&lt;&gt;"",INDEX('Base de données'!A$4:L$990,MATCH(' TVA M'!A1181,'Base de données'!A$4:A$990,0),12),"")</f>
        <v/>
      </c>
    </row>
    <row r="1182" spans="2:3" hidden="1" x14ac:dyDescent="0.25">
      <c r="B1182" s="55" t="str">
        <f>IF(A1182&lt;&gt;"",INDEX('Base de données'!A$4:L$990,MATCH(' TVA M'!A1182,'Base de données'!A$4:A$990,0),2),"")</f>
        <v/>
      </c>
      <c r="C1182" s="55" t="str">
        <f>IF(A1182&lt;&gt;"",INDEX('Base de données'!A$4:L$990,MATCH(' TVA M'!A1182,'Base de données'!A$4:A$990,0),12),"")</f>
        <v/>
      </c>
    </row>
    <row r="1183" spans="2:3" hidden="1" x14ac:dyDescent="0.25">
      <c r="B1183" s="55" t="str">
        <f>IF(A1183&lt;&gt;"",INDEX('Base de données'!A$4:L$990,MATCH(' TVA M'!A1183,'Base de données'!A$4:A$990,0),2),"")</f>
        <v/>
      </c>
      <c r="C1183" s="55" t="str">
        <f>IF(A1183&lt;&gt;"",INDEX('Base de données'!A$4:L$990,MATCH(' TVA M'!A1183,'Base de données'!A$4:A$990,0),12),"")</f>
        <v/>
      </c>
    </row>
    <row r="1184" spans="2:3" hidden="1" x14ac:dyDescent="0.25">
      <c r="B1184" s="55" t="str">
        <f>IF(A1184&lt;&gt;"",INDEX('Base de données'!A$4:L$990,MATCH(' TVA M'!A1184,'Base de données'!A$4:A$990,0),2),"")</f>
        <v/>
      </c>
      <c r="C1184" s="55" t="str">
        <f>IF(A1184&lt;&gt;"",INDEX('Base de données'!A$4:L$990,MATCH(' TVA M'!A1184,'Base de données'!A$4:A$990,0),12),"")</f>
        <v/>
      </c>
    </row>
    <row r="1185" spans="2:3" hidden="1" x14ac:dyDescent="0.25">
      <c r="B1185" s="55" t="str">
        <f>IF(A1185&lt;&gt;"",INDEX('Base de données'!A$4:L$990,MATCH(' TVA M'!A1185,'Base de données'!A$4:A$990,0),2),"")</f>
        <v/>
      </c>
      <c r="C1185" s="55" t="str">
        <f>IF(A1185&lt;&gt;"",INDEX('Base de données'!A$4:L$990,MATCH(' TVA M'!A1185,'Base de données'!A$4:A$990,0),12),"")</f>
        <v/>
      </c>
    </row>
    <row r="1186" spans="2:3" hidden="1" x14ac:dyDescent="0.25">
      <c r="B1186" s="55" t="str">
        <f>IF(A1186&lt;&gt;"",INDEX('Base de données'!A$4:L$990,MATCH(' TVA M'!A1186,'Base de données'!A$4:A$990,0),2),"")</f>
        <v/>
      </c>
      <c r="C1186" s="55" t="str">
        <f>IF(A1186&lt;&gt;"",INDEX('Base de données'!A$4:L$990,MATCH(' TVA M'!A1186,'Base de données'!A$4:A$990,0),12),"")</f>
        <v/>
      </c>
    </row>
    <row r="1187" spans="2:3" hidden="1" x14ac:dyDescent="0.25">
      <c r="B1187" s="55" t="str">
        <f>IF(A1187&lt;&gt;"",INDEX('Base de données'!A$4:L$990,MATCH(' TVA M'!A1187,'Base de données'!A$4:A$990,0),2),"")</f>
        <v/>
      </c>
      <c r="C1187" s="55" t="str">
        <f>IF(A1187&lt;&gt;"",INDEX('Base de données'!A$4:L$990,MATCH(' TVA M'!A1187,'Base de données'!A$4:A$990,0),12),"")</f>
        <v/>
      </c>
    </row>
    <row r="1188" spans="2:3" hidden="1" x14ac:dyDescent="0.25">
      <c r="B1188" s="55" t="str">
        <f>IF(A1188&lt;&gt;"",INDEX('Base de données'!A$4:L$990,MATCH(' TVA M'!A1188,'Base de données'!A$4:A$990,0),2),"")</f>
        <v/>
      </c>
      <c r="C1188" s="55" t="str">
        <f>IF(A1188&lt;&gt;"",INDEX('Base de données'!A$4:L$990,MATCH(' TVA M'!A1188,'Base de données'!A$4:A$990,0),12),"")</f>
        <v/>
      </c>
    </row>
    <row r="1189" spans="2:3" hidden="1" x14ac:dyDescent="0.25">
      <c r="B1189" s="55" t="str">
        <f>IF(A1189&lt;&gt;"",INDEX('Base de données'!A$4:L$990,MATCH(' TVA M'!A1189,'Base de données'!A$4:A$990,0),2),"")</f>
        <v/>
      </c>
      <c r="C1189" s="55" t="str">
        <f>IF(A1189&lt;&gt;"",INDEX('Base de données'!A$4:L$990,MATCH(' TVA M'!A1189,'Base de données'!A$4:A$990,0),12),"")</f>
        <v/>
      </c>
    </row>
    <row r="1190" spans="2:3" hidden="1" x14ac:dyDescent="0.25">
      <c r="B1190" s="55" t="str">
        <f>IF(A1190&lt;&gt;"",INDEX('Base de données'!A$4:L$990,MATCH(' TVA M'!A1190,'Base de données'!A$4:A$990,0),2),"")</f>
        <v/>
      </c>
      <c r="C1190" s="55" t="str">
        <f>IF(A1190&lt;&gt;"",INDEX('Base de données'!A$4:L$990,MATCH(' TVA M'!A1190,'Base de données'!A$4:A$990,0),12),"")</f>
        <v/>
      </c>
    </row>
    <row r="1191" spans="2:3" hidden="1" x14ac:dyDescent="0.25">
      <c r="B1191" s="55" t="str">
        <f>IF(A1191&lt;&gt;"",INDEX('Base de données'!A$4:L$990,MATCH(' TVA M'!A1191,'Base de données'!A$4:A$990,0),2),"")</f>
        <v/>
      </c>
      <c r="C1191" s="55" t="str">
        <f>IF(A1191&lt;&gt;"",INDEX('Base de données'!A$4:L$990,MATCH(' TVA M'!A1191,'Base de données'!A$4:A$990,0),12),"")</f>
        <v/>
      </c>
    </row>
    <row r="1192" spans="2:3" hidden="1" x14ac:dyDescent="0.25">
      <c r="B1192" s="55" t="str">
        <f>IF(A1192&lt;&gt;"",INDEX('Base de données'!A$4:L$990,MATCH(' TVA M'!A1192,'Base de données'!A$4:A$990,0),2),"")</f>
        <v/>
      </c>
      <c r="C1192" s="55" t="str">
        <f>IF(A1192&lt;&gt;"",INDEX('Base de données'!A$4:L$990,MATCH(' TVA M'!A1192,'Base de données'!A$4:A$990,0),12),"")</f>
        <v/>
      </c>
    </row>
    <row r="1193" spans="2:3" hidden="1" x14ac:dyDescent="0.25">
      <c r="B1193" s="55" t="str">
        <f>IF(A1193&lt;&gt;"",INDEX('Base de données'!A$4:L$990,MATCH(' TVA M'!A1193,'Base de données'!A$4:A$990,0),2),"")</f>
        <v/>
      </c>
      <c r="C1193" s="55" t="str">
        <f>IF(A1193&lt;&gt;"",INDEX('Base de données'!A$4:L$990,MATCH(' TVA M'!A1193,'Base de données'!A$4:A$990,0),12),"")</f>
        <v/>
      </c>
    </row>
    <row r="1194" spans="2:3" hidden="1" x14ac:dyDescent="0.25">
      <c r="B1194" s="55" t="str">
        <f>IF(A1194&lt;&gt;"",INDEX('Base de données'!A$4:L$990,MATCH(' TVA M'!A1194,'Base de données'!A$4:A$990,0),2),"")</f>
        <v/>
      </c>
      <c r="C1194" s="55" t="str">
        <f>IF(A1194&lt;&gt;"",INDEX('Base de données'!A$4:L$990,MATCH(' TVA M'!A1194,'Base de données'!A$4:A$990,0),12),"")</f>
        <v/>
      </c>
    </row>
    <row r="1195" spans="2:3" hidden="1" x14ac:dyDescent="0.25">
      <c r="B1195" s="55" t="str">
        <f>IF(A1195&lt;&gt;"",INDEX('Base de données'!A$4:L$990,MATCH(' TVA M'!A1195,'Base de données'!A$4:A$990,0),2),"")</f>
        <v/>
      </c>
      <c r="C1195" s="55" t="str">
        <f>IF(A1195&lt;&gt;"",INDEX('Base de données'!A$4:L$990,MATCH(' TVA M'!A1195,'Base de données'!A$4:A$990,0),12),"")</f>
        <v/>
      </c>
    </row>
    <row r="1196" spans="2:3" hidden="1" x14ac:dyDescent="0.25">
      <c r="B1196" s="55" t="str">
        <f>IF(A1196&lt;&gt;"",INDEX('Base de données'!A$4:L$990,MATCH(' TVA M'!A1196,'Base de données'!A$4:A$990,0),2),"")</f>
        <v/>
      </c>
      <c r="C1196" s="55" t="str">
        <f>IF(A1196&lt;&gt;"",INDEX('Base de données'!A$4:L$990,MATCH(' TVA M'!A1196,'Base de données'!A$4:A$990,0),12),"")</f>
        <v/>
      </c>
    </row>
    <row r="1197" spans="2:3" hidden="1" x14ac:dyDescent="0.25">
      <c r="B1197" s="55" t="str">
        <f>IF(A1197&lt;&gt;"",INDEX('Base de données'!A$4:L$990,MATCH(' TVA M'!A1197,'Base de données'!A$4:A$990,0),2),"")</f>
        <v/>
      </c>
      <c r="C1197" s="55" t="str">
        <f>IF(A1197&lt;&gt;"",INDEX('Base de données'!A$4:L$990,MATCH(' TVA M'!A1197,'Base de données'!A$4:A$990,0),12),"")</f>
        <v/>
      </c>
    </row>
    <row r="1198" spans="2:3" hidden="1" x14ac:dyDescent="0.25">
      <c r="B1198" s="55" t="str">
        <f>IF(A1198&lt;&gt;"",INDEX('Base de données'!A$4:L$990,MATCH(' TVA M'!A1198,'Base de données'!A$4:A$990,0),2),"")</f>
        <v/>
      </c>
      <c r="C1198" s="55" t="str">
        <f>IF(A1198&lt;&gt;"",INDEX('Base de données'!A$4:L$990,MATCH(' TVA M'!A1198,'Base de données'!A$4:A$990,0),12),"")</f>
        <v/>
      </c>
    </row>
    <row r="1199" spans="2:3" hidden="1" x14ac:dyDescent="0.25">
      <c r="B1199" s="55" t="str">
        <f>IF(A1199&lt;&gt;"",INDEX('Base de données'!A$4:L$990,MATCH(' TVA M'!A1199,'Base de données'!A$4:A$990,0),2),"")</f>
        <v/>
      </c>
      <c r="C1199" s="55" t="str">
        <f>IF(A1199&lt;&gt;"",INDEX('Base de données'!A$4:L$990,MATCH(' TVA M'!A1199,'Base de données'!A$4:A$990,0),12),"")</f>
        <v/>
      </c>
    </row>
    <row r="1200" spans="2:3" hidden="1" x14ac:dyDescent="0.25">
      <c r="B1200" s="55" t="str">
        <f>IF(A1200&lt;&gt;"",INDEX('Base de données'!A$4:L$990,MATCH(' TVA M'!A1200,'Base de données'!A$4:A$990,0),2),"")</f>
        <v/>
      </c>
      <c r="C1200" s="55" t="str">
        <f>IF(A1200&lt;&gt;"",INDEX('Base de données'!A$4:L$990,MATCH(' TVA M'!A1200,'Base de données'!A$4:A$990,0),12),"")</f>
        <v/>
      </c>
    </row>
    <row r="1201" spans="2:3" hidden="1" x14ac:dyDescent="0.25">
      <c r="B1201" s="55" t="str">
        <f>IF(A1201&lt;&gt;"",INDEX('Base de données'!A$4:L$990,MATCH(' TVA M'!A1201,'Base de données'!A$4:A$990,0),2),"")</f>
        <v/>
      </c>
      <c r="C1201" s="55" t="str">
        <f>IF(A1201&lt;&gt;"",INDEX('Base de données'!A$4:L$990,MATCH(' TVA M'!A1201,'Base de données'!A$4:A$990,0),12),"")</f>
        <v/>
      </c>
    </row>
    <row r="1202" spans="2:3" hidden="1" x14ac:dyDescent="0.25">
      <c r="B1202" s="55" t="str">
        <f>IF(A1202&lt;&gt;"",INDEX('Base de données'!A$4:L$990,MATCH(' TVA M'!A1202,'Base de données'!A$4:A$990,0),2),"")</f>
        <v/>
      </c>
      <c r="C1202" s="55" t="str">
        <f>IF(A1202&lt;&gt;"",INDEX('Base de données'!A$4:L$990,MATCH(' TVA M'!A1202,'Base de données'!A$4:A$990,0),12),"")</f>
        <v/>
      </c>
    </row>
    <row r="1203" spans="2:3" hidden="1" x14ac:dyDescent="0.25">
      <c r="B1203" s="55" t="str">
        <f>IF(A1203&lt;&gt;"",INDEX('Base de données'!A$4:L$990,MATCH(' TVA M'!A1203,'Base de données'!A$4:A$990,0),2),"")</f>
        <v/>
      </c>
      <c r="C1203" s="55" t="str">
        <f>IF(A1203&lt;&gt;"",INDEX('Base de données'!A$4:L$990,MATCH(' TVA M'!A1203,'Base de données'!A$4:A$990,0),12),"")</f>
        <v/>
      </c>
    </row>
    <row r="1204" spans="2:3" hidden="1" x14ac:dyDescent="0.25">
      <c r="B1204" s="55" t="str">
        <f>IF(A1204&lt;&gt;"",INDEX('Base de données'!A$4:L$990,MATCH(' TVA M'!A1204,'Base de données'!A$4:A$990,0),2),"")</f>
        <v/>
      </c>
      <c r="C1204" s="55" t="str">
        <f>IF(A1204&lt;&gt;"",INDEX('Base de données'!A$4:L$990,MATCH(' TVA M'!A1204,'Base de données'!A$4:A$990,0),12),"")</f>
        <v/>
      </c>
    </row>
    <row r="1205" spans="2:3" hidden="1" x14ac:dyDescent="0.25">
      <c r="B1205" s="55" t="str">
        <f>IF(A1205&lt;&gt;"",INDEX('Base de données'!A$4:L$990,MATCH(' TVA M'!A1205,'Base de données'!A$4:A$990,0),2),"")</f>
        <v/>
      </c>
      <c r="C1205" s="55" t="str">
        <f>IF(A1205&lt;&gt;"",INDEX('Base de données'!A$4:L$990,MATCH(' TVA M'!A1205,'Base de données'!A$4:A$990,0),12),"")</f>
        <v/>
      </c>
    </row>
    <row r="1206" spans="2:3" hidden="1" x14ac:dyDescent="0.25">
      <c r="B1206" s="55" t="str">
        <f>IF(A1206&lt;&gt;"",INDEX('Base de données'!A$4:L$990,MATCH(' TVA M'!A1206,'Base de données'!A$4:A$990,0),2),"")</f>
        <v/>
      </c>
      <c r="C1206" s="55" t="str">
        <f>IF(A1206&lt;&gt;"",INDEX('Base de données'!A$4:L$990,MATCH(' TVA M'!A1206,'Base de données'!A$4:A$990,0),12),"")</f>
        <v/>
      </c>
    </row>
    <row r="1207" spans="2:3" hidden="1" x14ac:dyDescent="0.25">
      <c r="B1207" s="55" t="str">
        <f>IF(A1207&lt;&gt;"",INDEX('Base de données'!A$4:L$990,MATCH(' TVA M'!A1207,'Base de données'!A$4:A$990,0),2),"")</f>
        <v/>
      </c>
      <c r="C1207" s="55" t="str">
        <f>IF(A1207&lt;&gt;"",INDEX('Base de données'!A$4:L$990,MATCH(' TVA M'!A1207,'Base de données'!A$4:A$990,0),12),"")</f>
        <v/>
      </c>
    </row>
    <row r="1208" spans="2:3" hidden="1" x14ac:dyDescent="0.25">
      <c r="B1208" s="55" t="str">
        <f>IF(A1208&lt;&gt;"",INDEX('Base de données'!A$4:L$990,MATCH(' TVA M'!A1208,'Base de données'!A$4:A$990,0),2),"")</f>
        <v/>
      </c>
      <c r="C1208" s="55" t="str">
        <f>IF(A1208&lt;&gt;"",INDEX('Base de données'!A$4:L$990,MATCH(' TVA M'!A1208,'Base de données'!A$4:A$990,0),12),"")</f>
        <v/>
      </c>
    </row>
    <row r="1209" spans="2:3" hidden="1" x14ac:dyDescent="0.25">
      <c r="B1209" s="55" t="str">
        <f>IF(A1209&lt;&gt;"",INDEX('Base de données'!A$4:L$990,MATCH(' TVA M'!A1209,'Base de données'!A$4:A$990,0),2),"")</f>
        <v/>
      </c>
      <c r="C1209" s="55" t="str">
        <f>IF(A1209&lt;&gt;"",INDEX('Base de données'!A$4:L$990,MATCH(' TVA M'!A1209,'Base de données'!A$4:A$990,0),12),"")</f>
        <v/>
      </c>
    </row>
    <row r="1210" spans="2:3" hidden="1" x14ac:dyDescent="0.25">
      <c r="B1210" s="55" t="str">
        <f>IF(A1210&lt;&gt;"",INDEX('Base de données'!A$4:L$990,MATCH(' TVA M'!A1210,'Base de données'!A$4:A$990,0),2),"")</f>
        <v/>
      </c>
      <c r="C1210" s="55" t="str">
        <f>IF(A1210&lt;&gt;"",INDEX('Base de données'!A$4:L$990,MATCH(' TVA M'!A1210,'Base de données'!A$4:A$990,0),12),"")</f>
        <v/>
      </c>
    </row>
    <row r="1211" spans="2:3" hidden="1" x14ac:dyDescent="0.25">
      <c r="B1211" s="55" t="str">
        <f>IF(A1211&lt;&gt;"",INDEX('Base de données'!A$4:L$990,MATCH(' TVA M'!A1211,'Base de données'!A$4:A$990,0),2),"")</f>
        <v/>
      </c>
      <c r="C1211" s="55" t="str">
        <f>IF(A1211&lt;&gt;"",INDEX('Base de données'!A$4:L$990,MATCH(' TVA M'!A1211,'Base de données'!A$4:A$990,0),12),"")</f>
        <v/>
      </c>
    </row>
    <row r="1212" spans="2:3" hidden="1" x14ac:dyDescent="0.25">
      <c r="B1212" s="55" t="str">
        <f>IF(A1212&lt;&gt;"",INDEX('Base de données'!A$4:L$990,MATCH(' TVA M'!A1212,'Base de données'!A$4:A$990,0),2),"")</f>
        <v/>
      </c>
      <c r="C1212" s="55" t="str">
        <f>IF(A1212&lt;&gt;"",INDEX('Base de données'!A$4:L$990,MATCH(' TVA M'!A1212,'Base de données'!A$4:A$990,0),12),"")</f>
        <v/>
      </c>
    </row>
    <row r="1213" spans="2:3" hidden="1" x14ac:dyDescent="0.25">
      <c r="B1213" s="55" t="str">
        <f>IF(A1213&lt;&gt;"",INDEX('Base de données'!A$4:L$990,MATCH(' TVA M'!A1213,'Base de données'!A$4:A$990,0),2),"")</f>
        <v/>
      </c>
      <c r="C1213" s="55" t="str">
        <f>IF(A1213&lt;&gt;"",INDEX('Base de données'!A$4:L$990,MATCH(' TVA M'!A1213,'Base de données'!A$4:A$990,0),12),"")</f>
        <v/>
      </c>
    </row>
    <row r="1214" spans="2:3" hidden="1" x14ac:dyDescent="0.25">
      <c r="B1214" s="55" t="str">
        <f>IF(A1214&lt;&gt;"",INDEX('Base de données'!A$4:L$990,MATCH(' TVA M'!A1214,'Base de données'!A$4:A$990,0),2),"")</f>
        <v/>
      </c>
      <c r="C1214" s="55" t="str">
        <f>IF(A1214&lt;&gt;"",INDEX('Base de données'!A$4:L$990,MATCH(' TVA M'!A1214,'Base de données'!A$4:A$990,0),12),"")</f>
        <v/>
      </c>
    </row>
    <row r="1215" spans="2:3" hidden="1" x14ac:dyDescent="0.25">
      <c r="B1215" s="55" t="str">
        <f>IF(A1215&lt;&gt;"",INDEX('Base de données'!A$4:L$990,MATCH(' TVA M'!A1215,'Base de données'!A$4:A$990,0),2),"")</f>
        <v/>
      </c>
      <c r="C1215" s="55" t="str">
        <f>IF(A1215&lt;&gt;"",INDEX('Base de données'!A$4:L$990,MATCH(' TVA M'!A1215,'Base de données'!A$4:A$990,0),12),"")</f>
        <v/>
      </c>
    </row>
    <row r="1216" spans="2:3" hidden="1" x14ac:dyDescent="0.25">
      <c r="B1216" s="55" t="str">
        <f>IF(A1216&lt;&gt;"",INDEX('Base de données'!A$4:L$990,MATCH(' TVA M'!A1216,'Base de données'!A$4:A$990,0),2),"")</f>
        <v/>
      </c>
      <c r="C1216" s="55" t="str">
        <f>IF(A1216&lt;&gt;"",INDEX('Base de données'!A$4:L$990,MATCH(' TVA M'!A1216,'Base de données'!A$4:A$990,0),12),"")</f>
        <v/>
      </c>
    </row>
    <row r="1217" spans="2:3" hidden="1" x14ac:dyDescent="0.25">
      <c r="B1217" s="55" t="str">
        <f>IF(A1217&lt;&gt;"",INDEX('Base de données'!A$4:L$990,MATCH(' TVA M'!A1217,'Base de données'!A$4:A$990,0),2),"")</f>
        <v/>
      </c>
      <c r="C1217" s="55" t="str">
        <f>IF(A1217&lt;&gt;"",INDEX('Base de données'!A$4:L$990,MATCH(' TVA M'!A1217,'Base de données'!A$4:A$990,0),12),"")</f>
        <v/>
      </c>
    </row>
    <row r="1218" spans="2:3" hidden="1" x14ac:dyDescent="0.25">
      <c r="B1218" s="55" t="str">
        <f>IF(A1218&lt;&gt;"",INDEX('Base de données'!A$4:L$990,MATCH(' TVA M'!A1218,'Base de données'!A$4:A$990,0),2),"")</f>
        <v/>
      </c>
      <c r="C1218" s="55" t="str">
        <f>IF(A1218&lt;&gt;"",INDEX('Base de données'!A$4:L$990,MATCH(' TVA M'!A1218,'Base de données'!A$4:A$990,0),12),"")</f>
        <v/>
      </c>
    </row>
    <row r="1219" spans="2:3" hidden="1" x14ac:dyDescent="0.25">
      <c r="B1219" s="55" t="str">
        <f>IF(A1219&lt;&gt;"",INDEX('Base de données'!A$4:L$990,MATCH(' TVA M'!A1219,'Base de données'!A$4:A$990,0),2),"")</f>
        <v/>
      </c>
      <c r="C1219" s="55" t="str">
        <f>IF(A1219&lt;&gt;"",INDEX('Base de données'!A$4:L$990,MATCH(' TVA M'!A1219,'Base de données'!A$4:A$990,0),12),"")</f>
        <v/>
      </c>
    </row>
    <row r="1220" spans="2:3" hidden="1" x14ac:dyDescent="0.25">
      <c r="B1220" s="55" t="str">
        <f>IF(A1220&lt;&gt;"",INDEX('Base de données'!A$4:L$990,MATCH(' TVA M'!A1220,'Base de données'!A$4:A$990,0),2),"")</f>
        <v/>
      </c>
      <c r="C1220" s="55" t="str">
        <f>IF(A1220&lt;&gt;"",INDEX('Base de données'!A$4:L$990,MATCH(' TVA M'!A1220,'Base de données'!A$4:A$990,0),12),"")</f>
        <v/>
      </c>
    </row>
    <row r="1221" spans="2:3" hidden="1" x14ac:dyDescent="0.25">
      <c r="B1221" s="55" t="str">
        <f>IF(A1221&lt;&gt;"",INDEX('Base de données'!A$4:L$990,MATCH(' TVA M'!A1221,'Base de données'!A$4:A$990,0),2),"")</f>
        <v/>
      </c>
      <c r="C1221" s="55" t="str">
        <f>IF(A1221&lt;&gt;"",INDEX('Base de données'!A$4:L$990,MATCH(' TVA M'!A1221,'Base de données'!A$4:A$990,0),12),"")</f>
        <v/>
      </c>
    </row>
    <row r="1222" spans="2:3" hidden="1" x14ac:dyDescent="0.25">
      <c r="B1222" s="55" t="str">
        <f>IF(A1222&lt;&gt;"",INDEX('Base de données'!A$4:L$990,MATCH(' TVA M'!A1222,'Base de données'!A$4:A$990,0),2),"")</f>
        <v/>
      </c>
      <c r="C1222" s="55" t="str">
        <f>IF(A1222&lt;&gt;"",INDEX('Base de données'!A$4:L$990,MATCH(' TVA M'!A1222,'Base de données'!A$4:A$990,0),12),"")</f>
        <v/>
      </c>
    </row>
    <row r="1223" spans="2:3" hidden="1" x14ac:dyDescent="0.25">
      <c r="B1223" s="55" t="str">
        <f>IF(A1223&lt;&gt;"",INDEX('Base de données'!A$4:L$990,MATCH(' TVA M'!A1223,'Base de données'!A$4:A$990,0),2),"")</f>
        <v/>
      </c>
      <c r="C1223" s="55" t="str">
        <f>IF(A1223&lt;&gt;"",INDEX('Base de données'!A$4:L$990,MATCH(' TVA M'!A1223,'Base de données'!A$4:A$990,0),12),"")</f>
        <v/>
      </c>
    </row>
    <row r="1224" spans="2:3" hidden="1" x14ac:dyDescent="0.25">
      <c r="B1224" s="55" t="str">
        <f>IF(A1224&lt;&gt;"",INDEX('Base de données'!A$4:L$990,MATCH(' TVA M'!A1224,'Base de données'!A$4:A$990,0),2),"")</f>
        <v/>
      </c>
      <c r="C1224" s="55" t="str">
        <f>IF(A1224&lt;&gt;"",INDEX('Base de données'!A$4:L$990,MATCH(' TVA M'!A1224,'Base de données'!A$4:A$990,0),12),"")</f>
        <v/>
      </c>
    </row>
    <row r="1225" spans="2:3" hidden="1" x14ac:dyDescent="0.25">
      <c r="B1225" s="55" t="str">
        <f>IF(A1225&lt;&gt;"",INDEX('Base de données'!A$4:L$990,MATCH(' TVA M'!A1225,'Base de données'!A$4:A$990,0),2),"")</f>
        <v/>
      </c>
      <c r="C1225" s="55" t="str">
        <f>IF(A1225&lt;&gt;"",INDEX('Base de données'!A$4:L$990,MATCH(' TVA M'!A1225,'Base de données'!A$4:A$990,0),12),"")</f>
        <v/>
      </c>
    </row>
    <row r="1226" spans="2:3" hidden="1" x14ac:dyDescent="0.25">
      <c r="B1226" s="55" t="str">
        <f>IF(A1226&lt;&gt;"",INDEX('Base de données'!A$4:L$990,MATCH(' TVA M'!A1226,'Base de données'!A$4:A$990,0),2),"")</f>
        <v/>
      </c>
      <c r="C1226" s="55" t="str">
        <f>IF(A1226&lt;&gt;"",INDEX('Base de données'!A$4:L$990,MATCH(' TVA M'!A1226,'Base de données'!A$4:A$990,0),12),"")</f>
        <v/>
      </c>
    </row>
    <row r="1227" spans="2:3" hidden="1" x14ac:dyDescent="0.25">
      <c r="B1227" s="55" t="str">
        <f>IF(A1227&lt;&gt;"",INDEX('Base de données'!A$4:L$990,MATCH(' TVA M'!A1227,'Base de données'!A$4:A$990,0),2),"")</f>
        <v/>
      </c>
      <c r="C1227" s="55" t="str">
        <f>IF(A1227&lt;&gt;"",INDEX('Base de données'!A$4:L$990,MATCH(' TVA M'!A1227,'Base de données'!A$4:A$990,0),12),"")</f>
        <v/>
      </c>
    </row>
    <row r="1228" spans="2:3" hidden="1" x14ac:dyDescent="0.25">
      <c r="B1228" s="55" t="str">
        <f>IF(A1228&lt;&gt;"",INDEX('Base de données'!A$4:L$990,MATCH(' TVA M'!A1228,'Base de données'!A$4:A$990,0),2),"")</f>
        <v/>
      </c>
      <c r="C1228" s="55" t="str">
        <f>IF(A1228&lt;&gt;"",INDEX('Base de données'!A$4:L$990,MATCH(' TVA M'!A1228,'Base de données'!A$4:A$990,0),12),"")</f>
        <v/>
      </c>
    </row>
    <row r="1229" spans="2:3" hidden="1" x14ac:dyDescent="0.25">
      <c r="B1229" s="55" t="str">
        <f>IF(A1229&lt;&gt;"",INDEX('Base de données'!A$4:L$990,MATCH(' TVA M'!A1229,'Base de données'!A$4:A$990,0),2),"")</f>
        <v/>
      </c>
      <c r="C1229" s="55" t="str">
        <f>IF(A1229&lt;&gt;"",INDEX('Base de données'!A$4:L$990,MATCH(' TVA M'!A1229,'Base de données'!A$4:A$990,0),12),"")</f>
        <v/>
      </c>
    </row>
    <row r="1230" spans="2:3" hidden="1" x14ac:dyDescent="0.25">
      <c r="B1230" s="55" t="str">
        <f>IF(A1230&lt;&gt;"",INDEX('Base de données'!A$4:L$990,MATCH(' TVA M'!A1230,'Base de données'!A$4:A$990,0),2),"")</f>
        <v/>
      </c>
      <c r="C1230" s="55" t="str">
        <f>IF(A1230&lt;&gt;"",INDEX('Base de données'!A$4:L$990,MATCH(' TVA M'!A1230,'Base de données'!A$4:A$990,0),12),"")</f>
        <v/>
      </c>
    </row>
    <row r="1231" spans="2:3" hidden="1" x14ac:dyDescent="0.25">
      <c r="B1231" s="55" t="str">
        <f>IF(A1231&lt;&gt;"",INDEX('Base de données'!A$4:L$990,MATCH(' TVA M'!A1231,'Base de données'!A$4:A$990,0),2),"")</f>
        <v/>
      </c>
      <c r="C1231" s="55" t="str">
        <f>IF(A1231&lt;&gt;"",INDEX('Base de données'!A$4:L$990,MATCH(' TVA M'!A1231,'Base de données'!A$4:A$990,0),12),"")</f>
        <v/>
      </c>
    </row>
    <row r="1232" spans="2:3" hidden="1" x14ac:dyDescent="0.25">
      <c r="B1232" s="55" t="str">
        <f>IF(A1232&lt;&gt;"",INDEX('Base de données'!A$4:L$990,MATCH(' TVA M'!A1232,'Base de données'!A$4:A$990,0),2),"")</f>
        <v/>
      </c>
      <c r="C1232" s="55" t="str">
        <f>IF(A1232&lt;&gt;"",INDEX('Base de données'!A$4:L$990,MATCH(' TVA M'!A1232,'Base de données'!A$4:A$990,0),12),"")</f>
        <v/>
      </c>
    </row>
    <row r="1233" spans="2:3" hidden="1" x14ac:dyDescent="0.25">
      <c r="B1233" s="55" t="str">
        <f>IF(A1233&lt;&gt;"",INDEX('Base de données'!A$4:L$990,MATCH(' TVA M'!A1233,'Base de données'!A$4:A$990,0),2),"")</f>
        <v/>
      </c>
      <c r="C1233" s="55" t="str">
        <f>IF(A1233&lt;&gt;"",INDEX('Base de données'!A$4:L$990,MATCH(' TVA M'!A1233,'Base de données'!A$4:A$990,0),12),"")</f>
        <v/>
      </c>
    </row>
    <row r="1234" spans="2:3" hidden="1" x14ac:dyDescent="0.25">
      <c r="B1234" s="55" t="str">
        <f>IF(A1234&lt;&gt;"",INDEX('Base de données'!A$4:L$990,MATCH(' TVA M'!A1234,'Base de données'!A$4:A$990,0),2),"")</f>
        <v/>
      </c>
      <c r="C1234" s="55" t="str">
        <f>IF(A1234&lt;&gt;"",INDEX('Base de données'!A$4:L$990,MATCH(' TVA M'!A1234,'Base de données'!A$4:A$990,0),12),"")</f>
        <v/>
      </c>
    </row>
    <row r="1235" spans="2:3" hidden="1" x14ac:dyDescent="0.25">
      <c r="B1235" s="55" t="str">
        <f>IF(A1235&lt;&gt;"",INDEX('Base de données'!A$4:L$990,MATCH(' TVA M'!A1235,'Base de données'!A$4:A$990,0),2),"")</f>
        <v/>
      </c>
      <c r="C1235" s="55" t="str">
        <f>IF(A1235&lt;&gt;"",INDEX('Base de données'!A$4:L$990,MATCH(' TVA M'!A1235,'Base de données'!A$4:A$990,0),12),"")</f>
        <v/>
      </c>
    </row>
    <row r="1236" spans="2:3" hidden="1" x14ac:dyDescent="0.25">
      <c r="B1236" s="55" t="str">
        <f>IF(A1236&lt;&gt;"",INDEX('Base de données'!A$4:L$990,MATCH(' TVA M'!A1236,'Base de données'!A$4:A$990,0),2),"")</f>
        <v/>
      </c>
      <c r="C1236" s="55" t="str">
        <f>IF(A1236&lt;&gt;"",INDEX('Base de données'!A$4:L$990,MATCH(' TVA M'!A1236,'Base de données'!A$4:A$990,0),12),"")</f>
        <v/>
      </c>
    </row>
    <row r="1237" spans="2:3" hidden="1" x14ac:dyDescent="0.25">
      <c r="B1237" s="55" t="str">
        <f>IF(A1237&lt;&gt;"",INDEX('Base de données'!A$4:L$990,MATCH(' TVA M'!A1237,'Base de données'!A$4:A$990,0),2),"")</f>
        <v/>
      </c>
      <c r="C1237" s="55" t="str">
        <f>IF(A1237&lt;&gt;"",INDEX('Base de données'!A$4:L$990,MATCH(' TVA M'!A1237,'Base de données'!A$4:A$990,0),12),"")</f>
        <v/>
      </c>
    </row>
    <row r="1238" spans="2:3" hidden="1" x14ac:dyDescent="0.25">
      <c r="B1238" s="55" t="str">
        <f>IF(A1238&lt;&gt;"",INDEX('Base de données'!A$4:L$990,MATCH(' TVA M'!A1238,'Base de données'!A$4:A$990,0),2),"")</f>
        <v/>
      </c>
      <c r="C1238" s="55" t="str">
        <f>IF(A1238&lt;&gt;"",INDEX('Base de données'!A$4:L$990,MATCH(' TVA M'!A1238,'Base de données'!A$4:A$990,0),12),"")</f>
        <v/>
      </c>
    </row>
    <row r="1239" spans="2:3" hidden="1" x14ac:dyDescent="0.25">
      <c r="B1239" s="55" t="str">
        <f>IF(A1239&lt;&gt;"",INDEX('Base de données'!A$4:L$990,MATCH(' TVA M'!A1239,'Base de données'!A$4:A$990,0),2),"")</f>
        <v/>
      </c>
      <c r="C1239" s="55" t="str">
        <f>IF(A1239&lt;&gt;"",INDEX('Base de données'!A$4:L$990,MATCH(' TVA M'!A1239,'Base de données'!A$4:A$990,0),12),"")</f>
        <v/>
      </c>
    </row>
    <row r="1240" spans="2:3" hidden="1" x14ac:dyDescent="0.25">
      <c r="B1240" s="55" t="str">
        <f>IF(A1240&lt;&gt;"",INDEX('Base de données'!A$4:L$990,MATCH(' TVA M'!A1240,'Base de données'!A$4:A$990,0),2),"")</f>
        <v/>
      </c>
      <c r="C1240" s="55" t="str">
        <f>IF(A1240&lt;&gt;"",INDEX('Base de données'!A$4:L$990,MATCH(' TVA M'!A1240,'Base de données'!A$4:A$990,0),12),"")</f>
        <v/>
      </c>
    </row>
    <row r="1241" spans="2:3" hidden="1" x14ac:dyDescent="0.25">
      <c r="B1241" s="55" t="str">
        <f>IF(A1241&lt;&gt;"",INDEX('Base de données'!A$4:L$990,MATCH(' TVA M'!A1241,'Base de données'!A$4:A$990,0),2),"")</f>
        <v/>
      </c>
      <c r="C1241" s="55" t="str">
        <f>IF(A1241&lt;&gt;"",INDEX('Base de données'!A$4:L$990,MATCH(' TVA M'!A1241,'Base de données'!A$4:A$990,0),12),"")</f>
        <v/>
      </c>
    </row>
    <row r="1242" spans="2:3" hidden="1" x14ac:dyDescent="0.25">
      <c r="B1242" s="55" t="str">
        <f>IF(A1242&lt;&gt;"",INDEX('Base de données'!A$4:L$990,MATCH(' TVA M'!A1242,'Base de données'!A$4:A$990,0),2),"")</f>
        <v/>
      </c>
      <c r="C1242" s="55" t="str">
        <f>IF(A1242&lt;&gt;"",INDEX('Base de données'!A$4:L$990,MATCH(' TVA M'!A1242,'Base de données'!A$4:A$990,0),12),"")</f>
        <v/>
      </c>
    </row>
    <row r="1243" spans="2:3" hidden="1" x14ac:dyDescent="0.25">
      <c r="B1243" s="55" t="str">
        <f>IF(A1243&lt;&gt;"",INDEX('Base de données'!A$4:L$990,MATCH(' TVA M'!A1243,'Base de données'!A$4:A$990,0),2),"")</f>
        <v/>
      </c>
      <c r="C1243" s="55" t="str">
        <f>IF(A1243&lt;&gt;"",INDEX('Base de données'!A$4:L$990,MATCH(' TVA M'!A1243,'Base de données'!A$4:A$990,0),12),"")</f>
        <v/>
      </c>
    </row>
    <row r="1244" spans="2:3" hidden="1" x14ac:dyDescent="0.25">
      <c r="B1244" s="55" t="str">
        <f>IF(A1244&lt;&gt;"",INDEX('Base de données'!A$4:L$990,MATCH(' TVA M'!A1244,'Base de données'!A$4:A$990,0),2),"")</f>
        <v/>
      </c>
      <c r="C1244" s="55" t="str">
        <f>IF(A1244&lt;&gt;"",INDEX('Base de données'!A$4:L$990,MATCH(' TVA M'!A1244,'Base de données'!A$4:A$990,0),12),"")</f>
        <v/>
      </c>
    </row>
    <row r="1245" spans="2:3" hidden="1" x14ac:dyDescent="0.25">
      <c r="B1245" s="55" t="str">
        <f>IF(A1245&lt;&gt;"",INDEX('Base de données'!A$4:L$990,MATCH(' TVA M'!A1245,'Base de données'!A$4:A$990,0),2),"")</f>
        <v/>
      </c>
      <c r="C1245" s="55" t="str">
        <f>IF(A1245&lt;&gt;"",INDEX('Base de données'!A$4:L$990,MATCH(' TVA M'!A1245,'Base de données'!A$4:A$990,0),12),"")</f>
        <v/>
      </c>
    </row>
    <row r="1246" spans="2:3" hidden="1" x14ac:dyDescent="0.25">
      <c r="B1246" s="55" t="str">
        <f>IF(A1246&lt;&gt;"",INDEX('Base de données'!A$4:L$990,MATCH(' TVA M'!A1246,'Base de données'!A$4:A$990,0),2),"")</f>
        <v/>
      </c>
      <c r="C1246" s="55" t="str">
        <f>IF(A1246&lt;&gt;"",INDEX('Base de données'!A$4:L$990,MATCH(' TVA M'!A1246,'Base de données'!A$4:A$990,0),12),"")</f>
        <v/>
      </c>
    </row>
    <row r="1247" spans="2:3" hidden="1" x14ac:dyDescent="0.25">
      <c r="B1247" s="55" t="str">
        <f>IF(A1247&lt;&gt;"",INDEX('Base de données'!A$4:L$990,MATCH(' TVA M'!A1247,'Base de données'!A$4:A$990,0),2),"")</f>
        <v/>
      </c>
      <c r="C1247" s="55" t="str">
        <f>IF(A1247&lt;&gt;"",INDEX('Base de données'!A$4:L$990,MATCH(' TVA M'!A1247,'Base de données'!A$4:A$990,0),12),"")</f>
        <v/>
      </c>
    </row>
    <row r="1248" spans="2:3" hidden="1" x14ac:dyDescent="0.25">
      <c r="B1248" s="55" t="str">
        <f>IF(A1248&lt;&gt;"",INDEX('Base de données'!A$4:L$990,MATCH(' TVA M'!A1248,'Base de données'!A$4:A$990,0),2),"")</f>
        <v/>
      </c>
      <c r="C1248" s="55" t="str">
        <f>IF(A1248&lt;&gt;"",INDEX('Base de données'!A$4:L$990,MATCH(' TVA M'!A1248,'Base de données'!A$4:A$990,0),12),"")</f>
        <v/>
      </c>
    </row>
    <row r="1249" spans="2:3" hidden="1" x14ac:dyDescent="0.25">
      <c r="B1249" s="55" t="str">
        <f>IF(A1249&lt;&gt;"",INDEX('Base de données'!A$4:L$990,MATCH(' TVA M'!A1249,'Base de données'!A$4:A$990,0),2),"")</f>
        <v/>
      </c>
      <c r="C1249" s="55" t="str">
        <f>IF(A1249&lt;&gt;"",INDEX('Base de données'!A$4:L$990,MATCH(' TVA M'!A1249,'Base de données'!A$4:A$990,0),12),"")</f>
        <v/>
      </c>
    </row>
    <row r="1250" spans="2:3" hidden="1" x14ac:dyDescent="0.25">
      <c r="B1250" s="55" t="str">
        <f>IF(A1250&lt;&gt;"",INDEX('Base de données'!A$4:L$990,MATCH(' TVA M'!A1250,'Base de données'!A$4:A$990,0),2),"")</f>
        <v/>
      </c>
      <c r="C1250" s="55" t="str">
        <f>IF(A1250&lt;&gt;"",INDEX('Base de données'!A$4:L$990,MATCH(' TVA M'!A1250,'Base de données'!A$4:A$990,0),12),"")</f>
        <v/>
      </c>
    </row>
    <row r="1251" spans="2:3" hidden="1" x14ac:dyDescent="0.25">
      <c r="B1251" s="55" t="str">
        <f>IF(A1251&lt;&gt;"",INDEX('Base de données'!A$4:L$990,MATCH(' TVA M'!A1251,'Base de données'!A$4:A$990,0),2),"")</f>
        <v/>
      </c>
      <c r="C1251" s="55" t="str">
        <f>IF(A1251&lt;&gt;"",INDEX('Base de données'!A$4:L$990,MATCH(' TVA M'!A1251,'Base de données'!A$4:A$990,0),12),"")</f>
        <v/>
      </c>
    </row>
    <row r="1252" spans="2:3" hidden="1" x14ac:dyDescent="0.25">
      <c r="B1252" s="55" t="str">
        <f>IF(A1252&lt;&gt;"",INDEX('Base de données'!A$4:L$990,MATCH(' TVA M'!A1252,'Base de données'!A$4:A$990,0),2),"")</f>
        <v/>
      </c>
      <c r="C1252" s="55" t="str">
        <f>IF(A1252&lt;&gt;"",INDEX('Base de données'!A$4:L$990,MATCH(' TVA M'!A1252,'Base de données'!A$4:A$990,0),12),"")</f>
        <v/>
      </c>
    </row>
    <row r="1253" spans="2:3" hidden="1" x14ac:dyDescent="0.25">
      <c r="B1253" s="55" t="str">
        <f>IF(A1253&lt;&gt;"",INDEX('Base de données'!A$4:L$990,MATCH(' TVA M'!A1253,'Base de données'!A$4:A$990,0),2),"")</f>
        <v/>
      </c>
      <c r="C1253" s="55" t="str">
        <f>IF(A1253&lt;&gt;"",INDEX('Base de données'!A$4:L$990,MATCH(' TVA M'!A1253,'Base de données'!A$4:A$990,0),12),"")</f>
        <v/>
      </c>
    </row>
    <row r="1254" spans="2:3" hidden="1" x14ac:dyDescent="0.25">
      <c r="B1254" s="55" t="str">
        <f>IF(A1254&lt;&gt;"",INDEX('Base de données'!A$4:L$990,MATCH(' TVA M'!A1254,'Base de données'!A$4:A$990,0),2),"")</f>
        <v/>
      </c>
      <c r="C1254" s="55" t="str">
        <f>IF(A1254&lt;&gt;"",INDEX('Base de données'!A$4:L$990,MATCH(' TVA M'!A1254,'Base de données'!A$4:A$990,0),12),"")</f>
        <v/>
      </c>
    </row>
    <row r="1255" spans="2:3" hidden="1" x14ac:dyDescent="0.25">
      <c r="B1255" s="55" t="str">
        <f>IF(A1255&lt;&gt;"",INDEX('Base de données'!A$4:L$990,MATCH(' TVA M'!A1255,'Base de données'!A$4:A$990,0),2),"")</f>
        <v/>
      </c>
      <c r="C1255" s="55" t="str">
        <f>IF(A1255&lt;&gt;"",INDEX('Base de données'!A$4:L$990,MATCH(' TVA M'!A1255,'Base de données'!A$4:A$990,0),12),"")</f>
        <v/>
      </c>
    </row>
    <row r="1256" spans="2:3" hidden="1" x14ac:dyDescent="0.25">
      <c r="B1256" s="55" t="str">
        <f>IF(A1256&lt;&gt;"",INDEX('Base de données'!A$4:L$990,MATCH(' TVA M'!A1256,'Base de données'!A$4:A$990,0),2),"")</f>
        <v/>
      </c>
      <c r="C1256" s="55" t="str">
        <f>IF(A1256&lt;&gt;"",INDEX('Base de données'!A$4:L$990,MATCH(' TVA M'!A1256,'Base de données'!A$4:A$990,0),12),"")</f>
        <v/>
      </c>
    </row>
    <row r="1257" spans="2:3" hidden="1" x14ac:dyDescent="0.25">
      <c r="B1257" s="55" t="str">
        <f>IF(A1257&lt;&gt;"",INDEX('Base de données'!A$4:L$990,MATCH(' TVA M'!A1257,'Base de données'!A$4:A$990,0),2),"")</f>
        <v/>
      </c>
      <c r="C1257" s="55" t="str">
        <f>IF(A1257&lt;&gt;"",INDEX('Base de données'!A$4:L$990,MATCH(' TVA M'!A1257,'Base de données'!A$4:A$990,0),12),"")</f>
        <v/>
      </c>
    </row>
    <row r="1258" spans="2:3" hidden="1" x14ac:dyDescent="0.25">
      <c r="B1258" s="55" t="str">
        <f>IF(A1258&lt;&gt;"",INDEX('Base de données'!A$4:L$990,MATCH(' TVA M'!A1258,'Base de données'!A$4:A$990,0),2),"")</f>
        <v/>
      </c>
      <c r="C1258" s="55" t="str">
        <f>IF(A1258&lt;&gt;"",INDEX('Base de données'!A$4:L$990,MATCH(' TVA M'!A1258,'Base de données'!A$4:A$990,0),12),"")</f>
        <v/>
      </c>
    </row>
    <row r="1259" spans="2:3" hidden="1" x14ac:dyDescent="0.25">
      <c r="B1259" s="55" t="str">
        <f>IF(A1259&lt;&gt;"",INDEX('Base de données'!A$4:L$990,MATCH(' TVA M'!A1259,'Base de données'!A$4:A$990,0),2),"")</f>
        <v/>
      </c>
      <c r="C1259" s="55" t="str">
        <f>IF(A1259&lt;&gt;"",INDEX('Base de données'!A$4:L$990,MATCH(' TVA M'!A1259,'Base de données'!A$4:A$990,0),12),"")</f>
        <v/>
      </c>
    </row>
    <row r="1260" spans="2:3" hidden="1" x14ac:dyDescent="0.25">
      <c r="B1260" s="55" t="str">
        <f>IF(A1260&lt;&gt;"",INDEX('Base de données'!A$4:L$990,MATCH(' TVA M'!A1260,'Base de données'!A$4:A$990,0),2),"")</f>
        <v/>
      </c>
      <c r="C1260" s="55" t="str">
        <f>IF(A1260&lt;&gt;"",INDEX('Base de données'!A$4:L$990,MATCH(' TVA M'!A1260,'Base de données'!A$4:A$990,0),12),"")</f>
        <v/>
      </c>
    </row>
    <row r="1261" spans="2:3" hidden="1" x14ac:dyDescent="0.25">
      <c r="B1261" s="55" t="str">
        <f>IF(A1261&lt;&gt;"",INDEX('Base de données'!A$4:L$990,MATCH(' TVA M'!A1261,'Base de données'!A$4:A$990,0),2),"")</f>
        <v/>
      </c>
      <c r="C1261" s="55" t="str">
        <f>IF(A1261&lt;&gt;"",INDEX('Base de données'!A$4:L$990,MATCH(' TVA M'!A1261,'Base de données'!A$4:A$990,0),12),"")</f>
        <v/>
      </c>
    </row>
    <row r="1262" spans="2:3" hidden="1" x14ac:dyDescent="0.25">
      <c r="B1262" s="55" t="str">
        <f>IF(A1262&lt;&gt;"",INDEX('Base de données'!A$4:L$990,MATCH(' TVA M'!A1262,'Base de données'!A$4:A$990,0),2),"")</f>
        <v/>
      </c>
      <c r="C1262" s="55" t="str">
        <f>IF(A1262&lt;&gt;"",INDEX('Base de données'!A$4:L$990,MATCH(' TVA M'!A1262,'Base de données'!A$4:A$990,0),12),"")</f>
        <v/>
      </c>
    </row>
    <row r="1263" spans="2:3" hidden="1" x14ac:dyDescent="0.25">
      <c r="B1263" s="55" t="str">
        <f>IF(A1263&lt;&gt;"",INDEX('Base de données'!A$4:L$990,MATCH(' TVA M'!A1263,'Base de données'!A$4:A$990,0),2),"")</f>
        <v/>
      </c>
      <c r="C1263" s="55" t="str">
        <f>IF(A1263&lt;&gt;"",INDEX('Base de données'!A$4:L$990,MATCH(' TVA M'!A1263,'Base de données'!A$4:A$990,0),12),"")</f>
        <v/>
      </c>
    </row>
    <row r="1264" spans="2:3" hidden="1" x14ac:dyDescent="0.25">
      <c r="B1264" s="55" t="str">
        <f>IF(A1264&lt;&gt;"",INDEX('Base de données'!A$4:L$990,MATCH(' TVA M'!A1264,'Base de données'!A$4:A$990,0),2),"")</f>
        <v/>
      </c>
      <c r="C1264" s="55" t="str">
        <f>IF(A1264&lt;&gt;"",INDEX('Base de données'!A$4:L$990,MATCH(' TVA M'!A1264,'Base de données'!A$4:A$990,0),12),"")</f>
        <v/>
      </c>
    </row>
    <row r="1265" spans="2:3" hidden="1" x14ac:dyDescent="0.25">
      <c r="B1265" s="55" t="str">
        <f>IF(A1265&lt;&gt;"",INDEX('Base de données'!A$4:L$990,MATCH(' TVA M'!A1265,'Base de données'!A$4:A$990,0),2),"")</f>
        <v/>
      </c>
      <c r="C1265" s="55" t="str">
        <f>IF(A1265&lt;&gt;"",INDEX('Base de données'!A$4:L$990,MATCH(' TVA M'!A1265,'Base de données'!A$4:A$990,0),12),"")</f>
        <v/>
      </c>
    </row>
    <row r="1266" spans="2:3" hidden="1" x14ac:dyDescent="0.25">
      <c r="B1266" s="55" t="str">
        <f>IF(A1266&lt;&gt;"",INDEX('Base de données'!A$4:L$990,MATCH(' TVA M'!A1266,'Base de données'!A$4:A$990,0),2),"")</f>
        <v/>
      </c>
      <c r="C1266" s="55" t="str">
        <f>IF(A1266&lt;&gt;"",INDEX('Base de données'!A$4:L$990,MATCH(' TVA M'!A1266,'Base de données'!A$4:A$990,0),12),"")</f>
        <v/>
      </c>
    </row>
    <row r="1267" spans="2:3" hidden="1" x14ac:dyDescent="0.25">
      <c r="B1267" s="55" t="str">
        <f>IF(A1267&lt;&gt;"",INDEX('Base de données'!A$4:L$990,MATCH(' TVA M'!A1267,'Base de données'!A$4:A$990,0),2),"")</f>
        <v/>
      </c>
      <c r="C1267" s="55" t="str">
        <f>IF(A1267&lt;&gt;"",INDEX('Base de données'!A$4:L$990,MATCH(' TVA M'!A1267,'Base de données'!A$4:A$990,0),12),"")</f>
        <v/>
      </c>
    </row>
    <row r="1268" spans="2:3" hidden="1" x14ac:dyDescent="0.25">
      <c r="B1268" s="55" t="str">
        <f>IF(A1268&lt;&gt;"",INDEX('Base de données'!A$4:L$990,MATCH(' TVA M'!A1268,'Base de données'!A$4:A$990,0),2),"")</f>
        <v/>
      </c>
      <c r="C1268" s="55" t="str">
        <f>IF(A1268&lt;&gt;"",INDEX('Base de données'!A$4:L$990,MATCH(' TVA M'!A1268,'Base de données'!A$4:A$990,0),12),"")</f>
        <v/>
      </c>
    </row>
    <row r="1269" spans="2:3" hidden="1" x14ac:dyDescent="0.25">
      <c r="B1269" s="55" t="str">
        <f>IF(A1269&lt;&gt;"",INDEX('Base de données'!A$4:L$990,MATCH(' TVA M'!A1269,'Base de données'!A$4:A$990,0),2),"")</f>
        <v/>
      </c>
      <c r="C1269" s="55" t="str">
        <f>IF(A1269&lt;&gt;"",INDEX('Base de données'!A$4:L$990,MATCH(' TVA M'!A1269,'Base de données'!A$4:A$990,0),12),"")</f>
        <v/>
      </c>
    </row>
    <row r="1270" spans="2:3" hidden="1" x14ac:dyDescent="0.25">
      <c r="B1270" s="55" t="str">
        <f>IF(A1270&lt;&gt;"",INDEX('Base de données'!A$4:L$990,MATCH(' TVA M'!A1270,'Base de données'!A$4:A$990,0),2),"")</f>
        <v/>
      </c>
      <c r="C1270" s="55" t="str">
        <f>IF(A1270&lt;&gt;"",INDEX('Base de données'!A$4:L$990,MATCH(' TVA M'!A1270,'Base de données'!A$4:A$990,0),12),"")</f>
        <v/>
      </c>
    </row>
    <row r="1271" spans="2:3" hidden="1" x14ac:dyDescent="0.25">
      <c r="B1271" s="55" t="str">
        <f>IF(A1271&lt;&gt;"",INDEX('Base de données'!A$4:L$990,MATCH(' TVA M'!A1271,'Base de données'!A$4:A$990,0),2),"")</f>
        <v/>
      </c>
      <c r="C1271" s="55" t="str">
        <f>IF(A1271&lt;&gt;"",INDEX('Base de données'!A$4:L$990,MATCH(' TVA M'!A1271,'Base de données'!A$4:A$990,0),12),"")</f>
        <v/>
      </c>
    </row>
    <row r="1272" spans="2:3" hidden="1" x14ac:dyDescent="0.25">
      <c r="B1272" s="55" t="str">
        <f>IF(A1272&lt;&gt;"",INDEX('Base de données'!A$4:L$990,MATCH(' TVA M'!A1272,'Base de données'!A$4:A$990,0),2),"")</f>
        <v/>
      </c>
      <c r="C1272" s="55" t="str">
        <f>IF(A1272&lt;&gt;"",INDEX('Base de données'!A$4:L$990,MATCH(' TVA M'!A1272,'Base de données'!A$4:A$990,0),12),"")</f>
        <v/>
      </c>
    </row>
    <row r="1273" spans="2:3" hidden="1" x14ac:dyDescent="0.25">
      <c r="B1273" s="55" t="str">
        <f>IF(A1273&lt;&gt;"",INDEX('Base de données'!A$4:L$990,MATCH(' TVA M'!A1273,'Base de données'!A$4:A$990,0),2),"")</f>
        <v/>
      </c>
      <c r="C1273" s="55" t="str">
        <f>IF(A1273&lt;&gt;"",INDEX('Base de données'!A$4:L$990,MATCH(' TVA M'!A1273,'Base de données'!A$4:A$990,0),12),"")</f>
        <v/>
      </c>
    </row>
    <row r="1274" spans="2:3" hidden="1" x14ac:dyDescent="0.25">
      <c r="B1274" s="55" t="str">
        <f>IF(A1274&lt;&gt;"",INDEX('Base de données'!A$4:L$990,MATCH(' TVA M'!A1274,'Base de données'!A$4:A$990,0),2),"")</f>
        <v/>
      </c>
      <c r="C1274" s="55" t="str">
        <f>IF(A1274&lt;&gt;"",INDEX('Base de données'!A$4:L$990,MATCH(' TVA M'!A1274,'Base de données'!A$4:A$990,0),12),"")</f>
        <v/>
      </c>
    </row>
    <row r="1275" spans="2:3" hidden="1" x14ac:dyDescent="0.25">
      <c r="B1275" s="55" t="str">
        <f>IF(A1275&lt;&gt;"",INDEX('Base de données'!A$4:L$990,MATCH(' TVA M'!A1275,'Base de données'!A$4:A$990,0),2),"")</f>
        <v/>
      </c>
      <c r="C1275" s="55" t="str">
        <f>IF(A1275&lt;&gt;"",INDEX('Base de données'!A$4:L$990,MATCH(' TVA M'!A1275,'Base de données'!A$4:A$990,0),12),"")</f>
        <v/>
      </c>
    </row>
    <row r="1276" spans="2:3" hidden="1" x14ac:dyDescent="0.25">
      <c r="B1276" s="55" t="str">
        <f>IF(A1276&lt;&gt;"",INDEX('Base de données'!A$4:L$990,MATCH(' TVA M'!A1276,'Base de données'!A$4:A$990,0),2),"")</f>
        <v/>
      </c>
      <c r="C1276" s="55" t="str">
        <f>IF(A1276&lt;&gt;"",INDEX('Base de données'!A$4:L$990,MATCH(' TVA M'!A1276,'Base de données'!A$4:A$990,0),12),"")</f>
        <v/>
      </c>
    </row>
    <row r="1277" spans="2:3" hidden="1" x14ac:dyDescent="0.25">
      <c r="B1277" s="55" t="str">
        <f>IF(A1277&lt;&gt;"",INDEX('Base de données'!A$4:L$990,MATCH(' TVA M'!A1277,'Base de données'!A$4:A$990,0),2),"")</f>
        <v/>
      </c>
      <c r="C1277" s="55" t="str">
        <f>IF(A1277&lt;&gt;"",INDEX('Base de données'!A$4:L$990,MATCH(' TVA M'!A1277,'Base de données'!A$4:A$990,0),12),"")</f>
        <v/>
      </c>
    </row>
    <row r="1278" spans="2:3" hidden="1" x14ac:dyDescent="0.25">
      <c r="B1278" s="55" t="str">
        <f>IF(A1278&lt;&gt;"",INDEX('Base de données'!A$4:L$990,MATCH(' TVA M'!A1278,'Base de données'!A$4:A$990,0),2),"")</f>
        <v/>
      </c>
      <c r="C1278" s="55" t="str">
        <f>IF(A1278&lt;&gt;"",INDEX('Base de données'!A$4:L$990,MATCH(' TVA M'!A1278,'Base de données'!A$4:A$990,0),12),"")</f>
        <v/>
      </c>
    </row>
    <row r="1279" spans="2:3" hidden="1" x14ac:dyDescent="0.25">
      <c r="B1279" s="55" t="str">
        <f>IF(A1279&lt;&gt;"",INDEX('Base de données'!A$4:L$990,MATCH(' TVA M'!A1279,'Base de données'!A$4:A$990,0),2),"")</f>
        <v/>
      </c>
      <c r="C1279" s="55" t="str">
        <f>IF(A1279&lt;&gt;"",INDEX('Base de données'!A$4:L$990,MATCH(' TVA M'!A1279,'Base de données'!A$4:A$990,0),12),"")</f>
        <v/>
      </c>
    </row>
    <row r="1280" spans="2:3" hidden="1" x14ac:dyDescent="0.25">
      <c r="B1280" s="55" t="str">
        <f>IF(A1280&lt;&gt;"",INDEX('Base de données'!A$4:L$990,MATCH(' TVA M'!A1280,'Base de données'!A$4:A$990,0),2),"")</f>
        <v/>
      </c>
      <c r="C1280" s="55" t="str">
        <f>IF(A1280&lt;&gt;"",INDEX('Base de données'!A$4:L$990,MATCH(' TVA M'!A1280,'Base de données'!A$4:A$990,0),12),"")</f>
        <v/>
      </c>
    </row>
    <row r="1281" spans="2:3" hidden="1" x14ac:dyDescent="0.25">
      <c r="B1281" s="55" t="str">
        <f>IF(A1281&lt;&gt;"",INDEX('Base de données'!A$4:L$990,MATCH(' TVA M'!A1281,'Base de données'!A$4:A$990,0),2),"")</f>
        <v/>
      </c>
      <c r="C1281" s="55" t="str">
        <f>IF(A1281&lt;&gt;"",INDEX('Base de données'!A$4:L$990,MATCH(' TVA M'!A1281,'Base de données'!A$4:A$990,0),12),"")</f>
        <v/>
      </c>
    </row>
    <row r="1282" spans="2:3" hidden="1" x14ac:dyDescent="0.25">
      <c r="B1282" s="55" t="str">
        <f>IF(A1282&lt;&gt;"",INDEX('Base de données'!A$4:L$990,MATCH(' TVA M'!A1282,'Base de données'!A$4:A$990,0),2),"")</f>
        <v/>
      </c>
      <c r="C1282" s="55" t="str">
        <f>IF(A1282&lt;&gt;"",INDEX('Base de données'!A$4:L$990,MATCH(' TVA M'!A1282,'Base de données'!A$4:A$990,0),12),"")</f>
        <v/>
      </c>
    </row>
    <row r="1283" spans="2:3" hidden="1" x14ac:dyDescent="0.25">
      <c r="B1283" s="55" t="str">
        <f>IF(A1283&lt;&gt;"",INDEX('Base de données'!A$4:L$990,MATCH(' TVA M'!A1283,'Base de données'!A$4:A$990,0),2),"")</f>
        <v/>
      </c>
      <c r="C1283" s="55" t="str">
        <f>IF(A1283&lt;&gt;"",INDEX('Base de données'!A$4:L$990,MATCH(' TVA M'!A1283,'Base de données'!A$4:A$990,0),12),"")</f>
        <v/>
      </c>
    </row>
    <row r="1284" spans="2:3" hidden="1" x14ac:dyDescent="0.25">
      <c r="B1284" s="55" t="str">
        <f>IF(A1284&lt;&gt;"",INDEX('Base de données'!A$4:L$990,MATCH(' TVA M'!A1284,'Base de données'!A$4:A$990,0),2),"")</f>
        <v/>
      </c>
      <c r="C1284" s="55" t="str">
        <f>IF(A1284&lt;&gt;"",INDEX('Base de données'!A$4:L$990,MATCH(' TVA M'!A1284,'Base de données'!A$4:A$990,0),12),"")</f>
        <v/>
      </c>
    </row>
    <row r="1285" spans="2:3" hidden="1" x14ac:dyDescent="0.25">
      <c r="B1285" s="55" t="str">
        <f>IF(A1285&lt;&gt;"",INDEX('Base de données'!A$4:L$990,MATCH(' TVA M'!A1285,'Base de données'!A$4:A$990,0),2),"")</f>
        <v/>
      </c>
      <c r="C1285" s="55" t="str">
        <f>IF(A1285&lt;&gt;"",INDEX('Base de données'!A$4:L$990,MATCH(' TVA M'!A1285,'Base de données'!A$4:A$990,0),12),"")</f>
        <v/>
      </c>
    </row>
    <row r="1286" spans="2:3" hidden="1" x14ac:dyDescent="0.25">
      <c r="B1286" s="55" t="str">
        <f>IF(A1286&lt;&gt;"",INDEX('Base de données'!A$4:L$990,MATCH(' TVA M'!A1286,'Base de données'!A$4:A$990,0),2),"")</f>
        <v/>
      </c>
      <c r="C1286" s="55" t="str">
        <f>IF(A1286&lt;&gt;"",INDEX('Base de données'!A$4:L$990,MATCH(' TVA M'!A1286,'Base de données'!A$4:A$990,0),12),"")</f>
        <v/>
      </c>
    </row>
    <row r="1287" spans="2:3" hidden="1" x14ac:dyDescent="0.25">
      <c r="B1287" s="55" t="str">
        <f>IF(A1287&lt;&gt;"",INDEX('Base de données'!A$4:L$990,MATCH(' TVA M'!A1287,'Base de données'!A$4:A$990,0),2),"")</f>
        <v/>
      </c>
      <c r="C1287" s="55" t="str">
        <f>IF(A1287&lt;&gt;"",INDEX('Base de données'!A$4:L$990,MATCH(' TVA M'!A1287,'Base de données'!A$4:A$990,0),12),"")</f>
        <v/>
      </c>
    </row>
    <row r="1288" spans="2:3" hidden="1" x14ac:dyDescent="0.25">
      <c r="B1288" s="55" t="str">
        <f>IF(A1288&lt;&gt;"",INDEX('Base de données'!A$4:L$990,MATCH(' TVA M'!A1288,'Base de données'!A$4:A$990,0),2),"")</f>
        <v/>
      </c>
      <c r="C1288" s="55" t="str">
        <f>IF(A1288&lt;&gt;"",INDEX('Base de données'!A$4:L$990,MATCH(' TVA M'!A1288,'Base de données'!A$4:A$990,0),12),"")</f>
        <v/>
      </c>
    </row>
    <row r="1289" spans="2:3" hidden="1" x14ac:dyDescent="0.25">
      <c r="B1289" s="55" t="str">
        <f>IF(A1289&lt;&gt;"",INDEX('Base de données'!A$4:L$990,MATCH(' TVA M'!A1289,'Base de données'!A$4:A$990,0),2),"")</f>
        <v/>
      </c>
      <c r="C1289" s="55" t="str">
        <f>IF(A1289&lt;&gt;"",INDEX('Base de données'!A$4:L$990,MATCH(' TVA M'!A1289,'Base de données'!A$4:A$990,0),12),"")</f>
        <v/>
      </c>
    </row>
    <row r="1290" spans="2:3" hidden="1" x14ac:dyDescent="0.25">
      <c r="B1290" s="55" t="str">
        <f>IF(A1290&lt;&gt;"",INDEX('Base de données'!A$4:L$990,MATCH(' TVA M'!A1290,'Base de données'!A$4:A$990,0),2),"")</f>
        <v/>
      </c>
      <c r="C1290" s="55" t="str">
        <f>IF(A1290&lt;&gt;"",INDEX('Base de données'!A$4:L$990,MATCH(' TVA M'!A1290,'Base de données'!A$4:A$990,0),12),"")</f>
        <v/>
      </c>
    </row>
    <row r="1291" spans="2:3" hidden="1" x14ac:dyDescent="0.25">
      <c r="B1291" s="55" t="str">
        <f>IF(A1291&lt;&gt;"",INDEX('Base de données'!A$4:L$990,MATCH(' TVA M'!A1291,'Base de données'!A$4:A$990,0),2),"")</f>
        <v/>
      </c>
      <c r="C1291" s="55" t="str">
        <f>IF(A1291&lt;&gt;"",INDEX('Base de données'!A$4:L$990,MATCH(' TVA M'!A1291,'Base de données'!A$4:A$990,0),12),"")</f>
        <v/>
      </c>
    </row>
    <row r="1292" spans="2:3" hidden="1" x14ac:dyDescent="0.25">
      <c r="B1292" s="55" t="str">
        <f>IF(A1292&lt;&gt;"",INDEX('Base de données'!A$4:L$990,MATCH(' TVA M'!A1292,'Base de données'!A$4:A$990,0),2),"")</f>
        <v/>
      </c>
      <c r="C1292" s="55" t="str">
        <f>IF(A1292&lt;&gt;"",INDEX('Base de données'!A$4:L$990,MATCH(' TVA M'!A1292,'Base de données'!A$4:A$990,0),12),"")</f>
        <v/>
      </c>
    </row>
    <row r="1293" spans="2:3" hidden="1" x14ac:dyDescent="0.25">
      <c r="B1293" s="55" t="str">
        <f>IF(A1293&lt;&gt;"",INDEX('Base de données'!A$4:L$990,MATCH(' TVA M'!A1293,'Base de données'!A$4:A$990,0),2),"")</f>
        <v/>
      </c>
      <c r="C1293" s="55" t="str">
        <f>IF(A1293&lt;&gt;"",INDEX('Base de données'!A$4:L$990,MATCH(' TVA M'!A1293,'Base de données'!A$4:A$990,0),12),"")</f>
        <v/>
      </c>
    </row>
    <row r="1294" spans="2:3" hidden="1" x14ac:dyDescent="0.25">
      <c r="B1294" s="55" t="str">
        <f>IF(A1294&lt;&gt;"",INDEX('Base de données'!A$4:L$990,MATCH(' TVA M'!A1294,'Base de données'!A$4:A$990,0),2),"")</f>
        <v/>
      </c>
      <c r="C1294" s="55" t="str">
        <f>IF(A1294&lt;&gt;"",INDEX('Base de données'!A$4:L$990,MATCH(' TVA M'!A1294,'Base de données'!A$4:A$990,0),12),"")</f>
        <v/>
      </c>
    </row>
    <row r="1295" spans="2:3" hidden="1" x14ac:dyDescent="0.25">
      <c r="B1295" s="55" t="str">
        <f>IF(A1295&lt;&gt;"",INDEX('Base de données'!A$4:L$990,MATCH(' TVA M'!A1295,'Base de données'!A$4:A$990,0),2),"")</f>
        <v/>
      </c>
      <c r="C1295" s="55" t="str">
        <f>IF(A1295&lt;&gt;"",INDEX('Base de données'!A$4:L$990,MATCH(' TVA M'!A1295,'Base de données'!A$4:A$990,0),12),"")</f>
        <v/>
      </c>
    </row>
    <row r="1296" spans="2:3" hidden="1" x14ac:dyDescent="0.25">
      <c r="B1296" s="55" t="str">
        <f>IF(A1296&lt;&gt;"",INDEX('Base de données'!A$4:L$990,MATCH(' TVA M'!A1296,'Base de données'!A$4:A$990,0),2),"")</f>
        <v/>
      </c>
      <c r="C1296" s="55" t="str">
        <f>IF(A1296&lt;&gt;"",INDEX('Base de données'!A$4:L$990,MATCH(' TVA M'!A1296,'Base de données'!A$4:A$990,0),12),"")</f>
        <v/>
      </c>
    </row>
    <row r="1297" spans="2:3" hidden="1" x14ac:dyDescent="0.25">
      <c r="B1297" s="55" t="str">
        <f>IF(A1297&lt;&gt;"",INDEX('Base de données'!A$4:L$990,MATCH(' TVA M'!A1297,'Base de données'!A$4:A$990,0),2),"")</f>
        <v/>
      </c>
      <c r="C1297" s="55" t="str">
        <f>IF(A1297&lt;&gt;"",INDEX('Base de données'!A$4:L$990,MATCH(' TVA M'!A1297,'Base de données'!A$4:A$990,0),12),"")</f>
        <v/>
      </c>
    </row>
    <row r="1298" spans="2:3" hidden="1" x14ac:dyDescent="0.25">
      <c r="B1298" s="55" t="str">
        <f>IF(A1298&lt;&gt;"",INDEX('Base de données'!A$4:L$990,MATCH(' TVA M'!A1298,'Base de données'!A$4:A$990,0),2),"")</f>
        <v/>
      </c>
      <c r="C1298" s="55" t="str">
        <f>IF(A1298&lt;&gt;"",INDEX('Base de données'!A$4:L$990,MATCH(' TVA M'!A1298,'Base de données'!A$4:A$990,0),12),"")</f>
        <v/>
      </c>
    </row>
    <row r="1299" spans="2:3" hidden="1" x14ac:dyDescent="0.25">
      <c r="B1299" s="55" t="str">
        <f>IF(A1299&lt;&gt;"",INDEX('Base de données'!A$4:L$990,MATCH(' TVA M'!A1299,'Base de données'!A$4:A$990,0),2),"")</f>
        <v/>
      </c>
      <c r="C1299" s="55" t="str">
        <f>IF(A1299&lt;&gt;"",INDEX('Base de données'!A$4:L$990,MATCH(' TVA M'!A1299,'Base de données'!A$4:A$990,0),12),"")</f>
        <v/>
      </c>
    </row>
    <row r="1300" spans="2:3" hidden="1" x14ac:dyDescent="0.25">
      <c r="B1300" s="55" t="str">
        <f>IF(A1300&lt;&gt;"",INDEX('Base de données'!A$4:L$990,MATCH(' TVA M'!A1300,'Base de données'!A$4:A$990,0),2),"")</f>
        <v/>
      </c>
      <c r="C1300" s="55" t="str">
        <f>IF(A1300&lt;&gt;"",INDEX('Base de données'!A$4:L$990,MATCH(' TVA M'!A1300,'Base de données'!A$4:A$990,0),12),"")</f>
        <v/>
      </c>
    </row>
    <row r="1301" spans="2:3" hidden="1" x14ac:dyDescent="0.25">
      <c r="B1301" s="55" t="str">
        <f>IF(A1301&lt;&gt;"",INDEX('Base de données'!A$4:L$990,MATCH(' TVA M'!A1301,'Base de données'!A$4:A$990,0),2),"")</f>
        <v/>
      </c>
      <c r="C1301" s="55" t="str">
        <f>IF(A1301&lt;&gt;"",INDEX('Base de données'!A$4:L$990,MATCH(' TVA M'!A1301,'Base de données'!A$4:A$990,0),12),"")</f>
        <v/>
      </c>
    </row>
    <row r="1302" spans="2:3" hidden="1" x14ac:dyDescent="0.25">
      <c r="B1302" s="55" t="str">
        <f>IF(A1302&lt;&gt;"",INDEX('Base de données'!A$4:L$990,MATCH(' TVA M'!A1302,'Base de données'!A$4:A$990,0),2),"")</f>
        <v/>
      </c>
      <c r="C1302" s="55" t="str">
        <f>IF(A1302&lt;&gt;"",INDEX('Base de données'!A$4:L$990,MATCH(' TVA M'!A1302,'Base de données'!A$4:A$990,0),12),"")</f>
        <v/>
      </c>
    </row>
    <row r="1303" spans="2:3" hidden="1" x14ac:dyDescent="0.25">
      <c r="B1303" s="55" t="str">
        <f>IF(A1303&lt;&gt;"",INDEX('Base de données'!A$4:L$990,MATCH(' TVA M'!A1303,'Base de données'!A$4:A$990,0),2),"")</f>
        <v/>
      </c>
      <c r="C1303" s="55" t="str">
        <f>IF(A1303&lt;&gt;"",INDEX('Base de données'!A$4:L$990,MATCH(' TVA M'!A1303,'Base de données'!A$4:A$990,0),12),"")</f>
        <v/>
      </c>
    </row>
    <row r="1304" spans="2:3" hidden="1" x14ac:dyDescent="0.25">
      <c r="B1304" s="55" t="str">
        <f>IF(A1304&lt;&gt;"",INDEX('Base de données'!A$4:L$990,MATCH(' TVA M'!A1304,'Base de données'!A$4:A$990,0),2),"")</f>
        <v/>
      </c>
      <c r="C1304" s="55" t="str">
        <f>IF(A1304&lt;&gt;"",INDEX('Base de données'!A$4:L$990,MATCH(' TVA M'!A1304,'Base de données'!A$4:A$990,0),12),"")</f>
        <v/>
      </c>
    </row>
    <row r="1305" spans="2:3" hidden="1" x14ac:dyDescent="0.25">
      <c r="B1305" s="55" t="str">
        <f>IF(A1305&lt;&gt;"",INDEX('Base de données'!A$4:L$990,MATCH(' TVA M'!A1305,'Base de données'!A$4:A$990,0),2),"")</f>
        <v/>
      </c>
      <c r="C1305" s="55" t="str">
        <f>IF(A1305&lt;&gt;"",INDEX('Base de données'!A$4:L$990,MATCH(' TVA M'!A1305,'Base de données'!A$4:A$990,0),12),"")</f>
        <v/>
      </c>
    </row>
    <row r="1306" spans="2:3" hidden="1" x14ac:dyDescent="0.25">
      <c r="B1306" s="55" t="str">
        <f>IF(A1306&lt;&gt;"",INDEX('Base de données'!A$4:L$990,MATCH(' TVA M'!A1306,'Base de données'!A$4:A$990,0),2),"")</f>
        <v/>
      </c>
      <c r="C1306" s="55" t="str">
        <f>IF(A1306&lt;&gt;"",INDEX('Base de données'!A$4:L$990,MATCH(' TVA M'!A1306,'Base de données'!A$4:A$990,0),12),"")</f>
        <v/>
      </c>
    </row>
    <row r="1307" spans="2:3" hidden="1" x14ac:dyDescent="0.25">
      <c r="B1307" s="55" t="str">
        <f>IF(A1307&lt;&gt;"",INDEX('Base de données'!A$4:L$990,MATCH(' TVA M'!A1307,'Base de données'!A$4:A$990,0),2),"")</f>
        <v/>
      </c>
      <c r="C1307" s="55" t="str">
        <f>IF(A1307&lt;&gt;"",INDEX('Base de données'!A$4:L$990,MATCH(' TVA M'!A1307,'Base de données'!A$4:A$990,0),12),"")</f>
        <v/>
      </c>
    </row>
    <row r="1308" spans="2:3" hidden="1" x14ac:dyDescent="0.25">
      <c r="B1308" s="55" t="str">
        <f>IF(A1308&lt;&gt;"",INDEX('Base de données'!A$4:L$990,MATCH(' TVA M'!A1308,'Base de données'!A$4:A$990,0),2),"")</f>
        <v/>
      </c>
      <c r="C1308" s="55" t="str">
        <f>IF(A1308&lt;&gt;"",INDEX('Base de données'!A$4:L$990,MATCH(' TVA M'!A1308,'Base de données'!A$4:A$990,0),12),"")</f>
        <v/>
      </c>
    </row>
    <row r="1309" spans="2:3" hidden="1" x14ac:dyDescent="0.25">
      <c r="B1309" s="55" t="str">
        <f>IF(A1309&lt;&gt;"",INDEX('Base de données'!A$4:L$990,MATCH(' TVA M'!A1309,'Base de données'!A$4:A$990,0),2),"")</f>
        <v/>
      </c>
      <c r="C1309" s="55" t="str">
        <f>IF(A1309&lt;&gt;"",INDEX('Base de données'!A$4:L$990,MATCH(' TVA M'!A1309,'Base de données'!A$4:A$990,0),12),"")</f>
        <v/>
      </c>
    </row>
    <row r="1310" spans="2:3" hidden="1" x14ac:dyDescent="0.25">
      <c r="B1310" s="55" t="str">
        <f>IF(A1310&lt;&gt;"",INDEX('Base de données'!A$4:L$990,MATCH(' TVA M'!A1310,'Base de données'!A$4:A$990,0),2),"")</f>
        <v/>
      </c>
      <c r="C1310" s="55" t="str">
        <f>IF(A1310&lt;&gt;"",INDEX('Base de données'!A$4:L$990,MATCH(' TVA M'!A1310,'Base de données'!A$4:A$990,0),12),"")</f>
        <v/>
      </c>
    </row>
    <row r="1311" spans="2:3" hidden="1" x14ac:dyDescent="0.25">
      <c r="B1311" s="55" t="str">
        <f>IF(A1311&lt;&gt;"",INDEX('Base de données'!A$4:L$990,MATCH(' TVA M'!A1311,'Base de données'!A$4:A$990,0),2),"")</f>
        <v/>
      </c>
      <c r="C1311" s="55" t="str">
        <f>IF(A1311&lt;&gt;"",INDEX('Base de données'!A$4:L$990,MATCH(' TVA M'!A1311,'Base de données'!A$4:A$990,0),12),"")</f>
        <v/>
      </c>
    </row>
    <row r="1312" spans="2:3" hidden="1" x14ac:dyDescent="0.25">
      <c r="B1312" s="55" t="str">
        <f>IF(A1312&lt;&gt;"",INDEX('Base de données'!A$4:L$990,MATCH(' TVA M'!A1312,'Base de données'!A$4:A$990,0),2),"")</f>
        <v/>
      </c>
      <c r="C1312" s="55" t="str">
        <f>IF(A1312&lt;&gt;"",INDEX('Base de données'!A$4:L$990,MATCH(' TVA M'!A1312,'Base de données'!A$4:A$990,0),12),"")</f>
        <v/>
      </c>
    </row>
    <row r="1313" spans="2:3" hidden="1" x14ac:dyDescent="0.25">
      <c r="B1313" s="55" t="str">
        <f>IF(A1313&lt;&gt;"",INDEX('Base de données'!A$4:L$990,MATCH(' TVA M'!A1313,'Base de données'!A$4:A$990,0),2),"")</f>
        <v/>
      </c>
      <c r="C1313" s="55" t="str">
        <f>IF(A1313&lt;&gt;"",INDEX('Base de données'!A$4:L$990,MATCH(' TVA M'!A1313,'Base de données'!A$4:A$990,0),12),"")</f>
        <v/>
      </c>
    </row>
    <row r="1314" spans="2:3" hidden="1" x14ac:dyDescent="0.25">
      <c r="B1314" s="55" t="str">
        <f>IF(A1314&lt;&gt;"",INDEX('Base de données'!A$4:L$990,MATCH(' TVA M'!A1314,'Base de données'!A$4:A$990,0),2),"")</f>
        <v/>
      </c>
      <c r="C1314" s="55" t="str">
        <f>IF(A1314&lt;&gt;"",INDEX('Base de données'!A$4:L$990,MATCH(' TVA M'!A1314,'Base de données'!A$4:A$990,0),12),"")</f>
        <v/>
      </c>
    </row>
    <row r="1315" spans="2:3" hidden="1" x14ac:dyDescent="0.25">
      <c r="B1315" s="55" t="str">
        <f>IF(A1315&lt;&gt;"",INDEX('Base de données'!A$4:L$990,MATCH(' TVA M'!A1315,'Base de données'!A$4:A$990,0),2),"")</f>
        <v/>
      </c>
      <c r="C1315" s="55" t="str">
        <f>IF(A1315&lt;&gt;"",INDEX('Base de données'!A$4:L$990,MATCH(' TVA M'!A1315,'Base de données'!A$4:A$990,0),12),"")</f>
        <v/>
      </c>
    </row>
    <row r="1316" spans="2:3" hidden="1" x14ac:dyDescent="0.25">
      <c r="B1316" s="55" t="str">
        <f>IF(A1316&lt;&gt;"",INDEX('Base de données'!A$4:L$990,MATCH(' TVA M'!A1316,'Base de données'!A$4:A$990,0),2),"")</f>
        <v/>
      </c>
      <c r="C1316" s="55" t="str">
        <f>IF(A1316&lt;&gt;"",INDEX('Base de données'!A$4:L$990,MATCH(' TVA M'!A1316,'Base de données'!A$4:A$990,0),12),"")</f>
        <v/>
      </c>
    </row>
    <row r="1317" spans="2:3" hidden="1" x14ac:dyDescent="0.25">
      <c r="B1317" s="55" t="str">
        <f>IF(A1317&lt;&gt;"",INDEX('Base de données'!A$4:L$990,MATCH(' TVA M'!A1317,'Base de données'!A$4:A$990,0),2),"")</f>
        <v/>
      </c>
      <c r="C1317" s="55" t="str">
        <f>IF(A1317&lt;&gt;"",INDEX('Base de données'!A$4:L$990,MATCH(' TVA M'!A1317,'Base de données'!A$4:A$990,0),12),"")</f>
        <v/>
      </c>
    </row>
    <row r="1318" spans="2:3" hidden="1" x14ac:dyDescent="0.25">
      <c r="B1318" s="55" t="str">
        <f>IF(A1318&lt;&gt;"",INDEX('Base de données'!A$4:L$990,MATCH(' TVA M'!A1318,'Base de données'!A$4:A$990,0),2),"")</f>
        <v/>
      </c>
      <c r="C1318" s="55" t="str">
        <f>IF(A1318&lt;&gt;"",INDEX('Base de données'!A$4:L$990,MATCH(' TVA M'!A1318,'Base de données'!A$4:A$990,0),12),"")</f>
        <v/>
      </c>
    </row>
    <row r="1319" spans="2:3" hidden="1" x14ac:dyDescent="0.25">
      <c r="B1319" s="55" t="str">
        <f>IF(A1319&lt;&gt;"",INDEX('Base de données'!A$4:L$990,MATCH(' TVA M'!A1319,'Base de données'!A$4:A$990,0),2),"")</f>
        <v/>
      </c>
      <c r="C1319" s="55" t="str">
        <f>IF(A1319&lt;&gt;"",INDEX('Base de données'!A$4:L$990,MATCH(' TVA M'!A1319,'Base de données'!A$4:A$990,0),12),"")</f>
        <v/>
      </c>
    </row>
    <row r="1320" spans="2:3" hidden="1" x14ac:dyDescent="0.25">
      <c r="B1320" s="55" t="str">
        <f>IF(A1320&lt;&gt;"",INDEX('Base de données'!A$4:L$990,MATCH(' TVA M'!A1320,'Base de données'!A$4:A$990,0),2),"")</f>
        <v/>
      </c>
      <c r="C1320" s="55" t="str">
        <f>IF(A1320&lt;&gt;"",INDEX('Base de données'!A$4:L$990,MATCH(' TVA M'!A1320,'Base de données'!A$4:A$990,0),12),"")</f>
        <v/>
      </c>
    </row>
    <row r="1321" spans="2:3" hidden="1" x14ac:dyDescent="0.25">
      <c r="B1321" s="55" t="str">
        <f>IF(A1321&lt;&gt;"",INDEX('Base de données'!A$4:L$990,MATCH(' TVA M'!A1321,'Base de données'!A$4:A$990,0),2),"")</f>
        <v/>
      </c>
      <c r="C1321" s="55" t="str">
        <f>IF(A1321&lt;&gt;"",INDEX('Base de données'!A$4:L$990,MATCH(' TVA M'!A1321,'Base de données'!A$4:A$990,0),12),"")</f>
        <v/>
      </c>
    </row>
    <row r="1322" spans="2:3" hidden="1" x14ac:dyDescent="0.25">
      <c r="B1322" s="55" t="str">
        <f>IF(A1322&lt;&gt;"",INDEX('Base de données'!A$4:L$990,MATCH(' TVA M'!A1322,'Base de données'!A$4:A$990,0),2),"")</f>
        <v/>
      </c>
      <c r="C1322" s="55" t="str">
        <f>IF(A1322&lt;&gt;"",INDEX('Base de données'!A$4:L$990,MATCH(' TVA M'!A1322,'Base de données'!A$4:A$990,0),12),"")</f>
        <v/>
      </c>
    </row>
    <row r="1323" spans="2:3" hidden="1" x14ac:dyDescent="0.25">
      <c r="B1323" s="55" t="str">
        <f>IF(A1323&lt;&gt;"",INDEX('Base de données'!A$4:L$990,MATCH(' TVA M'!A1323,'Base de données'!A$4:A$990,0),2),"")</f>
        <v/>
      </c>
      <c r="C1323" s="55" t="str">
        <f>IF(A1323&lt;&gt;"",INDEX('Base de données'!A$4:L$990,MATCH(' TVA M'!A1323,'Base de données'!A$4:A$990,0),12),"")</f>
        <v/>
      </c>
    </row>
    <row r="1324" spans="2:3" hidden="1" x14ac:dyDescent="0.25">
      <c r="B1324" s="55" t="str">
        <f>IF(A1324&lt;&gt;"",INDEX('Base de données'!A$4:L$990,MATCH(' TVA M'!A1324,'Base de données'!A$4:A$990,0),2),"")</f>
        <v/>
      </c>
      <c r="C1324" s="55" t="str">
        <f>IF(A1324&lt;&gt;"",INDEX('Base de données'!A$4:L$990,MATCH(' TVA M'!A1324,'Base de données'!A$4:A$990,0),12),"")</f>
        <v/>
      </c>
    </row>
    <row r="1325" spans="2:3" hidden="1" x14ac:dyDescent="0.25">
      <c r="B1325" s="55" t="str">
        <f>IF(A1325&lt;&gt;"",INDEX('Base de données'!A$4:L$990,MATCH(' TVA M'!A1325,'Base de données'!A$4:A$990,0),2),"")</f>
        <v/>
      </c>
      <c r="C1325" s="55" t="str">
        <f>IF(A1325&lt;&gt;"",INDEX('Base de données'!A$4:L$990,MATCH(' TVA M'!A1325,'Base de données'!A$4:A$990,0),12),"")</f>
        <v/>
      </c>
    </row>
    <row r="1326" spans="2:3" hidden="1" x14ac:dyDescent="0.25">
      <c r="B1326" s="55" t="str">
        <f>IF(A1326&lt;&gt;"",INDEX('Base de données'!A$4:L$990,MATCH(' TVA M'!A1326,'Base de données'!A$4:A$990,0),2),"")</f>
        <v/>
      </c>
      <c r="C1326" s="55" t="str">
        <f>IF(A1326&lt;&gt;"",INDEX('Base de données'!A$4:L$990,MATCH(' TVA M'!A1326,'Base de données'!A$4:A$990,0),12),"")</f>
        <v/>
      </c>
    </row>
    <row r="1327" spans="2:3" hidden="1" x14ac:dyDescent="0.25">
      <c r="B1327" s="55" t="str">
        <f>IF(A1327&lt;&gt;"",INDEX('Base de données'!A$4:L$990,MATCH(' TVA M'!A1327,'Base de données'!A$4:A$990,0),2),"")</f>
        <v/>
      </c>
      <c r="C1327" s="55" t="str">
        <f>IF(A1327&lt;&gt;"",INDEX('Base de données'!A$4:L$990,MATCH(' TVA M'!A1327,'Base de données'!A$4:A$990,0),12),"")</f>
        <v/>
      </c>
    </row>
    <row r="1328" spans="2:3" hidden="1" x14ac:dyDescent="0.25">
      <c r="B1328" s="55" t="str">
        <f>IF(A1328&lt;&gt;"",INDEX('Base de données'!A$4:L$990,MATCH(' TVA M'!A1328,'Base de données'!A$4:A$990,0),2),"")</f>
        <v/>
      </c>
      <c r="C1328" s="55" t="str">
        <f>IF(A1328&lt;&gt;"",INDEX('Base de données'!A$4:L$990,MATCH(' TVA M'!A1328,'Base de données'!A$4:A$990,0),12),"")</f>
        <v/>
      </c>
    </row>
    <row r="1329" spans="2:3" hidden="1" x14ac:dyDescent="0.25">
      <c r="B1329" s="55" t="str">
        <f>IF(A1329&lt;&gt;"",INDEX('Base de données'!A$4:L$990,MATCH(' TVA M'!A1329,'Base de données'!A$4:A$990,0),2),"")</f>
        <v/>
      </c>
      <c r="C1329" s="55" t="str">
        <f>IF(A1329&lt;&gt;"",INDEX('Base de données'!A$4:L$990,MATCH(' TVA M'!A1329,'Base de données'!A$4:A$990,0),12),"")</f>
        <v/>
      </c>
    </row>
    <row r="1330" spans="2:3" hidden="1" x14ac:dyDescent="0.25">
      <c r="B1330" s="55" t="str">
        <f>IF(A1330&lt;&gt;"",INDEX('Base de données'!A$4:L$990,MATCH(' TVA M'!A1330,'Base de données'!A$4:A$990,0),2),"")</f>
        <v/>
      </c>
      <c r="C1330" s="55" t="str">
        <f>IF(A1330&lt;&gt;"",INDEX('Base de données'!A$4:L$990,MATCH(' TVA M'!A1330,'Base de données'!A$4:A$990,0),12),"")</f>
        <v/>
      </c>
    </row>
    <row r="1331" spans="2:3" hidden="1" x14ac:dyDescent="0.25">
      <c r="B1331" s="55" t="str">
        <f>IF(A1331&lt;&gt;"",INDEX('Base de données'!A$4:L$990,MATCH(' TVA M'!A1331,'Base de données'!A$4:A$990,0),2),"")</f>
        <v/>
      </c>
      <c r="C1331" s="55" t="str">
        <f>IF(A1331&lt;&gt;"",INDEX('Base de données'!A$4:L$990,MATCH(' TVA M'!A1331,'Base de données'!A$4:A$990,0),12),"")</f>
        <v/>
      </c>
    </row>
    <row r="1332" spans="2:3" hidden="1" x14ac:dyDescent="0.25">
      <c r="B1332" s="55" t="str">
        <f>IF(A1332&lt;&gt;"",INDEX('Base de données'!A$4:L$990,MATCH(' TVA M'!A1332,'Base de données'!A$4:A$990,0),2),"")</f>
        <v/>
      </c>
      <c r="C1332" s="55" t="str">
        <f>IF(A1332&lt;&gt;"",INDEX('Base de données'!A$4:L$990,MATCH(' TVA M'!A1332,'Base de données'!A$4:A$990,0),12),"")</f>
        <v/>
      </c>
    </row>
    <row r="1333" spans="2:3" hidden="1" x14ac:dyDescent="0.25">
      <c r="B1333" s="55" t="str">
        <f>IF(A1333&lt;&gt;"",INDEX('Base de données'!A$4:L$990,MATCH(' TVA M'!A1333,'Base de données'!A$4:A$990,0),2),"")</f>
        <v/>
      </c>
      <c r="C1333" s="55" t="str">
        <f>IF(A1333&lt;&gt;"",INDEX('Base de données'!A$4:L$990,MATCH(' TVA M'!A1333,'Base de données'!A$4:A$990,0),12),"")</f>
        <v/>
      </c>
    </row>
    <row r="1334" spans="2:3" hidden="1" x14ac:dyDescent="0.25">
      <c r="B1334" s="55" t="str">
        <f>IF(A1334&lt;&gt;"",INDEX('Base de données'!A$4:L$990,MATCH(' TVA M'!A1334,'Base de données'!A$4:A$990,0),2),"")</f>
        <v/>
      </c>
      <c r="C1334" s="55" t="str">
        <f>IF(A1334&lt;&gt;"",INDEX('Base de données'!A$4:L$990,MATCH(' TVA M'!A1334,'Base de données'!A$4:A$990,0),12),"")</f>
        <v/>
      </c>
    </row>
    <row r="1335" spans="2:3" hidden="1" x14ac:dyDescent="0.25">
      <c r="B1335" s="55" t="str">
        <f>IF(A1335&lt;&gt;"",INDEX('Base de données'!A$4:L$990,MATCH(' TVA M'!A1335,'Base de données'!A$4:A$990,0),2),"")</f>
        <v/>
      </c>
      <c r="C1335" s="55" t="str">
        <f>IF(A1335&lt;&gt;"",INDEX('Base de données'!A$4:L$990,MATCH(' TVA M'!A1335,'Base de données'!A$4:A$990,0),12),"")</f>
        <v/>
      </c>
    </row>
    <row r="1336" spans="2:3" hidden="1" x14ac:dyDescent="0.25">
      <c r="B1336" s="55" t="str">
        <f>IF(A1336&lt;&gt;"",INDEX('Base de données'!A$4:L$990,MATCH(' TVA M'!A1336,'Base de données'!A$4:A$990,0),2),"")</f>
        <v/>
      </c>
      <c r="C1336" s="55" t="str">
        <f>IF(A1336&lt;&gt;"",INDEX('Base de données'!A$4:L$990,MATCH(' TVA M'!A1336,'Base de données'!A$4:A$990,0),12),"")</f>
        <v/>
      </c>
    </row>
    <row r="1337" spans="2:3" hidden="1" x14ac:dyDescent="0.25">
      <c r="B1337" s="55" t="str">
        <f>IF(A1337&lt;&gt;"",INDEX('Base de données'!A$4:L$990,MATCH(' TVA M'!A1337,'Base de données'!A$4:A$990,0),2),"")</f>
        <v/>
      </c>
      <c r="C1337" s="55" t="str">
        <f>IF(A1337&lt;&gt;"",INDEX('Base de données'!A$4:L$990,MATCH(' TVA M'!A1337,'Base de données'!A$4:A$990,0),12),"")</f>
        <v/>
      </c>
    </row>
    <row r="1338" spans="2:3" hidden="1" x14ac:dyDescent="0.25">
      <c r="B1338" s="55" t="str">
        <f>IF(A1338&lt;&gt;"",INDEX('Base de données'!A$4:L$990,MATCH(' TVA M'!A1338,'Base de données'!A$4:A$990,0),2),"")</f>
        <v/>
      </c>
      <c r="C1338" s="55" t="str">
        <f>IF(A1338&lt;&gt;"",INDEX('Base de données'!A$4:L$990,MATCH(' TVA M'!A1338,'Base de données'!A$4:A$990,0),12),"")</f>
        <v/>
      </c>
    </row>
    <row r="1339" spans="2:3" hidden="1" x14ac:dyDescent="0.25">
      <c r="B1339" s="55" t="str">
        <f>IF(A1339&lt;&gt;"",INDEX('Base de données'!A$4:L$990,MATCH(' TVA M'!A1339,'Base de données'!A$4:A$990,0),2),"")</f>
        <v/>
      </c>
      <c r="C1339" s="55" t="str">
        <f>IF(A1339&lt;&gt;"",INDEX('Base de données'!A$4:L$990,MATCH(' TVA M'!A1339,'Base de données'!A$4:A$990,0),12),"")</f>
        <v/>
      </c>
    </row>
    <row r="1340" spans="2:3" hidden="1" x14ac:dyDescent="0.25">
      <c r="B1340" s="55" t="str">
        <f>IF(A1340&lt;&gt;"",INDEX('Base de données'!A$4:L$990,MATCH(' TVA M'!A1340,'Base de données'!A$4:A$990,0),2),"")</f>
        <v/>
      </c>
      <c r="C1340" s="55" t="str">
        <f>IF(A1340&lt;&gt;"",INDEX('Base de données'!A$4:L$990,MATCH(' TVA M'!A1340,'Base de données'!A$4:A$990,0),12),"")</f>
        <v/>
      </c>
    </row>
    <row r="1341" spans="2:3" hidden="1" x14ac:dyDescent="0.25">
      <c r="B1341" s="55" t="str">
        <f>IF(A1341&lt;&gt;"",INDEX('Base de données'!A$4:L$990,MATCH(' TVA M'!A1341,'Base de données'!A$4:A$990,0),2),"")</f>
        <v/>
      </c>
      <c r="C1341" s="55" t="str">
        <f>IF(A1341&lt;&gt;"",INDEX('Base de données'!A$4:L$990,MATCH(' TVA M'!A1341,'Base de données'!A$4:A$990,0),12),"")</f>
        <v/>
      </c>
    </row>
    <row r="1342" spans="2:3" hidden="1" x14ac:dyDescent="0.25">
      <c r="B1342" s="55" t="str">
        <f>IF(A1342&lt;&gt;"",INDEX('Base de données'!A$4:L$990,MATCH(' TVA M'!A1342,'Base de données'!A$4:A$990,0),2),"")</f>
        <v/>
      </c>
      <c r="C1342" s="55" t="str">
        <f>IF(A1342&lt;&gt;"",INDEX('Base de données'!A$4:L$990,MATCH(' TVA M'!A1342,'Base de données'!A$4:A$990,0),12),"")</f>
        <v/>
      </c>
    </row>
    <row r="1343" spans="2:3" hidden="1" x14ac:dyDescent="0.25">
      <c r="B1343" s="55" t="str">
        <f>IF(A1343&lt;&gt;"",INDEX('Base de données'!A$4:L$990,MATCH(' TVA M'!A1343,'Base de données'!A$4:A$990,0),2),"")</f>
        <v/>
      </c>
      <c r="C1343" s="55" t="str">
        <f>IF(A1343&lt;&gt;"",INDEX('Base de données'!A$4:L$990,MATCH(' TVA M'!A1343,'Base de données'!A$4:A$990,0),12),"")</f>
        <v/>
      </c>
    </row>
    <row r="1344" spans="2:3" hidden="1" x14ac:dyDescent="0.25">
      <c r="B1344" s="55" t="str">
        <f>IF(A1344&lt;&gt;"",INDEX('Base de données'!A$4:L$990,MATCH(' TVA M'!A1344,'Base de données'!A$4:A$990,0),2),"")</f>
        <v/>
      </c>
      <c r="C1344" s="55" t="str">
        <f>IF(A1344&lt;&gt;"",INDEX('Base de données'!A$4:L$990,MATCH(' TVA M'!A1344,'Base de données'!A$4:A$990,0),12),"")</f>
        <v/>
      </c>
    </row>
    <row r="1345" spans="2:3" hidden="1" x14ac:dyDescent="0.25">
      <c r="B1345" s="55" t="str">
        <f>IF(A1345&lt;&gt;"",INDEX('Base de données'!A$4:L$990,MATCH(' TVA M'!A1345,'Base de données'!A$4:A$990,0),2),"")</f>
        <v/>
      </c>
      <c r="C1345" s="55" t="str">
        <f>IF(A1345&lt;&gt;"",INDEX('Base de données'!A$4:L$990,MATCH(' TVA M'!A1345,'Base de données'!A$4:A$990,0),12),"")</f>
        <v/>
      </c>
    </row>
    <row r="1346" spans="2:3" hidden="1" x14ac:dyDescent="0.25">
      <c r="B1346" s="55" t="str">
        <f>IF(A1346&lt;&gt;"",INDEX('Base de données'!A$4:L$990,MATCH(' TVA M'!A1346,'Base de données'!A$4:A$990,0),2),"")</f>
        <v/>
      </c>
      <c r="C1346" s="55" t="str">
        <f>IF(A1346&lt;&gt;"",INDEX('Base de données'!A$4:L$990,MATCH(' TVA M'!A1346,'Base de données'!A$4:A$990,0),12),"")</f>
        <v/>
      </c>
    </row>
    <row r="1347" spans="2:3" hidden="1" x14ac:dyDescent="0.25">
      <c r="B1347" s="55" t="str">
        <f>IF(A1347&lt;&gt;"",INDEX('Base de données'!A$4:L$990,MATCH(' TVA M'!A1347,'Base de données'!A$4:A$990,0),2),"")</f>
        <v/>
      </c>
      <c r="C1347" s="55" t="str">
        <f>IF(A1347&lt;&gt;"",INDEX('Base de données'!A$4:L$990,MATCH(' TVA M'!A1347,'Base de données'!A$4:A$990,0),12),"")</f>
        <v/>
      </c>
    </row>
    <row r="1348" spans="2:3" hidden="1" x14ac:dyDescent="0.25">
      <c r="B1348" s="55" t="str">
        <f>IF(A1348&lt;&gt;"",INDEX('Base de données'!A$4:L$990,MATCH(' TVA M'!A1348,'Base de données'!A$4:A$990,0),2),"")</f>
        <v/>
      </c>
      <c r="C1348" s="55" t="str">
        <f>IF(A1348&lt;&gt;"",INDEX('Base de données'!A$4:L$990,MATCH(' TVA M'!A1348,'Base de données'!A$4:A$990,0),12),"")</f>
        <v/>
      </c>
    </row>
    <row r="1349" spans="2:3" hidden="1" x14ac:dyDescent="0.25">
      <c r="B1349" s="55" t="str">
        <f>IF(A1349&lt;&gt;"",INDEX('Base de données'!A$4:L$990,MATCH(' TVA M'!A1349,'Base de données'!A$4:A$990,0),2),"")</f>
        <v/>
      </c>
      <c r="C1349" s="55" t="str">
        <f>IF(A1349&lt;&gt;"",INDEX('Base de données'!A$4:L$990,MATCH(' TVA M'!A1349,'Base de données'!A$4:A$990,0),12),"")</f>
        <v/>
      </c>
    </row>
    <row r="1350" spans="2:3" hidden="1" x14ac:dyDescent="0.25">
      <c r="B1350" s="55" t="str">
        <f>IF(A1350&lt;&gt;"",INDEX('Base de données'!A$4:L$990,MATCH(' TVA M'!A1350,'Base de données'!A$4:A$990,0),2),"")</f>
        <v/>
      </c>
      <c r="C1350" s="55" t="str">
        <f>IF(A1350&lt;&gt;"",INDEX('Base de données'!A$4:L$990,MATCH(' TVA M'!A1350,'Base de données'!A$4:A$990,0),12),"")</f>
        <v/>
      </c>
    </row>
    <row r="1351" spans="2:3" hidden="1" x14ac:dyDescent="0.25">
      <c r="B1351" s="55" t="str">
        <f>IF(A1351&lt;&gt;"",INDEX('Base de données'!A$4:L$990,MATCH(' TVA M'!A1351,'Base de données'!A$4:A$990,0),2),"")</f>
        <v/>
      </c>
      <c r="C1351" s="55" t="str">
        <f>IF(A1351&lt;&gt;"",INDEX('Base de données'!A$4:L$990,MATCH(' TVA M'!A1351,'Base de données'!A$4:A$990,0),12),"")</f>
        <v/>
      </c>
    </row>
    <row r="1352" spans="2:3" hidden="1" x14ac:dyDescent="0.25">
      <c r="B1352" s="55" t="str">
        <f>IF(A1352&lt;&gt;"",INDEX('Base de données'!A$4:L$990,MATCH(' TVA M'!A1352,'Base de données'!A$4:A$990,0),2),"")</f>
        <v/>
      </c>
      <c r="C1352" s="55" t="str">
        <f>IF(A1352&lt;&gt;"",INDEX('Base de données'!A$4:L$990,MATCH(' TVA M'!A1352,'Base de données'!A$4:A$990,0),12),"")</f>
        <v/>
      </c>
    </row>
    <row r="1353" spans="2:3" hidden="1" x14ac:dyDescent="0.25">
      <c r="B1353" s="55" t="str">
        <f>IF(A1353&lt;&gt;"",INDEX('Base de données'!A$4:L$990,MATCH(' TVA M'!A1353,'Base de données'!A$4:A$990,0),2),"")</f>
        <v/>
      </c>
      <c r="C1353" s="55" t="str">
        <f>IF(A1353&lt;&gt;"",INDEX('Base de données'!A$4:L$990,MATCH(' TVA M'!A1353,'Base de données'!A$4:A$990,0),12),"")</f>
        <v/>
      </c>
    </row>
    <row r="1354" spans="2:3" hidden="1" x14ac:dyDescent="0.25">
      <c r="B1354" s="55" t="str">
        <f>IF(A1354&lt;&gt;"",INDEX('Base de données'!A$4:L$990,MATCH(' TVA M'!A1354,'Base de données'!A$4:A$990,0),2),"")</f>
        <v/>
      </c>
      <c r="C1354" s="55" t="str">
        <f>IF(A1354&lt;&gt;"",INDEX('Base de données'!A$4:L$990,MATCH(' TVA M'!A1354,'Base de données'!A$4:A$990,0),12),"")</f>
        <v/>
      </c>
    </row>
    <row r="1355" spans="2:3" hidden="1" x14ac:dyDescent="0.25">
      <c r="B1355" s="55" t="str">
        <f>IF(A1355&lt;&gt;"",INDEX('Base de données'!A$4:L$990,MATCH(' TVA M'!A1355,'Base de données'!A$4:A$990,0),2),"")</f>
        <v/>
      </c>
      <c r="C1355" s="55" t="str">
        <f>IF(A1355&lt;&gt;"",INDEX('Base de données'!A$4:L$990,MATCH(' TVA M'!A1355,'Base de données'!A$4:A$990,0),12),"")</f>
        <v/>
      </c>
    </row>
    <row r="1356" spans="2:3" hidden="1" x14ac:dyDescent="0.25">
      <c r="B1356" s="55" t="str">
        <f>IF(A1356&lt;&gt;"",INDEX('Base de données'!A$4:L$990,MATCH(' TVA M'!A1356,'Base de données'!A$4:A$990,0),2),"")</f>
        <v/>
      </c>
      <c r="C1356" s="55" t="str">
        <f>IF(A1356&lt;&gt;"",INDEX('Base de données'!A$4:L$990,MATCH(' TVA M'!A1356,'Base de données'!A$4:A$990,0),12),"")</f>
        <v/>
      </c>
    </row>
    <row r="1357" spans="2:3" hidden="1" x14ac:dyDescent="0.25">
      <c r="B1357" s="55" t="str">
        <f>IF(A1357&lt;&gt;"",INDEX('Base de données'!A$4:L$990,MATCH(' TVA M'!A1357,'Base de données'!A$4:A$990,0),2),"")</f>
        <v/>
      </c>
      <c r="C1357" s="55" t="str">
        <f>IF(A1357&lt;&gt;"",INDEX('Base de données'!A$4:L$990,MATCH(' TVA M'!A1357,'Base de données'!A$4:A$990,0),12),"")</f>
        <v/>
      </c>
    </row>
    <row r="1358" spans="2:3" hidden="1" x14ac:dyDescent="0.25">
      <c r="B1358" s="55" t="str">
        <f>IF(A1358&lt;&gt;"",INDEX('Base de données'!A$4:L$990,MATCH(' TVA M'!A1358,'Base de données'!A$4:A$990,0),2),"")</f>
        <v/>
      </c>
      <c r="C1358" s="55" t="str">
        <f>IF(A1358&lt;&gt;"",INDEX('Base de données'!A$4:L$990,MATCH(' TVA M'!A1358,'Base de données'!A$4:A$990,0),12),"")</f>
        <v/>
      </c>
    </row>
    <row r="1359" spans="2:3" hidden="1" x14ac:dyDescent="0.25">
      <c r="B1359" s="55" t="str">
        <f>IF(A1359&lt;&gt;"",INDEX('Base de données'!A$4:L$990,MATCH(' TVA M'!A1359,'Base de données'!A$4:A$990,0),2),"")</f>
        <v/>
      </c>
      <c r="C1359" s="55" t="str">
        <f>IF(A1359&lt;&gt;"",INDEX('Base de données'!A$4:L$990,MATCH(' TVA M'!A1359,'Base de données'!A$4:A$990,0),12),"")</f>
        <v/>
      </c>
    </row>
    <row r="1360" spans="2:3" hidden="1" x14ac:dyDescent="0.25">
      <c r="B1360" s="55" t="str">
        <f>IF(A1360&lt;&gt;"",INDEX('Base de données'!A$4:L$990,MATCH(' TVA M'!A1360,'Base de données'!A$4:A$990,0),2),"")</f>
        <v/>
      </c>
      <c r="C1360" s="55" t="str">
        <f>IF(A1360&lt;&gt;"",INDEX('Base de données'!A$4:L$990,MATCH(' TVA M'!A1360,'Base de données'!A$4:A$990,0),12),"")</f>
        <v/>
      </c>
    </row>
    <row r="1361" spans="2:3" hidden="1" x14ac:dyDescent="0.25">
      <c r="B1361" s="55" t="str">
        <f>IF(A1361&lt;&gt;"",INDEX('Base de données'!A$4:L$990,MATCH(' TVA M'!A1361,'Base de données'!A$4:A$990,0),2),"")</f>
        <v/>
      </c>
      <c r="C1361" s="55" t="str">
        <f>IF(A1361&lt;&gt;"",INDEX('Base de données'!A$4:L$990,MATCH(' TVA M'!A1361,'Base de données'!A$4:A$990,0),12),"")</f>
        <v/>
      </c>
    </row>
    <row r="1362" spans="2:3" hidden="1" x14ac:dyDescent="0.25">
      <c r="B1362" s="55" t="str">
        <f>IF(A1362&lt;&gt;"",INDEX('Base de données'!A$4:L$990,MATCH(' TVA M'!A1362,'Base de données'!A$4:A$990,0),2),"")</f>
        <v/>
      </c>
      <c r="C1362" s="55" t="str">
        <f>IF(A1362&lt;&gt;"",INDEX('Base de données'!A$4:L$990,MATCH(' TVA M'!A1362,'Base de données'!A$4:A$990,0),12),"")</f>
        <v/>
      </c>
    </row>
    <row r="1363" spans="2:3" hidden="1" x14ac:dyDescent="0.25">
      <c r="B1363" s="55" t="str">
        <f>IF(A1363&lt;&gt;"",INDEX('Base de données'!A$4:L$990,MATCH(' TVA M'!A1363,'Base de données'!A$4:A$990,0),2),"")</f>
        <v/>
      </c>
      <c r="C1363" s="55" t="str">
        <f>IF(A1363&lt;&gt;"",INDEX('Base de données'!A$4:L$990,MATCH(' TVA M'!A1363,'Base de données'!A$4:A$990,0),12),"")</f>
        <v/>
      </c>
    </row>
    <row r="1364" spans="2:3" hidden="1" x14ac:dyDescent="0.25">
      <c r="B1364" s="55" t="str">
        <f>IF(A1364&lt;&gt;"",INDEX('Base de données'!A$4:L$990,MATCH(' TVA M'!A1364,'Base de données'!A$4:A$990,0),2),"")</f>
        <v/>
      </c>
      <c r="C1364" s="55" t="str">
        <f>IF(A1364&lt;&gt;"",INDEX('Base de données'!A$4:L$990,MATCH(' TVA M'!A1364,'Base de données'!A$4:A$990,0),12),"")</f>
        <v/>
      </c>
    </row>
    <row r="1365" spans="2:3" hidden="1" x14ac:dyDescent="0.25">
      <c r="B1365" s="55" t="str">
        <f>IF(A1365&lt;&gt;"",INDEX('Base de données'!A$4:L$990,MATCH(' TVA M'!A1365,'Base de données'!A$4:A$990,0),2),"")</f>
        <v/>
      </c>
      <c r="C1365" s="55" t="str">
        <f>IF(A1365&lt;&gt;"",INDEX('Base de données'!A$4:L$990,MATCH(' TVA M'!A1365,'Base de données'!A$4:A$990,0),12),"")</f>
        <v/>
      </c>
    </row>
    <row r="1366" spans="2:3" hidden="1" x14ac:dyDescent="0.25">
      <c r="B1366" s="55" t="str">
        <f>IF(A1366&lt;&gt;"",INDEX('Base de données'!A$4:L$990,MATCH(' TVA M'!A1366,'Base de données'!A$4:A$990,0),2),"")</f>
        <v/>
      </c>
      <c r="C1366" s="55" t="str">
        <f>IF(A1366&lt;&gt;"",INDEX('Base de données'!A$4:L$990,MATCH(' TVA M'!A1366,'Base de données'!A$4:A$990,0),12),"")</f>
        <v/>
      </c>
    </row>
    <row r="1367" spans="2:3" hidden="1" x14ac:dyDescent="0.25">
      <c r="B1367" s="55" t="str">
        <f>IF(A1367&lt;&gt;"",INDEX('Base de données'!A$4:L$990,MATCH(' TVA M'!A1367,'Base de données'!A$4:A$990,0),2),"")</f>
        <v/>
      </c>
      <c r="C1367" s="55" t="str">
        <f>IF(A1367&lt;&gt;"",INDEX('Base de données'!A$4:L$990,MATCH(' TVA M'!A1367,'Base de données'!A$4:A$990,0),12),"")</f>
        <v/>
      </c>
    </row>
    <row r="1368" spans="2:3" hidden="1" x14ac:dyDescent="0.25">
      <c r="B1368" s="55" t="str">
        <f>IF(A1368&lt;&gt;"",INDEX('Base de données'!A$4:L$990,MATCH(' TVA M'!A1368,'Base de données'!A$4:A$990,0),2),"")</f>
        <v/>
      </c>
      <c r="C1368" s="55" t="str">
        <f>IF(A1368&lt;&gt;"",INDEX('Base de données'!A$4:L$990,MATCH(' TVA M'!A1368,'Base de données'!A$4:A$990,0),12),"")</f>
        <v/>
      </c>
    </row>
    <row r="1369" spans="2:3" hidden="1" x14ac:dyDescent="0.25">
      <c r="B1369" s="55" t="str">
        <f>IF(A1369&lt;&gt;"",INDEX('Base de données'!A$4:L$990,MATCH(' TVA M'!A1369,'Base de données'!A$4:A$990,0),2),"")</f>
        <v/>
      </c>
      <c r="C1369" s="55" t="str">
        <f>IF(A1369&lt;&gt;"",INDEX('Base de données'!A$4:L$990,MATCH(' TVA M'!A1369,'Base de données'!A$4:A$990,0),12),"")</f>
        <v/>
      </c>
    </row>
    <row r="1370" spans="2:3" hidden="1" x14ac:dyDescent="0.25">
      <c r="B1370" s="55" t="str">
        <f>IF(A1370&lt;&gt;"",INDEX('Base de données'!A$4:L$990,MATCH(' TVA M'!A1370,'Base de données'!A$4:A$990,0),2),"")</f>
        <v/>
      </c>
      <c r="C1370" s="55" t="str">
        <f>IF(A1370&lt;&gt;"",INDEX('Base de données'!A$4:L$990,MATCH(' TVA M'!A1370,'Base de données'!A$4:A$990,0),12),"")</f>
        <v/>
      </c>
    </row>
    <row r="1371" spans="2:3" hidden="1" x14ac:dyDescent="0.25">
      <c r="B1371" s="55" t="str">
        <f>IF(A1371&lt;&gt;"",INDEX('Base de données'!A$4:L$990,MATCH(' TVA M'!A1371,'Base de données'!A$4:A$990,0),2),"")</f>
        <v/>
      </c>
      <c r="C1371" s="55" t="str">
        <f>IF(A1371&lt;&gt;"",INDEX('Base de données'!A$4:L$990,MATCH(' TVA M'!A1371,'Base de données'!A$4:A$990,0),12),"")</f>
        <v/>
      </c>
    </row>
    <row r="1372" spans="2:3" hidden="1" x14ac:dyDescent="0.25">
      <c r="B1372" s="55" t="str">
        <f>IF(A1372&lt;&gt;"",INDEX('Base de données'!A$4:L$990,MATCH(' TVA M'!A1372,'Base de données'!A$4:A$990,0),2),"")</f>
        <v/>
      </c>
      <c r="C1372" s="55" t="str">
        <f>IF(A1372&lt;&gt;"",INDEX('Base de données'!A$4:L$990,MATCH(' TVA M'!A1372,'Base de données'!A$4:A$990,0),12),"")</f>
        <v/>
      </c>
    </row>
    <row r="1373" spans="2:3" hidden="1" x14ac:dyDescent="0.25">
      <c r="B1373" s="55" t="str">
        <f>IF(A1373&lt;&gt;"",INDEX('Base de données'!A$4:L$990,MATCH(' TVA M'!A1373,'Base de données'!A$4:A$990,0),2),"")</f>
        <v/>
      </c>
      <c r="C1373" s="55" t="str">
        <f>IF(A1373&lt;&gt;"",INDEX('Base de données'!A$4:L$990,MATCH(' TVA M'!A1373,'Base de données'!A$4:A$990,0),12),"")</f>
        <v/>
      </c>
    </row>
    <row r="1374" spans="2:3" hidden="1" x14ac:dyDescent="0.25">
      <c r="B1374" s="55" t="str">
        <f>IF(A1374&lt;&gt;"",INDEX('Base de données'!A$4:L$990,MATCH(' TVA M'!A1374,'Base de données'!A$4:A$990,0),2),"")</f>
        <v/>
      </c>
      <c r="C1374" s="55" t="str">
        <f>IF(A1374&lt;&gt;"",INDEX('Base de données'!A$4:L$990,MATCH(' TVA M'!A1374,'Base de données'!A$4:A$990,0),12),"")</f>
        <v/>
      </c>
    </row>
    <row r="1375" spans="2:3" hidden="1" x14ac:dyDescent="0.25">
      <c r="B1375" s="55" t="str">
        <f>IF(A1375&lt;&gt;"",INDEX('Base de données'!A$4:L$990,MATCH(' TVA M'!A1375,'Base de données'!A$4:A$990,0),2),"")</f>
        <v/>
      </c>
      <c r="C1375" s="55" t="str">
        <f>IF(A1375&lt;&gt;"",INDEX('Base de données'!A$4:L$990,MATCH(' TVA M'!A1375,'Base de données'!A$4:A$990,0),12),"")</f>
        <v/>
      </c>
    </row>
    <row r="1376" spans="2:3" hidden="1" x14ac:dyDescent="0.25">
      <c r="B1376" s="55" t="str">
        <f>IF(A1376&lt;&gt;"",INDEX('Base de données'!A$4:L$990,MATCH(' TVA M'!A1376,'Base de données'!A$4:A$990,0),2),"")</f>
        <v/>
      </c>
      <c r="C1376" s="55" t="str">
        <f>IF(A1376&lt;&gt;"",INDEX('Base de données'!A$4:L$990,MATCH(' TVA M'!A1376,'Base de données'!A$4:A$990,0),12),"")</f>
        <v/>
      </c>
    </row>
    <row r="1377" spans="2:3" hidden="1" x14ac:dyDescent="0.25">
      <c r="B1377" s="55" t="str">
        <f>IF(A1377&lt;&gt;"",INDEX('Base de données'!A$4:L$990,MATCH(' TVA M'!A1377,'Base de données'!A$4:A$990,0),2),"")</f>
        <v/>
      </c>
      <c r="C1377" s="55" t="str">
        <f>IF(A1377&lt;&gt;"",INDEX('Base de données'!A$4:L$990,MATCH(' TVA M'!A1377,'Base de données'!A$4:A$990,0),12),"")</f>
        <v/>
      </c>
    </row>
    <row r="1378" spans="2:3" hidden="1" x14ac:dyDescent="0.25">
      <c r="B1378" s="55" t="str">
        <f>IF(A1378&lt;&gt;"",INDEX('Base de données'!A$4:L$990,MATCH(' TVA M'!A1378,'Base de données'!A$4:A$990,0),2),"")</f>
        <v/>
      </c>
      <c r="C1378" s="55" t="str">
        <f>IF(A1378&lt;&gt;"",INDEX('Base de données'!A$4:L$990,MATCH(' TVA M'!A1378,'Base de données'!A$4:A$990,0),12),"")</f>
        <v/>
      </c>
    </row>
    <row r="1379" spans="2:3" hidden="1" x14ac:dyDescent="0.25">
      <c r="B1379" s="55" t="str">
        <f>IF(A1379&lt;&gt;"",INDEX('Base de données'!A$4:L$990,MATCH(' TVA M'!A1379,'Base de données'!A$4:A$990,0),2),"")</f>
        <v/>
      </c>
      <c r="C1379" s="55" t="str">
        <f>IF(A1379&lt;&gt;"",INDEX('Base de données'!A$4:L$990,MATCH(' TVA M'!A1379,'Base de données'!A$4:A$990,0),12),"")</f>
        <v/>
      </c>
    </row>
    <row r="1380" spans="2:3" hidden="1" x14ac:dyDescent="0.25">
      <c r="B1380" s="55" t="str">
        <f>IF(A1380&lt;&gt;"",INDEX('Base de données'!A$4:L$990,MATCH(' TVA M'!A1380,'Base de données'!A$4:A$990,0),2),"")</f>
        <v/>
      </c>
      <c r="C1380" s="55" t="str">
        <f>IF(A1380&lt;&gt;"",INDEX('Base de données'!A$4:L$990,MATCH(' TVA M'!A1380,'Base de données'!A$4:A$990,0),12),"")</f>
        <v/>
      </c>
    </row>
    <row r="1381" spans="2:3" hidden="1" x14ac:dyDescent="0.25">
      <c r="B1381" s="55" t="str">
        <f>IF(A1381&lt;&gt;"",INDEX('Base de données'!A$4:L$990,MATCH(' TVA M'!A1381,'Base de données'!A$4:A$990,0),2),"")</f>
        <v/>
      </c>
      <c r="C1381" s="55" t="str">
        <f>IF(A1381&lt;&gt;"",INDEX('Base de données'!A$4:L$990,MATCH(' TVA M'!A1381,'Base de données'!A$4:A$990,0),12),"")</f>
        <v/>
      </c>
    </row>
    <row r="1382" spans="2:3" hidden="1" x14ac:dyDescent="0.25">
      <c r="B1382" s="55" t="str">
        <f>IF(A1382&lt;&gt;"",INDEX('Base de données'!A$4:L$990,MATCH(' TVA M'!A1382,'Base de données'!A$4:A$990,0),2),"")</f>
        <v/>
      </c>
      <c r="C1382" s="55" t="str">
        <f>IF(A1382&lt;&gt;"",INDEX('Base de données'!A$4:L$990,MATCH(' TVA M'!A1382,'Base de données'!A$4:A$990,0),12),"")</f>
        <v/>
      </c>
    </row>
    <row r="1383" spans="2:3" hidden="1" x14ac:dyDescent="0.25">
      <c r="B1383" s="55" t="str">
        <f>IF(A1383&lt;&gt;"",INDEX('Base de données'!A$4:L$990,MATCH(' TVA M'!A1383,'Base de données'!A$4:A$990,0),2),"")</f>
        <v/>
      </c>
      <c r="C1383" s="55" t="str">
        <f>IF(A1383&lt;&gt;"",INDEX('Base de données'!A$4:L$990,MATCH(' TVA M'!A1383,'Base de données'!A$4:A$990,0),12),"")</f>
        <v/>
      </c>
    </row>
    <row r="1384" spans="2:3" hidden="1" x14ac:dyDescent="0.25">
      <c r="B1384" s="55" t="str">
        <f>IF(A1384&lt;&gt;"",INDEX('Base de données'!A$4:L$990,MATCH(' TVA M'!A1384,'Base de données'!A$4:A$990,0),2),"")</f>
        <v/>
      </c>
      <c r="C1384" s="55" t="str">
        <f>IF(A1384&lt;&gt;"",INDEX('Base de données'!A$4:L$990,MATCH(' TVA M'!A1384,'Base de données'!A$4:A$990,0),12),"")</f>
        <v/>
      </c>
    </row>
    <row r="1385" spans="2:3" hidden="1" x14ac:dyDescent="0.25">
      <c r="B1385" s="55" t="str">
        <f>IF(A1385&lt;&gt;"",INDEX('Base de données'!A$4:L$990,MATCH(' TVA M'!A1385,'Base de données'!A$4:A$990,0),2),"")</f>
        <v/>
      </c>
      <c r="C1385" s="55" t="str">
        <f>IF(A1385&lt;&gt;"",INDEX('Base de données'!A$4:L$990,MATCH(' TVA M'!A1385,'Base de données'!A$4:A$990,0),12),"")</f>
        <v/>
      </c>
    </row>
    <row r="1386" spans="2:3" hidden="1" x14ac:dyDescent="0.25">
      <c r="B1386" s="55" t="str">
        <f>IF(A1386&lt;&gt;"",INDEX('Base de données'!A$4:L$990,MATCH(' TVA M'!A1386,'Base de données'!A$4:A$990,0),2),"")</f>
        <v/>
      </c>
      <c r="C1386" s="55" t="str">
        <f>IF(A1386&lt;&gt;"",INDEX('Base de données'!A$4:L$990,MATCH(' TVA M'!A1386,'Base de données'!A$4:A$990,0),12),"")</f>
        <v/>
      </c>
    </row>
    <row r="1387" spans="2:3" hidden="1" x14ac:dyDescent="0.25">
      <c r="B1387" s="55" t="str">
        <f>IF(A1387&lt;&gt;"",INDEX('Base de données'!A$4:L$990,MATCH(' TVA M'!A1387,'Base de données'!A$4:A$990,0),2),"")</f>
        <v/>
      </c>
      <c r="C1387" s="55" t="str">
        <f>IF(A1387&lt;&gt;"",INDEX('Base de données'!A$4:L$990,MATCH(' TVA M'!A1387,'Base de données'!A$4:A$990,0),12),"")</f>
        <v/>
      </c>
    </row>
    <row r="1388" spans="2:3" hidden="1" x14ac:dyDescent="0.25">
      <c r="B1388" s="55" t="str">
        <f>IF(A1388&lt;&gt;"",INDEX('Base de données'!A$4:L$990,MATCH(' TVA M'!A1388,'Base de données'!A$4:A$990,0),2),"")</f>
        <v/>
      </c>
      <c r="C1388" s="55" t="str">
        <f>IF(A1388&lt;&gt;"",INDEX('Base de données'!A$4:L$990,MATCH(' TVA M'!A1388,'Base de données'!A$4:A$990,0),12),"")</f>
        <v/>
      </c>
    </row>
    <row r="1389" spans="2:3" hidden="1" x14ac:dyDescent="0.25">
      <c r="B1389" s="55" t="str">
        <f>IF(A1389&lt;&gt;"",INDEX('Base de données'!A$4:L$990,MATCH(' TVA M'!A1389,'Base de données'!A$4:A$990,0),2),"")</f>
        <v/>
      </c>
      <c r="C1389" s="55" t="str">
        <f>IF(A1389&lt;&gt;"",INDEX('Base de données'!A$4:L$990,MATCH(' TVA M'!A1389,'Base de données'!A$4:A$990,0),12),"")</f>
        <v/>
      </c>
    </row>
    <row r="1390" spans="2:3" hidden="1" x14ac:dyDescent="0.25">
      <c r="B1390" s="55" t="str">
        <f>IF(A1390&lt;&gt;"",INDEX('Base de données'!A$4:L$990,MATCH(' TVA M'!A1390,'Base de données'!A$4:A$990,0),2),"")</f>
        <v/>
      </c>
      <c r="C1390" s="55" t="str">
        <f>IF(A1390&lt;&gt;"",INDEX('Base de données'!A$4:L$990,MATCH(' TVA M'!A1390,'Base de données'!A$4:A$990,0),12),"")</f>
        <v/>
      </c>
    </row>
    <row r="1391" spans="2:3" hidden="1" x14ac:dyDescent="0.25">
      <c r="B1391" s="55" t="str">
        <f>IF(A1391&lt;&gt;"",INDEX('Base de données'!A$4:L$990,MATCH(' TVA M'!A1391,'Base de données'!A$4:A$990,0),2),"")</f>
        <v/>
      </c>
      <c r="C1391" s="55" t="str">
        <f>IF(A1391&lt;&gt;"",INDEX('Base de données'!A$4:L$990,MATCH(' TVA M'!A1391,'Base de données'!A$4:A$990,0),12),"")</f>
        <v/>
      </c>
    </row>
    <row r="1392" spans="2:3" hidden="1" x14ac:dyDescent="0.25">
      <c r="B1392" s="55" t="str">
        <f>IF(A1392&lt;&gt;"",INDEX('Base de données'!A$4:L$990,MATCH(' TVA M'!A1392,'Base de données'!A$4:A$990,0),2),"")</f>
        <v/>
      </c>
      <c r="C1392" s="55" t="str">
        <f>IF(A1392&lt;&gt;"",INDEX('Base de données'!A$4:L$990,MATCH(' TVA M'!A1392,'Base de données'!A$4:A$990,0),12),"")</f>
        <v/>
      </c>
    </row>
    <row r="1393" spans="2:3" hidden="1" x14ac:dyDescent="0.25">
      <c r="B1393" s="55" t="str">
        <f>IF(A1393&lt;&gt;"",INDEX('Base de données'!A$4:L$990,MATCH(' TVA M'!A1393,'Base de données'!A$4:A$990,0),2),"")</f>
        <v/>
      </c>
      <c r="C1393" s="55" t="str">
        <f>IF(A1393&lt;&gt;"",INDEX('Base de données'!A$4:L$990,MATCH(' TVA M'!A1393,'Base de données'!A$4:A$990,0),12),"")</f>
        <v/>
      </c>
    </row>
    <row r="1394" spans="2:3" hidden="1" x14ac:dyDescent="0.25">
      <c r="B1394" s="55" t="str">
        <f>IF(A1394&lt;&gt;"",INDEX('Base de données'!A$4:L$990,MATCH(' TVA M'!A1394,'Base de données'!A$4:A$990,0),2),"")</f>
        <v/>
      </c>
      <c r="C1394" s="55" t="str">
        <f>IF(A1394&lt;&gt;"",INDEX('Base de données'!A$4:L$990,MATCH(' TVA M'!A1394,'Base de données'!A$4:A$990,0),12),"")</f>
        <v/>
      </c>
    </row>
    <row r="1395" spans="2:3" hidden="1" x14ac:dyDescent="0.25">
      <c r="B1395" s="55" t="str">
        <f>IF(A1395&lt;&gt;"",INDEX('Base de données'!A$4:L$990,MATCH(' TVA M'!A1395,'Base de données'!A$4:A$990,0),2),"")</f>
        <v/>
      </c>
      <c r="C1395" s="55" t="str">
        <f>IF(A1395&lt;&gt;"",INDEX('Base de données'!A$4:L$990,MATCH(' TVA M'!A1395,'Base de données'!A$4:A$990,0),12),"")</f>
        <v/>
      </c>
    </row>
    <row r="1396" spans="2:3" hidden="1" x14ac:dyDescent="0.25">
      <c r="B1396" s="55" t="str">
        <f>IF(A1396&lt;&gt;"",INDEX('Base de données'!A$4:L$990,MATCH(' TVA M'!A1396,'Base de données'!A$4:A$990,0),2),"")</f>
        <v/>
      </c>
      <c r="C1396" s="55" t="str">
        <f>IF(A1396&lt;&gt;"",INDEX('Base de données'!A$4:L$990,MATCH(' TVA M'!A1396,'Base de données'!A$4:A$990,0),12),"")</f>
        <v/>
      </c>
    </row>
    <row r="1397" spans="2:3" hidden="1" x14ac:dyDescent="0.25">
      <c r="B1397" s="55" t="str">
        <f>IF(A1397&lt;&gt;"",INDEX('Base de données'!A$4:L$990,MATCH(' TVA M'!A1397,'Base de données'!A$4:A$990,0),2),"")</f>
        <v/>
      </c>
      <c r="C1397" s="55" t="str">
        <f>IF(A1397&lt;&gt;"",INDEX('Base de données'!A$4:L$990,MATCH(' TVA M'!A1397,'Base de données'!A$4:A$990,0),12),"")</f>
        <v/>
      </c>
    </row>
    <row r="1398" spans="2:3" hidden="1" x14ac:dyDescent="0.25">
      <c r="B1398" s="55" t="str">
        <f>IF(A1398&lt;&gt;"",INDEX('Base de données'!A$4:L$990,MATCH(' TVA M'!A1398,'Base de données'!A$4:A$990,0),2),"")</f>
        <v/>
      </c>
      <c r="C1398" s="55" t="str">
        <f>IF(A1398&lt;&gt;"",INDEX('Base de données'!A$4:L$990,MATCH(' TVA M'!A1398,'Base de données'!A$4:A$990,0),12),"")</f>
        <v/>
      </c>
    </row>
    <row r="1399" spans="2:3" hidden="1" x14ac:dyDescent="0.25">
      <c r="B1399" s="55" t="str">
        <f>IF(A1399&lt;&gt;"",INDEX('Base de données'!A$4:L$990,MATCH(' TVA M'!A1399,'Base de données'!A$4:A$990,0),2),"")</f>
        <v/>
      </c>
      <c r="C1399" s="55" t="str">
        <f>IF(A1399&lt;&gt;"",INDEX('Base de données'!A$4:L$990,MATCH(' TVA M'!A1399,'Base de données'!A$4:A$990,0),12),"")</f>
        <v/>
      </c>
    </row>
    <row r="1400" spans="2:3" hidden="1" x14ac:dyDescent="0.25">
      <c r="B1400" s="55" t="str">
        <f>IF(A1400&lt;&gt;"",INDEX('Base de données'!A$4:L$990,MATCH(' TVA M'!A1400,'Base de données'!A$4:A$990,0),2),"")</f>
        <v/>
      </c>
      <c r="C1400" s="55" t="str">
        <f>IF(A1400&lt;&gt;"",INDEX('Base de données'!A$4:L$990,MATCH(' TVA M'!A1400,'Base de données'!A$4:A$990,0),12),"")</f>
        <v/>
      </c>
    </row>
    <row r="1401" spans="2:3" hidden="1" x14ac:dyDescent="0.25">
      <c r="B1401" s="55" t="str">
        <f>IF(A1401&lt;&gt;"",INDEX('Base de données'!A$4:L$990,MATCH(' TVA M'!A1401,'Base de données'!A$4:A$990,0),2),"")</f>
        <v/>
      </c>
      <c r="C1401" s="55" t="str">
        <f>IF(A1401&lt;&gt;"",INDEX('Base de données'!A$4:L$990,MATCH(' TVA M'!A1401,'Base de données'!A$4:A$990,0),12),"")</f>
        <v/>
      </c>
    </row>
    <row r="1402" spans="2:3" hidden="1" x14ac:dyDescent="0.25">
      <c r="B1402" s="55" t="str">
        <f>IF(A1402&lt;&gt;"",INDEX('Base de données'!A$4:L$990,MATCH(' TVA M'!A1402,'Base de données'!A$4:A$990,0),2),"")</f>
        <v/>
      </c>
      <c r="C1402" s="55" t="str">
        <f>IF(A1402&lt;&gt;"",INDEX('Base de données'!A$4:L$990,MATCH(' TVA M'!A1402,'Base de données'!A$4:A$990,0),12),"")</f>
        <v/>
      </c>
    </row>
    <row r="1403" spans="2:3" hidden="1" x14ac:dyDescent="0.25">
      <c r="B1403" s="55" t="str">
        <f>IF(A1403&lt;&gt;"",INDEX('Base de données'!A$4:L$990,MATCH(' TVA M'!A1403,'Base de données'!A$4:A$990,0),2),"")</f>
        <v/>
      </c>
      <c r="C1403" s="55" t="str">
        <f>IF(A1403&lt;&gt;"",INDEX('Base de données'!A$4:L$990,MATCH(' TVA M'!A1403,'Base de données'!A$4:A$990,0),12),"")</f>
        <v/>
      </c>
    </row>
    <row r="1404" spans="2:3" hidden="1" x14ac:dyDescent="0.25">
      <c r="B1404" s="55" t="str">
        <f>IF(A1404&lt;&gt;"",INDEX('Base de données'!A$4:L$990,MATCH(' TVA M'!A1404,'Base de données'!A$4:A$990,0),2),"")</f>
        <v/>
      </c>
      <c r="C1404" s="55" t="str">
        <f>IF(A1404&lt;&gt;"",INDEX('Base de données'!A$4:L$990,MATCH(' TVA M'!A1404,'Base de données'!A$4:A$990,0),12),"")</f>
        <v/>
      </c>
    </row>
    <row r="1405" spans="2:3" hidden="1" x14ac:dyDescent="0.25">
      <c r="B1405" s="55" t="str">
        <f>IF(A1405&lt;&gt;"",INDEX('Base de données'!A$4:L$990,MATCH(' TVA M'!A1405,'Base de données'!A$4:A$990,0),2),"")</f>
        <v/>
      </c>
      <c r="C1405" s="55" t="str">
        <f>IF(A1405&lt;&gt;"",INDEX('Base de données'!A$4:L$990,MATCH(' TVA M'!A1405,'Base de données'!A$4:A$990,0),12),"")</f>
        <v/>
      </c>
    </row>
    <row r="1406" spans="2:3" hidden="1" x14ac:dyDescent="0.25">
      <c r="B1406" s="55" t="str">
        <f>IF(A1406&lt;&gt;"",INDEX('Base de données'!A$4:L$990,MATCH(' TVA M'!A1406,'Base de données'!A$4:A$990,0),2),"")</f>
        <v/>
      </c>
      <c r="C1406" s="55" t="str">
        <f>IF(A1406&lt;&gt;"",INDEX('Base de données'!A$4:L$990,MATCH(' TVA M'!A1406,'Base de données'!A$4:A$990,0),12),"")</f>
        <v/>
      </c>
    </row>
    <row r="1407" spans="2:3" hidden="1" x14ac:dyDescent="0.25">
      <c r="B1407" s="55" t="str">
        <f>IF(A1407&lt;&gt;"",INDEX('Base de données'!A$4:L$990,MATCH(' TVA M'!A1407,'Base de données'!A$4:A$990,0),2),"")</f>
        <v/>
      </c>
      <c r="C1407" s="55" t="str">
        <f>IF(A1407&lt;&gt;"",INDEX('Base de données'!A$4:L$990,MATCH(' TVA M'!A1407,'Base de données'!A$4:A$990,0),12),"")</f>
        <v/>
      </c>
    </row>
    <row r="1408" spans="2:3" hidden="1" x14ac:dyDescent="0.25">
      <c r="B1408" s="55" t="str">
        <f>IF(A1408&lt;&gt;"",INDEX('Base de données'!A$4:L$990,MATCH(' TVA M'!A1408,'Base de données'!A$4:A$990,0),2),"")</f>
        <v/>
      </c>
      <c r="C1408" s="55" t="str">
        <f>IF(A1408&lt;&gt;"",INDEX('Base de données'!A$4:L$990,MATCH(' TVA M'!A1408,'Base de données'!A$4:A$990,0),12),"")</f>
        <v/>
      </c>
    </row>
    <row r="1409" spans="2:3" hidden="1" x14ac:dyDescent="0.25">
      <c r="B1409" s="55" t="str">
        <f>IF(A1409&lt;&gt;"",INDEX('Base de données'!A$4:L$990,MATCH(' TVA M'!A1409,'Base de données'!A$4:A$990,0),2),"")</f>
        <v/>
      </c>
      <c r="C1409" s="55" t="str">
        <f>IF(A1409&lt;&gt;"",INDEX('Base de données'!A$4:L$990,MATCH(' TVA M'!A1409,'Base de données'!A$4:A$990,0),12),"")</f>
        <v/>
      </c>
    </row>
    <row r="1410" spans="2:3" hidden="1" x14ac:dyDescent="0.25">
      <c r="B1410" s="55" t="str">
        <f>IF(A1410&lt;&gt;"",INDEX('Base de données'!A$4:L$990,MATCH(' TVA M'!A1410,'Base de données'!A$4:A$990,0),2),"")</f>
        <v/>
      </c>
      <c r="C1410" s="55" t="str">
        <f>IF(A1410&lt;&gt;"",INDEX('Base de données'!A$4:L$990,MATCH(' TVA M'!A1410,'Base de données'!A$4:A$990,0),12),"")</f>
        <v/>
      </c>
    </row>
    <row r="1411" spans="2:3" hidden="1" x14ac:dyDescent="0.25">
      <c r="B1411" s="55" t="str">
        <f>IF(A1411&lt;&gt;"",INDEX('Base de données'!A$4:L$990,MATCH(' TVA M'!A1411,'Base de données'!A$4:A$990,0),2),"")</f>
        <v/>
      </c>
      <c r="C1411" s="55" t="str">
        <f>IF(A1411&lt;&gt;"",INDEX('Base de données'!A$4:L$990,MATCH(' TVA M'!A1411,'Base de données'!A$4:A$990,0),12),"")</f>
        <v/>
      </c>
    </row>
    <row r="1412" spans="2:3" hidden="1" x14ac:dyDescent="0.25">
      <c r="B1412" s="55" t="str">
        <f>IF(A1412&lt;&gt;"",INDEX('Base de données'!A$4:L$990,MATCH(' TVA M'!A1412,'Base de données'!A$4:A$990,0),2),"")</f>
        <v/>
      </c>
      <c r="C1412" s="55" t="str">
        <f>IF(A1412&lt;&gt;"",INDEX('Base de données'!A$4:L$990,MATCH(' TVA M'!A1412,'Base de données'!A$4:A$990,0),12),"")</f>
        <v/>
      </c>
    </row>
    <row r="1413" spans="2:3" hidden="1" x14ac:dyDescent="0.25">
      <c r="B1413" s="55" t="str">
        <f>IF(A1413&lt;&gt;"",INDEX('Base de données'!A$4:L$990,MATCH(' TVA M'!A1413,'Base de données'!A$4:A$990,0),2),"")</f>
        <v/>
      </c>
      <c r="C1413" s="55" t="str">
        <f>IF(A1413&lt;&gt;"",INDEX('Base de données'!A$4:L$990,MATCH(' TVA M'!A1413,'Base de données'!A$4:A$990,0),12),"")</f>
        <v/>
      </c>
    </row>
    <row r="1414" spans="2:3" hidden="1" x14ac:dyDescent="0.25">
      <c r="B1414" s="55" t="str">
        <f>IF(A1414&lt;&gt;"",INDEX('Base de données'!A$4:L$990,MATCH(' TVA M'!A1414,'Base de données'!A$4:A$990,0),2),"")</f>
        <v/>
      </c>
      <c r="C1414" s="55" t="str">
        <f>IF(A1414&lt;&gt;"",INDEX('Base de données'!A$4:L$990,MATCH(' TVA M'!A1414,'Base de données'!A$4:A$990,0),12),"")</f>
        <v/>
      </c>
    </row>
    <row r="1415" spans="2:3" hidden="1" x14ac:dyDescent="0.25">
      <c r="B1415" s="55" t="str">
        <f>IF(A1415&lt;&gt;"",INDEX('Base de données'!A$4:L$990,MATCH(' TVA M'!A1415,'Base de données'!A$4:A$990,0),2),"")</f>
        <v/>
      </c>
      <c r="C1415" s="55" t="str">
        <f>IF(A1415&lt;&gt;"",INDEX('Base de données'!A$4:L$990,MATCH(' TVA M'!A1415,'Base de données'!A$4:A$990,0),12),"")</f>
        <v/>
      </c>
    </row>
    <row r="1416" spans="2:3" hidden="1" x14ac:dyDescent="0.25">
      <c r="B1416" s="55" t="str">
        <f>IF(A1416&lt;&gt;"",INDEX('Base de données'!A$4:L$990,MATCH(' TVA M'!A1416,'Base de données'!A$4:A$990,0),2),"")</f>
        <v/>
      </c>
      <c r="C1416" s="55" t="str">
        <f>IF(A1416&lt;&gt;"",INDEX('Base de données'!A$4:L$990,MATCH(' TVA M'!A1416,'Base de données'!A$4:A$990,0),12),"")</f>
        <v/>
      </c>
    </row>
    <row r="1417" spans="2:3" hidden="1" x14ac:dyDescent="0.25">
      <c r="B1417" s="55" t="str">
        <f>IF(A1417&lt;&gt;"",INDEX('Base de données'!A$4:L$990,MATCH(' TVA M'!A1417,'Base de données'!A$4:A$990,0),2),"")</f>
        <v/>
      </c>
      <c r="C1417" s="55" t="str">
        <f>IF(A1417&lt;&gt;"",INDEX('Base de données'!A$4:L$990,MATCH(' TVA M'!A1417,'Base de données'!A$4:A$990,0),12),"")</f>
        <v/>
      </c>
    </row>
    <row r="1418" spans="2:3" hidden="1" x14ac:dyDescent="0.25">
      <c r="B1418" s="55" t="str">
        <f>IF(A1418&lt;&gt;"",INDEX('Base de données'!A$4:L$990,MATCH(' TVA M'!A1418,'Base de données'!A$4:A$990,0),2),"")</f>
        <v/>
      </c>
      <c r="C1418" s="55" t="str">
        <f>IF(A1418&lt;&gt;"",INDEX('Base de données'!A$4:L$990,MATCH(' TVA M'!A1418,'Base de données'!A$4:A$990,0),12),"")</f>
        <v/>
      </c>
    </row>
    <row r="1419" spans="2:3" hidden="1" x14ac:dyDescent="0.25">
      <c r="B1419" s="55" t="str">
        <f>IF(A1419&lt;&gt;"",INDEX('Base de données'!A$4:L$990,MATCH(' TVA M'!A1419,'Base de données'!A$4:A$990,0),2),"")</f>
        <v/>
      </c>
      <c r="C1419" s="55" t="str">
        <f>IF(A1419&lt;&gt;"",INDEX('Base de données'!A$4:L$990,MATCH(' TVA M'!A1419,'Base de données'!A$4:A$990,0),12),"")</f>
        <v/>
      </c>
    </row>
    <row r="1420" spans="2:3" hidden="1" x14ac:dyDescent="0.25">
      <c r="B1420" s="55" t="str">
        <f>IF(A1420&lt;&gt;"",INDEX('Base de données'!A$4:L$990,MATCH(' TVA M'!A1420,'Base de données'!A$4:A$990,0),2),"")</f>
        <v/>
      </c>
      <c r="C1420" s="55" t="str">
        <f>IF(A1420&lt;&gt;"",INDEX('Base de données'!A$4:L$990,MATCH(' TVA M'!A1420,'Base de données'!A$4:A$990,0),12),"")</f>
        <v/>
      </c>
    </row>
    <row r="1421" spans="2:3" hidden="1" x14ac:dyDescent="0.25">
      <c r="B1421" s="55" t="str">
        <f>IF(A1421&lt;&gt;"",INDEX('Base de données'!A$4:L$990,MATCH(' TVA M'!A1421,'Base de données'!A$4:A$990,0),2),"")</f>
        <v/>
      </c>
      <c r="C1421" s="55" t="str">
        <f>IF(A1421&lt;&gt;"",INDEX('Base de données'!A$4:L$990,MATCH(' TVA M'!A1421,'Base de données'!A$4:A$990,0),12),"")</f>
        <v/>
      </c>
    </row>
    <row r="1422" spans="2:3" hidden="1" x14ac:dyDescent="0.25">
      <c r="B1422" s="55" t="str">
        <f>IF(A1422&lt;&gt;"",INDEX('Base de données'!A$4:L$990,MATCH(' TVA M'!A1422,'Base de données'!A$4:A$990,0),2),"")</f>
        <v/>
      </c>
      <c r="C1422" s="55" t="str">
        <f>IF(A1422&lt;&gt;"",INDEX('Base de données'!A$4:L$990,MATCH(' TVA M'!A1422,'Base de données'!A$4:A$990,0),12),"")</f>
        <v/>
      </c>
    </row>
    <row r="1423" spans="2:3" hidden="1" x14ac:dyDescent="0.25">
      <c r="B1423" s="55" t="str">
        <f>IF(A1423&lt;&gt;"",INDEX('Base de données'!A$4:L$990,MATCH(' TVA M'!A1423,'Base de données'!A$4:A$990,0),2),"")</f>
        <v/>
      </c>
      <c r="C1423" s="55" t="str">
        <f>IF(A1423&lt;&gt;"",INDEX('Base de données'!A$4:L$990,MATCH(' TVA M'!A1423,'Base de données'!A$4:A$990,0),12),"")</f>
        <v/>
      </c>
    </row>
    <row r="1424" spans="2:3" hidden="1" x14ac:dyDescent="0.25">
      <c r="B1424" s="55" t="str">
        <f>IF(A1424&lt;&gt;"",INDEX('Base de données'!A$4:L$990,MATCH(' TVA M'!A1424,'Base de données'!A$4:A$990,0),2),"")</f>
        <v/>
      </c>
      <c r="C1424" s="55" t="str">
        <f>IF(A1424&lt;&gt;"",INDEX('Base de données'!A$4:L$990,MATCH(' TVA M'!A1424,'Base de données'!A$4:A$990,0),12),"")</f>
        <v/>
      </c>
    </row>
    <row r="1425" spans="2:3" hidden="1" x14ac:dyDescent="0.25">
      <c r="B1425" s="55" t="str">
        <f>IF(A1425&lt;&gt;"",INDEX('Base de données'!A$4:L$990,MATCH(' TVA M'!A1425,'Base de données'!A$4:A$990,0),2),"")</f>
        <v/>
      </c>
      <c r="C1425" s="55" t="str">
        <f>IF(A1425&lt;&gt;"",INDEX('Base de données'!A$4:L$990,MATCH(' TVA M'!A1425,'Base de données'!A$4:A$990,0),12),"")</f>
        <v/>
      </c>
    </row>
    <row r="1426" spans="2:3" hidden="1" x14ac:dyDescent="0.25">
      <c r="B1426" s="55" t="str">
        <f>IF(A1426&lt;&gt;"",INDEX('Base de données'!A$4:L$990,MATCH(' TVA M'!A1426,'Base de données'!A$4:A$990,0),2),"")</f>
        <v/>
      </c>
      <c r="C1426" s="55" t="str">
        <f>IF(A1426&lt;&gt;"",INDEX('Base de données'!A$4:L$990,MATCH(' TVA M'!A1426,'Base de données'!A$4:A$990,0),12),"")</f>
        <v/>
      </c>
    </row>
    <row r="1427" spans="2:3" hidden="1" x14ac:dyDescent="0.25">
      <c r="B1427" s="55" t="str">
        <f>IF(A1427&lt;&gt;"",INDEX('Base de données'!A$4:L$990,MATCH(' TVA M'!A1427,'Base de données'!A$4:A$990,0),2),"")</f>
        <v/>
      </c>
      <c r="C1427" s="55" t="str">
        <f>IF(A1427&lt;&gt;"",INDEX('Base de données'!A$4:L$990,MATCH(' TVA M'!A1427,'Base de données'!A$4:A$990,0),12),"")</f>
        <v/>
      </c>
    </row>
    <row r="1428" spans="2:3" hidden="1" x14ac:dyDescent="0.25">
      <c r="B1428" s="55" t="str">
        <f>IF(A1428&lt;&gt;"",INDEX('Base de données'!A$4:L$990,MATCH(' TVA M'!A1428,'Base de données'!A$4:A$990,0),2),"")</f>
        <v/>
      </c>
      <c r="C1428" s="55" t="str">
        <f>IF(A1428&lt;&gt;"",INDEX('Base de données'!A$4:L$990,MATCH(' TVA M'!A1428,'Base de données'!A$4:A$990,0),12),"")</f>
        <v/>
      </c>
    </row>
    <row r="1429" spans="2:3" hidden="1" x14ac:dyDescent="0.25">
      <c r="B1429" s="55" t="str">
        <f>IF(A1429&lt;&gt;"",INDEX('Base de données'!A$4:L$990,MATCH(' TVA M'!A1429,'Base de données'!A$4:A$990,0),2),"")</f>
        <v/>
      </c>
      <c r="C1429" s="55" t="str">
        <f>IF(A1429&lt;&gt;"",INDEX('Base de données'!A$4:L$990,MATCH(' TVA M'!A1429,'Base de données'!A$4:A$990,0),12),"")</f>
        <v/>
      </c>
    </row>
    <row r="1430" spans="2:3" hidden="1" x14ac:dyDescent="0.25">
      <c r="B1430" s="55" t="str">
        <f>IF(A1430&lt;&gt;"",INDEX('Base de données'!A$4:L$990,MATCH(' TVA M'!A1430,'Base de données'!A$4:A$990,0),2),"")</f>
        <v/>
      </c>
      <c r="C1430" s="55" t="str">
        <f>IF(A1430&lt;&gt;"",INDEX('Base de données'!A$4:L$990,MATCH(' TVA M'!A1430,'Base de données'!A$4:A$990,0),12),"")</f>
        <v/>
      </c>
    </row>
    <row r="1431" spans="2:3" hidden="1" x14ac:dyDescent="0.25">
      <c r="B1431" s="55" t="str">
        <f>IF(A1431&lt;&gt;"",INDEX('Base de données'!A$4:L$990,MATCH(' TVA M'!A1431,'Base de données'!A$4:A$990,0),2),"")</f>
        <v/>
      </c>
      <c r="C1431" s="55" t="str">
        <f>IF(A1431&lt;&gt;"",INDEX('Base de données'!A$4:L$990,MATCH(' TVA M'!A1431,'Base de données'!A$4:A$990,0),12),"")</f>
        <v/>
      </c>
    </row>
    <row r="1432" spans="2:3" hidden="1" x14ac:dyDescent="0.25">
      <c r="B1432" s="55" t="str">
        <f>IF(A1432&lt;&gt;"",INDEX('Base de données'!A$4:L$990,MATCH(' TVA M'!A1432,'Base de données'!A$4:A$990,0),2),"")</f>
        <v/>
      </c>
      <c r="C1432" s="55" t="str">
        <f>IF(A1432&lt;&gt;"",INDEX('Base de données'!A$4:L$990,MATCH(' TVA M'!A1432,'Base de données'!A$4:A$990,0),12),"")</f>
        <v/>
      </c>
    </row>
    <row r="1433" spans="2:3" hidden="1" x14ac:dyDescent="0.25">
      <c r="B1433" s="55" t="str">
        <f>IF(A1433&lt;&gt;"",INDEX('Base de données'!A$4:L$990,MATCH(' TVA M'!A1433,'Base de données'!A$4:A$990,0),2),"")</f>
        <v/>
      </c>
      <c r="C1433" s="55" t="str">
        <f>IF(A1433&lt;&gt;"",INDEX('Base de données'!A$4:L$990,MATCH(' TVA M'!A1433,'Base de données'!A$4:A$990,0),12),"")</f>
        <v/>
      </c>
    </row>
    <row r="1434" spans="2:3" hidden="1" x14ac:dyDescent="0.25">
      <c r="B1434" s="55" t="str">
        <f>IF(A1434&lt;&gt;"",INDEX('Base de données'!A$4:L$990,MATCH(' TVA M'!A1434,'Base de données'!A$4:A$990,0),2),"")</f>
        <v/>
      </c>
      <c r="C1434" s="55" t="str">
        <f>IF(A1434&lt;&gt;"",INDEX('Base de données'!A$4:L$990,MATCH(' TVA M'!A1434,'Base de données'!A$4:A$990,0),12),"")</f>
        <v/>
      </c>
    </row>
    <row r="1435" spans="2:3" hidden="1" x14ac:dyDescent="0.25">
      <c r="B1435" s="55" t="str">
        <f>IF(A1435&lt;&gt;"",INDEX('Base de données'!A$4:L$990,MATCH(' TVA M'!A1435,'Base de données'!A$4:A$990,0),2),"")</f>
        <v/>
      </c>
      <c r="C1435" s="55" t="str">
        <f>IF(A1435&lt;&gt;"",INDEX('Base de données'!A$4:L$990,MATCH(' TVA M'!A1435,'Base de données'!A$4:A$990,0),12),"")</f>
        <v/>
      </c>
    </row>
    <row r="1436" spans="2:3" hidden="1" x14ac:dyDescent="0.25">
      <c r="B1436" s="55" t="str">
        <f>IF(A1436&lt;&gt;"",INDEX('Base de données'!A$4:L$990,MATCH(' TVA M'!A1436,'Base de données'!A$4:A$990,0),2),"")</f>
        <v/>
      </c>
      <c r="C1436" s="55" t="str">
        <f>IF(A1436&lt;&gt;"",INDEX('Base de données'!A$4:L$990,MATCH(' TVA M'!A1436,'Base de données'!A$4:A$990,0),12),"")</f>
        <v/>
      </c>
    </row>
    <row r="1437" spans="2:3" hidden="1" x14ac:dyDescent="0.25">
      <c r="B1437" s="55" t="str">
        <f>IF(A1437&lt;&gt;"",INDEX('Base de données'!A$4:L$990,MATCH(' TVA M'!A1437,'Base de données'!A$4:A$990,0),2),"")</f>
        <v/>
      </c>
      <c r="C1437" s="55" t="str">
        <f>IF(A1437&lt;&gt;"",INDEX('Base de données'!A$4:L$990,MATCH(' TVA M'!A1437,'Base de données'!A$4:A$990,0),12),"")</f>
        <v/>
      </c>
    </row>
    <row r="1438" spans="2:3" hidden="1" x14ac:dyDescent="0.25">
      <c r="B1438" s="55" t="str">
        <f>IF(A1438&lt;&gt;"",INDEX('Base de données'!A$4:L$990,MATCH(' TVA M'!A1438,'Base de données'!A$4:A$990,0),2),"")</f>
        <v/>
      </c>
      <c r="C1438" s="55" t="str">
        <f>IF(A1438&lt;&gt;"",INDEX('Base de données'!A$4:L$990,MATCH(' TVA M'!A1438,'Base de données'!A$4:A$990,0),12),"")</f>
        <v/>
      </c>
    </row>
    <row r="1439" spans="2:3" hidden="1" x14ac:dyDescent="0.25">
      <c r="B1439" s="55" t="str">
        <f>IF(A1439&lt;&gt;"",INDEX('Base de données'!A$4:L$990,MATCH(' TVA M'!A1439,'Base de données'!A$4:A$990,0),2),"")</f>
        <v/>
      </c>
      <c r="C1439" s="55" t="str">
        <f>IF(A1439&lt;&gt;"",INDEX('Base de données'!A$4:L$990,MATCH(' TVA M'!A1439,'Base de données'!A$4:A$990,0),12),"")</f>
        <v/>
      </c>
    </row>
    <row r="1440" spans="2:3" hidden="1" x14ac:dyDescent="0.25">
      <c r="B1440" s="55" t="str">
        <f>IF(A1440&lt;&gt;"",INDEX('Base de données'!A$4:L$990,MATCH(' TVA M'!A1440,'Base de données'!A$4:A$990,0),2),"")</f>
        <v/>
      </c>
      <c r="C1440" s="55" t="str">
        <f>IF(A1440&lt;&gt;"",INDEX('Base de données'!A$4:L$990,MATCH(' TVA M'!A1440,'Base de données'!A$4:A$990,0),12),"")</f>
        <v/>
      </c>
    </row>
    <row r="1441" spans="2:3" hidden="1" x14ac:dyDescent="0.25">
      <c r="B1441" s="55" t="str">
        <f>IF(A1441&lt;&gt;"",INDEX('Base de données'!A$4:L$990,MATCH(' TVA M'!A1441,'Base de données'!A$4:A$990,0),2),"")</f>
        <v/>
      </c>
      <c r="C1441" s="55" t="str">
        <f>IF(A1441&lt;&gt;"",INDEX('Base de données'!A$4:L$990,MATCH(' TVA M'!A1441,'Base de données'!A$4:A$990,0),12),"")</f>
        <v/>
      </c>
    </row>
    <row r="1442" spans="2:3" hidden="1" x14ac:dyDescent="0.25">
      <c r="B1442" s="55" t="str">
        <f>IF(A1442&lt;&gt;"",INDEX('Base de données'!A$4:L$990,MATCH(' TVA M'!A1442,'Base de données'!A$4:A$990,0),2),"")</f>
        <v/>
      </c>
      <c r="C1442" s="55" t="str">
        <f>IF(A1442&lt;&gt;"",INDEX('Base de données'!A$4:L$990,MATCH(' TVA M'!A1442,'Base de données'!A$4:A$990,0),12),"")</f>
        <v/>
      </c>
    </row>
    <row r="1443" spans="2:3" hidden="1" x14ac:dyDescent="0.25">
      <c r="B1443" s="55" t="str">
        <f>IF(A1443&lt;&gt;"",INDEX('Base de données'!A$4:L$990,MATCH(' TVA M'!A1443,'Base de données'!A$4:A$990,0),2),"")</f>
        <v/>
      </c>
      <c r="C1443" s="55" t="str">
        <f>IF(A1443&lt;&gt;"",INDEX('Base de données'!A$4:L$990,MATCH(' TVA M'!A1443,'Base de données'!A$4:A$990,0),12),"")</f>
        <v/>
      </c>
    </row>
    <row r="1444" spans="2:3" hidden="1" x14ac:dyDescent="0.25">
      <c r="B1444" s="55" t="str">
        <f>IF(A1444&lt;&gt;"",INDEX('Base de données'!A$4:L$990,MATCH(' TVA M'!A1444,'Base de données'!A$4:A$990,0),2),"")</f>
        <v/>
      </c>
      <c r="C1444" s="55" t="str">
        <f>IF(A1444&lt;&gt;"",INDEX('Base de données'!A$4:L$990,MATCH(' TVA M'!A1444,'Base de données'!A$4:A$990,0),12),"")</f>
        <v/>
      </c>
    </row>
    <row r="1445" spans="2:3" hidden="1" x14ac:dyDescent="0.25">
      <c r="B1445" s="55" t="str">
        <f>IF(A1445&lt;&gt;"",INDEX('Base de données'!A$4:L$990,MATCH(' TVA M'!A1445,'Base de données'!A$4:A$990,0),2),"")</f>
        <v/>
      </c>
      <c r="C1445" s="55" t="str">
        <f>IF(A1445&lt;&gt;"",INDEX('Base de données'!A$4:L$990,MATCH(' TVA M'!A1445,'Base de données'!A$4:A$990,0),12),"")</f>
        <v/>
      </c>
    </row>
    <row r="1446" spans="2:3" hidden="1" x14ac:dyDescent="0.25">
      <c r="B1446" s="55" t="str">
        <f>IF(A1446&lt;&gt;"",INDEX('Base de données'!A$4:L$990,MATCH(' TVA M'!A1446,'Base de données'!A$4:A$990,0),2),"")</f>
        <v/>
      </c>
      <c r="C1446" s="55" t="str">
        <f>IF(A1446&lt;&gt;"",INDEX('Base de données'!A$4:L$990,MATCH(' TVA M'!A1446,'Base de données'!A$4:A$990,0),12),"")</f>
        <v/>
      </c>
    </row>
    <row r="1447" spans="2:3" hidden="1" x14ac:dyDescent="0.25">
      <c r="B1447" s="55" t="str">
        <f>IF(A1447&lt;&gt;"",INDEX('Base de données'!A$4:L$990,MATCH(' TVA M'!A1447,'Base de données'!A$4:A$990,0),2),"")</f>
        <v/>
      </c>
      <c r="C1447" s="55" t="str">
        <f>IF(A1447&lt;&gt;"",INDEX('Base de données'!A$4:L$990,MATCH(' TVA M'!A1447,'Base de données'!A$4:A$990,0),12),"")</f>
        <v/>
      </c>
    </row>
    <row r="1448" spans="2:3" hidden="1" x14ac:dyDescent="0.25">
      <c r="B1448" s="55" t="str">
        <f>IF(A1448&lt;&gt;"",INDEX('Base de données'!A$4:L$990,MATCH(' TVA M'!A1448,'Base de données'!A$4:A$990,0),2),"")</f>
        <v/>
      </c>
      <c r="C1448" s="55" t="str">
        <f>IF(A1448&lt;&gt;"",INDEX('Base de données'!A$4:L$990,MATCH(' TVA M'!A1448,'Base de données'!A$4:A$990,0),12),"")</f>
        <v/>
      </c>
    </row>
    <row r="1449" spans="2:3" hidden="1" x14ac:dyDescent="0.25">
      <c r="B1449" s="55" t="str">
        <f>IF(A1449&lt;&gt;"",INDEX('Base de données'!A$4:L$990,MATCH(' TVA M'!A1449,'Base de données'!A$4:A$990,0),2),"")</f>
        <v/>
      </c>
      <c r="C1449" s="55" t="str">
        <f>IF(A1449&lt;&gt;"",INDEX('Base de données'!A$4:L$990,MATCH(' TVA M'!A1449,'Base de données'!A$4:A$990,0),12),"")</f>
        <v/>
      </c>
    </row>
    <row r="1450" spans="2:3" hidden="1" x14ac:dyDescent="0.25">
      <c r="B1450" s="55" t="str">
        <f>IF(A1450&lt;&gt;"",INDEX('Base de données'!A$4:L$990,MATCH(' TVA M'!A1450,'Base de données'!A$4:A$990,0),2),"")</f>
        <v/>
      </c>
      <c r="C1450" s="55" t="str">
        <f>IF(A1450&lt;&gt;"",INDEX('Base de données'!A$4:L$990,MATCH(' TVA M'!A1450,'Base de données'!A$4:A$990,0),12),"")</f>
        <v/>
      </c>
    </row>
    <row r="1451" spans="2:3" hidden="1" x14ac:dyDescent="0.25">
      <c r="B1451" s="55" t="str">
        <f>IF(A1451&lt;&gt;"",INDEX('Base de données'!A$4:L$990,MATCH(' TVA M'!A1451,'Base de données'!A$4:A$990,0),2),"")</f>
        <v/>
      </c>
      <c r="C1451" s="55" t="str">
        <f>IF(A1451&lt;&gt;"",INDEX('Base de données'!A$4:L$990,MATCH(' TVA M'!A1451,'Base de données'!A$4:A$990,0),12),"")</f>
        <v/>
      </c>
    </row>
    <row r="1452" spans="2:3" hidden="1" x14ac:dyDescent="0.25">
      <c r="B1452" s="55" t="str">
        <f>IF(A1452&lt;&gt;"",INDEX('Base de données'!A$4:L$990,MATCH(' TVA M'!A1452,'Base de données'!A$4:A$990,0),2),"")</f>
        <v/>
      </c>
      <c r="C1452" s="55" t="str">
        <f>IF(A1452&lt;&gt;"",INDEX('Base de données'!A$4:L$990,MATCH(' TVA M'!A1452,'Base de données'!A$4:A$990,0),12),"")</f>
        <v/>
      </c>
    </row>
    <row r="1453" spans="2:3" hidden="1" x14ac:dyDescent="0.25">
      <c r="B1453" s="55" t="str">
        <f>IF(A1453&lt;&gt;"",INDEX('Base de données'!A$4:L$990,MATCH(' TVA M'!A1453,'Base de données'!A$4:A$990,0),2),"")</f>
        <v/>
      </c>
      <c r="C1453" s="55" t="str">
        <f>IF(A1453&lt;&gt;"",INDEX('Base de données'!A$4:L$990,MATCH(' TVA M'!A1453,'Base de données'!A$4:A$990,0),12),"")</f>
        <v/>
      </c>
    </row>
    <row r="1454" spans="2:3" hidden="1" x14ac:dyDescent="0.25">
      <c r="B1454" s="55" t="str">
        <f>IF(A1454&lt;&gt;"",INDEX('Base de données'!A$4:L$990,MATCH(' TVA M'!A1454,'Base de données'!A$4:A$990,0),2),"")</f>
        <v/>
      </c>
      <c r="C1454" s="55" t="str">
        <f>IF(A1454&lt;&gt;"",INDEX('Base de données'!A$4:L$990,MATCH(' TVA M'!A1454,'Base de données'!A$4:A$990,0),12),"")</f>
        <v/>
      </c>
    </row>
    <row r="1455" spans="2:3" hidden="1" x14ac:dyDescent="0.25">
      <c r="B1455" s="55" t="str">
        <f>IF(A1455&lt;&gt;"",INDEX('Base de données'!A$4:L$990,MATCH(' TVA M'!A1455,'Base de données'!A$4:A$990,0),2),"")</f>
        <v/>
      </c>
      <c r="C1455" s="55" t="str">
        <f>IF(A1455&lt;&gt;"",INDEX('Base de données'!A$4:L$990,MATCH(' TVA M'!A1455,'Base de données'!A$4:A$990,0),12),"")</f>
        <v/>
      </c>
    </row>
    <row r="1456" spans="2:3" hidden="1" x14ac:dyDescent="0.25">
      <c r="B1456" s="55" t="str">
        <f>IF(A1456&lt;&gt;"",INDEX('Base de données'!A$4:L$990,MATCH(' TVA M'!A1456,'Base de données'!A$4:A$990,0),2),"")</f>
        <v/>
      </c>
      <c r="C1456" s="55" t="str">
        <f>IF(A1456&lt;&gt;"",INDEX('Base de données'!A$4:L$990,MATCH(' TVA M'!A1456,'Base de données'!A$4:A$990,0),12),"")</f>
        <v/>
      </c>
    </row>
    <row r="1457" spans="2:3" hidden="1" x14ac:dyDescent="0.25">
      <c r="B1457" s="55" t="str">
        <f>IF(A1457&lt;&gt;"",INDEX('Base de données'!A$4:L$990,MATCH(' TVA M'!A1457,'Base de données'!A$4:A$990,0),2),"")</f>
        <v/>
      </c>
      <c r="C1457" s="55" t="str">
        <f>IF(A1457&lt;&gt;"",INDEX('Base de données'!A$4:L$990,MATCH(' TVA M'!A1457,'Base de données'!A$4:A$990,0),12),"")</f>
        <v/>
      </c>
    </row>
    <row r="1458" spans="2:3" hidden="1" x14ac:dyDescent="0.25">
      <c r="B1458" s="55" t="str">
        <f>IF(A1458&lt;&gt;"",INDEX('Base de données'!A$4:L$990,MATCH(' TVA M'!A1458,'Base de données'!A$4:A$990,0),2),"")</f>
        <v/>
      </c>
      <c r="C1458" s="55" t="str">
        <f>IF(A1458&lt;&gt;"",INDEX('Base de données'!A$4:L$990,MATCH(' TVA M'!A1458,'Base de données'!A$4:A$990,0),12),"")</f>
        <v/>
      </c>
    </row>
    <row r="1459" spans="2:3" hidden="1" x14ac:dyDescent="0.25">
      <c r="B1459" s="55" t="str">
        <f>IF(A1459&lt;&gt;"",INDEX('Base de données'!A$4:L$990,MATCH(' TVA M'!A1459,'Base de données'!A$4:A$990,0),2),"")</f>
        <v/>
      </c>
      <c r="C1459" s="55" t="str">
        <f>IF(A1459&lt;&gt;"",INDEX('Base de données'!A$4:L$990,MATCH(' TVA M'!A1459,'Base de données'!A$4:A$990,0),12),"")</f>
        <v/>
      </c>
    </row>
    <row r="1460" spans="2:3" hidden="1" x14ac:dyDescent="0.25">
      <c r="B1460" s="55" t="str">
        <f>IF(A1460&lt;&gt;"",INDEX('Base de données'!A$4:L$990,MATCH(' TVA M'!A1460,'Base de données'!A$4:A$990,0),2),"")</f>
        <v/>
      </c>
      <c r="C1460" s="55" t="str">
        <f>IF(A1460&lt;&gt;"",INDEX('Base de données'!A$4:L$990,MATCH(' TVA M'!A1460,'Base de données'!A$4:A$990,0),12),"")</f>
        <v/>
      </c>
    </row>
    <row r="1461" spans="2:3" hidden="1" x14ac:dyDescent="0.25">
      <c r="B1461" s="55" t="str">
        <f>IF(A1461&lt;&gt;"",INDEX('Base de données'!A$4:L$990,MATCH(' TVA M'!A1461,'Base de données'!A$4:A$990,0),2),"")</f>
        <v/>
      </c>
      <c r="C1461" s="55" t="str">
        <f>IF(A1461&lt;&gt;"",INDEX('Base de données'!A$4:L$990,MATCH(' TVA M'!A1461,'Base de données'!A$4:A$990,0),12),"")</f>
        <v/>
      </c>
    </row>
    <row r="1462" spans="2:3" hidden="1" x14ac:dyDescent="0.25">
      <c r="B1462" s="55" t="str">
        <f>IF(A1462&lt;&gt;"",INDEX('Base de données'!A$4:L$990,MATCH(' TVA M'!A1462,'Base de données'!A$4:A$990,0),2),"")</f>
        <v/>
      </c>
      <c r="C1462" s="55" t="str">
        <f>IF(A1462&lt;&gt;"",INDEX('Base de données'!A$4:L$990,MATCH(' TVA M'!A1462,'Base de données'!A$4:A$990,0),12),"")</f>
        <v/>
      </c>
    </row>
    <row r="1463" spans="2:3" hidden="1" x14ac:dyDescent="0.25">
      <c r="B1463" s="55" t="str">
        <f>IF(A1463&lt;&gt;"",INDEX('Base de données'!A$4:L$990,MATCH(' TVA M'!A1463,'Base de données'!A$4:A$990,0),2),"")</f>
        <v/>
      </c>
      <c r="C1463" s="55" t="str">
        <f>IF(A1463&lt;&gt;"",INDEX('Base de données'!A$4:L$990,MATCH(' TVA M'!A1463,'Base de données'!A$4:A$990,0),12),"")</f>
        <v/>
      </c>
    </row>
    <row r="1464" spans="2:3" hidden="1" x14ac:dyDescent="0.25">
      <c r="B1464" s="55" t="str">
        <f>IF(A1464&lt;&gt;"",INDEX('Base de données'!A$4:L$990,MATCH(' TVA M'!A1464,'Base de données'!A$4:A$990,0),2),"")</f>
        <v/>
      </c>
      <c r="C1464" s="55" t="str">
        <f>IF(A1464&lt;&gt;"",INDEX('Base de données'!A$4:L$990,MATCH(' TVA M'!A1464,'Base de données'!A$4:A$990,0),12),"")</f>
        <v/>
      </c>
    </row>
    <row r="1465" spans="2:3" hidden="1" x14ac:dyDescent="0.25">
      <c r="B1465" s="55" t="str">
        <f>IF(A1465&lt;&gt;"",INDEX('Base de données'!A$4:L$990,MATCH(' TVA M'!A1465,'Base de données'!A$4:A$990,0),2),"")</f>
        <v/>
      </c>
      <c r="C1465" s="55" t="str">
        <f>IF(A1465&lt;&gt;"",INDEX('Base de données'!A$4:L$990,MATCH(' TVA M'!A1465,'Base de données'!A$4:A$990,0),12),"")</f>
        <v/>
      </c>
    </row>
    <row r="1466" spans="2:3" hidden="1" x14ac:dyDescent="0.25">
      <c r="B1466" s="55" t="str">
        <f>IF(A1466&lt;&gt;"",INDEX('Base de données'!A$4:L$990,MATCH(' TVA M'!A1466,'Base de données'!A$4:A$990,0),2),"")</f>
        <v/>
      </c>
      <c r="C1466" s="55" t="str">
        <f>IF(A1466&lt;&gt;"",INDEX('Base de données'!A$4:L$990,MATCH(' TVA M'!A1466,'Base de données'!A$4:A$990,0),12),"")</f>
        <v/>
      </c>
    </row>
    <row r="1467" spans="2:3" hidden="1" x14ac:dyDescent="0.25">
      <c r="B1467" s="55" t="str">
        <f>IF(A1467&lt;&gt;"",INDEX('Base de données'!A$4:L$990,MATCH(' TVA M'!A1467,'Base de données'!A$4:A$990,0),2),"")</f>
        <v/>
      </c>
      <c r="C1467" s="55" t="str">
        <f>IF(A1467&lt;&gt;"",INDEX('Base de données'!A$4:L$990,MATCH(' TVA M'!A1467,'Base de données'!A$4:A$990,0),12),"")</f>
        <v/>
      </c>
    </row>
    <row r="1468" spans="2:3" hidden="1" x14ac:dyDescent="0.25">
      <c r="B1468" s="55" t="str">
        <f>IF(A1468&lt;&gt;"",INDEX('Base de données'!A$4:L$990,MATCH(' TVA M'!A1468,'Base de données'!A$4:A$990,0),2),"")</f>
        <v/>
      </c>
      <c r="C1468" s="55" t="str">
        <f>IF(A1468&lt;&gt;"",INDEX('Base de données'!A$4:L$990,MATCH(' TVA M'!A1468,'Base de données'!A$4:A$990,0),12),"")</f>
        <v/>
      </c>
    </row>
    <row r="1469" spans="2:3" hidden="1" x14ac:dyDescent="0.25">
      <c r="B1469" s="55" t="str">
        <f>IF(A1469&lt;&gt;"",INDEX('Base de données'!A$4:L$990,MATCH(' TVA M'!A1469,'Base de données'!A$4:A$990,0),2),"")</f>
        <v/>
      </c>
      <c r="C1469" s="55" t="str">
        <f>IF(A1469&lt;&gt;"",INDEX('Base de données'!A$4:L$990,MATCH(' TVA M'!A1469,'Base de données'!A$4:A$990,0),12),"")</f>
        <v/>
      </c>
    </row>
    <row r="1470" spans="2:3" hidden="1" x14ac:dyDescent="0.25">
      <c r="B1470" s="55" t="str">
        <f>IF(A1470&lt;&gt;"",INDEX('Base de données'!A$4:L$990,MATCH(' TVA M'!A1470,'Base de données'!A$4:A$990,0),2),"")</f>
        <v/>
      </c>
      <c r="C1470" s="55" t="str">
        <f>IF(A1470&lt;&gt;"",INDEX('Base de données'!A$4:L$990,MATCH(' TVA M'!A1470,'Base de données'!A$4:A$990,0),12),"")</f>
        <v/>
      </c>
    </row>
    <row r="1471" spans="2:3" hidden="1" x14ac:dyDescent="0.25">
      <c r="B1471" s="55" t="str">
        <f>IF(A1471&lt;&gt;"",INDEX('Base de données'!A$4:L$990,MATCH(' TVA M'!A1471,'Base de données'!A$4:A$990,0),2),"")</f>
        <v/>
      </c>
      <c r="C1471" s="55" t="str">
        <f>IF(A1471&lt;&gt;"",INDEX('Base de données'!A$4:L$990,MATCH(' TVA M'!A1471,'Base de données'!A$4:A$990,0),12),"")</f>
        <v/>
      </c>
    </row>
    <row r="1472" spans="2:3" hidden="1" x14ac:dyDescent="0.25">
      <c r="B1472" s="55" t="str">
        <f>IF(A1472&lt;&gt;"",INDEX('Base de données'!A$4:L$990,MATCH(' TVA M'!A1472,'Base de données'!A$4:A$990,0),2),"")</f>
        <v/>
      </c>
      <c r="C1472" s="55" t="str">
        <f>IF(A1472&lt;&gt;"",INDEX('Base de données'!A$4:L$990,MATCH(' TVA M'!A1472,'Base de données'!A$4:A$990,0),12),"")</f>
        <v/>
      </c>
    </row>
    <row r="1473" spans="2:3" hidden="1" x14ac:dyDescent="0.25">
      <c r="B1473" s="55" t="str">
        <f>IF(A1473&lt;&gt;"",INDEX('Base de données'!A$4:L$990,MATCH(' TVA M'!A1473,'Base de données'!A$4:A$990,0),2),"")</f>
        <v/>
      </c>
      <c r="C1473" s="55" t="str">
        <f>IF(A1473&lt;&gt;"",INDEX('Base de données'!A$4:L$990,MATCH(' TVA M'!A1473,'Base de données'!A$4:A$990,0),12),"")</f>
        <v/>
      </c>
    </row>
    <row r="1474" spans="2:3" hidden="1" x14ac:dyDescent="0.25">
      <c r="B1474" s="55" t="str">
        <f>IF(A1474&lt;&gt;"",INDEX('Base de données'!A$4:L$990,MATCH(' TVA M'!A1474,'Base de données'!A$4:A$990,0),2),"")</f>
        <v/>
      </c>
      <c r="C1474" s="55" t="str">
        <f>IF(A1474&lt;&gt;"",INDEX('Base de données'!A$4:L$990,MATCH(' TVA M'!A1474,'Base de données'!A$4:A$990,0),12),"")</f>
        <v/>
      </c>
    </row>
    <row r="1475" spans="2:3" hidden="1" x14ac:dyDescent="0.25">
      <c r="B1475" s="55" t="str">
        <f>IF(A1475&lt;&gt;"",INDEX('Base de données'!A$4:L$990,MATCH(' TVA M'!A1475,'Base de données'!A$4:A$990,0),2),"")</f>
        <v/>
      </c>
      <c r="C1475" s="55" t="str">
        <f>IF(A1475&lt;&gt;"",INDEX('Base de données'!A$4:L$990,MATCH(' TVA M'!A1475,'Base de données'!A$4:A$990,0),12),"")</f>
        <v/>
      </c>
    </row>
    <row r="1476" spans="2:3" hidden="1" x14ac:dyDescent="0.25">
      <c r="B1476" s="55" t="str">
        <f>IF(A1476&lt;&gt;"",INDEX('Base de données'!A$4:L$990,MATCH(' TVA M'!A1476,'Base de données'!A$4:A$990,0),2),"")</f>
        <v/>
      </c>
      <c r="C1476" s="55" t="str">
        <f>IF(A1476&lt;&gt;"",INDEX('Base de données'!A$4:L$990,MATCH(' TVA M'!A1476,'Base de données'!A$4:A$990,0),12),"")</f>
        <v/>
      </c>
    </row>
    <row r="1477" spans="2:3" hidden="1" x14ac:dyDescent="0.25">
      <c r="B1477" s="55" t="str">
        <f>IF(A1477&lt;&gt;"",INDEX('Base de données'!A$4:L$990,MATCH(' TVA M'!A1477,'Base de données'!A$4:A$990,0),2),"")</f>
        <v/>
      </c>
      <c r="C1477" s="55" t="str">
        <f>IF(A1477&lt;&gt;"",INDEX('Base de données'!A$4:L$990,MATCH(' TVA M'!A1477,'Base de données'!A$4:A$990,0),12),"")</f>
        <v/>
      </c>
    </row>
    <row r="1478" spans="2:3" hidden="1" x14ac:dyDescent="0.25">
      <c r="B1478" s="55" t="str">
        <f>IF(A1478&lt;&gt;"",INDEX('Base de données'!A$4:L$990,MATCH(' TVA M'!A1478,'Base de données'!A$4:A$990,0),2),"")</f>
        <v/>
      </c>
      <c r="C1478" s="55" t="str">
        <f>IF(A1478&lt;&gt;"",INDEX('Base de données'!A$4:L$990,MATCH(' TVA M'!A1478,'Base de données'!A$4:A$990,0),12),"")</f>
        <v/>
      </c>
    </row>
    <row r="1479" spans="2:3" hidden="1" x14ac:dyDescent="0.25">
      <c r="B1479" s="55" t="str">
        <f>IF(A1479&lt;&gt;"",INDEX('Base de données'!A$4:L$990,MATCH(' TVA M'!A1479,'Base de données'!A$4:A$990,0),2),"")</f>
        <v/>
      </c>
      <c r="C1479" s="55" t="str">
        <f>IF(A1479&lt;&gt;"",INDEX('Base de données'!A$4:L$990,MATCH(' TVA M'!A1479,'Base de données'!A$4:A$990,0),12),"")</f>
        <v/>
      </c>
    </row>
    <row r="1480" spans="2:3" hidden="1" x14ac:dyDescent="0.25">
      <c r="B1480" s="55" t="str">
        <f>IF(A1480&lt;&gt;"",INDEX('Base de données'!A$4:L$990,MATCH(' TVA M'!A1480,'Base de données'!A$4:A$990,0),2),"")</f>
        <v/>
      </c>
      <c r="C1480" s="55" t="str">
        <f>IF(A1480&lt;&gt;"",INDEX('Base de données'!A$4:L$990,MATCH(' TVA M'!A1480,'Base de données'!A$4:A$990,0),12),"")</f>
        <v/>
      </c>
    </row>
    <row r="1481" spans="2:3" hidden="1" x14ac:dyDescent="0.25">
      <c r="B1481" s="55" t="str">
        <f>IF(A1481&lt;&gt;"",INDEX('Base de données'!A$4:L$990,MATCH(' TVA M'!A1481,'Base de données'!A$4:A$990,0),2),"")</f>
        <v/>
      </c>
      <c r="C1481" s="55" t="str">
        <f>IF(A1481&lt;&gt;"",INDEX('Base de données'!A$4:L$990,MATCH(' TVA M'!A1481,'Base de données'!A$4:A$990,0),12),"")</f>
        <v/>
      </c>
    </row>
    <row r="1482" spans="2:3" hidden="1" x14ac:dyDescent="0.25">
      <c r="B1482" s="55" t="str">
        <f>IF(A1482&lt;&gt;"",INDEX('Base de données'!A$4:L$990,MATCH(' TVA M'!A1482,'Base de données'!A$4:A$990,0),2),"")</f>
        <v/>
      </c>
      <c r="C1482" s="55" t="str">
        <f>IF(A1482&lt;&gt;"",INDEX('Base de données'!A$4:L$990,MATCH(' TVA M'!A1482,'Base de données'!A$4:A$990,0),12),"")</f>
        <v/>
      </c>
    </row>
    <row r="1483" spans="2:3" hidden="1" x14ac:dyDescent="0.25">
      <c r="B1483" s="55" t="str">
        <f>IF(A1483&lt;&gt;"",INDEX('Base de données'!A$4:L$990,MATCH(' TVA M'!A1483,'Base de données'!A$4:A$990,0),2),"")</f>
        <v/>
      </c>
      <c r="C1483" s="55" t="str">
        <f>IF(A1483&lt;&gt;"",INDEX('Base de données'!A$4:L$990,MATCH(' TVA M'!A1483,'Base de données'!A$4:A$990,0),12),"")</f>
        <v/>
      </c>
    </row>
    <row r="1484" spans="2:3" hidden="1" x14ac:dyDescent="0.25">
      <c r="B1484" s="55" t="str">
        <f>IF(A1484&lt;&gt;"",INDEX('Base de données'!A$4:L$990,MATCH(' TVA M'!A1484,'Base de données'!A$4:A$990,0),2),"")</f>
        <v/>
      </c>
      <c r="C1484" s="55" t="str">
        <f>IF(A1484&lt;&gt;"",INDEX('Base de données'!A$4:L$990,MATCH(' TVA M'!A1484,'Base de données'!A$4:A$990,0),12),"")</f>
        <v/>
      </c>
    </row>
    <row r="1485" spans="2:3" hidden="1" x14ac:dyDescent="0.25">
      <c r="B1485" s="55" t="str">
        <f>IF(A1485&lt;&gt;"",INDEX('Base de données'!A$4:L$990,MATCH(' TVA M'!A1485,'Base de données'!A$4:A$990,0),2),"")</f>
        <v/>
      </c>
      <c r="C1485" s="55" t="str">
        <f>IF(A1485&lt;&gt;"",INDEX('Base de données'!A$4:L$990,MATCH(' TVA M'!A1485,'Base de données'!A$4:A$990,0),12),"")</f>
        <v/>
      </c>
    </row>
    <row r="1486" spans="2:3" hidden="1" x14ac:dyDescent="0.25">
      <c r="B1486" s="55" t="str">
        <f>IF(A1486&lt;&gt;"",INDEX('Base de données'!A$4:L$990,MATCH(' TVA M'!A1486,'Base de données'!A$4:A$990,0),2),"")</f>
        <v/>
      </c>
      <c r="C1486" s="55" t="str">
        <f>IF(A1486&lt;&gt;"",INDEX('Base de données'!A$4:L$990,MATCH(' TVA M'!A1486,'Base de données'!A$4:A$990,0),12),"")</f>
        <v/>
      </c>
    </row>
    <row r="1487" spans="2:3" hidden="1" x14ac:dyDescent="0.25">
      <c r="B1487" s="55" t="str">
        <f>IF(A1487&lt;&gt;"",INDEX('Base de données'!A$4:L$990,MATCH(' TVA M'!A1487,'Base de données'!A$4:A$990,0),2),"")</f>
        <v/>
      </c>
      <c r="C1487" s="55" t="str">
        <f>IF(A1487&lt;&gt;"",INDEX('Base de données'!A$4:L$990,MATCH(' TVA M'!A1487,'Base de données'!A$4:A$990,0),12),"")</f>
        <v/>
      </c>
    </row>
    <row r="1488" spans="2:3" hidden="1" x14ac:dyDescent="0.25">
      <c r="B1488" s="55" t="str">
        <f>IF(A1488&lt;&gt;"",INDEX('Base de données'!A$4:L$990,MATCH(' TVA M'!A1488,'Base de données'!A$4:A$990,0),2),"")</f>
        <v/>
      </c>
      <c r="C1488" s="55" t="str">
        <f>IF(A1488&lt;&gt;"",INDEX('Base de données'!A$4:L$990,MATCH(' TVA M'!A1488,'Base de données'!A$4:A$990,0),12),"")</f>
        <v/>
      </c>
    </row>
    <row r="1489" spans="2:3" hidden="1" x14ac:dyDescent="0.25">
      <c r="B1489" s="55" t="str">
        <f>IF(A1489&lt;&gt;"",INDEX('Base de données'!A$4:L$990,MATCH(' TVA M'!A1489,'Base de données'!A$4:A$990,0),2),"")</f>
        <v/>
      </c>
      <c r="C1489" s="55" t="str">
        <f>IF(A1489&lt;&gt;"",INDEX('Base de données'!A$4:L$990,MATCH(' TVA M'!A1489,'Base de données'!A$4:A$990,0),12),"")</f>
        <v/>
      </c>
    </row>
    <row r="1490" spans="2:3" hidden="1" x14ac:dyDescent="0.25">
      <c r="B1490" s="55" t="str">
        <f>IF(A1490&lt;&gt;"",INDEX('Base de données'!A$4:L$990,MATCH(' TVA M'!A1490,'Base de données'!A$4:A$990,0),2),"")</f>
        <v/>
      </c>
      <c r="C1490" s="55" t="str">
        <f>IF(A1490&lt;&gt;"",INDEX('Base de données'!A$4:L$990,MATCH(' TVA M'!A1490,'Base de données'!A$4:A$990,0),12),"")</f>
        <v/>
      </c>
    </row>
    <row r="1491" spans="2:3" hidden="1" x14ac:dyDescent="0.25">
      <c r="B1491" s="55" t="str">
        <f>IF(A1491&lt;&gt;"",INDEX('Base de données'!A$4:L$990,MATCH(' TVA M'!A1491,'Base de données'!A$4:A$990,0),2),"")</f>
        <v/>
      </c>
      <c r="C1491" s="55" t="str">
        <f>IF(A1491&lt;&gt;"",INDEX('Base de données'!A$4:L$990,MATCH(' TVA M'!A1491,'Base de données'!A$4:A$990,0),12),"")</f>
        <v/>
      </c>
    </row>
    <row r="1492" spans="2:3" hidden="1" x14ac:dyDescent="0.25">
      <c r="B1492" s="55" t="str">
        <f>IF(A1492&lt;&gt;"",INDEX('Base de données'!A$4:L$990,MATCH(' TVA M'!A1492,'Base de données'!A$4:A$990,0),2),"")</f>
        <v/>
      </c>
      <c r="C1492" s="55" t="str">
        <f>IF(A1492&lt;&gt;"",INDEX('Base de données'!A$4:L$990,MATCH(' TVA M'!A1492,'Base de données'!A$4:A$990,0),12),"")</f>
        <v/>
      </c>
    </row>
    <row r="1493" spans="2:3" hidden="1" x14ac:dyDescent="0.25">
      <c r="B1493" s="55" t="str">
        <f>IF(A1493&lt;&gt;"",INDEX('Base de données'!A$4:L$990,MATCH(' TVA M'!A1493,'Base de données'!A$4:A$990,0),2),"")</f>
        <v/>
      </c>
      <c r="C1493" s="55" t="str">
        <f>IF(A1493&lt;&gt;"",INDEX('Base de données'!A$4:L$990,MATCH(' TVA M'!A1493,'Base de données'!A$4:A$990,0),12),"")</f>
        <v/>
      </c>
    </row>
    <row r="1494" spans="2:3" hidden="1" x14ac:dyDescent="0.25">
      <c r="B1494" s="55" t="str">
        <f>IF(A1494&lt;&gt;"",INDEX('Base de données'!A$4:L$990,MATCH(' TVA M'!A1494,'Base de données'!A$4:A$990,0),2),"")</f>
        <v/>
      </c>
      <c r="C1494" s="55" t="str">
        <f>IF(A1494&lt;&gt;"",INDEX('Base de données'!A$4:L$990,MATCH(' TVA M'!A1494,'Base de données'!A$4:A$990,0),12),"")</f>
        <v/>
      </c>
    </row>
    <row r="1495" spans="2:3" hidden="1" x14ac:dyDescent="0.25">
      <c r="B1495" s="55" t="str">
        <f>IF(A1495&lt;&gt;"",INDEX('Base de données'!A$4:L$990,MATCH(' TVA M'!A1495,'Base de données'!A$4:A$990,0),2),"")</f>
        <v/>
      </c>
      <c r="C1495" s="55" t="str">
        <f>IF(A1495&lt;&gt;"",INDEX('Base de données'!A$4:L$990,MATCH(' TVA M'!A1495,'Base de données'!A$4:A$990,0),12),"")</f>
        <v/>
      </c>
    </row>
    <row r="1496" spans="2:3" hidden="1" x14ac:dyDescent="0.25">
      <c r="B1496" s="55" t="str">
        <f>IF(A1496&lt;&gt;"",INDEX('Base de données'!A$4:L$990,MATCH(' TVA M'!A1496,'Base de données'!A$4:A$990,0),2),"")</f>
        <v/>
      </c>
      <c r="C1496" s="55" t="str">
        <f>IF(A1496&lt;&gt;"",INDEX('Base de données'!A$4:L$990,MATCH(' TVA M'!A1496,'Base de données'!A$4:A$990,0),12),"")</f>
        <v/>
      </c>
    </row>
    <row r="1497" spans="2:3" hidden="1" x14ac:dyDescent="0.25">
      <c r="B1497" s="55" t="str">
        <f>IF(A1497&lt;&gt;"",INDEX('Base de données'!A$4:L$990,MATCH(' TVA M'!A1497,'Base de données'!A$4:A$990,0),2),"")</f>
        <v/>
      </c>
      <c r="C1497" s="55" t="str">
        <f>IF(A1497&lt;&gt;"",INDEX('Base de données'!A$4:L$990,MATCH(' TVA M'!A1497,'Base de données'!A$4:A$990,0),12),"")</f>
        <v/>
      </c>
    </row>
    <row r="1498" spans="2:3" hidden="1" x14ac:dyDescent="0.25">
      <c r="B1498" s="55" t="str">
        <f>IF(A1498&lt;&gt;"",INDEX('Base de données'!A$4:L$990,MATCH(' TVA M'!A1498,'Base de données'!A$4:A$990,0),2),"")</f>
        <v/>
      </c>
      <c r="C1498" s="55" t="str">
        <f>IF(A1498&lt;&gt;"",INDEX('Base de données'!A$4:L$990,MATCH(' TVA M'!A1498,'Base de données'!A$4:A$990,0),12),"")</f>
        <v/>
      </c>
    </row>
    <row r="1499" spans="2:3" hidden="1" x14ac:dyDescent="0.25">
      <c r="B1499" s="55" t="str">
        <f>IF(A1499&lt;&gt;"",INDEX('Base de données'!A$4:L$990,MATCH(' TVA M'!A1499,'Base de données'!A$4:A$990,0),2),"")</f>
        <v/>
      </c>
      <c r="C1499" s="55" t="str">
        <f>IF(A1499&lt;&gt;"",INDEX('Base de données'!A$4:L$990,MATCH(' TVA M'!A1499,'Base de données'!A$4:A$990,0),12),"")</f>
        <v/>
      </c>
    </row>
    <row r="1500" spans="2:3" hidden="1" x14ac:dyDescent="0.25">
      <c r="B1500" s="55" t="str">
        <f>IF(A1500&lt;&gt;"",INDEX('Base de données'!A$4:L$990,MATCH(' TVA M'!A1500,'Base de données'!A$4:A$990,0),2),"")</f>
        <v/>
      </c>
      <c r="C1500" s="55" t="str">
        <f>IF(A1500&lt;&gt;"",INDEX('Base de données'!A$4:L$990,MATCH(' TVA M'!A1500,'Base de données'!A$4:A$990,0),12),"")</f>
        <v/>
      </c>
    </row>
    <row r="1501" spans="2:3" hidden="1" x14ac:dyDescent="0.25">
      <c r="B1501" s="55" t="str">
        <f>IF(A1501&lt;&gt;"",INDEX('Base de données'!A$4:L$990,MATCH(' TVA M'!A1501,'Base de données'!A$4:A$990,0),2),"")</f>
        <v/>
      </c>
      <c r="C1501" s="55" t="str">
        <f>IF(A1501&lt;&gt;"",INDEX('Base de données'!A$4:L$990,MATCH(' TVA M'!A1501,'Base de données'!A$4:A$990,0),12),"")</f>
        <v/>
      </c>
    </row>
    <row r="1502" spans="2:3" hidden="1" x14ac:dyDescent="0.25">
      <c r="B1502" s="55" t="str">
        <f>IF(A1502&lt;&gt;"",INDEX('Base de données'!A$4:L$990,MATCH(' TVA M'!A1502,'Base de données'!A$4:A$990,0),2),"")</f>
        <v/>
      </c>
      <c r="C1502" s="55" t="str">
        <f>IF(A1502&lt;&gt;"",INDEX('Base de données'!A$4:L$990,MATCH(' TVA M'!A1502,'Base de données'!A$4:A$990,0),12),"")</f>
        <v/>
      </c>
    </row>
    <row r="1503" spans="2:3" hidden="1" x14ac:dyDescent="0.25">
      <c r="B1503" s="55" t="str">
        <f>IF(A1503&lt;&gt;"",INDEX('Base de données'!A$4:L$990,MATCH(' TVA M'!A1503,'Base de données'!A$4:A$990,0),2),"")</f>
        <v/>
      </c>
      <c r="C1503" s="55" t="str">
        <f>IF(A1503&lt;&gt;"",INDEX('Base de données'!A$4:L$990,MATCH(' TVA M'!A1503,'Base de données'!A$4:A$990,0),12),"")</f>
        <v/>
      </c>
    </row>
    <row r="1504" spans="2:3" hidden="1" x14ac:dyDescent="0.25">
      <c r="B1504" s="55" t="str">
        <f>IF(A1504&lt;&gt;"",INDEX('Base de données'!A$4:L$990,MATCH(' TVA M'!A1504,'Base de données'!A$4:A$990,0),2),"")</f>
        <v/>
      </c>
      <c r="C1504" s="55" t="str">
        <f>IF(A1504&lt;&gt;"",INDEX('Base de données'!A$4:L$990,MATCH(' TVA M'!A1504,'Base de données'!A$4:A$990,0),12),"")</f>
        <v/>
      </c>
    </row>
    <row r="1505" spans="2:18" hidden="1" x14ac:dyDescent="0.25">
      <c r="B1505" s="55" t="str">
        <f>IF(A1505&lt;&gt;"",INDEX('Base de données'!A$4:L$990,MATCH(' TVA M'!A1505,'Base de données'!A$4:A$990,0),2),"")</f>
        <v/>
      </c>
      <c r="C1505" s="55" t="str">
        <f>IF(A1505&lt;&gt;"",INDEX('Base de données'!A$4:L$990,MATCH(' TVA M'!A1505,'Base de données'!A$4:A$990,0),12),"")</f>
        <v/>
      </c>
      <c r="P1505" s="2"/>
    </row>
    <row r="1506" spans="2:18" hidden="1" x14ac:dyDescent="0.25">
      <c r="B1506" s="55" t="str">
        <f>IF(A1506&lt;&gt;"",INDEX('Base de données'!A$4:L$990,MATCH(' TVA M'!A1506,'Base de données'!A$4:A$990,0),2),"")</f>
        <v/>
      </c>
      <c r="C1506" s="55" t="str">
        <f>IF(A1506&lt;&gt;"",INDEX('Base de données'!A$4:L$990,MATCH(' TVA M'!A1506,'Base de données'!A$4:A$990,0),12),"")</f>
        <v/>
      </c>
    </row>
    <row r="1507" spans="2:18" hidden="1" x14ac:dyDescent="0.25">
      <c r="B1507" s="55" t="str">
        <f>IF(A1507&lt;&gt;"",INDEX('Base de données'!A$4:L$990,MATCH(' TVA M'!A1507,'Base de données'!A$4:A$990,0),2),"")</f>
        <v/>
      </c>
      <c r="C1507" s="55" t="str">
        <f>IF(A1507&lt;&gt;"",INDEX('Base de données'!A$4:L$990,MATCH(' TVA M'!A1507,'Base de données'!A$4:A$990,0),12),"")</f>
        <v/>
      </c>
      <c r="P1507" s="2"/>
    </row>
    <row r="1508" spans="2:18" hidden="1" x14ac:dyDescent="0.25">
      <c r="B1508" s="55" t="str">
        <f>IF(A1508&lt;&gt;"",INDEX('Base de données'!A$4:L$990,MATCH(' TVA M'!A1508,'Base de données'!A$4:A$990,0),2),"")</f>
        <v/>
      </c>
      <c r="C1508" s="55" t="str">
        <f>IF(A1508&lt;&gt;"",INDEX('Base de données'!A$4:L$990,MATCH(' TVA M'!A1508,'Base de données'!A$4:A$990,0),12),"")</f>
        <v/>
      </c>
      <c r="L1508" s="2"/>
      <c r="P1508" s="2"/>
      <c r="R1508" s="2"/>
    </row>
    <row r="1509" spans="2:18" hidden="1" x14ac:dyDescent="0.25">
      <c r="B1509" s="55" t="str">
        <f>IF(A1509&lt;&gt;"",INDEX('Base de données'!A$4:L$990,MATCH(' TVA M'!A1509,'Base de données'!A$4:A$990,0),2),"")</f>
        <v/>
      </c>
      <c r="C1509" s="55" t="str">
        <f>IF(A1509&lt;&gt;"",INDEX('Base de données'!A$4:L$990,MATCH(' TVA M'!A1509,'Base de données'!A$4:A$990,0),12),"")</f>
        <v/>
      </c>
    </row>
    <row r="1510" spans="2:18" hidden="1" x14ac:dyDescent="0.25">
      <c r="B1510" s="55" t="str">
        <f>IF(A1510&lt;&gt;"",INDEX('Base de données'!A$4:L$990,MATCH(' TVA M'!A1510,'Base de données'!A$4:A$990,0),2),"")</f>
        <v/>
      </c>
      <c r="C1510" s="55" t="str">
        <f>IF(A1510&lt;&gt;"",INDEX('Base de données'!A$4:L$990,MATCH(' TVA M'!A1510,'Base de données'!A$4:A$990,0),12),"")</f>
        <v/>
      </c>
    </row>
    <row r="1511" spans="2:18" hidden="1" x14ac:dyDescent="0.25">
      <c r="B1511" s="55" t="str">
        <f>IF(A1511&lt;&gt;"",INDEX('Base de données'!A$4:L$990,MATCH(' TVA M'!A1511,'Base de données'!A$4:A$990,0),2),"")</f>
        <v/>
      </c>
      <c r="C1511" s="55" t="str">
        <f>IF(A1511&lt;&gt;"",INDEX('Base de données'!A$4:L$990,MATCH(' TVA M'!A1511,'Base de données'!A$4:A$990,0),12),"")</f>
        <v/>
      </c>
    </row>
    <row r="1512" spans="2:18" hidden="1" x14ac:dyDescent="0.25">
      <c r="B1512" s="55" t="str">
        <f>IF(A1512&lt;&gt;"",INDEX('Base de données'!A$4:L$990,MATCH(' TVA M'!A1512,'Base de données'!A$4:A$990,0),2),"")</f>
        <v/>
      </c>
      <c r="C1512" s="55" t="str">
        <f>IF(A1512&lt;&gt;"",INDEX('Base de données'!A$4:L$990,MATCH(' TVA M'!A1512,'Base de données'!A$4:A$990,0),12),"")</f>
        <v/>
      </c>
    </row>
    <row r="1513" spans="2:18" hidden="1" x14ac:dyDescent="0.25">
      <c r="B1513" s="55" t="str">
        <f>IF(A1513&lt;&gt;"",INDEX('Base de données'!A$4:L$990,MATCH(' TVA M'!A1513,'Base de données'!A$4:A$990,0),2),"")</f>
        <v/>
      </c>
      <c r="C1513" s="55" t="str">
        <f>IF(A1513&lt;&gt;"",INDEX('Base de données'!A$4:L$990,MATCH(' TVA M'!A1513,'Base de données'!A$4:A$990,0),12),"")</f>
        <v/>
      </c>
    </row>
    <row r="1514" spans="2:18" hidden="1" x14ac:dyDescent="0.25">
      <c r="B1514" s="55" t="str">
        <f>IF(A1514&lt;&gt;"",INDEX('Base de données'!A$4:L$990,MATCH(' TVA M'!A1514,'Base de données'!A$4:A$990,0),2),"")</f>
        <v/>
      </c>
      <c r="C1514" s="55" t="str">
        <f>IF(A1514&lt;&gt;"",INDEX('Base de données'!A$4:L$990,MATCH(' TVA M'!A1514,'Base de données'!A$4:A$990,0),12),"")</f>
        <v/>
      </c>
    </row>
    <row r="1515" spans="2:18" hidden="1" x14ac:dyDescent="0.25">
      <c r="B1515" s="55" t="str">
        <f>IF(A1515&lt;&gt;"",INDEX('Base de données'!A$4:L$990,MATCH(' TVA M'!A1515,'Base de données'!A$4:A$990,0),2),"")</f>
        <v/>
      </c>
      <c r="C1515" s="55" t="str">
        <f>IF(A1515&lt;&gt;"",INDEX('Base de données'!A$4:L$990,MATCH(' TVA M'!A1515,'Base de données'!A$4:A$990,0),12),"")</f>
        <v/>
      </c>
    </row>
    <row r="1516" spans="2:18" hidden="1" x14ac:dyDescent="0.25">
      <c r="B1516" s="55" t="str">
        <f>IF(A1516&lt;&gt;"",INDEX('Base de données'!A$4:L$990,MATCH(' TVA M'!A1516,'Base de données'!A$4:A$990,0),2),"")</f>
        <v/>
      </c>
      <c r="C1516" s="55" t="str">
        <f>IF(A1516&lt;&gt;"",INDEX('Base de données'!A$4:L$990,MATCH(' TVA M'!A1516,'Base de données'!A$4:A$990,0),12),"")</f>
        <v/>
      </c>
    </row>
    <row r="1517" spans="2:18" hidden="1" x14ac:dyDescent="0.25">
      <c r="B1517" s="55" t="str">
        <f>IF(A1517&lt;&gt;"",INDEX('Base de données'!A$4:L$990,MATCH(' TVA M'!A1517,'Base de données'!A$4:A$990,0),2),"")</f>
        <v/>
      </c>
      <c r="C1517" s="55" t="str">
        <f>IF(A1517&lt;&gt;"",INDEX('Base de données'!A$4:L$990,MATCH(' TVA M'!A1517,'Base de données'!A$4:A$990,0),12),"")</f>
        <v/>
      </c>
    </row>
    <row r="1518" spans="2:18" hidden="1" x14ac:dyDescent="0.25">
      <c r="B1518" s="55" t="str">
        <f>IF(A1518&lt;&gt;"",INDEX('Base de données'!A$4:L$990,MATCH(' TVA M'!A1518,'Base de données'!A$4:A$990,0),2),"")</f>
        <v/>
      </c>
      <c r="C1518" s="55" t="str">
        <f>IF(A1518&lt;&gt;"",INDEX('Base de données'!A$4:L$990,MATCH(' TVA M'!A1518,'Base de données'!A$4:A$990,0),12),"")</f>
        <v/>
      </c>
    </row>
    <row r="1519" spans="2:18" hidden="1" x14ac:dyDescent="0.25">
      <c r="B1519" s="55" t="str">
        <f>IF(A1519&lt;&gt;"",INDEX('Base de données'!A$4:L$990,MATCH(' TVA M'!A1519,'Base de données'!A$4:A$990,0),2),"")</f>
        <v/>
      </c>
      <c r="C1519" s="55" t="str">
        <f>IF(A1519&lt;&gt;"",INDEX('Base de données'!A$4:L$990,MATCH(' TVA M'!A1519,'Base de données'!A$4:A$990,0),12),"")</f>
        <v/>
      </c>
    </row>
    <row r="1520" spans="2:18" hidden="1" x14ac:dyDescent="0.25">
      <c r="B1520" s="55" t="str">
        <f>IF(A1520&lt;&gt;"",INDEX('Base de données'!A$4:L$990,MATCH(' TVA M'!A1520,'Base de données'!A$4:A$990,0),2),"")</f>
        <v/>
      </c>
      <c r="C1520" s="55" t="str">
        <f>IF(A1520&lt;&gt;"",INDEX('Base de données'!A$4:L$990,MATCH(' TVA M'!A1520,'Base de données'!A$4:A$990,0),12),"")</f>
        <v/>
      </c>
    </row>
    <row r="1521" spans="2:3" hidden="1" x14ac:dyDescent="0.25">
      <c r="B1521" s="55" t="str">
        <f>IF(A1521&lt;&gt;"",INDEX('Base de données'!A$4:L$990,MATCH(' TVA M'!A1521,'Base de données'!A$4:A$990,0),2),"")</f>
        <v/>
      </c>
      <c r="C1521" s="55" t="str">
        <f>IF(A1521&lt;&gt;"",INDEX('Base de données'!A$4:L$990,MATCH(' TVA M'!A1521,'Base de données'!A$4:A$990,0),12),"")</f>
        <v/>
      </c>
    </row>
    <row r="1522" spans="2:3" hidden="1" x14ac:dyDescent="0.25">
      <c r="B1522" s="55" t="str">
        <f>IF(A1522&lt;&gt;"",INDEX('Base de données'!A$4:L$990,MATCH(' TVA M'!A1522,'Base de données'!A$4:A$990,0),2),"")</f>
        <v/>
      </c>
      <c r="C1522" s="55" t="str">
        <f>IF(A1522&lt;&gt;"",INDEX('Base de données'!A$4:L$990,MATCH(' TVA M'!A1522,'Base de données'!A$4:A$990,0),12),"")</f>
        <v/>
      </c>
    </row>
    <row r="1523" spans="2:3" hidden="1" x14ac:dyDescent="0.25">
      <c r="B1523" s="55" t="str">
        <f>IF(A1523&lt;&gt;"",INDEX('Base de données'!A$4:L$990,MATCH(' TVA M'!A1523,'Base de données'!A$4:A$990,0),2),"")</f>
        <v/>
      </c>
      <c r="C1523" s="55" t="str">
        <f>IF(A1523&lt;&gt;"",INDEX('Base de données'!A$4:L$990,MATCH(' TVA M'!A1523,'Base de données'!A$4:A$990,0),12),"")</f>
        <v/>
      </c>
    </row>
    <row r="1524" spans="2:3" hidden="1" x14ac:dyDescent="0.25">
      <c r="B1524" s="55" t="str">
        <f>IF(A1524&lt;&gt;"",INDEX('Base de données'!A$4:L$990,MATCH(' TVA M'!A1524,'Base de données'!A$4:A$990,0),2),"")</f>
        <v/>
      </c>
      <c r="C1524" s="55" t="str">
        <f>IF(A1524&lt;&gt;"",INDEX('Base de données'!A$4:L$990,MATCH(' TVA M'!A1524,'Base de données'!A$4:A$990,0),12),"")</f>
        <v/>
      </c>
    </row>
    <row r="1525" spans="2:3" hidden="1" x14ac:dyDescent="0.25">
      <c r="B1525" s="55" t="str">
        <f>IF(A1525&lt;&gt;"",INDEX('Base de données'!A$4:L$990,MATCH(' TVA M'!A1525,'Base de données'!A$4:A$990,0),2),"")</f>
        <v/>
      </c>
      <c r="C1525" s="55" t="str">
        <f>IF(A1525&lt;&gt;"",INDEX('Base de données'!A$4:L$990,MATCH(' TVA M'!A1525,'Base de données'!A$4:A$990,0),12),"")</f>
        <v/>
      </c>
    </row>
    <row r="1526" spans="2:3" hidden="1" x14ac:dyDescent="0.25">
      <c r="B1526" s="55" t="str">
        <f>IF(A1526&lt;&gt;"",INDEX('Base de données'!A$4:L$990,MATCH(' TVA M'!A1526,'Base de données'!A$4:A$990,0),2),"")</f>
        <v/>
      </c>
      <c r="C1526" s="55" t="str">
        <f>IF(A1526&lt;&gt;"",INDEX('Base de données'!A$4:L$990,MATCH(' TVA M'!A1526,'Base de données'!A$4:A$990,0),12),"")</f>
        <v/>
      </c>
    </row>
    <row r="1527" spans="2:3" hidden="1" x14ac:dyDescent="0.25">
      <c r="B1527" s="55" t="str">
        <f>IF(A1527&lt;&gt;"",INDEX('Base de données'!A$4:L$990,MATCH(' TVA M'!A1527,'Base de données'!A$4:A$990,0),2),"")</f>
        <v/>
      </c>
      <c r="C1527" s="55" t="str">
        <f>IF(A1527&lt;&gt;"",INDEX('Base de données'!A$4:L$990,MATCH(' TVA M'!A1527,'Base de données'!A$4:A$990,0),12),"")</f>
        <v/>
      </c>
    </row>
    <row r="1528" spans="2:3" hidden="1" x14ac:dyDescent="0.25">
      <c r="B1528" s="55" t="str">
        <f>IF(A1528&lt;&gt;"",INDEX('Base de données'!A$4:L$990,MATCH(' TVA M'!A1528,'Base de données'!A$4:A$990,0),2),"")</f>
        <v/>
      </c>
      <c r="C1528" s="55" t="str">
        <f>IF(A1528&lt;&gt;"",INDEX('Base de données'!A$4:L$990,MATCH(' TVA M'!A1528,'Base de données'!A$4:A$990,0),12),"")</f>
        <v/>
      </c>
    </row>
    <row r="1529" spans="2:3" hidden="1" x14ac:dyDescent="0.25">
      <c r="B1529" s="55" t="str">
        <f>IF(A1529&lt;&gt;"",INDEX('Base de données'!A$4:L$990,MATCH(' TVA M'!A1529,'Base de données'!A$4:A$990,0),2),"")</f>
        <v/>
      </c>
      <c r="C1529" s="55" t="str">
        <f>IF(A1529&lt;&gt;"",INDEX('Base de données'!A$4:L$990,MATCH(' TVA M'!A1529,'Base de données'!A$4:A$990,0),12),"")</f>
        <v/>
      </c>
    </row>
    <row r="1530" spans="2:3" hidden="1" x14ac:dyDescent="0.25">
      <c r="B1530" s="55" t="str">
        <f>IF(A1530&lt;&gt;"",INDEX('Base de données'!A$4:L$990,MATCH(' TVA M'!A1530,'Base de données'!A$4:A$990,0),2),"")</f>
        <v/>
      </c>
      <c r="C1530" s="55" t="str">
        <f>IF(A1530&lt;&gt;"",INDEX('Base de données'!A$4:L$990,MATCH(' TVA M'!A1530,'Base de données'!A$4:A$990,0),12),"")</f>
        <v/>
      </c>
    </row>
    <row r="1531" spans="2:3" hidden="1" x14ac:dyDescent="0.25">
      <c r="B1531" s="55" t="str">
        <f>IF(A1531&lt;&gt;"",INDEX('Base de données'!A$4:L$990,MATCH(' TVA M'!A1531,'Base de données'!A$4:A$990,0),2),"")</f>
        <v/>
      </c>
      <c r="C1531" s="55" t="str">
        <f>IF(A1531&lt;&gt;"",INDEX('Base de données'!A$4:L$990,MATCH(' TVA M'!A1531,'Base de données'!A$4:A$990,0),12),"")</f>
        <v/>
      </c>
    </row>
    <row r="1532" spans="2:3" hidden="1" x14ac:dyDescent="0.25">
      <c r="B1532" s="55" t="str">
        <f>IF(A1532&lt;&gt;"",INDEX('Base de données'!A$4:L$990,MATCH(' TVA M'!A1532,'Base de données'!A$4:A$990,0),2),"")</f>
        <v/>
      </c>
      <c r="C1532" s="55" t="str">
        <f>IF(A1532&lt;&gt;"",INDEX('Base de données'!A$4:L$990,MATCH(' TVA M'!A1532,'Base de données'!A$4:A$990,0),12),"")</f>
        <v/>
      </c>
    </row>
    <row r="1533" spans="2:3" hidden="1" x14ac:dyDescent="0.25">
      <c r="B1533" s="55" t="str">
        <f>IF(A1533&lt;&gt;"",INDEX('Base de données'!A$4:L$990,MATCH(' TVA M'!A1533,'Base de données'!A$4:A$990,0),2),"")</f>
        <v/>
      </c>
      <c r="C1533" s="55" t="str">
        <f>IF(A1533&lt;&gt;"",INDEX('Base de données'!A$4:L$990,MATCH(' TVA M'!A1533,'Base de données'!A$4:A$990,0),12),"")</f>
        <v/>
      </c>
    </row>
    <row r="1534" spans="2:3" hidden="1" x14ac:dyDescent="0.25">
      <c r="B1534" s="55" t="str">
        <f>IF(A1534&lt;&gt;"",INDEX('Base de données'!A$4:L$990,MATCH(' TVA M'!A1534,'Base de données'!A$4:A$990,0),2),"")</f>
        <v/>
      </c>
      <c r="C1534" s="55" t="str">
        <f>IF(A1534&lt;&gt;"",INDEX('Base de données'!A$4:L$990,MATCH(' TVA M'!A1534,'Base de données'!A$4:A$990,0),12),"")</f>
        <v/>
      </c>
    </row>
    <row r="1535" spans="2:3" hidden="1" x14ac:dyDescent="0.25">
      <c r="B1535" s="55" t="str">
        <f>IF(A1535&lt;&gt;"",INDEX('Base de données'!A$4:L$990,MATCH(' TVA M'!A1535,'Base de données'!A$4:A$990,0),2),"")</f>
        <v/>
      </c>
      <c r="C1535" s="55" t="str">
        <f>IF(A1535&lt;&gt;"",INDEX('Base de données'!A$4:L$990,MATCH(' TVA M'!A1535,'Base de données'!A$4:A$990,0),12),"")</f>
        <v/>
      </c>
    </row>
    <row r="1536" spans="2:3" hidden="1" x14ac:dyDescent="0.25">
      <c r="B1536" s="55" t="str">
        <f>IF(A1536&lt;&gt;"",INDEX('Base de données'!A$4:L$990,MATCH(' TVA M'!A1536,'Base de données'!A$4:A$990,0),2),"")</f>
        <v/>
      </c>
      <c r="C1536" s="55" t="str">
        <f>IF(A1536&lt;&gt;"",INDEX('Base de données'!A$4:L$990,MATCH(' TVA M'!A1536,'Base de données'!A$4:A$990,0),12),"")</f>
        <v/>
      </c>
    </row>
    <row r="1537" spans="2:3" hidden="1" x14ac:dyDescent="0.25">
      <c r="B1537" s="55" t="str">
        <f>IF(A1537&lt;&gt;"",INDEX('Base de données'!A$4:L$990,MATCH(' TVA M'!A1537,'Base de données'!A$4:A$990,0),2),"")</f>
        <v/>
      </c>
      <c r="C1537" s="55" t="str">
        <f>IF(A1537&lt;&gt;"",INDEX('Base de données'!A$4:L$990,MATCH(' TVA M'!A1537,'Base de données'!A$4:A$990,0),12),"")</f>
        <v/>
      </c>
    </row>
    <row r="1538" spans="2:3" hidden="1" x14ac:dyDescent="0.25">
      <c r="B1538" s="55" t="str">
        <f>IF(A1538&lt;&gt;"",INDEX('Base de données'!A$4:L$990,MATCH(' TVA M'!A1538,'Base de données'!A$4:A$990,0),2),"")</f>
        <v/>
      </c>
      <c r="C1538" s="55" t="str">
        <f>IF(A1538&lt;&gt;"",INDEX('Base de données'!A$4:L$990,MATCH(' TVA M'!A1538,'Base de données'!A$4:A$990,0),12),"")</f>
        <v/>
      </c>
    </row>
    <row r="1539" spans="2:3" hidden="1" x14ac:dyDescent="0.25">
      <c r="B1539" s="55" t="str">
        <f>IF(A1539&lt;&gt;"",INDEX('Base de données'!A$4:L$990,MATCH(' TVA M'!A1539,'Base de données'!A$4:A$990,0),2),"")</f>
        <v/>
      </c>
      <c r="C1539" s="55" t="str">
        <f>IF(A1539&lt;&gt;"",INDEX('Base de données'!A$4:L$990,MATCH(' TVA M'!A1539,'Base de données'!A$4:A$990,0),12),"")</f>
        <v/>
      </c>
    </row>
    <row r="1540" spans="2:3" hidden="1" x14ac:dyDescent="0.25">
      <c r="B1540" s="55" t="str">
        <f>IF(A1540&lt;&gt;"",INDEX('Base de données'!A$4:L$990,MATCH(' TVA M'!A1540,'Base de données'!A$4:A$990,0),2),"")</f>
        <v/>
      </c>
      <c r="C1540" s="55" t="str">
        <f>IF(A1540&lt;&gt;"",INDEX('Base de données'!A$4:L$990,MATCH(' TVA M'!A1540,'Base de données'!A$4:A$990,0),12),"")</f>
        <v/>
      </c>
    </row>
    <row r="1541" spans="2:3" hidden="1" x14ac:dyDescent="0.25">
      <c r="B1541" s="55" t="str">
        <f>IF(A1541&lt;&gt;"",INDEX('Base de données'!A$4:L$990,MATCH(' TVA M'!A1541,'Base de données'!A$4:A$990,0),2),"")</f>
        <v/>
      </c>
      <c r="C1541" s="55" t="str">
        <f>IF(A1541&lt;&gt;"",INDEX('Base de données'!A$4:L$990,MATCH(' TVA M'!A1541,'Base de données'!A$4:A$990,0),12),"")</f>
        <v/>
      </c>
    </row>
    <row r="1542" spans="2:3" hidden="1" x14ac:dyDescent="0.25">
      <c r="B1542" s="55" t="str">
        <f>IF(A1542&lt;&gt;"",INDEX('Base de données'!A$4:L$990,MATCH(' TVA M'!A1542,'Base de données'!A$4:A$990,0),2),"")</f>
        <v/>
      </c>
      <c r="C1542" s="55" t="str">
        <f>IF(A1542&lt;&gt;"",INDEX('Base de données'!A$4:L$990,MATCH(' TVA M'!A1542,'Base de données'!A$4:A$990,0),12),"")</f>
        <v/>
      </c>
    </row>
    <row r="1543" spans="2:3" hidden="1" x14ac:dyDescent="0.25">
      <c r="B1543" s="55" t="str">
        <f>IF(A1543&lt;&gt;"",INDEX('Base de données'!A$4:L$990,MATCH(' TVA M'!A1543,'Base de données'!A$4:A$990,0),2),"")</f>
        <v/>
      </c>
      <c r="C1543" s="55" t="str">
        <f>IF(A1543&lt;&gt;"",INDEX('Base de données'!A$4:L$990,MATCH(' TVA M'!A1543,'Base de données'!A$4:A$990,0),12),"")</f>
        <v/>
      </c>
    </row>
    <row r="1544" spans="2:3" hidden="1" x14ac:dyDescent="0.25">
      <c r="B1544" s="55" t="str">
        <f>IF(A1544&lt;&gt;"",INDEX('Base de données'!A$4:L$990,MATCH(' TVA M'!A1544,'Base de données'!A$4:A$990,0),2),"")</f>
        <v/>
      </c>
      <c r="C1544" s="55" t="str">
        <f>IF(A1544&lt;&gt;"",INDEX('Base de données'!A$4:L$990,MATCH(' TVA M'!A1544,'Base de données'!A$4:A$990,0),12),"")</f>
        <v/>
      </c>
    </row>
    <row r="1545" spans="2:3" hidden="1" x14ac:dyDescent="0.25">
      <c r="B1545" s="55" t="str">
        <f>IF(A1545&lt;&gt;"",INDEX('Base de données'!A$4:L$990,MATCH(' TVA M'!A1545,'Base de données'!A$4:A$990,0),2),"")</f>
        <v/>
      </c>
      <c r="C1545" s="55" t="str">
        <f>IF(A1545&lt;&gt;"",INDEX('Base de données'!A$4:L$990,MATCH(' TVA M'!A1545,'Base de données'!A$4:A$990,0),12),"")</f>
        <v/>
      </c>
    </row>
    <row r="1546" spans="2:3" hidden="1" x14ac:dyDescent="0.25">
      <c r="B1546" s="55" t="str">
        <f>IF(A1546&lt;&gt;"",INDEX('Base de données'!A$4:L$990,MATCH(' TVA M'!A1546,'Base de données'!A$4:A$990,0),2),"")</f>
        <v/>
      </c>
      <c r="C1546" s="55" t="str">
        <f>IF(A1546&lt;&gt;"",INDEX('Base de données'!A$4:L$990,MATCH(' TVA M'!A1546,'Base de données'!A$4:A$990,0),12),"")</f>
        <v/>
      </c>
    </row>
    <row r="1547" spans="2:3" hidden="1" x14ac:dyDescent="0.25">
      <c r="B1547" s="55" t="str">
        <f>IF(A1547&lt;&gt;"",INDEX('Base de données'!A$4:L$990,MATCH(' TVA M'!A1547,'Base de données'!A$4:A$990,0),2),"")</f>
        <v/>
      </c>
      <c r="C1547" s="55" t="str">
        <f>IF(A1547&lt;&gt;"",INDEX('Base de données'!A$4:L$990,MATCH(' TVA M'!A1547,'Base de données'!A$4:A$990,0),12),"")</f>
        <v/>
      </c>
    </row>
    <row r="1548" spans="2:3" hidden="1" x14ac:dyDescent="0.25">
      <c r="B1548" s="55" t="str">
        <f>IF(A1548&lt;&gt;"",INDEX('Base de données'!A$4:L$990,MATCH(' TVA M'!A1548,'Base de données'!A$4:A$990,0),2),"")</f>
        <v/>
      </c>
      <c r="C1548" s="55" t="str">
        <f>IF(A1548&lt;&gt;"",INDEX('Base de données'!A$4:L$990,MATCH(' TVA M'!A1548,'Base de données'!A$4:A$990,0),12),"")</f>
        <v/>
      </c>
    </row>
    <row r="1549" spans="2:3" hidden="1" x14ac:dyDescent="0.25">
      <c r="B1549" s="55" t="str">
        <f>IF(A1549&lt;&gt;"",INDEX('Base de données'!A$4:L$990,MATCH(' TVA M'!A1549,'Base de données'!A$4:A$990,0),2),"")</f>
        <v/>
      </c>
      <c r="C1549" s="55" t="str">
        <f>IF(A1549&lt;&gt;"",INDEX('Base de données'!A$4:L$990,MATCH(' TVA M'!A1549,'Base de données'!A$4:A$990,0),12),"")</f>
        <v/>
      </c>
    </row>
    <row r="1550" spans="2:3" hidden="1" x14ac:dyDescent="0.25">
      <c r="B1550" s="55" t="str">
        <f>IF(A1550&lt;&gt;"",INDEX('Base de données'!A$4:L$990,MATCH(' TVA M'!A1550,'Base de données'!A$4:A$990,0),2),"")</f>
        <v/>
      </c>
      <c r="C1550" s="55" t="str">
        <f>IF(A1550&lt;&gt;"",INDEX('Base de données'!A$4:L$990,MATCH(' TVA M'!A1550,'Base de données'!A$4:A$990,0),12),"")</f>
        <v/>
      </c>
    </row>
    <row r="1551" spans="2:3" hidden="1" x14ac:dyDescent="0.25">
      <c r="B1551" s="55" t="str">
        <f>IF(A1551&lt;&gt;"",INDEX('Base de données'!A$4:L$990,MATCH(' TVA M'!A1551,'Base de données'!A$4:A$990,0),2),"")</f>
        <v/>
      </c>
      <c r="C1551" s="55" t="str">
        <f>IF(A1551&lt;&gt;"",INDEX('Base de données'!A$4:L$990,MATCH(' TVA M'!A1551,'Base de données'!A$4:A$990,0),12),"")</f>
        <v/>
      </c>
    </row>
    <row r="1552" spans="2:3" hidden="1" x14ac:dyDescent="0.25">
      <c r="B1552" s="55" t="str">
        <f>IF(A1552&lt;&gt;"",INDEX('Base de données'!A$4:L$990,MATCH(' TVA M'!A1552,'Base de données'!A$4:A$990,0),2),"")</f>
        <v/>
      </c>
      <c r="C1552" s="55" t="str">
        <f>IF(A1552&lt;&gt;"",INDEX('Base de données'!A$4:L$990,MATCH(' TVA M'!A1552,'Base de données'!A$4:A$990,0),12),"")</f>
        <v/>
      </c>
    </row>
    <row r="1553" spans="2:3" hidden="1" x14ac:dyDescent="0.25">
      <c r="B1553" s="55" t="str">
        <f>IF(A1553&lt;&gt;"",INDEX('Base de données'!A$4:L$990,MATCH(' TVA M'!A1553,'Base de données'!A$4:A$990,0),2),"")</f>
        <v/>
      </c>
      <c r="C1553" s="55" t="str">
        <f>IF(A1553&lt;&gt;"",INDEX('Base de données'!A$4:L$990,MATCH(' TVA M'!A1553,'Base de données'!A$4:A$990,0),12),"")</f>
        <v/>
      </c>
    </row>
    <row r="1554" spans="2:3" hidden="1" x14ac:dyDescent="0.25">
      <c r="B1554" s="55" t="str">
        <f>IF(A1554&lt;&gt;"",INDEX('Base de données'!A$4:L$990,MATCH(' TVA M'!A1554,'Base de données'!A$4:A$990,0),2),"")</f>
        <v/>
      </c>
      <c r="C1554" s="55" t="str">
        <f>IF(A1554&lt;&gt;"",INDEX('Base de données'!A$4:L$990,MATCH(' TVA M'!A1554,'Base de données'!A$4:A$990,0),12),"")</f>
        <v/>
      </c>
    </row>
    <row r="1555" spans="2:3" hidden="1" x14ac:dyDescent="0.25">
      <c r="B1555" s="55" t="str">
        <f>IF(A1555&lt;&gt;"",INDEX('Base de données'!A$4:L$990,MATCH(' TVA M'!A1555,'Base de données'!A$4:A$990,0),2),"")</f>
        <v/>
      </c>
      <c r="C1555" s="55" t="str">
        <f>IF(A1555&lt;&gt;"",INDEX('Base de données'!A$4:L$990,MATCH(' TVA M'!A1555,'Base de données'!A$4:A$990,0),12),"")</f>
        <v/>
      </c>
    </row>
    <row r="1556" spans="2:3" hidden="1" x14ac:dyDescent="0.25">
      <c r="B1556" s="55" t="str">
        <f>IF(A1556&lt;&gt;"",INDEX('Base de données'!A$4:L$990,MATCH(' TVA M'!A1556,'Base de données'!A$4:A$990,0),2),"")</f>
        <v/>
      </c>
      <c r="C1556" s="55" t="str">
        <f>IF(A1556&lt;&gt;"",INDEX('Base de données'!A$4:L$990,MATCH(' TVA M'!A1556,'Base de données'!A$4:A$990,0),12),"")</f>
        <v/>
      </c>
    </row>
  </sheetData>
  <sheetProtection sheet="1" objects="1" scenarios="1" deleteColumns="0" deleteRows="0" selectLockedCells="1" autoFilter="0"/>
  <autoFilter ref="A8:C1556">
    <filterColumn colId="2">
      <filters>
        <filter val="NAJAT SAOUD"/>
      </filters>
    </filterColumn>
  </autoFilter>
  <mergeCells count="17">
    <mergeCell ref="Z7:AA7"/>
    <mergeCell ref="D7:E7"/>
    <mergeCell ref="F7:G7"/>
    <mergeCell ref="H7:I7"/>
    <mergeCell ref="J7:K7"/>
    <mergeCell ref="L7:M7"/>
    <mergeCell ref="N7:O7"/>
    <mergeCell ref="P7:Q7"/>
    <mergeCell ref="R7:S7"/>
    <mergeCell ref="T7:U7"/>
    <mergeCell ref="V7:W7"/>
    <mergeCell ref="X7:Y7"/>
    <mergeCell ref="AN7:AO7"/>
    <mergeCell ref="AP7:AQ7"/>
    <mergeCell ref="AH7:AI7"/>
    <mergeCell ref="AJ7:AK7"/>
    <mergeCell ref="AL7:AM7"/>
  </mergeCells>
  <phoneticPr fontId="6" type="noConversion"/>
  <conditionalFormatting sqref="A9:A361">
    <cfRule type="duplicateValues" dxfId="133" priority="13"/>
  </conditionalFormatting>
  <dataValidations count="2">
    <dataValidation type="date" allowBlank="1" showInputMessage="1" showErrorMessage="1" sqref="D9">
      <formula1>43497</formula1>
      <formula2>43830</formula2>
    </dataValidation>
    <dataValidation type="list" allowBlank="1" showInputMessage="1" sqref="AE8">
      <formula1>"KHAMISSA HDIMANE,DAOUD ISSKELA,RACHID NAAIMI ,FATIMA EZZAHRA JAIZI,NAJAT SAOUD,MOHAMED ESSAID,Med EGHIZ,HALIMA OUIJANE,FATIMA EZZAHRA AIT AHMED,ZINEB ELKHOUDARI,"</formula1>
    </dataValidation>
  </dataValidations>
  <pageMargins left="0.7" right="0.7" top="0.75" bottom="0.75" header="0.3" footer="0.3"/>
  <pageSetup orientation="portrait" r:id="rId1"/>
  <ignoredErrors>
    <ignoredError sqref="E1:J1 L1:L2 N1:N2 P1:P2 R1:R2 T1:T2 V1:V2 X1:X2 Z1:Z2 F2:F3 H2:H3 J2:J3 L3 N3 P3 R3 T3 V3 X3 Z3" formula="1"/>
    <ignoredError sqref="K3 M3 M5 O3 Q3 Q5 S3 S5 U3 U5 W1 W3 W5 Y3 Y5 O5 AA1 AA3 AA5" evalError="1"/>
    <ignoredError sqref="K1 M1 O1 Q1 S1 U1 Y1" evalError="1" formula="1"/>
  </ignoredError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5" operator="greaterThan" id="{2832F08A-BC84-4E96-962F-D15198B7C10B}">
            <xm:f>'Calendrier fiscal'!$B$9</xm:f>
            <x14:dxf>
              <fill>
                <patternFill>
                  <bgColor rgb="FFFF0000"/>
                </patternFill>
              </fill>
            </x14:dxf>
          </x14:cfRule>
          <xm:sqref>F9:F22 F34:F311</xm:sqref>
        </x14:conditionalFormatting>
        <x14:conditionalFormatting xmlns:xm="http://schemas.microsoft.com/office/excel/2006/main">
          <x14:cfRule type="cellIs" priority="24" operator="greaterThan" id="{A049C52A-C126-419F-8E89-A26D23BA9B86}">
            <xm:f>'Calendrier fiscal'!$B$8</xm:f>
            <x14:dxf>
              <fill>
                <patternFill>
                  <bgColor rgb="FFFF0000"/>
                </patternFill>
              </fill>
            </x14:dxf>
          </x14:cfRule>
          <xm:sqref>D9:D311</xm:sqref>
        </x14:conditionalFormatting>
        <x14:conditionalFormatting xmlns:xm="http://schemas.microsoft.com/office/excel/2006/main">
          <x14:cfRule type="cellIs" priority="23" operator="greaterThan" id="{51E25B23-DAD1-4FC9-B075-C7A4F24E86BC}">
            <xm:f>'Calendrier fiscal'!$B$10</xm:f>
            <x14:dxf>
              <fill>
                <patternFill>
                  <bgColor rgb="FFFF0000"/>
                </patternFill>
              </fill>
            </x14:dxf>
          </x14:cfRule>
          <xm:sqref>H9:H311</xm:sqref>
        </x14:conditionalFormatting>
        <x14:conditionalFormatting xmlns:xm="http://schemas.microsoft.com/office/excel/2006/main">
          <x14:cfRule type="cellIs" priority="22" operator="greaterThan" id="{E8BFF052-3DB4-404F-81E9-89D5771836C4}">
            <xm:f>'Calendrier fiscal'!$B$11</xm:f>
            <x14:dxf>
              <font>
                <color auto="1"/>
              </font>
              <fill>
                <patternFill>
                  <bgColor rgb="FFFF0000"/>
                </patternFill>
              </fill>
            </x14:dxf>
          </x14:cfRule>
          <xm:sqref>J9:J311</xm:sqref>
        </x14:conditionalFormatting>
        <x14:conditionalFormatting xmlns:xm="http://schemas.microsoft.com/office/excel/2006/main">
          <x14:cfRule type="cellIs" priority="21" operator="greaterThan" id="{83CDA9ED-ADF7-489D-9EA0-4E0E3169DED6}">
            <xm:f>'Calendrier fiscal'!$B$13</xm:f>
            <x14:dxf>
              <fill>
                <patternFill>
                  <bgColor rgb="FFFF0000"/>
                </patternFill>
              </fill>
            </x14:dxf>
          </x14:cfRule>
          <xm:sqref>N9:N311</xm:sqref>
        </x14:conditionalFormatting>
        <x14:conditionalFormatting xmlns:xm="http://schemas.microsoft.com/office/excel/2006/main">
          <x14:cfRule type="cellIs" priority="20" operator="greaterThan" id="{888F2C24-4331-4EB1-A06C-F343953C3E17}">
            <xm:f>'Calendrier fiscal'!$B$12</xm:f>
            <x14:dxf>
              <fill>
                <patternFill>
                  <bgColor rgb="FFFF0000"/>
                </patternFill>
              </fill>
            </x14:dxf>
          </x14:cfRule>
          <xm:sqref>L9:L311</xm:sqref>
        </x14:conditionalFormatting>
        <x14:conditionalFormatting xmlns:xm="http://schemas.microsoft.com/office/excel/2006/main">
          <x14:cfRule type="cellIs" priority="19" operator="greaterThan" id="{16579BF6-874D-44D9-985A-861172562EF5}">
            <xm:f>'Calendrier fiscal'!$B$14</xm:f>
            <x14:dxf>
              <font>
                <color auto="1"/>
              </font>
              <fill>
                <patternFill>
                  <bgColor rgb="FFFF0000"/>
                </patternFill>
              </fill>
            </x14:dxf>
          </x14:cfRule>
          <xm:sqref>P9:P311</xm:sqref>
        </x14:conditionalFormatting>
        <x14:conditionalFormatting xmlns:xm="http://schemas.microsoft.com/office/excel/2006/main">
          <x14:cfRule type="cellIs" priority="18" operator="greaterThan" id="{D62210EF-F97B-4243-AC03-2EDC29EFA439}">
            <xm:f>'Calendrier fiscal'!$B$15</xm:f>
            <x14:dxf>
              <fill>
                <patternFill>
                  <bgColor rgb="FFFF0000"/>
                </patternFill>
              </fill>
            </x14:dxf>
          </x14:cfRule>
          <xm:sqref>R9:R311</xm:sqref>
        </x14:conditionalFormatting>
        <x14:conditionalFormatting xmlns:xm="http://schemas.microsoft.com/office/excel/2006/main">
          <x14:cfRule type="cellIs" priority="17" operator="greaterThan" id="{26AA4821-64E8-47CD-B6E8-9AC089E5CBA3}">
            <xm:f>'Calendrier fiscal'!$B$16</xm:f>
            <x14:dxf>
              <fill>
                <patternFill>
                  <bgColor rgb="FFFF0000"/>
                </patternFill>
              </fill>
            </x14:dxf>
          </x14:cfRule>
          <xm:sqref>T9:T311</xm:sqref>
        </x14:conditionalFormatting>
        <x14:conditionalFormatting xmlns:xm="http://schemas.microsoft.com/office/excel/2006/main">
          <x14:cfRule type="cellIs" priority="16" operator="greaterThan" id="{8CB40654-D4A9-4DED-83C0-5CF46F2655D6}">
            <xm:f>'Calendrier fiscal'!$B$17</xm:f>
            <x14:dxf>
              <fill>
                <patternFill>
                  <bgColor rgb="FFFF0000"/>
                </patternFill>
              </fill>
            </x14:dxf>
          </x14:cfRule>
          <xm:sqref>V59:V311 V23:V53 V9:V21</xm:sqref>
        </x14:conditionalFormatting>
        <x14:conditionalFormatting xmlns:xm="http://schemas.microsoft.com/office/excel/2006/main">
          <x14:cfRule type="cellIs" priority="15" operator="greaterThan" id="{22230CB7-AE65-47CA-876E-A59F6D5D4CE7}">
            <xm:f>'Calendrier fiscal'!$B$18</xm:f>
            <x14:dxf>
              <fill>
                <patternFill>
                  <bgColor rgb="FFFF0000"/>
                </patternFill>
              </fill>
            </x14:dxf>
          </x14:cfRule>
          <xm:sqref>X9:X16 X59:X311</xm:sqref>
        </x14:conditionalFormatting>
        <x14:conditionalFormatting xmlns:xm="http://schemas.microsoft.com/office/excel/2006/main">
          <x14:cfRule type="cellIs" priority="14" operator="greaterThan" id="{6DB3699B-BC93-49AB-A6F9-59EC8D1615B8}">
            <xm:f>'Calendrier fiscal'!$B$19</xm:f>
            <x14:dxf>
              <fill>
                <patternFill>
                  <bgColor rgb="FFFF0000"/>
                </patternFill>
              </fill>
            </x14:dxf>
          </x14:cfRule>
          <xm:sqref>Z9:Z311</xm:sqref>
        </x14:conditionalFormatting>
        <x14:conditionalFormatting xmlns:xm="http://schemas.microsoft.com/office/excel/2006/main">
          <x14:cfRule type="cellIs" priority="9" operator="greaterThan" id="{148A8451-C4D6-4529-80BB-59937AC3A872}">
            <xm:f>'Calendrier fiscal'!$B$9</xm:f>
            <x14:dxf>
              <fill>
                <patternFill>
                  <bgColor rgb="FFFF0000"/>
                </patternFill>
              </fill>
            </x14:dxf>
          </x14:cfRule>
          <xm:sqref>F23:F33</xm:sqref>
        </x14:conditionalFormatting>
        <x14:conditionalFormatting xmlns:xm="http://schemas.microsoft.com/office/excel/2006/main">
          <x14:cfRule type="cellIs" priority="7" operator="greaterThan" id="{BD9F8151-D765-4CA7-B627-16E0EFAC643F}">
            <xm:f>'Calendrier fiscal'!$B$17</xm:f>
            <x14:dxf>
              <fill>
                <patternFill>
                  <bgColor rgb="FFFF0000"/>
                </patternFill>
              </fill>
            </x14:dxf>
          </x14:cfRule>
          <xm:sqref>V56</xm:sqref>
        </x14:conditionalFormatting>
        <x14:conditionalFormatting xmlns:xm="http://schemas.microsoft.com/office/excel/2006/main">
          <x14:cfRule type="cellIs" priority="5" operator="greaterThan" id="{EB5E344E-2C30-4B87-AB5F-A1FABD69444E}">
            <xm:f>'Calendrier fiscal'!$B$17</xm:f>
            <x14:dxf>
              <fill>
                <patternFill>
                  <bgColor rgb="FFFF0000"/>
                </patternFill>
              </fill>
            </x14:dxf>
          </x14:cfRule>
          <xm:sqref>V58</xm:sqref>
        </x14:conditionalFormatting>
        <x14:conditionalFormatting xmlns:xm="http://schemas.microsoft.com/office/excel/2006/main">
          <x14:cfRule type="cellIs" priority="4" operator="greaterThan" id="{24CB0E0C-8687-442C-B571-6D776F37EFC4}">
            <xm:f>'Calendrier fiscal'!$B$17</xm:f>
            <x14:dxf>
              <fill>
                <patternFill>
                  <bgColor rgb="FFFF0000"/>
                </patternFill>
              </fill>
            </x14:dxf>
          </x14:cfRule>
          <xm:sqref>V22</xm:sqref>
        </x14:conditionalFormatting>
        <x14:conditionalFormatting xmlns:xm="http://schemas.microsoft.com/office/excel/2006/main">
          <x14:cfRule type="cellIs" priority="3" operator="greaterThan" id="{5CFF2429-90CF-4CEA-BE6B-95CB44A3B9AF}">
            <xm:f>'Calendrier fiscal'!$B$17</xm:f>
            <x14:dxf>
              <fill>
                <patternFill>
                  <bgColor rgb="FFFF0000"/>
                </patternFill>
              </fill>
            </x14:dxf>
          </x14:cfRule>
          <xm:sqref>V57</xm:sqref>
        </x14:conditionalFormatting>
        <x14:conditionalFormatting xmlns:xm="http://schemas.microsoft.com/office/excel/2006/main">
          <x14:cfRule type="cellIs" priority="2" operator="greaterThan" id="{D89B684A-AF28-405A-9D4E-E8D12D47EE96}">
            <xm:f>'Calendrier fiscal'!$B$17</xm:f>
            <x14:dxf>
              <fill>
                <patternFill>
                  <bgColor rgb="FFFF0000"/>
                </patternFill>
              </fill>
            </x14:dxf>
          </x14:cfRule>
          <xm:sqref>V54:V55</xm:sqref>
        </x14:conditionalFormatting>
        <x14:conditionalFormatting xmlns:xm="http://schemas.microsoft.com/office/excel/2006/main">
          <x14:cfRule type="cellIs" priority="1" operator="greaterThan" id="{9025C5E5-0CA6-456E-A79F-C7D360BCC9E0}">
            <xm:f>'Calendrier fiscal'!$B$17</xm:f>
            <x14:dxf>
              <fill>
                <patternFill>
                  <bgColor rgb="FFFF0000"/>
                </patternFill>
              </fill>
            </x14:dxf>
          </x14:cfRule>
          <xm:sqref>X17:X58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 filterMode="1">
    <tabColor rgb="FFE9252A"/>
  </sheetPr>
  <dimension ref="A1:S200"/>
  <sheetViews>
    <sheetView showGridLines="0" showRowColHeaders="0" zoomScale="90" zoomScaleNormal="90" workbookViewId="0">
      <pane xSplit="3" ySplit="9" topLeftCell="D16" activePane="bottomRight" state="frozen"/>
      <selection pane="topRight" activeCell="D1" sqref="D1"/>
      <selection pane="bottomLeft" activeCell="A6" sqref="A6"/>
      <selection pane="bottomRight" activeCell="G30" sqref="G30"/>
    </sheetView>
  </sheetViews>
  <sheetFormatPr baseColWidth="10" defaultColWidth="11.42578125" defaultRowHeight="15" x14ac:dyDescent="0.25"/>
  <cols>
    <col min="1" max="1" width="12" style="55" customWidth="1"/>
    <col min="2" max="2" width="24.5703125" style="55" customWidth="1"/>
    <col min="3" max="3" width="21.140625" style="55" customWidth="1"/>
    <col min="4" max="4" width="15" style="55" customWidth="1"/>
    <col min="5" max="5" width="18.42578125" style="55" customWidth="1"/>
    <col min="6" max="6" width="15.85546875" style="55" customWidth="1"/>
    <col min="7" max="7" width="16.5703125" style="55" customWidth="1"/>
    <col min="8" max="8" width="14.7109375" style="55" customWidth="1"/>
    <col min="9" max="9" width="19.85546875" style="55" customWidth="1"/>
    <col min="10" max="10" width="14.7109375" style="55" customWidth="1"/>
    <col min="11" max="11" width="20.28515625" style="55" customWidth="1"/>
    <col min="12" max="12" width="6" style="55" customWidth="1"/>
    <col min="13" max="13" width="14.7109375" style="55" customWidth="1"/>
    <col min="14" max="14" width="14.85546875" style="55" customWidth="1"/>
    <col min="15" max="15" width="12.85546875" style="55" customWidth="1"/>
    <col min="16" max="16384" width="11.42578125" style="55"/>
  </cols>
  <sheetData>
    <row r="1" spans="1:19" s="147" customFormat="1" x14ac:dyDescent="0.25">
      <c r="D1" s="73">
        <f>COUNTA(D10:D200)</f>
        <v>86</v>
      </c>
      <c r="E1" s="74">
        <f>D2/D1</f>
        <v>0.41860465116279072</v>
      </c>
      <c r="F1" s="54">
        <f>COUNTA(F10:F200)</f>
        <v>86</v>
      </c>
      <c r="G1" s="72">
        <f>F2/F1</f>
        <v>0.94186046511627908</v>
      </c>
      <c r="H1" s="54">
        <f>COUNTA(H10:H200)</f>
        <v>40</v>
      </c>
      <c r="I1" s="72">
        <f>H2/H1</f>
        <v>0.75</v>
      </c>
      <c r="J1" s="54">
        <f>COUNTA(J10:J200)</f>
        <v>25</v>
      </c>
      <c r="K1" s="72">
        <f>J2/J1</f>
        <v>0.8</v>
      </c>
    </row>
    <row r="2" spans="1:19" s="147" customFormat="1" x14ac:dyDescent="0.25">
      <c r="D2" s="73">
        <f>COUNTIF(D10:D200,"&lt;="&amp;'Calendrier fiscal'!C26)</f>
        <v>36</v>
      </c>
      <c r="E2" s="74">
        <f>D3/D1</f>
        <v>0.80232558139534882</v>
      </c>
      <c r="F2" s="54">
        <f>COUNTIF(F10:F200,"&lt;="&amp;'Calendrier fiscal'!C27)</f>
        <v>81</v>
      </c>
      <c r="G2" s="72">
        <f>F3/F1</f>
        <v>0.95348837209302328</v>
      </c>
      <c r="H2" s="54">
        <f>COUNTIF(H10:H200,"&lt;="&amp;'Calendrier fiscal'!C28)</f>
        <v>30</v>
      </c>
      <c r="I2" s="72">
        <f>H3/H1</f>
        <v>0.8</v>
      </c>
      <c r="J2" s="54">
        <f>COUNTIF(J10:J200,"&lt;="&amp;'Calendrier fiscal'!C29)</f>
        <v>20</v>
      </c>
      <c r="K2" s="72">
        <f>J3/J1</f>
        <v>0.92</v>
      </c>
    </row>
    <row r="3" spans="1:19" s="54" customFormat="1" x14ac:dyDescent="0.25">
      <c r="A3" s="54">
        <v>70</v>
      </c>
      <c r="D3" s="73">
        <f>COUNTIF(D10:D200,"&lt;="&amp;'Calendrier fiscal'!B26)</f>
        <v>69</v>
      </c>
      <c r="E3" s="74">
        <f>E1</f>
        <v>0.41860465116279072</v>
      </c>
      <c r="F3" s="54">
        <f>COUNTIF(F10:F200,"&lt;="&amp;'Calendrier fiscal'!B27)</f>
        <v>82</v>
      </c>
      <c r="G3" s="72">
        <f>G1</f>
        <v>0.94186046511627908</v>
      </c>
      <c r="H3" s="54">
        <f>COUNTIF(H10:H200,"&lt;="&amp;'Calendrier fiscal'!B28)</f>
        <v>32</v>
      </c>
      <c r="I3" s="72">
        <f>I1</f>
        <v>0.75</v>
      </c>
      <c r="J3" s="54">
        <f>COUNTIF(J10:J200,"&lt;="&amp;'Calendrier fiscal'!B29)</f>
        <v>23</v>
      </c>
      <c r="K3" s="72">
        <f>K1</f>
        <v>0.8</v>
      </c>
    </row>
    <row r="4" spans="1:19" s="54" customFormat="1" x14ac:dyDescent="0.25">
      <c r="A4" s="54">
        <v>20</v>
      </c>
      <c r="D4" s="73"/>
      <c r="E4" s="74">
        <v>0.01</v>
      </c>
      <c r="G4" s="72">
        <v>0.01</v>
      </c>
      <c r="I4" s="72">
        <v>0.01</v>
      </c>
      <c r="K4" s="72">
        <v>0.01</v>
      </c>
    </row>
    <row r="5" spans="1:19" s="54" customFormat="1" x14ac:dyDescent="0.25">
      <c r="A5" s="54">
        <v>10</v>
      </c>
      <c r="D5" s="73"/>
      <c r="E5" s="74">
        <f>E6-SUM(E3:E4)</f>
        <v>0.59139534883720923</v>
      </c>
      <c r="G5" s="54">
        <f>G6-SUM(G3:G4)</f>
        <v>6.8139534883720931E-2</v>
      </c>
      <c r="I5" s="54">
        <f>I6-SUM(I3:I4)</f>
        <v>0.26</v>
      </c>
      <c r="K5" s="72">
        <f>K6-SUM(K3:K4)</f>
        <v>0.20999999999999996</v>
      </c>
    </row>
    <row r="6" spans="1:19" s="54" customFormat="1" x14ac:dyDescent="0.25">
      <c r="A6" s="54">
        <f>SUM(A3:A5)</f>
        <v>100</v>
      </c>
      <c r="D6" s="73"/>
      <c r="E6" s="74">
        <v>1.02</v>
      </c>
      <c r="G6" s="72">
        <v>1.02</v>
      </c>
      <c r="I6" s="72">
        <v>1.02</v>
      </c>
      <c r="K6" s="72">
        <v>1.02</v>
      </c>
    </row>
    <row r="7" spans="1:19" s="54" customFormat="1" ht="15.75" thickBot="1" x14ac:dyDescent="0.3">
      <c r="D7" s="73"/>
      <c r="E7" s="74"/>
    </row>
    <row r="8" spans="1:19" ht="30.75" thickTop="1" x14ac:dyDescent="0.25">
      <c r="D8" s="48" t="s">
        <v>496</v>
      </c>
      <c r="E8" s="49"/>
      <c r="F8" s="44" t="s">
        <v>498</v>
      </c>
      <c r="G8" s="45"/>
      <c r="H8" s="42" t="s">
        <v>497</v>
      </c>
      <c r="I8" s="34"/>
      <c r="J8" s="35" t="s">
        <v>499</v>
      </c>
      <c r="K8" s="36"/>
      <c r="L8" s="5"/>
      <c r="N8" s="86" t="s">
        <v>617</v>
      </c>
      <c r="O8" s="457" t="s">
        <v>576</v>
      </c>
    </row>
    <row r="9" spans="1:19" x14ac:dyDescent="0.25">
      <c r="A9" s="578" t="s">
        <v>478</v>
      </c>
      <c r="B9" s="578" t="s">
        <v>500</v>
      </c>
      <c r="C9" s="578" t="s">
        <v>480</v>
      </c>
      <c r="D9" s="50" t="s">
        <v>482</v>
      </c>
      <c r="E9" s="51" t="s">
        <v>483</v>
      </c>
      <c r="F9" s="46" t="s">
        <v>482</v>
      </c>
      <c r="G9" s="47" t="s">
        <v>483</v>
      </c>
      <c r="H9" s="43" t="s">
        <v>482</v>
      </c>
      <c r="I9" s="37" t="s">
        <v>483</v>
      </c>
      <c r="J9" s="38" t="s">
        <v>482</v>
      </c>
      <c r="K9" s="39" t="s">
        <v>483</v>
      </c>
    </row>
    <row r="10" spans="1:19" x14ac:dyDescent="0.25">
      <c r="A10" s="444">
        <v>55</v>
      </c>
      <c r="B10" s="40" t="str">
        <f>IF(A10&lt;&gt;"",INDEX('Base de données'!A$4:L$990,MATCH(A10,'Base de données'!A$4:A$990,0),2),"")</f>
        <v>MILANOMAR</v>
      </c>
      <c r="C10" s="41" t="str">
        <f>IF(A10&lt;&gt;"",INDEX('Base de données'!A$4:L$990,MATCH(A10,'Base de données'!A$4:A$990,0),12),"")</f>
        <v>NAJAT SAOUD</v>
      </c>
      <c r="D10" s="447">
        <v>43938</v>
      </c>
      <c r="E10" s="448">
        <v>7509280</v>
      </c>
      <c r="F10" s="447">
        <v>44021</v>
      </c>
      <c r="G10" s="448">
        <v>6521232</v>
      </c>
      <c r="H10" s="449">
        <v>44112</v>
      </c>
      <c r="I10" s="450">
        <v>8045741</v>
      </c>
      <c r="J10" s="447">
        <v>44201</v>
      </c>
      <c r="K10" s="448">
        <v>8595416</v>
      </c>
    </row>
    <row r="11" spans="1:19" hidden="1" x14ac:dyDescent="0.25">
      <c r="A11" s="444">
        <v>107</v>
      </c>
      <c r="B11" s="40"/>
      <c r="C11" s="41"/>
      <c r="D11" s="447">
        <v>43938</v>
      </c>
      <c r="E11" s="448">
        <v>7039382</v>
      </c>
      <c r="F11" s="447">
        <v>44021</v>
      </c>
      <c r="G11" s="448">
        <v>7508902</v>
      </c>
      <c r="H11" s="449"/>
      <c r="I11" s="450"/>
      <c r="J11" s="447"/>
      <c r="K11" s="448"/>
      <c r="M11" s="83" t="s">
        <v>612</v>
      </c>
      <c r="N11" s="84" t="s">
        <v>605</v>
      </c>
      <c r="O11" s="85" t="s">
        <v>610</v>
      </c>
      <c r="P11" s="84" t="s">
        <v>611</v>
      </c>
      <c r="Q11" s="84" t="s">
        <v>609</v>
      </c>
      <c r="R11" s="302" t="s">
        <v>641</v>
      </c>
      <c r="S11" s="303" t="s">
        <v>640</v>
      </c>
    </row>
    <row r="12" spans="1:19" x14ac:dyDescent="0.25">
      <c r="A12" s="444">
        <v>99</v>
      </c>
      <c r="B12" s="40" t="str">
        <f>IF(A12&lt;&gt;"",INDEX('Base de données'!A$4:L$990,MATCH(A12,'Base de données'!A$4:A$990,0),2),"")</f>
        <v>FESTIMA</v>
      </c>
      <c r="C12" s="41" t="str">
        <f>IF(A12&lt;&gt;"",INDEX('Base de données'!A$4:L$990,MATCH(A12,'Base de données'!A$4:A$990,0),12),"")</f>
        <v>NAJAT SAOUD</v>
      </c>
      <c r="D12" s="447">
        <v>43939</v>
      </c>
      <c r="E12" s="448">
        <v>7049464</v>
      </c>
      <c r="F12" s="447">
        <v>44021</v>
      </c>
      <c r="G12" s="448">
        <v>7508749</v>
      </c>
      <c r="H12" s="449">
        <v>44114</v>
      </c>
      <c r="I12" s="450">
        <v>8057283</v>
      </c>
      <c r="J12" s="447">
        <v>44195</v>
      </c>
      <c r="K12" s="448">
        <v>8565828</v>
      </c>
      <c r="M12" s="82" t="s">
        <v>613</v>
      </c>
      <c r="N12" s="82">
        <f>COUNTIFS(C10:C200,O8,D10:D200,"&lt;&gt;"&amp;"")</f>
        <v>0</v>
      </c>
      <c r="O12" s="82">
        <f>COUNTIFS(C10:C200,O8,D10:D200,"&lt;="&amp;'Calendrier fiscal'!C26)</f>
        <v>0</v>
      </c>
      <c r="P12" s="82">
        <f>COUNTIFS(C10:C200,O8,D10:D200,"&lt;="&amp;'Calendrier fiscal'!B26)</f>
        <v>0</v>
      </c>
      <c r="Q12" s="82">
        <f>N12-P12</f>
        <v>0</v>
      </c>
      <c r="R12" s="304" t="str">
        <f>IF(N12&lt;&gt;0,O12/N12,"")</f>
        <v/>
      </c>
      <c r="S12" s="305" t="str">
        <f>IF(N12&lt;&gt;0,P12/N12,"")</f>
        <v/>
      </c>
    </row>
    <row r="13" spans="1:19" x14ac:dyDescent="0.25">
      <c r="A13" s="444">
        <v>377</v>
      </c>
      <c r="B13" s="40" t="str">
        <f>IF(A13&lt;&gt;"",INDEX('Base de données'!A$4:L$990,MATCH(A13,'Base de données'!A$4:A$990,0),2),"")</f>
        <v>YOUNCE CAR</v>
      </c>
      <c r="C13" s="41" t="str">
        <f>IF(A13&lt;&gt;"",INDEX('Base de données'!A$4:L$990,MATCH(A13,'Base de données'!A$4:A$990,0),12),"")</f>
        <v>NAJAT SAOUD</v>
      </c>
      <c r="D13" s="447">
        <v>43942</v>
      </c>
      <c r="E13" s="448">
        <v>7075164</v>
      </c>
      <c r="F13" s="447">
        <v>44025</v>
      </c>
      <c r="G13" s="448">
        <v>7527401</v>
      </c>
      <c r="H13" s="449">
        <v>44112</v>
      </c>
      <c r="I13" s="450">
        <v>8046103</v>
      </c>
      <c r="J13" s="447">
        <v>44196</v>
      </c>
      <c r="K13" s="448">
        <v>8579950</v>
      </c>
      <c r="M13" s="81" t="s">
        <v>614</v>
      </c>
      <c r="N13" s="81">
        <f>COUNTIFS(C10:C200,O8,F10:F200,"&lt;&gt;"&amp;"")</f>
        <v>0</v>
      </c>
      <c r="O13" s="81">
        <f>COUNTIFS(C10:C200,O8,F10:F200,"&lt;="&amp;'Calendrier fiscal'!C27)</f>
        <v>0</v>
      </c>
      <c r="P13" s="81">
        <f>COUNTIFS(C10:C200,O8,F10:F200,"&lt;="&amp;'Calendrier fiscal'!B27)</f>
        <v>0</v>
      </c>
      <c r="Q13" s="81">
        <f>N13-P13</f>
        <v>0</v>
      </c>
      <c r="R13" s="304" t="str">
        <f t="shared" ref="R13:R15" si="0">IF(N13&lt;&gt;0,O13/N13,"")</f>
        <v/>
      </c>
      <c r="S13" s="305" t="str">
        <f t="shared" ref="S13:S15" si="1">IF(N13&lt;&gt;0,P13/N13,"")</f>
        <v/>
      </c>
    </row>
    <row r="14" spans="1:19" x14ac:dyDescent="0.25">
      <c r="A14" s="444">
        <v>35</v>
      </c>
      <c r="B14" s="40" t="str">
        <f>IF(A14&lt;&gt;"",INDEX('Base de données'!A$4:L$990,MATCH(A14,'Base de données'!A$4:A$990,0),2),"")</f>
        <v xml:space="preserve">ATLAS OUKAIMDEN CONS </v>
      </c>
      <c r="C14" s="41" t="str">
        <f>IF(A14&lt;&gt;"",INDEX('Base de données'!A$4:L$990,MATCH(A14,'Base de données'!A$4:A$990,0),12),"")</f>
        <v>NAJAT SAOUD</v>
      </c>
      <c r="D14" s="447">
        <v>43942</v>
      </c>
      <c r="E14" s="448">
        <v>7078053</v>
      </c>
      <c r="F14" s="447">
        <v>44020</v>
      </c>
      <c r="G14" s="448">
        <v>7503200</v>
      </c>
      <c r="H14" s="449">
        <v>44112</v>
      </c>
      <c r="I14" s="450">
        <v>8045861</v>
      </c>
      <c r="J14" s="447">
        <v>44196</v>
      </c>
      <c r="K14" s="448">
        <v>8566012</v>
      </c>
      <c r="M14" s="81" t="s">
        <v>615</v>
      </c>
      <c r="N14" s="81">
        <f>COUNTIFS(C10:C200,O8,H10:H200,"&lt;&gt;"&amp;"")</f>
        <v>0</v>
      </c>
      <c r="O14" s="81">
        <f>COUNTIFS(C10:C200,O8,H10:H200,"&lt;="&amp;'Calendrier fiscal'!C28)</f>
        <v>0</v>
      </c>
      <c r="P14" s="81">
        <f>COUNTIFS(C10:C200,O8,H10:H200,"&lt;="&amp;'Calendrier fiscal'!B28)</f>
        <v>0</v>
      </c>
      <c r="Q14" s="81">
        <f>N14-P14</f>
        <v>0</v>
      </c>
      <c r="R14" s="304" t="str">
        <f t="shared" si="0"/>
        <v/>
      </c>
      <c r="S14" s="305" t="str">
        <f t="shared" si="1"/>
        <v/>
      </c>
    </row>
    <row r="15" spans="1:19" x14ac:dyDescent="0.25">
      <c r="A15" s="444">
        <v>379</v>
      </c>
      <c r="B15" s="40" t="str">
        <f>IF(A15&lt;&gt;"",INDEX('Base de données'!A$4:L$990,MATCH(A15,'Base de données'!A$4:A$990,0),2),"")</f>
        <v>YAPI RENT CAR</v>
      </c>
      <c r="C15" s="41" t="str">
        <f>IF(A15&lt;&gt;"",INDEX('Base de données'!A$4:L$990,MATCH(A15,'Base de données'!A$4:A$990,0),12),"")</f>
        <v>NAJAT SAOUD</v>
      </c>
      <c r="D15" s="447">
        <v>43942</v>
      </c>
      <c r="E15" s="448">
        <v>7077965</v>
      </c>
      <c r="F15" s="447">
        <v>44025</v>
      </c>
      <c r="G15" s="448">
        <v>7525108</v>
      </c>
      <c r="H15" s="449">
        <v>44113</v>
      </c>
      <c r="I15" s="450">
        <v>8051565</v>
      </c>
      <c r="J15" s="447">
        <v>44201</v>
      </c>
      <c r="K15" s="448">
        <v>8594368</v>
      </c>
      <c r="M15" s="81" t="s">
        <v>616</v>
      </c>
      <c r="N15" s="81">
        <f>COUNTIFS(C10:C200,O8,J10:J200,"&lt;&gt;"&amp;"")</f>
        <v>0</v>
      </c>
      <c r="O15" s="81">
        <f>COUNTIFS(C10:C200,O8,J10:J200,"&lt;="&amp;'Calendrier fiscal'!C29)</f>
        <v>0</v>
      </c>
      <c r="P15" s="81">
        <f>COUNTIFS(C10:C200,O8,J10:J200,"&lt;="&amp;'Calendrier fiscal'!B29)</f>
        <v>0</v>
      </c>
      <c r="Q15" s="81">
        <f>N15-P15</f>
        <v>0</v>
      </c>
      <c r="R15" s="304" t="str">
        <f t="shared" si="0"/>
        <v/>
      </c>
      <c r="S15" s="305" t="str">
        <f t="shared" si="1"/>
        <v/>
      </c>
    </row>
    <row r="16" spans="1:19" x14ac:dyDescent="0.25">
      <c r="A16" s="444">
        <v>181</v>
      </c>
      <c r="B16" s="40" t="str">
        <f>IF(A16&lt;&gt;"",INDEX('Base de données'!A$4:L$990,MATCH(A16,'Base de données'!A$4:A$990,0),2),"")</f>
        <v xml:space="preserve">ALTO WORKS </v>
      </c>
      <c r="C16" s="41" t="str">
        <f>IF(A16&lt;&gt;"",INDEX('Base de données'!A$4:L$990,MATCH(A16,'Base de données'!A$4:A$990,0),12),"")</f>
        <v>NAJAT SAOUD</v>
      </c>
      <c r="D16" s="447">
        <v>44020</v>
      </c>
      <c r="E16" s="448">
        <v>7502626</v>
      </c>
      <c r="F16" s="447">
        <v>44020</v>
      </c>
      <c r="G16" s="448">
        <v>7502640</v>
      </c>
      <c r="H16" s="449" t="s">
        <v>163</v>
      </c>
      <c r="I16" s="450" t="s">
        <v>163</v>
      </c>
      <c r="J16" s="451" t="s">
        <v>163</v>
      </c>
      <c r="K16" s="448" t="s">
        <v>163</v>
      </c>
    </row>
    <row r="17" spans="1:11" x14ac:dyDescent="0.25">
      <c r="A17" s="444">
        <v>14</v>
      </c>
      <c r="B17" s="40" t="str">
        <f>IF(A17&lt;&gt;"",INDEX('Base de données'!A$4:L$990,MATCH(A17,'Base de données'!A$4:A$990,0),2),"")</f>
        <v>MOUZINE CAR</v>
      </c>
      <c r="C17" s="41" t="str">
        <f>IF(A17&lt;&gt;"",INDEX('Base de données'!A$4:L$990,MATCH(A17,'Base de données'!A$4:A$990,0),12),"")</f>
        <v>NAJAT SAOUD</v>
      </c>
      <c r="D17" s="447">
        <v>43943</v>
      </c>
      <c r="E17" s="448">
        <v>7086649</v>
      </c>
      <c r="F17" s="447">
        <v>44037</v>
      </c>
      <c r="G17" s="448">
        <v>7672502</v>
      </c>
      <c r="H17" s="449">
        <v>44118</v>
      </c>
      <c r="I17" s="450">
        <v>8076665</v>
      </c>
      <c r="J17" s="447">
        <v>44224</v>
      </c>
      <c r="K17" s="448">
        <v>8796119</v>
      </c>
    </row>
    <row r="18" spans="1:11" x14ac:dyDescent="0.25">
      <c r="A18" s="444">
        <v>208</v>
      </c>
      <c r="B18" s="40" t="str">
        <f>IF(A18&lt;&gt;"",INDEX('Base de données'!A$4:L$990,MATCH(A18,'Base de données'!A$4:A$990,0),2),"")</f>
        <v xml:space="preserve">TOUFITRA </v>
      </c>
      <c r="C18" s="41" t="str">
        <f>IF(A18&lt;&gt;"",INDEX('Base de données'!A$4:L$990,MATCH(A18,'Base de données'!A$4:A$990,0),12),"")</f>
        <v>NAJAT SAOUD</v>
      </c>
      <c r="D18" s="447">
        <v>43946</v>
      </c>
      <c r="E18" s="448">
        <v>7131605</v>
      </c>
      <c r="F18" s="447">
        <v>44026</v>
      </c>
      <c r="G18" s="448">
        <v>7534586</v>
      </c>
      <c r="H18" s="449">
        <v>44119</v>
      </c>
      <c r="I18" s="450">
        <v>8087460</v>
      </c>
      <c r="J18" s="447">
        <v>44210</v>
      </c>
      <c r="K18" s="448">
        <v>8640157</v>
      </c>
    </row>
    <row r="19" spans="1:11" x14ac:dyDescent="0.25">
      <c r="A19" s="444">
        <v>234</v>
      </c>
      <c r="B19" s="40" t="str">
        <f>IF(A19&lt;&gt;"",INDEX('Base de données'!A$4:L$990,MATCH(A19,'Base de données'!A$4:A$990,0),2),"")</f>
        <v>NASSIRA ECHARITI</v>
      </c>
      <c r="C19" s="41" t="str">
        <f>IF(A19&lt;&gt;"",INDEX('Base de données'!A$4:L$990,MATCH(A19,'Base de données'!A$4:A$990,0),12),"")</f>
        <v>NAJAT SAOUD</v>
      </c>
      <c r="D19" s="447">
        <v>43950</v>
      </c>
      <c r="E19" s="448">
        <v>7216232</v>
      </c>
      <c r="F19" s="447">
        <v>44029</v>
      </c>
      <c r="G19" s="448">
        <v>7566472</v>
      </c>
      <c r="H19" s="449">
        <v>44112</v>
      </c>
      <c r="I19" s="450">
        <v>8046206</v>
      </c>
      <c r="J19" s="447">
        <v>44217</v>
      </c>
      <c r="K19" s="448">
        <v>8595073</v>
      </c>
    </row>
    <row r="20" spans="1:11" x14ac:dyDescent="0.25">
      <c r="A20" s="444">
        <v>207</v>
      </c>
      <c r="B20" s="40" t="str">
        <f>IF(A20&lt;&gt;"",INDEX('Base de données'!A$4:L$990,MATCH(A20,'Base de données'!A$4:A$990,0),2),"")</f>
        <v>GOVERNAL                        (INSTITUT TECHNOLOGIE)</v>
      </c>
      <c r="C20" s="41" t="str">
        <f>IF(A20&lt;&gt;"",INDEX('Base de données'!A$4:L$990,MATCH(A20,'Base de données'!A$4:A$990,0),12),"")</f>
        <v>NAJAT SAOUD</v>
      </c>
      <c r="D20" s="447">
        <v>43950</v>
      </c>
      <c r="E20" s="448">
        <v>7218540</v>
      </c>
      <c r="F20" s="447" t="s">
        <v>163</v>
      </c>
      <c r="G20" s="448" t="s">
        <v>163</v>
      </c>
      <c r="H20" s="449" t="s">
        <v>163</v>
      </c>
      <c r="I20" s="450" t="s">
        <v>163</v>
      </c>
      <c r="J20" s="451" t="s">
        <v>163</v>
      </c>
      <c r="K20" s="448" t="s">
        <v>163</v>
      </c>
    </row>
    <row r="21" spans="1:11" x14ac:dyDescent="0.25">
      <c r="A21" s="444">
        <v>292</v>
      </c>
      <c r="B21" s="40" t="str">
        <f>IF(A21&lt;&gt;"",INDEX('Base de données'!A$4:L$990,MATCH(A21,'Base de données'!A$4:A$990,0),2),"")</f>
        <v>ABI LOGISTIC CARS</v>
      </c>
      <c r="C21" s="41" t="str">
        <f>IF(A21&lt;&gt;"",INDEX('Base de données'!A$4:L$990,MATCH(A21,'Base de données'!A$4:A$990,0),12),"")</f>
        <v>NAJAT SAOUD</v>
      </c>
      <c r="D21" s="447">
        <v>43952</v>
      </c>
      <c r="E21" s="448">
        <v>7295048</v>
      </c>
      <c r="F21" s="447">
        <v>44026</v>
      </c>
      <c r="G21" s="448">
        <v>7534081</v>
      </c>
      <c r="H21" s="449">
        <v>44118</v>
      </c>
      <c r="I21" s="450">
        <v>8079678</v>
      </c>
      <c r="J21" s="447">
        <v>44212</v>
      </c>
      <c r="K21" s="448">
        <v>8653361</v>
      </c>
    </row>
    <row r="22" spans="1:11" x14ac:dyDescent="0.25">
      <c r="A22" s="444">
        <v>293</v>
      </c>
      <c r="B22" s="40" t="str">
        <f>IF(A22&lt;&gt;"",INDEX('Base de données'!A$4:L$990,MATCH(A22,'Base de données'!A$4:A$990,0),2),"")</f>
        <v xml:space="preserve">TRAM WORK </v>
      </c>
      <c r="C22" s="41" t="str">
        <f>IF(A22&lt;&gt;"",INDEX('Base de données'!A$4:L$990,MATCH(A22,'Base de données'!A$4:A$990,0),12),"")</f>
        <v>NAJAT SAOUD</v>
      </c>
      <c r="D22" s="447">
        <v>43947</v>
      </c>
      <c r="E22" s="448">
        <v>7137805</v>
      </c>
      <c r="F22" s="447">
        <v>44039</v>
      </c>
      <c r="G22" s="448">
        <v>7704766</v>
      </c>
      <c r="H22" s="449">
        <v>44131</v>
      </c>
      <c r="I22" s="450">
        <v>8223317</v>
      </c>
      <c r="J22" s="447">
        <v>44207</v>
      </c>
      <c r="K22" s="448">
        <v>8619897</v>
      </c>
    </row>
    <row r="23" spans="1:11" x14ac:dyDescent="0.25">
      <c r="A23" s="444">
        <v>307</v>
      </c>
      <c r="B23" s="40" t="str">
        <f>IF(A23&lt;&gt;"",INDEX('Base de données'!A$4:L$990,MATCH(A23,'Base de données'!A$4:A$990,0),2),"")</f>
        <v>MOSAB ALI TRANS</v>
      </c>
      <c r="C23" s="41" t="str">
        <f>IF(A23&lt;&gt;"",INDEX('Base de données'!A$4:L$990,MATCH(A23,'Base de données'!A$4:A$990,0),12),"")</f>
        <v>NAJAT SAOUD</v>
      </c>
      <c r="D23" s="447">
        <v>43986</v>
      </c>
      <c r="E23" s="448">
        <v>7382362</v>
      </c>
      <c r="F23" s="447">
        <v>44025</v>
      </c>
      <c r="G23" s="448">
        <v>7524466</v>
      </c>
      <c r="H23" s="449">
        <v>44113</v>
      </c>
      <c r="I23" s="450">
        <v>8052176</v>
      </c>
      <c r="J23" s="447">
        <v>44223</v>
      </c>
      <c r="K23" s="448">
        <v>20748578</v>
      </c>
    </row>
    <row r="24" spans="1:11" x14ac:dyDescent="0.25">
      <c r="A24" s="444">
        <v>342</v>
      </c>
      <c r="B24" s="40" t="str">
        <f>IF(A24&lt;&gt;"",INDEX('Base de données'!A$4:L$990,MATCH(A24,'Base de données'!A$4:A$990,0),2),"")</f>
        <v xml:space="preserve">HIMICHE CAR </v>
      </c>
      <c r="C24" s="41" t="str">
        <f>IF(A24&lt;&gt;"",INDEX('Base de données'!A$4:L$990,MATCH(A24,'Base de données'!A$4:A$990,0),12),"")</f>
        <v>NAJAT SAOUD</v>
      </c>
      <c r="D24" s="447">
        <v>43983</v>
      </c>
      <c r="E24" s="448">
        <v>7372663</v>
      </c>
      <c r="F24" s="447">
        <v>44029</v>
      </c>
      <c r="G24" s="448">
        <v>7566648</v>
      </c>
      <c r="H24" s="449">
        <v>44125</v>
      </c>
      <c r="I24" s="450">
        <v>8135198</v>
      </c>
      <c r="J24" s="447">
        <v>43834</v>
      </c>
      <c r="K24" s="448">
        <v>8590760</v>
      </c>
    </row>
    <row r="25" spans="1:11" x14ac:dyDescent="0.25">
      <c r="A25" s="444">
        <v>201</v>
      </c>
      <c r="B25" s="40" t="str">
        <f>IF(A25&lt;&gt;"",INDEX('Base de données'!A$4:L$990,MATCH(A25,'Base de données'!A$4:A$990,0),2),"")</f>
        <v>MEDICALOGIC</v>
      </c>
      <c r="C25" s="41" t="str">
        <f>IF(A25&lt;&gt;"",INDEX('Base de données'!A$4:L$990,MATCH(A25,'Base de données'!A$4:A$990,0),12),"")</f>
        <v>NAJAT SAOUD</v>
      </c>
      <c r="D25" s="447">
        <v>43983</v>
      </c>
      <c r="E25" s="448">
        <v>7372568</v>
      </c>
      <c r="F25" s="447">
        <v>44040</v>
      </c>
      <c r="G25" s="448">
        <v>7723938</v>
      </c>
      <c r="H25" s="449">
        <v>44119</v>
      </c>
      <c r="I25" s="450">
        <v>8088204</v>
      </c>
      <c r="J25" s="447">
        <v>44201</v>
      </c>
      <c r="K25" s="448">
        <v>8595319</v>
      </c>
    </row>
    <row r="26" spans="1:11" x14ac:dyDescent="0.25">
      <c r="A26" s="444">
        <v>94</v>
      </c>
      <c r="B26" s="40" t="str">
        <f>IF(A26&lt;&gt;"",INDEX('Base de données'!A$4:L$990,MATCH(A26,'Base de données'!A$4:A$990,0),2),"")</f>
        <v>MARIGHA CONSTRUCTION</v>
      </c>
      <c r="C26" s="41" t="str">
        <f>IF(A26&lt;&gt;"",INDEX('Base de données'!A$4:L$990,MATCH(A26,'Base de données'!A$4:A$990,0),12),"")</f>
        <v>NAJAT SAOUD</v>
      </c>
      <c r="D26" s="447">
        <v>43983</v>
      </c>
      <c r="E26" s="448">
        <v>7372919</v>
      </c>
      <c r="F26" s="447">
        <v>44039</v>
      </c>
      <c r="G26" s="448">
        <v>7703985</v>
      </c>
      <c r="H26" s="449">
        <v>44131</v>
      </c>
      <c r="I26" s="450">
        <v>8233116</v>
      </c>
      <c r="J26" s="447">
        <v>44224</v>
      </c>
      <c r="K26" s="448">
        <v>8798587</v>
      </c>
    </row>
    <row r="27" spans="1:11" x14ac:dyDescent="0.25">
      <c r="A27" s="444">
        <v>175</v>
      </c>
      <c r="B27" s="40" t="str">
        <f>IF(A27&lt;&gt;"",INDEX('Base de données'!A$4:L$990,MATCH(A27,'Base de données'!A$4:A$990,0),2),"")</f>
        <v>TSC D'AMEUBLEMENT</v>
      </c>
      <c r="C27" s="41" t="str">
        <f>IF(A27&lt;&gt;"",INDEX('Base de données'!A$4:L$990,MATCH(A27,'Base de données'!A$4:A$990,0),12),"")</f>
        <v>NAJAT SAOUD</v>
      </c>
      <c r="D27" s="447">
        <v>43976</v>
      </c>
      <c r="E27" s="448">
        <v>7325441</v>
      </c>
      <c r="F27" s="447">
        <v>44041</v>
      </c>
      <c r="G27" s="448">
        <v>7755851</v>
      </c>
      <c r="H27" s="449">
        <v>44221</v>
      </c>
      <c r="I27" s="450">
        <v>8750807</v>
      </c>
      <c r="J27" s="447">
        <v>44222</v>
      </c>
      <c r="K27" s="448">
        <v>8751762</v>
      </c>
    </row>
    <row r="28" spans="1:11" x14ac:dyDescent="0.25">
      <c r="A28" s="444">
        <v>224</v>
      </c>
      <c r="B28" s="40" t="str">
        <f>IF(A28&lt;&gt;"",INDEX('Base de données'!A$4:L$990,MATCH(A28,'Base de données'!A$4:A$990,0),2),"")</f>
        <v>JINANE CARS</v>
      </c>
      <c r="C28" s="41" t="str">
        <f>IF(A28&lt;&gt;"",INDEX('Base de données'!A$4:L$990,MATCH(A28,'Base de données'!A$4:A$990,0),12),"")</f>
        <v>NAJAT SAOUD</v>
      </c>
      <c r="D28" s="447">
        <v>43991</v>
      </c>
      <c r="E28" s="448">
        <v>7386358</v>
      </c>
      <c r="F28" s="447">
        <v>44029</v>
      </c>
      <c r="G28" s="448">
        <v>7570672</v>
      </c>
      <c r="H28" s="449">
        <v>44139</v>
      </c>
      <c r="I28" s="450">
        <v>8391237</v>
      </c>
      <c r="J28" s="447">
        <v>44225</v>
      </c>
      <c r="K28" s="448">
        <v>8830212</v>
      </c>
    </row>
    <row r="29" spans="1:11" x14ac:dyDescent="0.25">
      <c r="A29" s="444">
        <v>326</v>
      </c>
      <c r="B29" s="40" t="str">
        <f>IF(A29&lt;&gt;"",INDEX('Base de données'!A$4:L$990,MATCH(A29,'Base de données'!A$4:A$990,0),2),"")</f>
        <v>I.H.B</v>
      </c>
      <c r="C29" s="41" t="str">
        <f>IF(A29&lt;&gt;"",INDEX('Base de données'!A$4:L$990,MATCH(A29,'Base de données'!A$4:A$990,0),12),"")</f>
        <v>NAJAT SAOUD</v>
      </c>
      <c r="D29" s="447">
        <v>44258</v>
      </c>
      <c r="E29" s="448">
        <v>9079826</v>
      </c>
      <c r="F29" s="447">
        <v>44266</v>
      </c>
      <c r="G29" s="448">
        <v>9090696</v>
      </c>
      <c r="H29" s="449"/>
      <c r="I29" s="450"/>
      <c r="J29" s="451"/>
      <c r="K29" s="448"/>
    </row>
    <row r="30" spans="1:11" x14ac:dyDescent="0.25">
      <c r="A30" s="444">
        <v>6</v>
      </c>
      <c r="B30" s="40" t="str">
        <f>IF(A30&lt;&gt;"",INDEX('Base de données'!A$4:L$990,MATCH(A30,'Base de données'!A$4:A$990,0),2),"")</f>
        <v xml:space="preserve">IBTISSAM CAR </v>
      </c>
      <c r="C30" s="41" t="str">
        <f>IF(A30&lt;&gt;"",INDEX('Base de données'!A$4:L$990,MATCH(A30,'Base de données'!A$4:A$990,0),12),"")</f>
        <v>NAJAT SAOUD</v>
      </c>
      <c r="D30" s="447">
        <v>43993</v>
      </c>
      <c r="E30" s="448">
        <v>7389489</v>
      </c>
      <c r="F30" s="447">
        <v>44040</v>
      </c>
      <c r="G30" s="448">
        <v>7729552</v>
      </c>
      <c r="H30" s="449">
        <v>44131</v>
      </c>
      <c r="I30" s="450">
        <v>8221474</v>
      </c>
      <c r="J30" s="447">
        <v>44221</v>
      </c>
      <c r="K30" s="448">
        <v>8746018</v>
      </c>
    </row>
    <row r="31" spans="1:11" hidden="1" x14ac:dyDescent="0.25">
      <c r="A31" s="444">
        <v>168</v>
      </c>
      <c r="B31" s="40" t="str">
        <f>IF(A31&lt;&gt;"",INDEX('Base de données'!A$4:L$990,MATCH(A31,'Base de données'!A$4:A$990,0),2),"")</f>
        <v>D,M,A,R GESTION</v>
      </c>
      <c r="C31" s="41" t="str">
        <f>IF(A31&lt;&gt;"",INDEX('Base de données'!A$4:L$990,MATCH(A31,'Base de données'!A$4:A$990,0),12),"")</f>
        <v>FATIMA EZZAHRA JAIZI</v>
      </c>
      <c r="D31" s="447">
        <v>43949</v>
      </c>
      <c r="E31" s="448">
        <v>7185164</v>
      </c>
      <c r="F31" s="447">
        <v>44033</v>
      </c>
      <c r="G31" s="448">
        <v>7607585</v>
      </c>
      <c r="H31" s="449">
        <v>44126</v>
      </c>
      <c r="I31" s="450">
        <v>8155797</v>
      </c>
      <c r="J31" s="451"/>
      <c r="K31" s="448"/>
    </row>
    <row r="32" spans="1:11" hidden="1" x14ac:dyDescent="0.25">
      <c r="A32" s="444">
        <v>202</v>
      </c>
      <c r="B32" s="40" t="str">
        <f>IF(A32&lt;&gt;"",INDEX('Base de données'!A$4:L$990,MATCH(A32,'Base de données'!A$4:A$990,0),2),"")</f>
        <v xml:space="preserve">LE COMPTOIR ORIENTAL </v>
      </c>
      <c r="C32" s="41" t="str">
        <f>IF(A32&lt;&gt;"",INDEX('Base de données'!A$4:L$990,MATCH(A32,'Base de données'!A$4:A$990,0),12),"")</f>
        <v>FATIMA EZZAHRA JAIZI</v>
      </c>
      <c r="D32" s="447">
        <v>43947</v>
      </c>
      <c r="E32" s="448">
        <v>7134295</v>
      </c>
      <c r="F32" s="447">
        <v>44029</v>
      </c>
      <c r="G32" s="448">
        <v>7569685</v>
      </c>
      <c r="H32" s="449">
        <v>44132</v>
      </c>
      <c r="I32" s="450">
        <v>8256550</v>
      </c>
      <c r="J32" s="451"/>
      <c r="K32" s="448"/>
    </row>
    <row r="33" spans="1:11" hidden="1" x14ac:dyDescent="0.25">
      <c r="A33" s="444">
        <v>110</v>
      </c>
      <c r="B33" s="40" t="str">
        <f>IF(A33&lt;&gt;"",INDEX('Base de données'!A$4:L$990,MATCH(A33,'Base de données'!A$4:A$990,0),2),"")</f>
        <v>CMVAS</v>
      </c>
      <c r="C33" s="41" t="str">
        <f>IF(A33&lt;&gt;"",INDEX('Base de données'!A$4:L$990,MATCH(A33,'Base de données'!A$4:A$990,0),12),"")</f>
        <v>FATIMA EZZAHRA JAIZI</v>
      </c>
      <c r="D33" s="447">
        <v>43949</v>
      </c>
      <c r="E33" s="448">
        <v>7178759</v>
      </c>
      <c r="F33" s="447">
        <v>44036</v>
      </c>
      <c r="G33" s="448">
        <v>7658804</v>
      </c>
      <c r="H33" s="449">
        <v>44132</v>
      </c>
      <c r="I33" s="450">
        <v>8258860</v>
      </c>
      <c r="J33" s="451"/>
      <c r="K33" s="448"/>
    </row>
    <row r="34" spans="1:11" hidden="1" x14ac:dyDescent="0.25">
      <c r="A34" s="444">
        <v>57</v>
      </c>
      <c r="B34" s="40" t="str">
        <f>IF(A34&lt;&gt;"",INDEX('Base de données'!A$4:L$990,MATCH(A34,'Base de données'!A$4:A$990,0),2),"")</f>
        <v>MOHAMED LAHJAB</v>
      </c>
      <c r="C34" s="41" t="str">
        <f>IF(A34&lt;&gt;"",INDEX('Base de données'!A$4:L$990,MATCH(A34,'Base de données'!A$4:A$990,0),12),"")</f>
        <v>FATIMA EZZAHRA JAIZI</v>
      </c>
      <c r="D34" s="447">
        <v>43949</v>
      </c>
      <c r="E34" s="448">
        <v>7185441</v>
      </c>
      <c r="F34" s="447">
        <v>44035</v>
      </c>
      <c r="G34" s="622" t="s">
        <v>1329</v>
      </c>
      <c r="H34" s="449">
        <v>44137</v>
      </c>
      <c r="I34" s="450">
        <v>8316439</v>
      </c>
      <c r="J34" s="451"/>
      <c r="K34" s="448"/>
    </row>
    <row r="35" spans="1:11" hidden="1" x14ac:dyDescent="0.25">
      <c r="A35" s="444">
        <v>40</v>
      </c>
      <c r="B35" s="40" t="str">
        <f>IF(A35&lt;&gt;"",INDEX('Base de données'!A$4:L$990,MATCH(A35,'Base de données'!A$4:A$990,0),2),"")</f>
        <v>STE MAROC EN LIBERTE</v>
      </c>
      <c r="C35" s="41" t="str">
        <f>IF(A35&lt;&gt;"",INDEX('Base de données'!A$4:L$990,MATCH(A35,'Base de données'!A$4:A$990,0),12),"")</f>
        <v>FATIMA EZZAHRA JAIZI</v>
      </c>
      <c r="D35" s="447">
        <v>43946</v>
      </c>
      <c r="E35" s="448">
        <v>7126116</v>
      </c>
      <c r="F35" s="447">
        <v>44029</v>
      </c>
      <c r="G35" s="448">
        <v>7570472</v>
      </c>
      <c r="H35" s="449">
        <v>44126</v>
      </c>
      <c r="I35" s="450">
        <v>8156025</v>
      </c>
      <c r="J35" s="451"/>
      <c r="K35" s="448"/>
    </row>
    <row r="36" spans="1:11" hidden="1" x14ac:dyDescent="0.25">
      <c r="A36" s="444">
        <v>228</v>
      </c>
      <c r="B36" s="40" t="str">
        <f>IF(A36&lt;&gt;"",INDEX('Base de données'!A$4:L$990,MATCH(A36,'Base de données'!A$4:A$990,0),2),"")</f>
        <v xml:space="preserve">MARDESIGN </v>
      </c>
      <c r="C36" s="41" t="str">
        <f>IF(A36&lt;&gt;"",INDEX('Base de données'!A$4:L$990,MATCH(A36,'Base de données'!A$4:A$990,0),12),"")</f>
        <v>FATIMA EZZAHRA JAIZI</v>
      </c>
      <c r="D36" s="447">
        <v>43946</v>
      </c>
      <c r="E36" s="448">
        <v>7129932</v>
      </c>
      <c r="F36" s="447">
        <v>44029</v>
      </c>
      <c r="G36" s="448">
        <v>7570708</v>
      </c>
      <c r="H36" s="449"/>
      <c r="I36" s="450"/>
      <c r="J36" s="451"/>
      <c r="K36" s="448"/>
    </row>
    <row r="37" spans="1:11" hidden="1" x14ac:dyDescent="0.25">
      <c r="A37" s="444">
        <v>136</v>
      </c>
      <c r="B37" s="40" t="str">
        <f>IF(A37&lt;&gt;"",INDEX('Base de données'!A$4:L$990,MATCH(A37,'Base de données'!A$4:A$990,0),2),"")</f>
        <v>POLY FORAGE SARLAU</v>
      </c>
      <c r="C37" s="41" t="str">
        <f>IF(A37&lt;&gt;"",INDEX('Base de données'!A$4:L$990,MATCH(A37,'Base de données'!A$4:A$990,0),12),"")</f>
        <v>FATIMA EZZAHRA JAIZI</v>
      </c>
      <c r="D37" s="447">
        <v>43951</v>
      </c>
      <c r="E37" s="448">
        <v>7204727</v>
      </c>
      <c r="F37" s="447">
        <v>44035</v>
      </c>
      <c r="G37" s="448">
        <v>7635031</v>
      </c>
      <c r="H37" s="449">
        <v>44154</v>
      </c>
      <c r="I37" s="450">
        <v>8350374</v>
      </c>
      <c r="J37" s="451"/>
      <c r="K37" s="448"/>
    </row>
    <row r="38" spans="1:11" hidden="1" x14ac:dyDescent="0.25">
      <c r="A38" s="444">
        <v>259</v>
      </c>
      <c r="B38" s="40" t="str">
        <f>IF(A38&lt;&gt;"",INDEX('Base de données'!A$4:L$990,MATCH(A38,'Base de données'!A$4:A$990,0),2),"")</f>
        <v xml:space="preserve">RESSOURE EN EAU SUD </v>
      </c>
      <c r="C38" s="41" t="str">
        <f>IF(A38&lt;&gt;"",INDEX('Base de données'!A$4:L$990,MATCH(A38,'Base de données'!A$4:A$990,0),12),"")</f>
        <v>FATIMA EZZAHRA JAIZI</v>
      </c>
      <c r="D38" s="447">
        <v>43946</v>
      </c>
      <c r="E38" s="448">
        <v>7130126</v>
      </c>
      <c r="F38" s="447">
        <v>44035</v>
      </c>
      <c r="G38" s="448">
        <v>7632670</v>
      </c>
      <c r="H38" s="449">
        <v>44126</v>
      </c>
      <c r="I38" s="450">
        <v>8155595</v>
      </c>
      <c r="J38" s="451"/>
      <c r="K38" s="448"/>
    </row>
    <row r="39" spans="1:11" hidden="1" x14ac:dyDescent="0.25">
      <c r="A39" s="444">
        <v>258</v>
      </c>
      <c r="B39" s="40" t="str">
        <f>IF(A39&lt;&gt;"",INDEX('Base de données'!A$4:L$990,MATCH(A39,'Base de données'!A$4:A$990,0),2),"")</f>
        <v>QUAZAR CONSULTING</v>
      </c>
      <c r="C39" s="41" t="str">
        <f>IF(A39&lt;&gt;"",INDEX('Base de données'!A$4:L$990,MATCH(A39,'Base de données'!A$4:A$990,0),12),"")</f>
        <v>FATIMA EZZAHRA JAIZI</v>
      </c>
      <c r="D39" s="447">
        <v>43947</v>
      </c>
      <c r="E39" s="448">
        <v>7133980</v>
      </c>
      <c r="F39" s="447">
        <v>44029</v>
      </c>
      <c r="G39" s="448">
        <v>7571923</v>
      </c>
      <c r="H39" s="449">
        <v>44135</v>
      </c>
      <c r="I39" s="450">
        <v>8323778</v>
      </c>
      <c r="J39" s="451"/>
      <c r="K39" s="448"/>
    </row>
    <row r="40" spans="1:11" hidden="1" x14ac:dyDescent="0.25">
      <c r="A40" s="444">
        <v>244</v>
      </c>
      <c r="B40" s="40" t="str">
        <f>IF(A40&lt;&gt;"",INDEX('Base de données'!A$4:L$990,MATCH(A40,'Base de données'!A$4:A$990,0),2),"")</f>
        <v xml:space="preserve">AKB </v>
      </c>
      <c r="C40" s="41" t="str">
        <f>IF(A40&lt;&gt;"",INDEX('Base de données'!A$4:L$990,MATCH(A40,'Base de données'!A$4:A$990,0),12),"")</f>
        <v>FATIMA EZZAHRA JAIZI</v>
      </c>
      <c r="D40" s="447">
        <v>43951</v>
      </c>
      <c r="E40" s="448">
        <v>7243915</v>
      </c>
      <c r="F40" s="447">
        <v>44033</v>
      </c>
      <c r="G40" s="448">
        <v>7608047</v>
      </c>
      <c r="H40" s="449">
        <v>44126</v>
      </c>
      <c r="I40" s="450">
        <v>8156149</v>
      </c>
      <c r="J40" s="451"/>
      <c r="K40" s="448"/>
    </row>
    <row r="41" spans="1:11" hidden="1" x14ac:dyDescent="0.25">
      <c r="A41" s="444">
        <v>269</v>
      </c>
      <c r="B41" s="40" t="str">
        <f>IF(A41&lt;&gt;"",INDEX('Base de données'!A$4:L$990,MATCH(A41,'Base de données'!A$4:A$990,0),2),"")</f>
        <v xml:space="preserve">AHR COMPAGNIE </v>
      </c>
      <c r="C41" s="41" t="str">
        <f>IF(A41&lt;&gt;"",INDEX('Base de données'!A$4:L$990,MATCH(A41,'Base de données'!A$4:A$990,0),12),"")</f>
        <v>FATIMA EZZAHRA JAIZI</v>
      </c>
      <c r="D41" s="447">
        <v>43939</v>
      </c>
      <c r="E41" s="448">
        <v>7044313</v>
      </c>
      <c r="F41" s="447">
        <v>44029</v>
      </c>
      <c r="G41" s="622" t="s">
        <v>1326</v>
      </c>
      <c r="H41" s="449">
        <v>44126</v>
      </c>
      <c r="I41" s="450">
        <v>8155481</v>
      </c>
      <c r="J41" s="451"/>
      <c r="K41" s="448"/>
    </row>
    <row r="42" spans="1:11" hidden="1" x14ac:dyDescent="0.25">
      <c r="A42" s="444">
        <v>242</v>
      </c>
      <c r="B42" s="40" t="str">
        <f>IF(A42&lt;&gt;"",INDEX('Base de données'!A$4:L$990,MATCH(A42,'Base de données'!A$4:A$990,0),2),"")</f>
        <v>MJSR</v>
      </c>
      <c r="C42" s="41" t="str">
        <f>IF(A42&lt;&gt;"",INDEX('Base de données'!A$4:L$990,MATCH(A42,'Base de données'!A$4:A$990,0),12),"")</f>
        <v>FATIMA EZZAHRA JAIZI</v>
      </c>
      <c r="D42" s="447">
        <v>43949</v>
      </c>
      <c r="E42" s="448">
        <v>7185633</v>
      </c>
      <c r="F42" s="447">
        <v>44033</v>
      </c>
      <c r="G42" s="448">
        <v>7608317</v>
      </c>
      <c r="H42" s="449">
        <v>44126</v>
      </c>
      <c r="I42" s="450">
        <v>8156233</v>
      </c>
      <c r="J42" s="451"/>
      <c r="K42" s="448"/>
    </row>
    <row r="43" spans="1:11" hidden="1" x14ac:dyDescent="0.25">
      <c r="A43" s="444">
        <v>327</v>
      </c>
      <c r="B43" s="40" t="str">
        <f>IF(A43&lt;&gt;"",INDEX('Base de données'!A$4:L$990,MATCH(A43,'Base de données'!A$4:A$990,0),2),"")</f>
        <v>IMTA SPORTS CENTER GMBH</v>
      </c>
      <c r="C43" s="41" t="str">
        <f>IF(A43&lt;&gt;"",INDEX('Base de données'!A$4:L$990,MATCH(A43,'Base de données'!A$4:A$990,0),12),"")</f>
        <v>FATIMA EZZAHRA JAIZI</v>
      </c>
      <c r="D43" s="447">
        <v>43947</v>
      </c>
      <c r="E43" s="448">
        <v>7134068</v>
      </c>
      <c r="F43" s="447">
        <v>44033</v>
      </c>
      <c r="G43" s="448">
        <v>7608212</v>
      </c>
      <c r="H43" s="449">
        <v>44132</v>
      </c>
      <c r="I43" s="450">
        <v>8255439</v>
      </c>
      <c r="J43" s="451"/>
      <c r="K43" s="448"/>
    </row>
    <row r="44" spans="1:11" x14ac:dyDescent="0.25">
      <c r="A44" s="444">
        <v>388</v>
      </c>
      <c r="B44" s="40" t="str">
        <f>IF(A44&lt;&gt;"",INDEX('Base de données'!A$4:L$990,MATCH(A44,'Base de données'!A$4:A$990,0),2),"")</f>
        <v>CR9 SERVICE</v>
      </c>
      <c r="C44" s="41" t="str">
        <f>IF(A44&lt;&gt;"",INDEX('Base de données'!A$4:L$990,MATCH(A44,'Base de données'!A$4:A$990,0),12),"")</f>
        <v>NAJAT SAOUD</v>
      </c>
      <c r="D44" s="447">
        <v>43951</v>
      </c>
      <c r="E44" s="448">
        <v>7294244</v>
      </c>
      <c r="F44" s="447">
        <v>44029</v>
      </c>
      <c r="G44" s="448">
        <v>7568611</v>
      </c>
      <c r="H44" s="449">
        <v>44113</v>
      </c>
      <c r="I44" s="450">
        <v>8053416</v>
      </c>
      <c r="J44" s="447">
        <v>44217</v>
      </c>
      <c r="K44" s="448">
        <v>8695567</v>
      </c>
    </row>
    <row r="45" spans="1:11" hidden="1" x14ac:dyDescent="0.25">
      <c r="A45" s="444">
        <v>237</v>
      </c>
      <c r="B45" s="40" t="str">
        <f>IF(A45&lt;&gt;"",INDEX('Base de données'!A$4:L$990,MATCH(A45,'Base de données'!A$4:A$990,0),2),"")</f>
        <v>2K PHONE CALL CENTER</v>
      </c>
      <c r="C45" s="41" t="str">
        <f>IF(A45&lt;&gt;"",INDEX('Base de données'!A$4:L$990,MATCH(A45,'Base de données'!A$4:A$990,0),12),"")</f>
        <v>FATIMA EZZAHRA JAIZI</v>
      </c>
      <c r="D45" s="447">
        <v>44029</v>
      </c>
      <c r="E45" s="448">
        <v>7570816</v>
      </c>
      <c r="F45" s="447">
        <v>44029</v>
      </c>
      <c r="G45" s="448">
        <v>7570904</v>
      </c>
      <c r="H45" s="449">
        <v>44134</v>
      </c>
      <c r="I45" s="448">
        <v>8303311</v>
      </c>
      <c r="J45" s="451"/>
      <c r="K45" s="448"/>
    </row>
    <row r="46" spans="1:11" hidden="1" x14ac:dyDescent="0.25">
      <c r="A46" s="444">
        <v>73</v>
      </c>
      <c r="B46" s="40" t="str">
        <f>IF(A46&lt;&gt;"",INDEX('Base de données'!A$4:L$990,MATCH(A46,'Base de données'!A$4:A$990,0),2),"")</f>
        <v>HOTEL SOLEIL IMLIL</v>
      </c>
      <c r="C46" s="41" t="str">
        <f>IF(A46&lt;&gt;"",INDEX('Base de données'!A$4:L$990,MATCH(A46,'Base de données'!A$4:A$990,0),12),"")</f>
        <v>FATIMA EZZAHRA JAIZI</v>
      </c>
      <c r="D46" s="447">
        <v>43949</v>
      </c>
      <c r="E46" s="448">
        <v>7183955</v>
      </c>
      <c r="F46" s="447">
        <v>44029</v>
      </c>
      <c r="G46" s="448">
        <v>7570304</v>
      </c>
      <c r="H46" s="449">
        <v>44126</v>
      </c>
      <c r="I46" s="450">
        <v>8155931</v>
      </c>
      <c r="J46" s="451"/>
      <c r="K46" s="448"/>
    </row>
    <row r="47" spans="1:11" hidden="1" x14ac:dyDescent="0.25">
      <c r="A47" s="444">
        <v>222</v>
      </c>
      <c r="B47" s="40" t="str">
        <f>IF(A47&lt;&gt;"",INDEX('Base de données'!A$4:L$990,MATCH(A47,'Base de données'!A$4:A$990,0),2),"")</f>
        <v>PRO-NATURA</v>
      </c>
      <c r="C47" s="41" t="str">
        <f>IF(A47&lt;&gt;"",INDEX('Base de données'!A$4:L$990,MATCH(A47,'Base de données'!A$4:A$990,0),12),"")</f>
        <v>FATIMA EZZAHRA JAIZI</v>
      </c>
      <c r="D47" s="447">
        <v>43831</v>
      </c>
      <c r="E47" s="448">
        <v>7135416</v>
      </c>
      <c r="F47" s="447">
        <v>44036</v>
      </c>
      <c r="G47" s="448">
        <v>7638868</v>
      </c>
      <c r="H47" s="449">
        <v>44137</v>
      </c>
      <c r="I47" s="450">
        <v>8353234</v>
      </c>
      <c r="J47" s="451"/>
      <c r="K47" s="448"/>
    </row>
    <row r="48" spans="1:11" hidden="1" x14ac:dyDescent="0.25">
      <c r="A48" s="444">
        <v>290</v>
      </c>
      <c r="B48" s="40" t="str">
        <f>IF(A48&lt;&gt;"",INDEX('Base de données'!A$4:L$990,MATCH(A48,'Base de données'!A$4:A$990,0),2),"")</f>
        <v>ALLOOS ASSISTANCE</v>
      </c>
      <c r="C48" s="41" t="str">
        <f>IF(A48&lt;&gt;"",INDEX('Base de données'!A$4:L$990,MATCH(A48,'Base de données'!A$4:A$990,0),12),"")</f>
        <v>AMINA</v>
      </c>
      <c r="D48" s="447">
        <v>43946</v>
      </c>
      <c r="E48" s="448">
        <v>7131466</v>
      </c>
      <c r="F48" s="447">
        <v>44029</v>
      </c>
      <c r="G48" s="448">
        <v>7519876</v>
      </c>
      <c r="H48" s="449"/>
      <c r="I48" s="450"/>
      <c r="J48" s="451"/>
      <c r="K48" s="448"/>
    </row>
    <row r="49" spans="1:11" hidden="1" x14ac:dyDescent="0.25">
      <c r="A49" s="444">
        <v>385</v>
      </c>
      <c r="B49" s="40" t="str">
        <f>IF(A49&lt;&gt;"",INDEX('Base de données'!A$4:L$990,MATCH(A49,'Base de données'!A$4:A$990,0),2),"")</f>
        <v>DECO PLATRE JABOUR</v>
      </c>
      <c r="C49" s="41" t="str">
        <f>IF(A49&lt;&gt;"",INDEX('Base de données'!A$4:L$990,MATCH(A49,'Base de données'!A$4:A$990,0),12),"")</f>
        <v>AMINA</v>
      </c>
      <c r="D49" s="447">
        <v>43950</v>
      </c>
      <c r="E49" s="448">
        <v>7191491</v>
      </c>
      <c r="F49" s="447">
        <v>44036</v>
      </c>
      <c r="G49" s="448">
        <v>7520847</v>
      </c>
      <c r="H49" s="449"/>
      <c r="I49" s="450"/>
      <c r="J49" s="451"/>
      <c r="K49" s="448"/>
    </row>
    <row r="50" spans="1:11" hidden="1" x14ac:dyDescent="0.25">
      <c r="A50" s="444">
        <v>397</v>
      </c>
      <c r="B50" s="40" t="e">
        <f>IF(A50&lt;&gt;"",INDEX('Base de données'!A$4:L$990,MATCH(A50,'Base de données'!A$4:A$990,0),2),"")</f>
        <v>#N/A</v>
      </c>
      <c r="C50" s="41" t="e">
        <f>IF(A50&lt;&gt;"",INDEX('Base de données'!A$4:L$990,MATCH(A50,'Base de données'!A$4:A$990,0),12),"")</f>
        <v>#N/A</v>
      </c>
      <c r="D50" s="447">
        <v>43950</v>
      </c>
      <c r="E50" s="448">
        <v>7227026</v>
      </c>
      <c r="F50" s="447">
        <v>44039</v>
      </c>
      <c r="G50" s="448">
        <v>7671916</v>
      </c>
      <c r="H50" s="449"/>
      <c r="I50" s="450"/>
      <c r="J50" s="451"/>
      <c r="K50" s="448"/>
    </row>
    <row r="51" spans="1:11" hidden="1" x14ac:dyDescent="0.25">
      <c r="A51" s="444">
        <v>360</v>
      </c>
      <c r="B51" s="40" t="str">
        <f>IF(A51&lt;&gt;"",INDEX('Base de données'!A$4:L$990,MATCH(A51,'Base de données'!A$4:A$990,0),2),"")</f>
        <v>RESEAU MEDITERANEEN DES
 ENTREPRISES</v>
      </c>
      <c r="C51" s="41" t="str">
        <f>IF(A51&lt;&gt;"",INDEX('Base de données'!A$4:L$990,MATCH(A51,'Base de données'!A$4:A$990,0),12),"")</f>
        <v>AMINA</v>
      </c>
      <c r="D51" s="447">
        <v>43950</v>
      </c>
      <c r="E51" s="448">
        <v>7131597</v>
      </c>
      <c r="F51" s="447">
        <v>44029</v>
      </c>
      <c r="G51" s="448">
        <v>7519929</v>
      </c>
      <c r="H51" s="449"/>
      <c r="I51" s="450"/>
      <c r="J51" s="451"/>
      <c r="K51" s="448"/>
    </row>
    <row r="52" spans="1:11" hidden="1" x14ac:dyDescent="0.25">
      <c r="A52" s="444">
        <v>271</v>
      </c>
      <c r="B52" s="40" t="str">
        <f>IF(A52&lt;&gt;"",INDEX('Base de données'!A$4:L$990,MATCH(A52,'Base de données'!A$4:A$990,0),2),"")</f>
        <v xml:space="preserve">HASSANE SALAMI </v>
      </c>
      <c r="C52" s="41" t="str">
        <f>IF(A52&lt;&gt;"",INDEX('Base de données'!A$4:L$990,MATCH(A52,'Base de données'!A$4:A$990,0),12),"")</f>
        <v>AMINA</v>
      </c>
      <c r="D52" s="447">
        <v>43950</v>
      </c>
      <c r="E52" s="448">
        <v>7170481</v>
      </c>
      <c r="F52" s="447">
        <v>44033</v>
      </c>
      <c r="G52" s="448">
        <v>7537960</v>
      </c>
      <c r="H52" s="449"/>
      <c r="I52" s="450"/>
      <c r="J52" s="451"/>
      <c r="K52" s="448"/>
    </row>
    <row r="53" spans="1:11" hidden="1" x14ac:dyDescent="0.25">
      <c r="A53" s="444">
        <v>48</v>
      </c>
      <c r="B53" s="40" t="str">
        <f>IF(A53&lt;&gt;"",INDEX('Base de données'!A$4:L$990,MATCH(A53,'Base de données'!A$4:A$990,0),2),"")</f>
        <v>STAR WORKS SARL</v>
      </c>
      <c r="C53" s="41" t="str">
        <f>IF(A53&lt;&gt;"",INDEX('Base de données'!A$4:L$990,MATCH(A53,'Base de données'!A$4:A$990,0),12),"")</f>
        <v>AMINA</v>
      </c>
      <c r="D53" s="447">
        <v>43951</v>
      </c>
      <c r="E53" s="448">
        <v>7159652</v>
      </c>
      <c r="F53" s="447">
        <v>44036</v>
      </c>
      <c r="G53" s="448">
        <v>7607202</v>
      </c>
      <c r="H53" s="449"/>
      <c r="I53" s="450"/>
      <c r="J53" s="451"/>
      <c r="K53" s="448"/>
    </row>
    <row r="54" spans="1:11" hidden="1" x14ac:dyDescent="0.25">
      <c r="A54" s="444">
        <v>300</v>
      </c>
      <c r="B54" s="40" t="str">
        <f>IF(A54&lt;&gt;"",INDEX('Base de données'!A$4:L$990,MATCH(A54,'Base de données'!A$4:A$990,0),2),"")</f>
        <v xml:space="preserve">SABAH JABIR </v>
      </c>
      <c r="C54" s="41" t="str">
        <f>IF(A54&lt;&gt;"",INDEX('Base de données'!A$4:L$990,MATCH(A54,'Base de données'!A$4:A$990,0),12),"")</f>
        <v>AMINA</v>
      </c>
      <c r="D54" s="447">
        <v>43950</v>
      </c>
      <c r="E54" s="448">
        <v>7194226</v>
      </c>
      <c r="F54" s="447">
        <v>44027</v>
      </c>
      <c r="G54" s="448">
        <v>7508545</v>
      </c>
      <c r="H54" s="449"/>
      <c r="I54" s="450"/>
      <c r="J54" s="451"/>
      <c r="K54" s="448"/>
    </row>
    <row r="55" spans="1:11" hidden="1" x14ac:dyDescent="0.25">
      <c r="A55" s="444">
        <v>320</v>
      </c>
      <c r="B55" s="40" t="str">
        <f>IF(A55&lt;&gt;"",INDEX('Base de données'!A$4:L$990,MATCH(A55,'Base de données'!A$4:A$990,0),2),"")</f>
        <v>MONTAIN PARADISE</v>
      </c>
      <c r="C55" s="41" t="str">
        <f>IF(A55&lt;&gt;"",INDEX('Base de données'!A$4:L$990,MATCH(A55,'Base de données'!A$4:A$990,0),12),"")</f>
        <v>AMINA</v>
      </c>
      <c r="D55" s="447">
        <v>43946</v>
      </c>
      <c r="E55" s="448">
        <v>7131674</v>
      </c>
      <c r="F55" s="447">
        <v>44029</v>
      </c>
      <c r="G55" s="448">
        <v>7548920</v>
      </c>
      <c r="H55" s="449"/>
      <c r="I55" s="450"/>
      <c r="J55" s="451"/>
      <c r="K55" s="448"/>
    </row>
    <row r="56" spans="1:11" hidden="1" x14ac:dyDescent="0.25">
      <c r="A56" s="444">
        <v>321</v>
      </c>
      <c r="B56" s="40" t="str">
        <f>IF(A56&lt;&gt;"",INDEX('Base de données'!A$4:L$990,MATCH(A56,'Base de données'!A$4:A$990,0),2),"")</f>
        <v>LES QUADS D'ATLAS</v>
      </c>
      <c r="C56" s="41" t="str">
        <f>IF(A56&lt;&gt;"",INDEX('Base de données'!A$4:L$990,MATCH(A56,'Base de données'!A$4:A$990,0),12),"")</f>
        <v>AMINA</v>
      </c>
      <c r="D56" s="447">
        <v>43946</v>
      </c>
      <c r="E56" s="448">
        <v>7131867</v>
      </c>
      <c r="F56" s="447">
        <v>44027</v>
      </c>
      <c r="G56" s="448">
        <v>7544710</v>
      </c>
      <c r="H56" s="449"/>
      <c r="I56" s="450"/>
      <c r="J56" s="451"/>
      <c r="K56" s="448"/>
    </row>
    <row r="57" spans="1:11" hidden="1" x14ac:dyDescent="0.25">
      <c r="A57" s="444">
        <v>302</v>
      </c>
      <c r="B57" s="40" t="str">
        <f>IF(A57&lt;&gt;"",INDEX('Base de données'!A$4:L$990,MATCH(A57,'Base de données'!A$4:A$990,0),2),"")</f>
        <v>TERRES D'AVENIR</v>
      </c>
      <c r="C57" s="41" t="str">
        <f>IF(A57&lt;&gt;"",INDEX('Base de données'!A$4:L$990,MATCH(A57,'Base de données'!A$4:A$990,0),12),"")</f>
        <v>AMINA</v>
      </c>
      <c r="D57" s="447">
        <v>44019</v>
      </c>
      <c r="E57" s="448">
        <v>7216617</v>
      </c>
      <c r="F57" s="447">
        <v>44032</v>
      </c>
      <c r="G57" s="448">
        <v>7544710</v>
      </c>
      <c r="H57" s="449"/>
      <c r="I57" s="450"/>
      <c r="J57" s="451"/>
      <c r="K57" s="448"/>
    </row>
    <row r="58" spans="1:11" hidden="1" x14ac:dyDescent="0.25">
      <c r="A58" s="444">
        <v>83</v>
      </c>
      <c r="B58" s="40" t="str">
        <f>IF(A58&lt;&gt;"",INDEX('Base de données'!A$4:L$990,MATCH(A58,'Base de données'!A$4:A$990,0),2),"")</f>
        <v>OUVRAGE D'ATLAS</v>
      </c>
      <c r="C58" s="41" t="str">
        <f>IF(A58&lt;&gt;"",INDEX('Base de données'!A$4:L$990,MATCH(A58,'Base de données'!A$4:A$990,0),12),"")</f>
        <v>AMINA</v>
      </c>
      <c r="D58" s="447">
        <v>43946</v>
      </c>
      <c r="E58" s="448">
        <v>7130195</v>
      </c>
      <c r="F58" s="447">
        <v>44029</v>
      </c>
      <c r="G58" s="448">
        <v>7524417</v>
      </c>
      <c r="H58" s="449"/>
      <c r="I58" s="450"/>
      <c r="J58" s="451"/>
      <c r="K58" s="448"/>
    </row>
    <row r="59" spans="1:11" hidden="1" x14ac:dyDescent="0.25">
      <c r="A59" s="444">
        <v>392</v>
      </c>
      <c r="B59" s="40" t="e">
        <f>IF(A59&lt;&gt;"",INDEX('Base de données'!A$4:L$990,MATCH(A59,'Base de données'!A$4:A$990,0),2),"")</f>
        <v>#N/A</v>
      </c>
      <c r="C59" s="41" t="e">
        <f>IF(A59&lt;&gt;"",INDEX('Base de données'!A$4:L$990,MATCH(A59,'Base de données'!A$4:A$990,0),12),"")</f>
        <v>#N/A</v>
      </c>
      <c r="D59" s="447">
        <v>43950</v>
      </c>
      <c r="E59" s="448">
        <v>7191298</v>
      </c>
      <c r="F59" s="447">
        <v>44026</v>
      </c>
      <c r="G59" s="448">
        <v>7537718</v>
      </c>
      <c r="H59" s="449"/>
      <c r="I59" s="450"/>
      <c r="J59" s="451"/>
      <c r="K59" s="448"/>
    </row>
    <row r="60" spans="1:11" hidden="1" x14ac:dyDescent="0.25">
      <c r="A60" s="444">
        <v>395</v>
      </c>
      <c r="B60" s="40" t="e">
        <f>IF(A60&lt;&gt;"",INDEX('Base de données'!A$4:L$990,MATCH(A60,'Base de données'!A$4:A$990,0),2),"")</f>
        <v>#N/A</v>
      </c>
      <c r="C60" s="41" t="e">
        <f>IF(A60&lt;&gt;"",INDEX('Base de données'!A$4:L$990,MATCH(A60,'Base de données'!A$4:A$990,0),12),"")</f>
        <v>#N/A</v>
      </c>
      <c r="D60" s="447">
        <v>43950</v>
      </c>
      <c r="E60" s="448">
        <v>7191564</v>
      </c>
      <c r="F60" s="447">
        <v>44026</v>
      </c>
      <c r="G60" s="448">
        <v>7538430</v>
      </c>
      <c r="H60" s="449"/>
      <c r="I60" s="450"/>
      <c r="J60" s="451"/>
      <c r="K60" s="448"/>
    </row>
    <row r="61" spans="1:11" hidden="1" x14ac:dyDescent="0.25">
      <c r="A61" s="444">
        <v>150</v>
      </c>
      <c r="B61" s="40" t="str">
        <f>IF(A61&lt;&gt;"",INDEX('Base de données'!A$4:L$990,MATCH(A61,'Base de données'!A$4:A$990,0),2),"")</f>
        <v>MOYOU TRS</v>
      </c>
      <c r="C61" s="41" t="str">
        <f>IF(A61&lt;&gt;"",INDEX('Base de données'!A$4:L$990,MATCH(A61,'Base de données'!A$4:A$990,0),12),"")</f>
        <v>AMINA</v>
      </c>
      <c r="D61" s="447">
        <v>43950</v>
      </c>
      <c r="E61" s="448">
        <v>7200617</v>
      </c>
      <c r="F61" s="447">
        <v>44032</v>
      </c>
      <c r="G61" s="448">
        <v>7538124</v>
      </c>
      <c r="H61" s="449"/>
      <c r="I61" s="450"/>
      <c r="J61" s="451"/>
      <c r="K61" s="448"/>
    </row>
    <row r="62" spans="1:11" hidden="1" x14ac:dyDescent="0.25">
      <c r="A62" s="444">
        <v>270</v>
      </c>
      <c r="B62" s="40" t="str">
        <f>IF(A62&lt;&gt;"",INDEX('Base de données'!A$4:L$990,MATCH(A62,'Base de données'!A$4:A$990,0),2),"")</f>
        <v>ESSAOUI YOUSSEF</v>
      </c>
      <c r="C62" s="41" t="str">
        <f>IF(A62&lt;&gt;"",INDEX('Base de données'!A$4:L$990,MATCH(A62,'Base de données'!A$4:A$990,0),12),"")</f>
        <v>AMINA</v>
      </c>
      <c r="D62" s="447">
        <v>43950</v>
      </c>
      <c r="E62" s="448">
        <v>7191412</v>
      </c>
      <c r="F62" s="447">
        <v>44036</v>
      </c>
      <c r="G62" s="448">
        <v>7654946</v>
      </c>
      <c r="H62" s="449"/>
      <c r="I62" s="450"/>
      <c r="J62" s="451"/>
      <c r="K62" s="448"/>
    </row>
    <row r="63" spans="1:11" hidden="1" x14ac:dyDescent="0.25">
      <c r="A63" s="444">
        <v>282</v>
      </c>
      <c r="B63" s="40" t="str">
        <f>IF(A63&lt;&gt;"",INDEX('Base de données'!A$4:L$990,MATCH(A63,'Base de données'!A$4:A$990,0),2),"")</f>
        <v xml:space="preserve">CONSTRUCTION ET PATRIMOINE </v>
      </c>
      <c r="C63" s="41" t="str">
        <f>IF(A63&lt;&gt;"",INDEX('Base de données'!A$4:L$990,MATCH(A63,'Base de données'!A$4:A$990,0),12),"")</f>
        <v>AMINA</v>
      </c>
      <c r="D63" s="447">
        <v>43951</v>
      </c>
      <c r="E63" s="448">
        <v>7254433</v>
      </c>
      <c r="F63" s="447">
        <v>44032</v>
      </c>
      <c r="G63" s="448">
        <v>7523803</v>
      </c>
      <c r="H63" s="449"/>
      <c r="I63" s="450"/>
      <c r="J63" s="451"/>
      <c r="K63" s="448"/>
    </row>
    <row r="64" spans="1:11" hidden="1" x14ac:dyDescent="0.25">
      <c r="A64" s="444">
        <v>248</v>
      </c>
      <c r="B64" s="40" t="str">
        <f>IF(A64&lt;&gt;"",INDEX('Base de données'!A$4:L$990,MATCH(A64,'Base de données'!A$4:A$990,0),2),"")</f>
        <v>KABBAJ MOHAMED CHAIKH</v>
      </c>
      <c r="C64" s="41" t="str">
        <f>IF(A64&lt;&gt;"",INDEX('Base de données'!A$4:L$990,MATCH(A64,'Base de données'!A$4:A$990,0),12),"")</f>
        <v>AMINA</v>
      </c>
      <c r="D64" s="447">
        <v>43949</v>
      </c>
      <c r="E64" s="448">
        <v>7184579</v>
      </c>
      <c r="F64" s="447">
        <v>44029</v>
      </c>
      <c r="G64" s="448">
        <v>7508366</v>
      </c>
      <c r="H64" s="449"/>
      <c r="I64" s="450"/>
      <c r="J64" s="451"/>
      <c r="K64" s="448"/>
    </row>
    <row r="65" spans="1:11" hidden="1" x14ac:dyDescent="0.25">
      <c r="A65" s="444">
        <v>91</v>
      </c>
      <c r="B65" s="40" t="str">
        <f>IF(A65&lt;&gt;"",INDEX('Base de données'!A$4:L$990,MATCH(A65,'Base de données'!A$4:A$990,0),2),"")</f>
        <v>ABDELLAH AGHAOUS</v>
      </c>
      <c r="C65" s="41" t="str">
        <f>IF(A65&lt;&gt;"",INDEX('Base de données'!A$4:L$990,MATCH(A65,'Base de données'!A$4:A$990,0),12),"")</f>
        <v>AMINA</v>
      </c>
      <c r="D65" s="447">
        <v>43951</v>
      </c>
      <c r="E65" s="448">
        <v>7218216</v>
      </c>
      <c r="F65" s="447">
        <v>44036</v>
      </c>
      <c r="G65" s="448">
        <v>7548019</v>
      </c>
      <c r="H65" s="449"/>
      <c r="I65" s="450"/>
      <c r="J65" s="451"/>
      <c r="K65" s="448"/>
    </row>
    <row r="66" spans="1:11" hidden="1" x14ac:dyDescent="0.25">
      <c r="A66" s="444">
        <v>186</v>
      </c>
      <c r="B66" s="40" t="str">
        <f>IF(A66&lt;&gt;"",INDEX('Base de données'!A$4:L$990,MATCH(A66,'Base de données'!A$4:A$990,0),2),"")</f>
        <v>ABDELAZIZ CHAABI</v>
      </c>
      <c r="C66" s="41" t="str">
        <f>IF(A66&lt;&gt;"",INDEX('Base de données'!A$4:L$990,MATCH(A66,'Base de données'!A$4:A$990,0),12),"")</f>
        <v>AMINA</v>
      </c>
      <c r="D66" s="447">
        <v>43950</v>
      </c>
      <c r="E66" s="448">
        <v>7223526</v>
      </c>
      <c r="F66" s="447">
        <v>44032</v>
      </c>
      <c r="G66" s="448">
        <v>7547194</v>
      </c>
      <c r="H66" s="449"/>
      <c r="I66" s="450"/>
      <c r="J66" s="451"/>
      <c r="K66" s="448"/>
    </row>
    <row r="67" spans="1:11" hidden="1" x14ac:dyDescent="0.25">
      <c r="A67" s="444">
        <v>72</v>
      </c>
      <c r="B67" s="40" t="str">
        <f>IF(A67&lt;&gt;"",INDEX('Base de données'!A$4:L$990,MATCH(A67,'Base de données'!A$4:A$990,0),2),"")</f>
        <v>LAHCEN AL MUSTAFI</v>
      </c>
      <c r="C67" s="41" t="str">
        <f>IF(A67&lt;&gt;"",INDEX('Base de données'!A$4:L$990,MATCH(A67,'Base de données'!A$4:A$990,0),12),"")</f>
        <v>AMINA</v>
      </c>
      <c r="D67" s="447">
        <v>43949</v>
      </c>
      <c r="E67" s="448">
        <v>7189113</v>
      </c>
      <c r="F67" s="447">
        <v>44039</v>
      </c>
      <c r="G67" s="448">
        <v>7623676</v>
      </c>
      <c r="H67" s="449"/>
      <c r="I67" s="450"/>
      <c r="J67" s="451"/>
      <c r="K67" s="448"/>
    </row>
    <row r="68" spans="1:11" x14ac:dyDescent="0.25">
      <c r="A68" s="444">
        <v>353</v>
      </c>
      <c r="B68" s="40" t="str">
        <f>IF(A68&lt;&gt;"",INDEX('Base de données'!A$4:L$990,MATCH(A68,'Base de données'!A$4:A$990,0),2),"")</f>
        <v xml:space="preserve">K.M.N SARL </v>
      </c>
      <c r="C68" s="41" t="str">
        <f>IF(A68&lt;&gt;"",INDEX('Base de données'!A$4:L$990,MATCH(A68,'Base de données'!A$4:A$990,0),12),"")</f>
        <v>NAJAT SAOUD</v>
      </c>
      <c r="D68" s="447">
        <v>43943</v>
      </c>
      <c r="E68" s="448">
        <v>7093327</v>
      </c>
      <c r="F68" s="447">
        <v>44033</v>
      </c>
      <c r="G68" s="448">
        <v>7599968</v>
      </c>
      <c r="H68" s="449">
        <v>44126</v>
      </c>
      <c r="I68" s="450">
        <v>8147534</v>
      </c>
      <c r="J68" s="447">
        <v>44225</v>
      </c>
      <c r="K68" s="448">
        <v>8848651</v>
      </c>
    </row>
    <row r="69" spans="1:11" x14ac:dyDescent="0.25">
      <c r="A69" s="444">
        <v>328</v>
      </c>
      <c r="B69" s="40" t="str">
        <f>IF(A69&lt;&gt;"",INDEX('Base de données'!A$4:L$990,MATCH(A69,'Base de données'!A$4:A$990,0),2),"")</f>
        <v xml:space="preserve">BLANCHISSERIE YASSIN </v>
      </c>
      <c r="C69" s="41" t="str">
        <f>IF(A69&lt;&gt;"",INDEX('Base de données'!A$4:L$990,MATCH(A69,'Base de données'!A$4:A$990,0),12),"")</f>
        <v>NAJAT SAOUD</v>
      </c>
      <c r="D69" s="447">
        <v>43949</v>
      </c>
      <c r="E69" s="448">
        <v>7189948</v>
      </c>
      <c r="F69" s="447">
        <v>44033</v>
      </c>
      <c r="G69" s="448">
        <v>7603465</v>
      </c>
      <c r="H69" s="449">
        <v>44117</v>
      </c>
      <c r="I69" s="450">
        <v>8068890</v>
      </c>
      <c r="J69" s="447">
        <v>44213</v>
      </c>
      <c r="K69" s="448">
        <v>8657936</v>
      </c>
    </row>
    <row r="70" spans="1:11" hidden="1" x14ac:dyDescent="0.25">
      <c r="A70" s="444">
        <v>306</v>
      </c>
      <c r="B70" s="40" t="str">
        <f>IF(A70&lt;&gt;"",INDEX('Base de données'!A$4:L$990,MATCH(A70,'Base de données'!A$4:A$990,0),2),"")</f>
        <v xml:space="preserve">IN STYLE TRAVEL &amp; EVENTS </v>
      </c>
      <c r="C70" s="41" t="str">
        <f>IF(A70&lt;&gt;"",INDEX('Base de données'!A$4:L$990,MATCH(A70,'Base de données'!A$4:A$990,0),12),"")</f>
        <v>FATIMA EZZAHRA AIT AHMED</v>
      </c>
      <c r="D70" s="447">
        <v>43948</v>
      </c>
      <c r="E70" s="448">
        <v>7139290</v>
      </c>
      <c r="F70" s="447">
        <v>44022</v>
      </c>
      <c r="G70" s="448">
        <v>7515841</v>
      </c>
      <c r="H70" s="449"/>
      <c r="I70" s="450"/>
      <c r="J70" s="451"/>
      <c r="K70" s="448"/>
    </row>
    <row r="71" spans="1:11" hidden="1" x14ac:dyDescent="0.25">
      <c r="A71" s="444">
        <v>100</v>
      </c>
      <c r="B71" s="40" t="str">
        <f>IF(A71&lt;&gt;"",INDEX('Base de données'!A$4:L$990,MATCH(A71,'Base de données'!A$4:A$990,0),2),"")</f>
        <v>TATOU MERIEME
MAISON D'OPTIQUE</v>
      </c>
      <c r="C71" s="41" t="str">
        <f>IF(A71&lt;&gt;"",INDEX('Base de données'!A$4:L$990,MATCH(A71,'Base de données'!A$4:A$990,0),12),"")</f>
        <v>FATIMA EZZAHRA AIT AHMED</v>
      </c>
      <c r="D71" s="447">
        <v>43951</v>
      </c>
      <c r="E71" s="448">
        <v>7229168</v>
      </c>
      <c r="F71" s="447">
        <v>44040</v>
      </c>
      <c r="G71" s="448">
        <v>7725810</v>
      </c>
      <c r="H71" s="452"/>
      <c r="I71" s="450"/>
      <c r="J71" s="451"/>
      <c r="K71" s="448"/>
    </row>
    <row r="72" spans="1:11" hidden="1" x14ac:dyDescent="0.25">
      <c r="A72" s="444">
        <v>192</v>
      </c>
      <c r="B72" s="40" t="str">
        <f>IF(A72&lt;&gt;"",INDEX('Base de données'!A$4:L$990,MATCH(A72,'Base de données'!A$4:A$990,0),2),"")</f>
        <v>JACARANDA CAR</v>
      </c>
      <c r="C72" s="41" t="str">
        <f>IF(A72&lt;&gt;"",INDEX('Base de données'!A$4:L$990,MATCH(A72,'Base de données'!A$4:A$990,0),12),"")</f>
        <v>FATIMA EZZAHRA AIT AHMED</v>
      </c>
      <c r="D72" s="447">
        <v>43951</v>
      </c>
      <c r="E72" s="448">
        <v>7251818</v>
      </c>
      <c r="F72" s="447">
        <v>44027</v>
      </c>
      <c r="G72" s="448">
        <v>7548573</v>
      </c>
      <c r="H72" s="449"/>
      <c r="I72" s="450"/>
      <c r="J72" s="451"/>
      <c r="K72" s="448"/>
    </row>
    <row r="73" spans="1:11" hidden="1" x14ac:dyDescent="0.25">
      <c r="A73" s="444">
        <v>205</v>
      </c>
      <c r="B73" s="40" t="str">
        <f>IF(A73&lt;&gt;"",INDEX('Base de données'!A$4:L$990,MATCH(A73,'Base de données'!A$4:A$990,0),2),"")</f>
        <v xml:space="preserve">INTERNATIOANL MARIMA SERVICE </v>
      </c>
      <c r="C73" s="41" t="str">
        <f>IF(A73&lt;&gt;"",INDEX('Base de données'!A$4:L$990,MATCH(A73,'Base de données'!A$4:A$990,0),12),"")</f>
        <v>FATIMA EZZAHRA AIT AHMED</v>
      </c>
      <c r="D73" s="447">
        <v>43944</v>
      </c>
      <c r="E73" s="448">
        <v>7106996</v>
      </c>
      <c r="F73" s="447">
        <v>44029</v>
      </c>
      <c r="G73" s="448">
        <v>7568649</v>
      </c>
      <c r="H73" s="449"/>
      <c r="I73" s="450"/>
      <c r="J73" s="451"/>
      <c r="K73" s="448"/>
    </row>
    <row r="74" spans="1:11" hidden="1" x14ac:dyDescent="0.25">
      <c r="A74" s="444">
        <v>283</v>
      </c>
      <c r="B74" s="40" t="str">
        <f>IF(A74&lt;&gt;"",INDEX('Base de données'!A$4:L$990,MATCH(A74,'Base de données'!A$4:A$990,0),2),"")</f>
        <v xml:space="preserve">AZTAT TREX </v>
      </c>
      <c r="C74" s="41" t="str">
        <f>IF(A74&lt;&gt;"",INDEX('Base de données'!A$4:L$990,MATCH(A74,'Base de données'!A$4:A$990,0),12),"")</f>
        <v>FATIMA EZZAHRA AIT AHMED</v>
      </c>
      <c r="D74" s="447">
        <v>43951</v>
      </c>
      <c r="E74" s="448">
        <v>7285535</v>
      </c>
      <c r="F74" s="447">
        <v>44036</v>
      </c>
      <c r="G74" s="448">
        <v>7655459</v>
      </c>
      <c r="H74" s="449"/>
      <c r="I74" s="450"/>
      <c r="J74" s="451"/>
      <c r="K74" s="448"/>
    </row>
    <row r="75" spans="1:11" hidden="1" x14ac:dyDescent="0.25">
      <c r="A75" s="444">
        <v>198</v>
      </c>
      <c r="B75" s="40" t="str">
        <f>IF(A75&lt;&gt;"",INDEX('Base de données'!A$4:L$990,MATCH(A75,'Base de données'!A$4:A$990,0),2),"")</f>
        <v>SANTE BIO ENERGIE</v>
      </c>
      <c r="C75" s="41" t="str">
        <f>IF(A75&lt;&gt;"",INDEX('Base de données'!A$4:L$990,MATCH(A75,'Base de données'!A$4:A$990,0),12),"")</f>
        <v>FATIMA EZZAHRA AIT AHMED</v>
      </c>
      <c r="D75" s="447">
        <v>43947</v>
      </c>
      <c r="E75" s="448">
        <v>7132032</v>
      </c>
      <c r="F75" s="447">
        <v>44027</v>
      </c>
      <c r="G75" s="448">
        <v>7547905</v>
      </c>
      <c r="H75" s="449"/>
      <c r="I75" s="450"/>
      <c r="J75" s="451"/>
      <c r="K75" s="448"/>
    </row>
    <row r="76" spans="1:11" hidden="1" x14ac:dyDescent="0.25">
      <c r="A76" s="444">
        <v>47</v>
      </c>
      <c r="B76" s="40" t="str">
        <f>IF(A76&lt;&gt;"",INDEX('Base de données'!A$4:L$990,MATCH(A76,'Base de données'!A$4:A$990,0),2),"")</f>
        <v>RIM OPTIQUE</v>
      </c>
      <c r="C76" s="41" t="str">
        <f>IF(A76&lt;&gt;"",INDEX('Base de données'!A$4:L$990,MATCH(A76,'Base de données'!A$4:A$990,0),12),"")</f>
        <v>FATIMA EZZAHRA AIT AHMED</v>
      </c>
      <c r="D76" s="447">
        <v>44019</v>
      </c>
      <c r="E76" s="448">
        <v>7499923</v>
      </c>
      <c r="F76" s="447">
        <v>44040</v>
      </c>
      <c r="G76" s="448">
        <v>7735566</v>
      </c>
      <c r="H76" s="452"/>
      <c r="I76" s="450"/>
      <c r="J76" s="451"/>
      <c r="K76" s="448"/>
    </row>
    <row r="77" spans="1:11" hidden="1" x14ac:dyDescent="0.25">
      <c r="A77" s="444">
        <v>346</v>
      </c>
      <c r="B77" s="40" t="str">
        <f>IF(A77&lt;&gt;"",INDEX('Base de données'!A$4:L$990,MATCH(A77,'Base de données'!A$4:A$990,0),2),"")</f>
        <v>SEBABIL FOOD PROCESSING
 Y PACKAGING</v>
      </c>
      <c r="C77" s="41" t="str">
        <f>IF(A77&lt;&gt;"",INDEX('Base de données'!A$4:L$990,MATCH(A77,'Base de données'!A$4:A$990,0),12),"")</f>
        <v>KHAMISSA HDIMANE</v>
      </c>
      <c r="D77" s="447">
        <v>43949</v>
      </c>
      <c r="E77" s="448">
        <v>7185131</v>
      </c>
      <c r="F77" s="447">
        <v>44039</v>
      </c>
      <c r="G77" s="448">
        <v>7692484</v>
      </c>
      <c r="H77" s="449"/>
      <c r="I77" s="450"/>
      <c r="J77" s="451"/>
      <c r="K77" s="448"/>
    </row>
    <row r="78" spans="1:11" hidden="1" x14ac:dyDescent="0.25">
      <c r="A78" s="444">
        <v>27</v>
      </c>
      <c r="B78" s="40" t="str">
        <f>IF(A78&lt;&gt;"",INDEX('Base de données'!A$4:L$990,MATCH(A78,'Base de données'!A$4:A$990,0),2),"")</f>
        <v xml:space="preserve">STE B.F.Z SARL </v>
      </c>
      <c r="C78" s="41" t="str">
        <f>IF(A78&lt;&gt;"",INDEX('Base de données'!A$4:L$990,MATCH(A78,'Base de données'!A$4:A$990,0),12),"")</f>
        <v>KHAMISSA HDIMANE</v>
      </c>
      <c r="D78" s="447">
        <v>43945</v>
      </c>
      <c r="E78" s="448">
        <v>7112205</v>
      </c>
      <c r="F78" s="447">
        <v>44029</v>
      </c>
      <c r="G78" s="448">
        <v>7570772</v>
      </c>
      <c r="H78" s="449"/>
      <c r="I78" s="450"/>
      <c r="J78" s="451"/>
      <c r="K78" s="448"/>
    </row>
    <row r="79" spans="1:11" hidden="1" x14ac:dyDescent="0.25">
      <c r="A79" s="444">
        <v>155</v>
      </c>
      <c r="B79" s="40" t="str">
        <f>IF(A79&lt;&gt;"",INDEX('Base de données'!A$4:L$990,MATCH(A79,'Base de données'!A$4:A$990,0),2),"")</f>
        <v>DIROSA</v>
      </c>
      <c r="C79" s="41" t="str">
        <f>IF(A79&lt;&gt;"",INDEX('Base de données'!A$4:L$990,MATCH(A79,'Base de données'!A$4:A$990,0),12),"")</f>
        <v>KHAMISSA HDIMANE</v>
      </c>
      <c r="D79" s="447">
        <v>43949</v>
      </c>
      <c r="E79" s="448">
        <v>7188249</v>
      </c>
      <c r="F79" s="447">
        <v>44040</v>
      </c>
      <c r="G79" s="448">
        <v>7722676</v>
      </c>
      <c r="H79" s="449"/>
      <c r="I79" s="450"/>
      <c r="J79" s="447"/>
      <c r="K79" s="448"/>
    </row>
    <row r="80" spans="1:11" hidden="1" x14ac:dyDescent="0.25">
      <c r="A80" s="444">
        <v>139</v>
      </c>
      <c r="B80" s="40" t="str">
        <f>IF(A80&lt;&gt;"",INDEX('Base de données'!A$4:L$990,MATCH(A80,'Base de données'!A$4:A$990,0),2),"")</f>
        <v>AM DROGUERIE</v>
      </c>
      <c r="C80" s="41" t="str">
        <f>IF(A80&lt;&gt;"",INDEX('Base de données'!A$4:L$990,MATCH(A80,'Base de données'!A$4:A$990,0),12),"")</f>
        <v>KHAMISSA HDIMANE</v>
      </c>
      <c r="D80" s="447">
        <v>43942</v>
      </c>
      <c r="E80" s="448">
        <v>7075651</v>
      </c>
      <c r="F80" s="447">
        <v>44033</v>
      </c>
      <c r="G80" s="448">
        <v>7600877</v>
      </c>
      <c r="H80" s="449"/>
      <c r="I80" s="450"/>
      <c r="J80" s="447"/>
      <c r="K80" s="448"/>
    </row>
    <row r="81" spans="1:11" hidden="1" x14ac:dyDescent="0.25">
      <c r="A81" s="444">
        <v>130</v>
      </c>
      <c r="B81" s="40" t="str">
        <f>IF(A81&lt;&gt;"",INDEX('Base de données'!A$4:L$990,MATCH(A81,'Base de données'!A$4:A$990,0),2),"")</f>
        <v>GRAMTA HOUSE</v>
      </c>
      <c r="C81" s="41" t="str">
        <f>IF(A81&lt;&gt;"",INDEX('Base de données'!A$4:L$990,MATCH(A81,'Base de données'!A$4:A$990,0),12),"")</f>
        <v>KHAMISSA HDIMANE</v>
      </c>
      <c r="D81" s="447">
        <v>43948</v>
      </c>
      <c r="E81" s="448">
        <v>7154865</v>
      </c>
      <c r="F81" s="447">
        <v>44039</v>
      </c>
      <c r="G81" s="448">
        <v>7707677</v>
      </c>
      <c r="H81" s="449"/>
      <c r="I81" s="450"/>
      <c r="J81" s="451"/>
      <c r="K81" s="448"/>
    </row>
    <row r="82" spans="1:11" hidden="1" x14ac:dyDescent="0.25">
      <c r="A82" s="444">
        <v>121</v>
      </c>
      <c r="B82" s="40" t="str">
        <f>IF(A82&lt;&gt;"",INDEX('Base de données'!A$4:L$990,MATCH(A82,'Base de données'!A$4:A$990,0),2),"")</f>
        <v>H2M TADING COMPANY</v>
      </c>
      <c r="C82" s="41" t="str">
        <f>IF(A82&lt;&gt;"",INDEX('Base de données'!A$4:L$990,MATCH(A82,'Base de données'!A$4:A$990,0),12),"")</f>
        <v>KHAMISSA HDIMANE</v>
      </c>
      <c r="D82" s="447">
        <v>43945</v>
      </c>
      <c r="E82" s="448">
        <v>7121702</v>
      </c>
      <c r="F82" s="447">
        <v>44033</v>
      </c>
      <c r="G82" s="448">
        <v>7604506</v>
      </c>
      <c r="H82" s="449"/>
      <c r="I82" s="450"/>
      <c r="J82" s="447"/>
      <c r="K82" s="448"/>
    </row>
    <row r="83" spans="1:11" hidden="1" x14ac:dyDescent="0.25">
      <c r="A83" s="444">
        <v>206</v>
      </c>
      <c r="B83" s="40" t="str">
        <f>IF(A83&lt;&gt;"",INDEX('Base de données'!A$4:L$990,MATCH(A83,'Base de données'!A$4:A$990,0),2),"")</f>
        <v xml:space="preserve"> AHMID ZIADI</v>
      </c>
      <c r="C83" s="41" t="str">
        <f>IF(A83&lt;&gt;"",INDEX('Base de données'!A$4:L$990,MATCH(A83,'Base de données'!A$4:A$990,0),12),"")</f>
        <v>KHAMISSA HDIMANE</v>
      </c>
      <c r="D83" s="447">
        <v>44040</v>
      </c>
      <c r="E83" s="448">
        <v>7737131</v>
      </c>
      <c r="F83" s="447">
        <v>44040</v>
      </c>
      <c r="G83" s="448">
        <v>7737420</v>
      </c>
      <c r="H83" s="449"/>
      <c r="I83" s="450"/>
      <c r="J83" s="447"/>
      <c r="K83" s="448"/>
    </row>
    <row r="84" spans="1:11" hidden="1" x14ac:dyDescent="0.25">
      <c r="A84" s="444">
        <v>43</v>
      </c>
      <c r="B84" s="40" t="str">
        <f>IF(A84&lt;&gt;"",INDEX('Base de données'!A$4:L$990,MATCH(A84,'Base de données'!A$4:A$990,0),2),"")</f>
        <v>FATIHA EL BASRI</v>
      </c>
      <c r="C84" s="41" t="str">
        <f>IF(A84&lt;&gt;"",INDEX('Base de données'!A$4:L$990,MATCH(A84,'Base de données'!A$4:A$990,0),12),"")</f>
        <v>KHAMISSA HDIMANE</v>
      </c>
      <c r="D84" s="447">
        <v>43941</v>
      </c>
      <c r="E84" s="448">
        <v>7064100</v>
      </c>
      <c r="F84" s="447">
        <v>44026</v>
      </c>
      <c r="G84" s="448">
        <v>7535221</v>
      </c>
      <c r="H84" s="449"/>
      <c r="I84" s="450"/>
      <c r="J84" s="447"/>
      <c r="K84" s="448"/>
    </row>
    <row r="85" spans="1:11" hidden="1" x14ac:dyDescent="0.25">
      <c r="A85" s="444">
        <v>44</v>
      </c>
      <c r="B85" s="40" t="str">
        <f>IF(A85&lt;&gt;"",INDEX('Base de données'!A$4:L$990,MATCH(A85,'Base de données'!A$4:A$990,0),2),"")</f>
        <v xml:space="preserve"> STE MUSEEMAR</v>
      </c>
      <c r="C85" s="41" t="str">
        <f>IF(A85&lt;&gt;"",INDEX('Base de données'!A$4:L$990,MATCH(A85,'Base de données'!A$4:A$990,0),12),"")</f>
        <v>KHAMISSA HDIMANE</v>
      </c>
      <c r="D85" s="447">
        <v>43944</v>
      </c>
      <c r="E85" s="448">
        <v>7107081</v>
      </c>
      <c r="F85" s="447">
        <v>44026</v>
      </c>
      <c r="G85" s="448">
        <v>7534832</v>
      </c>
      <c r="H85" s="449"/>
      <c r="I85" s="450"/>
      <c r="J85" s="447"/>
      <c r="K85" s="448"/>
    </row>
    <row r="86" spans="1:11" hidden="1" x14ac:dyDescent="0.25">
      <c r="A86" s="444">
        <v>135</v>
      </c>
      <c r="B86" s="40" t="str">
        <f>IF(A86&lt;&gt;"",INDEX('Base de données'!A$4:L$990,MATCH(A86,'Base de données'!A$4:A$990,0),2),"")</f>
        <v>STE R2N CARS SARL</v>
      </c>
      <c r="C86" s="41" t="str">
        <f>IF(A86&lt;&gt;"",INDEX('Base de données'!A$4:L$990,MATCH(A86,'Base de données'!A$4:A$990,0),12),"")</f>
        <v>KHAMISSA HDIMANE</v>
      </c>
      <c r="D86" s="447">
        <v>43947</v>
      </c>
      <c r="E86" s="448">
        <v>7137600</v>
      </c>
      <c r="F86" s="447">
        <v>44030</v>
      </c>
      <c r="G86" s="448">
        <v>75577116</v>
      </c>
      <c r="H86" s="449"/>
      <c r="I86" s="450"/>
      <c r="J86" s="447"/>
      <c r="K86" s="448"/>
    </row>
    <row r="87" spans="1:11" hidden="1" x14ac:dyDescent="0.25">
      <c r="A87" s="444">
        <v>280</v>
      </c>
      <c r="B87" s="40" t="str">
        <f>IF(A87&lt;&gt;"",INDEX('Base de données'!A$4:L$990,MATCH(A87,'Base de données'!A$4:A$990,0),2),"")</f>
        <v xml:space="preserve">CAFE SNACK DAR AL FADL </v>
      </c>
      <c r="C87" s="41" t="str">
        <f>IF(A87&lt;&gt;"",INDEX('Base de données'!A$4:L$990,MATCH(A87,'Base de données'!A$4:A$990,0),12),"")</f>
        <v>KHAMISSA HDIMANE</v>
      </c>
      <c r="D87" s="447">
        <v>43946</v>
      </c>
      <c r="E87" s="448">
        <v>7125861</v>
      </c>
      <c r="F87" s="447">
        <v>44032</v>
      </c>
      <c r="G87" s="448">
        <v>7587198</v>
      </c>
      <c r="H87" s="449"/>
      <c r="I87" s="450"/>
      <c r="J87" s="447"/>
      <c r="K87" s="448"/>
    </row>
    <row r="88" spans="1:11" hidden="1" x14ac:dyDescent="0.25">
      <c r="A88" s="444">
        <v>78</v>
      </c>
      <c r="B88" s="40" t="str">
        <f>IF(A88&lt;&gt;"",INDEX('Base de données'!A$4:L$990,MATCH(A88,'Base de données'!A$4:A$990,0),2),"")</f>
        <v>DECOUSTA</v>
      </c>
      <c r="C88" s="41" t="str">
        <f>IF(A88&lt;&gt;"",INDEX('Base de données'!A$4:L$990,MATCH(A88,'Base de données'!A$4:A$990,0),12),"")</f>
        <v>KHAMISSA HDIMANE</v>
      </c>
      <c r="D88" s="447">
        <v>43950</v>
      </c>
      <c r="E88" s="448">
        <v>7218621</v>
      </c>
      <c r="F88" s="447">
        <v>44039</v>
      </c>
      <c r="G88" s="448">
        <v>7703638</v>
      </c>
      <c r="H88" s="449"/>
      <c r="I88" s="450"/>
      <c r="J88" s="451"/>
      <c r="K88" s="448"/>
    </row>
    <row r="89" spans="1:11" hidden="1" x14ac:dyDescent="0.25">
      <c r="A89" s="444">
        <v>167</v>
      </c>
      <c r="B89" s="40" t="str">
        <f>IF(A89&lt;&gt;"",INDEX('Base de données'!A$4:L$990,MATCH(A89,'Base de données'!A$4:A$990,0),2),"")</f>
        <v xml:space="preserve">ATELIERS DE LART GRAPHIC </v>
      </c>
      <c r="C89" s="41" t="str">
        <f>IF(A89&lt;&gt;"",INDEX('Base de données'!A$4:L$990,MATCH(A89,'Base de données'!A$4:A$990,0),12),"")</f>
        <v>KHAMISSA HDIMANE</v>
      </c>
      <c r="D89" s="447">
        <v>43948</v>
      </c>
      <c r="E89" s="448">
        <v>7159054</v>
      </c>
      <c r="F89" s="447">
        <v>44023</v>
      </c>
      <c r="G89" s="448">
        <v>7520701</v>
      </c>
      <c r="H89" s="449"/>
      <c r="I89" s="450"/>
      <c r="J89" s="447"/>
      <c r="K89" s="448"/>
    </row>
    <row r="90" spans="1:11" hidden="1" x14ac:dyDescent="0.25">
      <c r="A90" s="444">
        <v>71</v>
      </c>
      <c r="B90" s="40" t="str">
        <f>IF(A90&lt;&gt;"",INDEX('Base de données'!A$4:L$990,MATCH(A90,'Base de données'!A$4:A$990,0),2),"")</f>
        <v>SOCIETE DE L'EXPERTISE FONCIERE ET TRAVAUX TOPOGRAPHIQUE</v>
      </c>
      <c r="C90" s="41" t="str">
        <f>IF(A90&lt;&gt;"",INDEX('Base de données'!A$4:L$990,MATCH(A90,'Base de données'!A$4:A$990,0),12),"")</f>
        <v>KHAMISSA HDIMANE</v>
      </c>
      <c r="D90" s="447">
        <v>43950</v>
      </c>
      <c r="E90" s="448">
        <v>7187515</v>
      </c>
      <c r="F90" s="447">
        <v>44035</v>
      </c>
      <c r="G90" s="448">
        <v>7643287</v>
      </c>
      <c r="H90" s="449"/>
      <c r="I90" s="450"/>
      <c r="J90" s="447"/>
      <c r="K90" s="448"/>
    </row>
    <row r="91" spans="1:11" hidden="1" x14ac:dyDescent="0.25">
      <c r="A91" s="444">
        <v>309</v>
      </c>
      <c r="B91" s="40" t="str">
        <f>IF(A91&lt;&gt;"",INDEX('Base de données'!A$4:L$990,MATCH(A91,'Base de données'!A$4:A$990,0),2),"")</f>
        <v>SOUIHLA PNEUMATIQUE</v>
      </c>
      <c r="C91" s="41" t="str">
        <f>IF(A91&lt;&gt;"",INDEX('Base de données'!A$4:L$990,MATCH(A91,'Base de données'!A$4:A$990,0),12),"")</f>
        <v>KHAMISSA HDIMANE</v>
      </c>
      <c r="D91" s="447">
        <v>43945</v>
      </c>
      <c r="E91" s="448">
        <v>7110144</v>
      </c>
      <c r="F91" s="447">
        <v>44029</v>
      </c>
      <c r="G91" s="448">
        <v>7568106</v>
      </c>
      <c r="H91" s="449"/>
      <c r="I91" s="450"/>
      <c r="J91" s="447"/>
      <c r="K91" s="448"/>
    </row>
    <row r="92" spans="1:11" hidden="1" x14ac:dyDescent="0.25">
      <c r="A92" s="444">
        <v>63</v>
      </c>
      <c r="B92" s="40" t="str">
        <f>IF(A92&lt;&gt;"",INDEX('Base de données'!A$4:L$990,MATCH(A92,'Base de données'!A$4:A$990,0),2),"")</f>
        <v>ENVI PRO</v>
      </c>
      <c r="C92" s="41" t="str">
        <f>IF(A92&lt;&gt;"",INDEX('Base de données'!A$4:L$990,MATCH(A92,'Base de données'!A$4:A$990,0),12),"")</f>
        <v>KHAMISSA HDIMANE</v>
      </c>
      <c r="D92" s="447"/>
      <c r="E92" s="448"/>
      <c r="F92" s="447"/>
      <c r="G92" s="448"/>
      <c r="H92" s="449"/>
      <c r="I92" s="450"/>
      <c r="J92" s="447"/>
      <c r="K92" s="448"/>
    </row>
    <row r="93" spans="1:11" hidden="1" x14ac:dyDescent="0.25">
      <c r="A93" s="444">
        <v>11</v>
      </c>
      <c r="B93" s="40" t="str">
        <f>IF(A93&lt;&gt;"",INDEX('Base de données'!A$4:L$990,MATCH(A93,'Base de données'!A$4:A$990,0),2),"")</f>
        <v>YOUSSEF YASSINE</v>
      </c>
      <c r="C93" s="41" t="str">
        <f>IF(A93&lt;&gt;"",INDEX('Base de données'!A$4:L$990,MATCH(A93,'Base de données'!A$4:A$990,0),12),"")</f>
        <v>FATIMA EZZAHRA AIT AHMED</v>
      </c>
      <c r="D93" s="447">
        <v>43943</v>
      </c>
      <c r="E93" s="448">
        <v>7093180</v>
      </c>
      <c r="F93" s="447">
        <v>44029</v>
      </c>
      <c r="G93" s="448">
        <v>7569124</v>
      </c>
      <c r="H93" s="449"/>
      <c r="I93" s="450"/>
      <c r="J93" s="447"/>
      <c r="K93" s="448"/>
    </row>
    <row r="94" spans="1:11" x14ac:dyDescent="0.25">
      <c r="A94" s="444">
        <v>400</v>
      </c>
      <c r="B94" s="40" t="str">
        <f>IF(A94&lt;&gt;"",INDEX('Base de données'!A$4:L$990,MATCH(A94,'Base de données'!A$4:A$990,0),2),"")</f>
        <v xml:space="preserve">LAHLIB TOUR </v>
      </c>
      <c r="C94" s="41" t="str">
        <f>IF(A94&lt;&gt;"",INDEX('Base de données'!A$4:L$990,MATCH(A94,'Base de données'!A$4:A$990,0),12),"")</f>
        <v>NAJAT SAOUD</v>
      </c>
      <c r="D94" s="447">
        <v>44085</v>
      </c>
      <c r="E94" s="448">
        <v>7937257</v>
      </c>
      <c r="F94" s="447">
        <v>44085</v>
      </c>
      <c r="G94" s="448">
        <v>7937280</v>
      </c>
      <c r="H94" s="449">
        <v>44112</v>
      </c>
      <c r="I94" s="450">
        <v>8046903</v>
      </c>
      <c r="J94" s="447">
        <v>44217</v>
      </c>
      <c r="K94" s="448">
        <v>8695463</v>
      </c>
    </row>
    <row r="95" spans="1:11" x14ac:dyDescent="0.25">
      <c r="A95" s="444">
        <v>412</v>
      </c>
      <c r="B95" s="40" t="str">
        <f>IF(A95&lt;&gt;"",INDEX('Base de données'!A$4:L$990,MATCH(A95,'Base de données'!A$4:A$990,0),2),"")</f>
        <v>RIAD PREMIUM</v>
      </c>
      <c r="C95" s="41" t="str">
        <f>IF(A95&lt;&gt;"",INDEX('Base de données'!A$4:L$990,MATCH(A95,'Base de données'!A$4:A$990,0),12),"")</f>
        <v>NAJAT SAOUD</v>
      </c>
      <c r="D95" s="447" t="s">
        <v>163</v>
      </c>
      <c r="E95" s="448" t="s">
        <v>163</v>
      </c>
      <c r="F95" s="447" t="s">
        <v>163</v>
      </c>
      <c r="G95" s="448" t="s">
        <v>163</v>
      </c>
      <c r="H95" s="449">
        <v>44193</v>
      </c>
      <c r="I95" s="450">
        <v>8536969</v>
      </c>
      <c r="J95" s="447">
        <v>44201</v>
      </c>
      <c r="K95" s="448">
        <v>8537022</v>
      </c>
    </row>
    <row r="96" spans="1:11" x14ac:dyDescent="0.25">
      <c r="A96" s="444">
        <v>303</v>
      </c>
      <c r="B96" s="40" t="str">
        <f>IF(A96&lt;&gt;"",INDEX('Base de données'!A$4:L$990,MATCH(A96,'Base de données'!A$4:A$990,0),2),"")</f>
        <v xml:space="preserve">SALIM BRAHIM </v>
      </c>
      <c r="C96" s="41" t="str">
        <f>IF(A96&lt;&gt;"",INDEX('Base de données'!A$4:L$990,MATCH(A96,'Base de données'!A$4:A$990,0),12),"")</f>
        <v>NAJAT SAOUD</v>
      </c>
      <c r="D96" s="447" t="s">
        <v>163</v>
      </c>
      <c r="E96" s="448" t="s">
        <v>163</v>
      </c>
      <c r="F96" s="447">
        <v>44040</v>
      </c>
      <c r="G96" s="448">
        <v>7731354</v>
      </c>
      <c r="H96" s="449">
        <v>44126</v>
      </c>
      <c r="I96" s="450">
        <v>8148690</v>
      </c>
      <c r="J96" s="447">
        <v>44225</v>
      </c>
      <c r="K96" s="448">
        <v>1018830954201</v>
      </c>
    </row>
    <row r="97" spans="1:11" hidden="1" x14ac:dyDescent="0.25">
      <c r="A97" s="444"/>
      <c r="B97" s="40" t="str">
        <f>IF(A97&lt;&gt;"",INDEX('Base de données'!A$4:L$990,MATCH(A97,'Base de données'!A$4:A$990,0),2),"")</f>
        <v/>
      </c>
      <c r="C97" s="41" t="str">
        <f>IF(A97&lt;&gt;"",INDEX('Base de données'!A$4:L$990,MATCH(A97,'Base de données'!A$4:A$990,0),12),"")</f>
        <v/>
      </c>
      <c r="D97" s="447"/>
      <c r="E97" s="448"/>
      <c r="F97" s="447"/>
      <c r="G97" s="448"/>
      <c r="H97" s="449"/>
      <c r="I97" s="450"/>
      <c r="J97" s="447"/>
      <c r="K97" s="448"/>
    </row>
    <row r="98" spans="1:11" hidden="1" x14ac:dyDescent="0.25">
      <c r="A98" s="444"/>
      <c r="B98" s="40" t="str">
        <f>IF(A98&lt;&gt;"",INDEX('Base de données'!A$4:L$990,MATCH(A98,'Base de données'!A$4:A$990,0),2),"")</f>
        <v/>
      </c>
      <c r="C98" s="41" t="str">
        <f>IF(A98&lt;&gt;"",INDEX('Base de données'!A$4:L$990,MATCH(A98,'Base de données'!A$4:A$990,0),12),"")</f>
        <v/>
      </c>
      <c r="D98" s="447"/>
      <c r="E98" s="448"/>
      <c r="F98" s="447"/>
      <c r="G98" s="448"/>
      <c r="H98" s="449"/>
      <c r="I98" s="450"/>
      <c r="J98" s="447"/>
      <c r="K98" s="448"/>
    </row>
    <row r="99" spans="1:11" hidden="1" x14ac:dyDescent="0.25">
      <c r="A99" s="444"/>
      <c r="B99" s="40" t="str">
        <f>IF(A99&lt;&gt;"",INDEX('Base de données'!A$4:L$990,MATCH(A99,'Base de données'!A$4:A$990,0),2),"")</f>
        <v/>
      </c>
      <c r="C99" s="41" t="str">
        <f>IF(A99&lt;&gt;"",INDEX('Base de données'!A$4:L$990,MATCH(A99,'Base de données'!A$4:A$990,0),12),"")</f>
        <v/>
      </c>
      <c r="D99" s="447"/>
      <c r="E99" s="448"/>
      <c r="F99" s="447"/>
      <c r="G99" s="448"/>
      <c r="H99" s="449"/>
      <c r="I99" s="450"/>
      <c r="J99" s="447"/>
      <c r="K99" s="448"/>
    </row>
    <row r="100" spans="1:11" hidden="1" x14ac:dyDescent="0.25">
      <c r="A100" s="444"/>
      <c r="B100" s="40" t="str">
        <f>IF(A100&lt;&gt;"",INDEX('Base de données'!A$4:L$990,MATCH(A100,'Base de données'!A$4:A$990,0),2),"")</f>
        <v/>
      </c>
      <c r="C100" s="41" t="str">
        <f>IF(A100&lt;&gt;"",INDEX('Base de données'!A$4:L$990,MATCH(A100,'Base de données'!A$4:A$990,0),12),"")</f>
        <v/>
      </c>
      <c r="D100" s="447"/>
      <c r="E100" s="448"/>
      <c r="F100" s="447"/>
      <c r="G100" s="448"/>
      <c r="H100" s="449"/>
      <c r="I100" s="450"/>
      <c r="J100" s="447"/>
      <c r="K100" s="448"/>
    </row>
    <row r="101" spans="1:11" hidden="1" x14ac:dyDescent="0.25">
      <c r="A101" s="444"/>
      <c r="B101" s="40" t="str">
        <f>IF(A101&lt;&gt;"",INDEX('Base de données'!A$4:L$990,MATCH(A101,'Base de données'!A$4:A$990,0),2),"")</f>
        <v/>
      </c>
      <c r="C101" s="41" t="str">
        <f>IF(A101&lt;&gt;"",INDEX('Base de données'!A$4:L$990,MATCH(A101,'Base de données'!A$4:A$990,0),12),"")</f>
        <v/>
      </c>
      <c r="D101" s="447"/>
      <c r="E101" s="448"/>
      <c r="F101" s="451"/>
      <c r="G101" s="448"/>
      <c r="H101" s="452"/>
      <c r="I101" s="450"/>
      <c r="J101" s="451"/>
      <c r="K101" s="448"/>
    </row>
    <row r="102" spans="1:11" hidden="1" x14ac:dyDescent="0.25">
      <c r="A102" s="444"/>
      <c r="B102" s="40" t="str">
        <f>IF(A102&lt;&gt;"",INDEX('Base de données'!A$4:L$990,MATCH(A102,'Base de données'!A$4:A$990,0),2),"")</f>
        <v/>
      </c>
      <c r="C102" s="41" t="str">
        <f>IF(A102&lt;&gt;"",INDEX('Base de données'!A$4:L$990,MATCH(A102,'Base de données'!A$4:A$990,0),12),"")</f>
        <v/>
      </c>
      <c r="D102" s="447"/>
      <c r="E102" s="448"/>
      <c r="F102" s="447"/>
      <c r="G102" s="448"/>
      <c r="H102" s="449"/>
      <c r="I102" s="450"/>
      <c r="J102" s="620"/>
      <c r="K102" s="448"/>
    </row>
    <row r="103" spans="1:11" hidden="1" x14ac:dyDescent="0.25">
      <c r="A103" s="444"/>
      <c r="B103" s="40" t="str">
        <f>IF(A103&lt;&gt;"",INDEX('Base de données'!A$4:L$990,MATCH(A103,'Base de données'!A$4:A$990,0),2),"")</f>
        <v/>
      </c>
      <c r="C103" s="41" t="str">
        <f>IF(A103&lt;&gt;"",INDEX('Base de données'!A$4:L$990,MATCH(A103,'Base de données'!A$4:A$990,0),12),"")</f>
        <v/>
      </c>
      <c r="D103" s="447"/>
      <c r="E103" s="448"/>
      <c r="F103" s="447"/>
      <c r="G103" s="448"/>
      <c r="H103" s="449"/>
      <c r="I103" s="450"/>
      <c r="J103" s="447"/>
      <c r="K103" s="448"/>
    </row>
    <row r="104" spans="1:11" hidden="1" x14ac:dyDescent="0.25">
      <c r="A104" s="444"/>
      <c r="B104" s="40" t="str">
        <f>IF(A104&lt;&gt;"",INDEX('Base de données'!A$4:L$990,MATCH(A104,'Base de données'!A$4:A$990,0),2),"")</f>
        <v/>
      </c>
      <c r="C104" s="41" t="str">
        <f>IF(A104&lt;&gt;"",INDEX('Base de données'!A$4:L$990,MATCH(A104,'Base de données'!A$4:A$990,0),12),"")</f>
        <v/>
      </c>
      <c r="D104" s="447"/>
      <c r="E104" s="448"/>
      <c r="F104" s="447"/>
      <c r="G104" s="448"/>
      <c r="H104" s="449"/>
      <c r="I104" s="450"/>
      <c r="J104" s="451"/>
      <c r="K104" s="448"/>
    </row>
    <row r="105" spans="1:11" hidden="1" x14ac:dyDescent="0.25">
      <c r="A105" s="444"/>
      <c r="B105" s="40" t="str">
        <f>IF(A105&lt;&gt;"",INDEX('Base de données'!A$4:L$990,MATCH(A105,'Base de données'!A$4:A$990,0),2),"")</f>
        <v/>
      </c>
      <c r="C105" s="41" t="str">
        <f>IF(A105&lt;&gt;"",INDEX('Base de données'!A$4:L$990,MATCH(A105,'Base de données'!A$4:A$990,0),12),"")</f>
        <v/>
      </c>
      <c r="D105" s="447"/>
      <c r="E105" s="448"/>
      <c r="F105" s="447"/>
      <c r="G105" s="448"/>
      <c r="H105" s="449"/>
      <c r="I105" s="450"/>
      <c r="J105" s="451"/>
      <c r="K105" s="448"/>
    </row>
    <row r="106" spans="1:11" hidden="1" x14ac:dyDescent="0.25">
      <c r="A106" s="444"/>
      <c r="B106" s="40" t="str">
        <f>IF(A106&lt;&gt;"",INDEX('Base de données'!A$4:L$990,MATCH(A106,'Base de données'!A$4:A$990,0),2),"")</f>
        <v/>
      </c>
      <c r="C106" s="41" t="str">
        <f>IF(A106&lt;&gt;"",INDEX('Base de données'!A$4:L$990,MATCH(A106,'Base de données'!A$4:A$990,0),12),"")</f>
        <v/>
      </c>
      <c r="D106" s="447"/>
      <c r="E106" s="448"/>
      <c r="F106" s="447"/>
      <c r="G106" s="448"/>
      <c r="H106" s="452"/>
      <c r="I106" s="450"/>
      <c r="J106" s="451"/>
      <c r="K106" s="448"/>
    </row>
    <row r="107" spans="1:11" hidden="1" x14ac:dyDescent="0.25">
      <c r="A107" s="444"/>
      <c r="B107" s="40" t="str">
        <f>IF(A107&lt;&gt;"",INDEX('Base de données'!A$4:L$990,MATCH(A107,'Base de données'!A$4:A$990,0),2),"")</f>
        <v/>
      </c>
      <c r="C107" s="41" t="str">
        <f>IF(A107&lt;&gt;"",INDEX('Base de données'!A$4:L$990,MATCH(A107,'Base de données'!A$4:A$990,0),12),"")</f>
        <v/>
      </c>
      <c r="D107" s="447"/>
      <c r="E107" s="448"/>
      <c r="F107" s="447"/>
      <c r="G107" s="448"/>
      <c r="H107" s="449"/>
      <c r="I107" s="450"/>
      <c r="J107" s="447"/>
      <c r="K107" s="448"/>
    </row>
    <row r="108" spans="1:11" hidden="1" x14ac:dyDescent="0.25">
      <c r="A108" s="444"/>
      <c r="B108" s="40" t="str">
        <f>IF(A108&lt;&gt;"",INDEX('Base de données'!A$4:L$990,MATCH(A108,'Base de données'!A$4:A$990,0),2),"")</f>
        <v/>
      </c>
      <c r="C108" s="41" t="str">
        <f>IF(A108&lt;&gt;"",INDEX('Base de données'!A$4:L$990,MATCH(A108,'Base de données'!A$4:A$990,0),12),"")</f>
        <v/>
      </c>
      <c r="D108" s="447"/>
      <c r="E108" s="448"/>
      <c r="F108" s="447"/>
      <c r="G108" s="448"/>
      <c r="H108" s="449"/>
      <c r="I108" s="450"/>
      <c r="J108" s="447"/>
      <c r="K108" s="448"/>
    </row>
    <row r="109" spans="1:11" hidden="1" x14ac:dyDescent="0.25">
      <c r="A109" s="444"/>
      <c r="B109" s="40" t="str">
        <f>IF(A109&lt;&gt;"",INDEX('Base de données'!A$4:L$990,MATCH(A109,'Base de données'!A$4:A$990,0),2),"")</f>
        <v/>
      </c>
      <c r="C109" s="41" t="str">
        <f>IF(A109&lt;&gt;"",INDEX('Base de données'!A$4:L$990,MATCH(A109,'Base de données'!A$4:A$990,0),12),"")</f>
        <v/>
      </c>
      <c r="D109" s="447"/>
      <c r="E109" s="448"/>
      <c r="F109" s="447"/>
      <c r="G109" s="448"/>
      <c r="H109" s="449"/>
      <c r="I109" s="450"/>
      <c r="J109" s="447"/>
      <c r="K109" s="448"/>
    </row>
    <row r="110" spans="1:11" hidden="1" x14ac:dyDescent="0.25">
      <c r="A110" s="444"/>
      <c r="B110" s="40" t="str">
        <f>IF(A110&lt;&gt;"",INDEX('Base de données'!A$4:L$990,MATCH(A110,'Base de données'!A$4:A$990,0),2),"")</f>
        <v/>
      </c>
      <c r="C110" s="41" t="str">
        <f>IF(A110&lt;&gt;"",INDEX('Base de données'!A$4:L$990,MATCH(A110,'Base de données'!A$4:A$990,0),12),"")</f>
        <v/>
      </c>
      <c r="D110" s="447"/>
      <c r="E110" s="448"/>
      <c r="F110" s="447"/>
      <c r="G110" s="448"/>
      <c r="H110" s="449"/>
      <c r="I110" s="450"/>
      <c r="J110" s="447"/>
      <c r="K110" s="448"/>
    </row>
    <row r="111" spans="1:11" hidden="1" x14ac:dyDescent="0.25">
      <c r="A111" s="444"/>
      <c r="B111" s="40" t="str">
        <f>IF(A111&lt;&gt;"",INDEX('Base de données'!A$4:L$990,MATCH(A111,'Base de données'!A$4:A$990,0),2),"")</f>
        <v/>
      </c>
      <c r="C111" s="41" t="str">
        <f>IF(A111&lt;&gt;"",INDEX('Base de données'!A$4:L$990,MATCH(A111,'Base de données'!A$4:A$990,0),12),"")</f>
        <v/>
      </c>
      <c r="D111" s="447"/>
      <c r="E111" s="448"/>
      <c r="F111" s="447"/>
      <c r="G111" s="448"/>
      <c r="H111" s="449"/>
      <c r="I111" s="450"/>
      <c r="J111" s="447"/>
      <c r="K111" s="448"/>
    </row>
    <row r="112" spans="1:11" hidden="1" x14ac:dyDescent="0.25">
      <c r="A112" s="444"/>
      <c r="B112" s="40" t="str">
        <f>IF(A112&lt;&gt;"",INDEX('Base de données'!A$4:L$990,MATCH(A112,'Base de données'!A$4:A$990,0),2),"")</f>
        <v/>
      </c>
      <c r="C112" s="41" t="str">
        <f>IF(A112&lt;&gt;"",INDEX('Base de données'!A$4:L$990,MATCH(A112,'Base de données'!A$4:A$990,0),12),"")</f>
        <v/>
      </c>
      <c r="D112" s="447"/>
      <c r="E112" s="448"/>
      <c r="F112" s="447"/>
      <c r="G112" s="448"/>
      <c r="H112" s="452"/>
      <c r="I112" s="450"/>
      <c r="J112" s="451"/>
      <c r="K112" s="448"/>
    </row>
    <row r="113" spans="1:11" hidden="1" x14ac:dyDescent="0.25">
      <c r="A113" s="444"/>
      <c r="B113" s="40" t="str">
        <f>IF(A113&lt;&gt;"",INDEX('Base de données'!A$4:L$990,MATCH(A113,'Base de données'!A$4:A$990,0),2),"")</f>
        <v/>
      </c>
      <c r="C113" s="41" t="str">
        <f>IF(A113&lt;&gt;"",INDEX('Base de données'!A$4:L$990,MATCH(A113,'Base de données'!A$4:A$990,0),12),"")</f>
        <v/>
      </c>
      <c r="D113" s="447"/>
      <c r="E113" s="448"/>
      <c r="F113" s="447"/>
      <c r="G113" s="448"/>
      <c r="H113" s="449"/>
      <c r="I113" s="450"/>
      <c r="J113" s="447"/>
      <c r="K113" s="448"/>
    </row>
    <row r="114" spans="1:11" hidden="1" x14ac:dyDescent="0.25">
      <c r="A114" s="444"/>
      <c r="B114" s="40" t="str">
        <f>IF(A114&lt;&gt;"",INDEX('Base de données'!A$4:L$990,MATCH(A114,'Base de données'!A$4:A$990,0),2),"")</f>
        <v/>
      </c>
      <c r="C114" s="41" t="str">
        <f>IF(A114&lt;&gt;"",INDEX('Base de données'!A$4:L$990,MATCH(A114,'Base de données'!A$4:A$990,0),12),"")</f>
        <v/>
      </c>
      <c r="D114" s="447"/>
      <c r="E114" s="448"/>
      <c r="F114" s="447"/>
      <c r="G114" s="448"/>
      <c r="H114" s="449"/>
      <c r="I114" s="450"/>
      <c r="J114" s="451"/>
      <c r="K114" s="448"/>
    </row>
    <row r="115" spans="1:11" hidden="1" x14ac:dyDescent="0.25">
      <c r="A115" s="444"/>
      <c r="B115" s="40" t="str">
        <f>IF(A115&lt;&gt;"",INDEX('Base de données'!A$4:L$990,MATCH(A115,'Base de données'!A$4:A$990,0),2),"")</f>
        <v/>
      </c>
      <c r="C115" s="41" t="str">
        <f>IF(A115&lt;&gt;"",INDEX('Base de données'!A$4:L$990,MATCH(A115,'Base de données'!A$4:A$990,0),12),"")</f>
        <v/>
      </c>
      <c r="D115" s="447"/>
      <c r="E115" s="448"/>
      <c r="F115" s="447"/>
      <c r="G115" s="448"/>
      <c r="H115" s="449"/>
      <c r="I115" s="450"/>
      <c r="J115" s="447"/>
      <c r="K115" s="448"/>
    </row>
    <row r="116" spans="1:11" hidden="1" x14ac:dyDescent="0.25">
      <c r="A116" s="444"/>
      <c r="B116" s="40" t="str">
        <f>IF(A116&lt;&gt;"",INDEX('Base de données'!A$4:L$990,MATCH(A116,'Base de données'!A$4:A$990,0),2),"")</f>
        <v/>
      </c>
      <c r="C116" s="41" t="str">
        <f>IF(A116&lt;&gt;"",INDEX('Base de données'!A$4:L$990,MATCH(A116,'Base de données'!A$4:A$990,0),12),"")</f>
        <v/>
      </c>
      <c r="D116" s="447"/>
      <c r="E116" s="448"/>
      <c r="F116" s="447"/>
      <c r="G116" s="448"/>
      <c r="H116" s="449"/>
      <c r="I116" s="450"/>
      <c r="J116" s="451"/>
      <c r="K116" s="448"/>
    </row>
    <row r="117" spans="1:11" hidden="1" x14ac:dyDescent="0.25">
      <c r="A117" s="444"/>
      <c r="B117" s="40" t="str">
        <f>IF(A117&lt;&gt;"",INDEX('Base de données'!A$4:L$990,MATCH(A117,'Base de données'!A$4:A$990,0),2),"")</f>
        <v/>
      </c>
      <c r="C117" s="41" t="str">
        <f>IF(A117&lt;&gt;"",INDEX('Base de données'!A$4:L$990,MATCH(A117,'Base de données'!A$4:A$990,0),12),"")</f>
        <v/>
      </c>
      <c r="D117" s="447"/>
      <c r="E117" s="448"/>
      <c r="F117" s="447"/>
      <c r="G117" s="448"/>
      <c r="H117" s="449"/>
      <c r="I117" s="450"/>
      <c r="J117" s="451"/>
      <c r="K117" s="448"/>
    </row>
    <row r="118" spans="1:11" hidden="1" x14ac:dyDescent="0.25">
      <c r="A118" s="444"/>
      <c r="B118" s="40" t="str">
        <f>IF(A118&lt;&gt;"",INDEX('Base de données'!A$4:L$990,MATCH(A118,'Base de données'!A$4:A$990,0),2),"")</f>
        <v/>
      </c>
      <c r="C118" s="41" t="str">
        <f>IF(A118&lt;&gt;"",INDEX('Base de données'!A$4:L$990,MATCH(A118,'Base de données'!A$4:A$990,0),12),"")</f>
        <v/>
      </c>
      <c r="D118" s="447"/>
      <c r="E118" s="448"/>
      <c r="F118" s="447"/>
      <c r="G118" s="448"/>
      <c r="H118" s="449"/>
      <c r="I118" s="450"/>
      <c r="J118" s="447"/>
      <c r="K118" s="448"/>
    </row>
    <row r="119" spans="1:11" hidden="1" x14ac:dyDescent="0.25">
      <c r="A119" s="444"/>
      <c r="B119" s="40" t="str">
        <f>IF(A119&lt;&gt;"",INDEX('Base de données'!A$4:L$990,MATCH(A119,'Base de données'!A$4:A$990,0),2),"")</f>
        <v/>
      </c>
      <c r="C119" s="41" t="str">
        <f>IF(A119&lt;&gt;"",INDEX('Base de données'!A$4:L$990,MATCH(A119,'Base de données'!A$4:A$990,0),12),"")</f>
        <v/>
      </c>
      <c r="D119" s="447"/>
      <c r="E119" s="448"/>
      <c r="F119" s="447"/>
      <c r="G119" s="448"/>
      <c r="H119" s="449"/>
      <c r="I119" s="450"/>
      <c r="J119" s="447"/>
      <c r="K119" s="448"/>
    </row>
    <row r="120" spans="1:11" hidden="1" x14ac:dyDescent="0.25">
      <c r="A120" s="444"/>
      <c r="B120" s="40" t="str">
        <f>IF(A120&lt;&gt;"",INDEX('Base de données'!A$4:L$990,MATCH(A120,'Base de données'!A$4:A$990,0),2),"")</f>
        <v/>
      </c>
      <c r="C120" s="41" t="str">
        <f>IF(A120&lt;&gt;"",INDEX('Base de données'!A$4:L$990,MATCH(A120,'Base de données'!A$4:A$990,0),12),"")</f>
        <v/>
      </c>
      <c r="D120" s="447"/>
      <c r="E120" s="448"/>
      <c r="F120" s="447"/>
      <c r="G120" s="448"/>
      <c r="H120" s="449"/>
      <c r="I120" s="450"/>
      <c r="J120" s="447"/>
      <c r="K120" s="448"/>
    </row>
    <row r="121" spans="1:11" hidden="1" x14ac:dyDescent="0.25">
      <c r="A121" s="444"/>
      <c r="B121" s="40" t="str">
        <f>IF(A121&lt;&gt;"",INDEX('Base de données'!A$4:L$990,MATCH(A121,'Base de données'!A$4:A$990,0),2),"")</f>
        <v/>
      </c>
      <c r="C121" s="41" t="str">
        <f>IF(A121&lt;&gt;"",INDEX('Base de données'!A$4:L$990,MATCH(A121,'Base de données'!A$4:A$990,0),12),"")</f>
        <v/>
      </c>
      <c r="D121" s="447"/>
      <c r="E121" s="448"/>
      <c r="F121" s="447"/>
      <c r="G121" s="448"/>
      <c r="H121" s="449"/>
      <c r="I121" s="450"/>
      <c r="J121" s="451"/>
      <c r="K121" s="448"/>
    </row>
    <row r="122" spans="1:11" hidden="1" x14ac:dyDescent="0.25">
      <c r="A122" s="444"/>
      <c r="B122" s="40" t="str">
        <f>IF(A122&lt;&gt;"",INDEX('Base de données'!A$4:L$990,MATCH(A122,'Base de données'!A$4:A$990,0),2),"")</f>
        <v/>
      </c>
      <c r="C122" s="41" t="str">
        <f>IF(A122&lt;&gt;"",INDEX('Base de données'!A$4:L$990,MATCH(A122,'Base de données'!A$4:A$990,0),12),"")</f>
        <v/>
      </c>
      <c r="D122" s="447"/>
      <c r="E122" s="448"/>
      <c r="F122" s="447"/>
      <c r="G122" s="448"/>
      <c r="H122" s="449"/>
      <c r="I122" s="450"/>
      <c r="J122" s="451"/>
      <c r="K122" s="448"/>
    </row>
    <row r="123" spans="1:11" hidden="1" x14ac:dyDescent="0.25">
      <c r="A123" s="444"/>
      <c r="B123" s="40" t="str">
        <f>IF(A123&lt;&gt;"",INDEX('Base de données'!A$4:L$990,MATCH(A123,'Base de données'!A$4:A$990,0),2),"")</f>
        <v/>
      </c>
      <c r="C123" s="41" t="str">
        <f>IF(A123&lt;&gt;"",INDEX('Base de données'!A$4:L$990,MATCH(A123,'Base de données'!A$4:A$990,0),12),"")</f>
        <v/>
      </c>
      <c r="D123" s="447"/>
      <c r="E123" s="448"/>
      <c r="F123" s="447"/>
      <c r="G123" s="448"/>
      <c r="H123" s="449"/>
      <c r="I123" s="450"/>
      <c r="J123" s="451"/>
      <c r="K123" s="448"/>
    </row>
    <row r="124" spans="1:11" hidden="1" x14ac:dyDescent="0.25">
      <c r="A124" s="445"/>
      <c r="B124" s="70" t="str">
        <f>IF(A124&lt;&gt;"",INDEX('Base de données'!A$4:L$990,MATCH(A124,'Base de données'!A$4:A$990,0),2),"")</f>
        <v/>
      </c>
      <c r="C124" s="70" t="str">
        <f>IF(A124&lt;&gt;"",INDEX('Base de données'!A$4:L$990,MATCH(A124,'Base de données'!A$4:A$990,0),12),"")</f>
        <v/>
      </c>
      <c r="D124" s="613"/>
      <c r="E124" s="453"/>
      <c r="F124" s="613"/>
      <c r="G124" s="453"/>
      <c r="H124" s="453"/>
      <c r="I124" s="453"/>
      <c r="J124" s="453"/>
      <c r="K124" s="454"/>
    </row>
    <row r="125" spans="1:11" hidden="1" x14ac:dyDescent="0.25">
      <c r="A125" s="446"/>
      <c r="B125" s="71" t="str">
        <f>IF(A125&lt;&gt;"",INDEX('Base de données'!A$4:L$990,MATCH(A125,'Base de données'!A$4:A$990,0),2),"")</f>
        <v/>
      </c>
      <c r="C125" s="71" t="str">
        <f>IF(A125&lt;&gt;"",INDEX('Base de données'!A$4:L$990,MATCH(A125,'Base de données'!A$4:A$990,0),12),"")</f>
        <v/>
      </c>
      <c r="D125" s="614"/>
      <c r="E125" s="455"/>
      <c r="F125" s="614"/>
      <c r="G125" s="455"/>
      <c r="H125" s="455"/>
      <c r="I125" s="455"/>
      <c r="J125" s="455"/>
      <c r="K125" s="456"/>
    </row>
    <row r="126" spans="1:11" hidden="1" x14ac:dyDescent="0.25">
      <c r="A126" s="446"/>
      <c r="B126" s="71" t="str">
        <f>IF(A126&lt;&gt;"",INDEX('Base de données'!A$4:L$990,MATCH(A126,'Base de données'!A$4:A$990,0),2),"")</f>
        <v/>
      </c>
      <c r="C126" s="71" t="str">
        <f>IF(A126&lt;&gt;"",INDEX('Base de données'!A$4:L$990,MATCH(A126,'Base de données'!A$4:A$990,0),12),"")</f>
        <v/>
      </c>
      <c r="D126" s="614"/>
      <c r="E126" s="455"/>
      <c r="F126" s="614"/>
      <c r="G126" s="455"/>
      <c r="H126" s="614"/>
      <c r="I126" s="455"/>
      <c r="J126" s="455"/>
      <c r="K126" s="456"/>
    </row>
    <row r="127" spans="1:11" hidden="1" x14ac:dyDescent="0.25">
      <c r="A127" s="446"/>
      <c r="B127" s="71" t="str">
        <f>IF(A127&lt;&gt;"",INDEX('Base de données'!A$4:L$990,MATCH(A127,'Base de données'!A$4:A$990,0),2),"")</f>
        <v/>
      </c>
      <c r="C127" s="71" t="str">
        <f>IF(A127&lt;&gt;"",INDEX('Base de données'!A$4:L$990,MATCH(A127,'Base de données'!A$4:A$990,0),12),"")</f>
        <v/>
      </c>
      <c r="D127" s="455"/>
      <c r="E127" s="455"/>
      <c r="F127" s="614"/>
      <c r="G127" s="455"/>
      <c r="H127" s="614"/>
      <c r="I127" s="455"/>
      <c r="J127" s="455"/>
      <c r="K127" s="456"/>
    </row>
    <row r="128" spans="1:11" hidden="1" x14ac:dyDescent="0.25">
      <c r="A128" s="446"/>
      <c r="B128" s="71" t="str">
        <f>IF(A128&lt;&gt;"",INDEX('Base de données'!A$4:L$990,MATCH(A128,'Base de données'!A$4:A$990,0),2),"")</f>
        <v/>
      </c>
      <c r="C128" s="71" t="str">
        <f>IF(A128&lt;&gt;"",INDEX('Base de données'!A$4:L$990,MATCH(A128,'Base de données'!A$4:A$990,0),12),"")</f>
        <v/>
      </c>
      <c r="D128" s="614"/>
      <c r="E128" s="455"/>
      <c r="F128" s="614"/>
      <c r="G128" s="455"/>
      <c r="H128" s="455"/>
      <c r="I128" s="455"/>
      <c r="J128" s="455"/>
      <c r="K128" s="456"/>
    </row>
    <row r="129" spans="1:11" hidden="1" x14ac:dyDescent="0.25">
      <c r="A129" s="446"/>
      <c r="B129" s="71" t="str">
        <f>IF(A129&lt;&gt;"",INDEX('Base de données'!A$4:L$990,MATCH(A129,'Base de données'!A$4:A$990,0),2),"")</f>
        <v/>
      </c>
      <c r="C129" s="71" t="str">
        <f>IF(A129&lt;&gt;"",INDEX('Base de données'!A$4:L$990,MATCH(A129,'Base de données'!A$4:A$990,0),12),"")</f>
        <v/>
      </c>
      <c r="D129" s="614"/>
      <c r="E129" s="455"/>
      <c r="F129" s="614"/>
      <c r="G129" s="455"/>
      <c r="H129" s="614"/>
      <c r="I129" s="455"/>
      <c r="J129" s="455"/>
      <c r="K129" s="456"/>
    </row>
    <row r="130" spans="1:11" hidden="1" x14ac:dyDescent="0.25">
      <c r="A130" s="446"/>
      <c r="B130" s="71" t="str">
        <f>IF(A130&lt;&gt;"",INDEX('Base de données'!A$4:L$990,MATCH(A130,'Base de données'!A$4:A$990,0),2),"")</f>
        <v/>
      </c>
      <c r="C130" s="71" t="str">
        <f>IF(A130&lt;&gt;"",INDEX('Base de données'!A$4:L$990,MATCH(A130,'Base de données'!A$4:A$990,0),12),"")</f>
        <v/>
      </c>
      <c r="D130" s="614"/>
      <c r="E130" s="615"/>
      <c r="F130" s="614"/>
      <c r="G130" s="455"/>
      <c r="H130" s="614"/>
      <c r="I130" s="455"/>
      <c r="J130" s="614"/>
      <c r="K130" s="619"/>
    </row>
    <row r="131" spans="1:11" hidden="1" x14ac:dyDescent="0.25">
      <c r="A131" s="446"/>
      <c r="B131" s="71" t="str">
        <f>IF(A131&lt;&gt;"",INDEX('Base de données'!A$4:L$990,MATCH(A131,'Base de données'!A$4:A$990,0),2),"")</f>
        <v/>
      </c>
      <c r="C131" s="71" t="str">
        <f>IF(A131&lt;&gt;"",INDEX('Base de données'!A$4:L$990,MATCH(A131,'Base de données'!A$4:A$990,0),12),"")</f>
        <v/>
      </c>
      <c r="D131" s="614"/>
      <c r="E131" s="455"/>
      <c r="F131" s="614"/>
      <c r="G131" s="455"/>
      <c r="H131" s="614"/>
      <c r="I131" s="455"/>
      <c r="J131" s="614"/>
      <c r="K131" s="456"/>
    </row>
    <row r="132" spans="1:11" hidden="1" x14ac:dyDescent="0.25">
      <c r="A132" s="446"/>
      <c r="B132" s="71" t="str">
        <f>IF(A132&lt;&gt;"",INDEX('Base de données'!A$4:L$990,MATCH(A132,'Base de données'!A$4:A$990,0),2),"")</f>
        <v/>
      </c>
      <c r="C132" s="71" t="str">
        <f>IF(A132&lt;&gt;"",INDEX('Base de données'!A$4:L$990,MATCH(A132,'Base de données'!A$4:A$990,0),12),"")</f>
        <v/>
      </c>
      <c r="D132" s="614"/>
      <c r="E132" s="455"/>
      <c r="F132" s="614"/>
      <c r="G132" s="455"/>
      <c r="H132" s="614"/>
      <c r="I132" s="455"/>
      <c r="J132" s="455"/>
      <c r="K132" s="456"/>
    </row>
    <row r="133" spans="1:11" hidden="1" x14ac:dyDescent="0.25">
      <c r="A133" s="446"/>
      <c r="B133" s="71" t="str">
        <f>IF(A133&lt;&gt;"",INDEX('Base de données'!A$4:L$990,MATCH(A133,'Base de données'!A$4:A$990,0),2),"")</f>
        <v/>
      </c>
      <c r="C133" s="71" t="str">
        <f>IF(A133&lt;&gt;"",INDEX('Base de données'!A$4:L$990,MATCH(A133,'Base de données'!A$4:A$990,0),12),"")</f>
        <v/>
      </c>
      <c r="D133" s="614"/>
      <c r="E133" s="455"/>
      <c r="F133" s="614"/>
      <c r="G133" s="455"/>
      <c r="H133" s="614"/>
      <c r="I133" s="455"/>
      <c r="J133" s="455"/>
      <c r="K133" s="456"/>
    </row>
    <row r="134" spans="1:11" hidden="1" x14ac:dyDescent="0.25">
      <c r="A134" s="446"/>
      <c r="B134" s="71" t="str">
        <f>IF(A134&lt;&gt;"",INDEX('Base de données'!A$4:L$990,MATCH(A134,'Base de données'!A$4:A$990,0),2),"")</f>
        <v/>
      </c>
      <c r="C134" s="71" t="str">
        <f>IF(A134&lt;&gt;"",INDEX('Base de données'!A$4:L$990,MATCH(A134,'Base de données'!A$4:A$990,0),12),"")</f>
        <v/>
      </c>
      <c r="D134" s="614"/>
      <c r="E134" s="455"/>
      <c r="F134" s="614"/>
      <c r="G134" s="455"/>
      <c r="H134" s="614"/>
      <c r="I134" s="455"/>
      <c r="J134" s="455"/>
      <c r="K134" s="456"/>
    </row>
    <row r="135" spans="1:11" hidden="1" x14ac:dyDescent="0.25">
      <c r="A135" s="446"/>
      <c r="B135" s="71" t="str">
        <f>IF(A135&lt;&gt;"",INDEX('Base de données'!A$4:L$990,MATCH(A135,'Base de données'!A$4:A$990,0),2),"")</f>
        <v/>
      </c>
      <c r="C135" s="71" t="str">
        <f>IF(A135&lt;&gt;"",INDEX('Base de données'!A$4:L$990,MATCH(A135,'Base de données'!A$4:A$990,0),12),"")</f>
        <v/>
      </c>
      <c r="D135" s="614"/>
      <c r="E135" s="455"/>
      <c r="F135" s="614"/>
      <c r="G135" s="455"/>
      <c r="H135" s="614"/>
      <c r="I135" s="455"/>
      <c r="J135" s="455"/>
      <c r="K135" s="456"/>
    </row>
    <row r="136" spans="1:11" hidden="1" x14ac:dyDescent="0.25">
      <c r="A136" s="446"/>
      <c r="B136" s="71" t="str">
        <f>IF(A136&lt;&gt;"",INDEX('Base de données'!A$4:L$990,MATCH(A136,'Base de données'!A$4:A$990,0),2),"")</f>
        <v/>
      </c>
      <c r="C136" s="71" t="str">
        <f>IF(A136&lt;&gt;"",INDEX('Base de données'!A$4:L$990,MATCH(A136,'Base de données'!A$4:A$990,0),12),"")</f>
        <v/>
      </c>
      <c r="D136" s="614"/>
      <c r="E136" s="455"/>
      <c r="F136" s="614"/>
      <c r="G136" s="455"/>
      <c r="H136" s="614"/>
      <c r="I136" s="455"/>
      <c r="J136" s="455"/>
      <c r="K136" s="456"/>
    </row>
    <row r="137" spans="1:11" hidden="1" x14ac:dyDescent="0.25">
      <c r="A137" s="446"/>
      <c r="B137" s="71" t="str">
        <f>IF(A137&lt;&gt;"",INDEX('Base de données'!A$4:L$990,MATCH(A137,'Base de données'!A$4:A$990,0),2),"")</f>
        <v/>
      </c>
      <c r="C137" s="71" t="str">
        <f>IF(A137&lt;&gt;"",INDEX('Base de données'!A$4:L$990,MATCH(A137,'Base de données'!A$4:A$990,0),12),"")</f>
        <v/>
      </c>
      <c r="D137" s="614"/>
      <c r="E137" s="455"/>
      <c r="F137" s="614"/>
      <c r="G137" s="455"/>
      <c r="H137" s="614"/>
      <c r="I137" s="455"/>
      <c r="J137" s="614"/>
      <c r="K137" s="456"/>
    </row>
    <row r="138" spans="1:11" hidden="1" x14ac:dyDescent="0.25">
      <c r="A138" s="446"/>
      <c r="B138" s="71" t="str">
        <f>IF(A138&lt;&gt;"",INDEX('Base de données'!A$4:L$990,MATCH(A138,'Base de données'!A$4:A$990,0),2),"")</f>
        <v/>
      </c>
      <c r="C138" s="71" t="str">
        <f>IF(A138&lt;&gt;"",INDEX('Base de données'!A$4:L$990,MATCH(A138,'Base de données'!A$4:A$990,0),12),"")</f>
        <v/>
      </c>
      <c r="D138" s="614"/>
      <c r="E138" s="455"/>
      <c r="F138" s="614"/>
      <c r="G138" s="455"/>
      <c r="H138" s="614"/>
      <c r="I138" s="455"/>
      <c r="J138" s="455"/>
      <c r="K138" s="456"/>
    </row>
    <row r="139" spans="1:11" hidden="1" x14ac:dyDescent="0.25">
      <c r="A139" s="446"/>
      <c r="B139" s="71" t="str">
        <f>IF(A139&lt;&gt;"",INDEX('Base de données'!A$4:L$990,MATCH(A139,'Base de données'!A$4:A$990,0),2),"")</f>
        <v/>
      </c>
      <c r="C139" s="71" t="str">
        <f>IF(A139&lt;&gt;"",INDEX('Base de données'!A$4:L$990,MATCH(A139,'Base de données'!A$4:A$990,0),12),"")</f>
        <v/>
      </c>
      <c r="D139" s="614"/>
      <c r="E139" s="455"/>
      <c r="F139" s="614"/>
      <c r="G139" s="455"/>
      <c r="H139" s="614"/>
      <c r="I139" s="455"/>
      <c r="J139" s="455"/>
      <c r="K139" s="456"/>
    </row>
    <row r="140" spans="1:11" hidden="1" x14ac:dyDescent="0.25">
      <c r="A140" s="446"/>
      <c r="B140" s="71" t="str">
        <f>IF(A140&lt;&gt;"",INDEX('Base de données'!A$4:L$990,MATCH(A140,'Base de données'!A$4:A$990,0),2),"")</f>
        <v/>
      </c>
      <c r="C140" s="71" t="str">
        <f>IF(A140&lt;&gt;"",INDEX('Base de données'!A$4:L$990,MATCH(A140,'Base de données'!A$4:A$990,0),12),"")</f>
        <v/>
      </c>
      <c r="D140" s="614"/>
      <c r="E140" s="455"/>
      <c r="F140" s="614"/>
      <c r="G140" s="455"/>
      <c r="H140" s="614"/>
      <c r="I140" s="455"/>
      <c r="J140" s="455"/>
      <c r="K140" s="456"/>
    </row>
    <row r="141" spans="1:11" hidden="1" x14ac:dyDescent="0.25">
      <c r="A141" s="446"/>
      <c r="B141" s="71" t="str">
        <f>IF(A141&lt;&gt;"",INDEX('Base de données'!A$4:L$990,MATCH(A141,'Base de données'!A$4:A$990,0),2),"")</f>
        <v/>
      </c>
      <c r="C141" s="71" t="str">
        <f>IF(A141&lt;&gt;"",INDEX('Base de données'!A$4:L$990,MATCH(A141,'Base de données'!A$4:A$990,0),12),"")</f>
        <v/>
      </c>
      <c r="D141" s="614"/>
      <c r="E141" s="455"/>
      <c r="F141" s="614"/>
      <c r="G141" s="455"/>
      <c r="H141" s="614"/>
      <c r="I141" s="455"/>
      <c r="J141" s="455"/>
      <c r="K141" s="456"/>
    </row>
    <row r="142" spans="1:11" hidden="1" x14ac:dyDescent="0.25">
      <c r="A142" s="446"/>
      <c r="B142" s="71" t="str">
        <f>IF(A142&lt;&gt;"",INDEX('Base de données'!A$4:L$990,MATCH(A142,'Base de données'!A$4:A$990,0),2),"")</f>
        <v/>
      </c>
      <c r="C142" s="71" t="str">
        <f>IF(A142&lt;&gt;"",INDEX('Base de données'!A$4:L$990,MATCH(A142,'Base de données'!A$4:A$990,0),12),"")</f>
        <v/>
      </c>
      <c r="D142" s="614"/>
      <c r="E142" s="455"/>
      <c r="F142" s="614"/>
      <c r="G142" s="455"/>
      <c r="H142" s="614"/>
      <c r="I142" s="455"/>
      <c r="J142" s="455"/>
      <c r="K142" s="456"/>
    </row>
    <row r="143" spans="1:11" hidden="1" x14ac:dyDescent="0.25">
      <c r="A143" s="446"/>
      <c r="B143" s="71" t="str">
        <f>IF(A143&lt;&gt;"",INDEX('Base de données'!A$4:L$990,MATCH(A143,'Base de données'!A$4:A$990,0),2),"")</f>
        <v/>
      </c>
      <c r="C143" s="71" t="str">
        <f>IF(A143&lt;&gt;"",INDEX('Base de données'!A$4:L$990,MATCH(A143,'Base de données'!A$4:A$990,0),12),"")</f>
        <v/>
      </c>
      <c r="D143" s="614"/>
      <c r="E143" s="455"/>
      <c r="F143" s="614"/>
      <c r="G143" s="455"/>
      <c r="H143" s="614"/>
      <c r="I143" s="455"/>
      <c r="J143" s="455"/>
      <c r="K143" s="456"/>
    </row>
    <row r="144" spans="1:11" hidden="1" x14ac:dyDescent="0.25">
      <c r="A144" s="446"/>
      <c r="B144" s="71" t="str">
        <f>IF(A144&lt;&gt;"",INDEX('Base de données'!A$4:L$990,MATCH(A144,'Base de données'!A$4:A$990,0),2),"")</f>
        <v/>
      </c>
      <c r="C144" s="71" t="str">
        <f>IF(A144&lt;&gt;"",INDEX('Base de données'!A$4:L$990,MATCH(A144,'Base de données'!A$4:A$990,0),12),"")</f>
        <v/>
      </c>
      <c r="D144" s="614"/>
      <c r="E144" s="455"/>
      <c r="F144" s="614"/>
      <c r="G144" s="455"/>
      <c r="H144" s="614"/>
      <c r="I144" s="455"/>
      <c r="J144" s="455"/>
      <c r="K144" s="456"/>
    </row>
    <row r="145" spans="1:11" hidden="1" x14ac:dyDescent="0.25">
      <c r="A145" s="446"/>
      <c r="B145" s="71" t="str">
        <f>IF(A145&lt;&gt;"",INDEX('Base de données'!A$4:L$990,MATCH(A145,'Base de données'!A$4:A$990,0),2),"")</f>
        <v/>
      </c>
      <c r="C145" s="71" t="str">
        <f>IF(A145&lt;&gt;"",INDEX('Base de données'!A$4:L$990,MATCH(A145,'Base de données'!A$4:A$990,0),12),"")</f>
        <v/>
      </c>
      <c r="D145" s="614"/>
      <c r="E145" s="455"/>
      <c r="F145" s="614"/>
      <c r="G145" s="455"/>
      <c r="H145" s="614"/>
      <c r="I145" s="615"/>
      <c r="J145" s="455"/>
      <c r="K145" s="456"/>
    </row>
    <row r="146" spans="1:11" hidden="1" x14ac:dyDescent="0.25">
      <c r="A146" s="446"/>
      <c r="B146" s="71" t="str">
        <f>IF(A146&lt;&gt;"",INDEX('Base de données'!A$4:L$990,MATCH(A146,'Base de données'!A$4:A$990,0),2),"")</f>
        <v/>
      </c>
      <c r="C146" s="71" t="str">
        <f>IF(A146&lt;&gt;"",INDEX('Base de données'!A$4:L$990,MATCH(A146,'Base de données'!A$4:A$990,0),12),"")</f>
        <v/>
      </c>
      <c r="D146" s="614"/>
      <c r="E146" s="455"/>
      <c r="F146" s="614"/>
      <c r="G146" s="455"/>
      <c r="H146" s="614"/>
      <c r="I146" s="455"/>
      <c r="J146" s="455"/>
      <c r="K146" s="456"/>
    </row>
    <row r="147" spans="1:11" hidden="1" x14ac:dyDescent="0.25">
      <c r="A147" s="446"/>
      <c r="B147" s="71" t="str">
        <f>IF(A147&lt;&gt;"",INDEX('Base de données'!A$4:L$990,MATCH(A147,'Base de données'!A$4:A$990,0),2),"")</f>
        <v/>
      </c>
      <c r="C147" s="71" t="str">
        <f>IF(A147&lt;&gt;"",INDEX('Base de données'!A$4:L$990,MATCH(A147,'Base de données'!A$4:A$990,0),12),"")</f>
        <v/>
      </c>
      <c r="D147" s="614"/>
      <c r="E147" s="455"/>
      <c r="F147" s="614"/>
      <c r="G147" s="455"/>
      <c r="H147" s="614"/>
      <c r="I147" s="455"/>
      <c r="J147" s="455"/>
      <c r="K147" s="456"/>
    </row>
    <row r="148" spans="1:11" hidden="1" x14ac:dyDescent="0.25">
      <c r="A148" s="446"/>
      <c r="B148" s="71" t="str">
        <f>IF(A148&lt;&gt;"",INDEX('Base de données'!A$4:L$990,MATCH(A148,'Base de données'!A$4:A$990,0),2),"")</f>
        <v/>
      </c>
      <c r="C148" s="71" t="str">
        <f>IF(A148&lt;&gt;"",INDEX('Base de données'!A$4:L$990,MATCH(A148,'Base de données'!A$4:A$990,0),12),"")</f>
        <v/>
      </c>
      <c r="D148" s="614"/>
      <c r="E148" s="455"/>
      <c r="F148" s="614"/>
      <c r="G148" s="455"/>
      <c r="H148" s="614"/>
      <c r="I148" s="455"/>
      <c r="J148" s="455"/>
      <c r="K148" s="456"/>
    </row>
    <row r="149" spans="1:11" hidden="1" x14ac:dyDescent="0.25">
      <c r="A149" s="446"/>
      <c r="B149" s="71" t="str">
        <f>IF(A149&lt;&gt;"",INDEX('Base de données'!A$4:L$990,MATCH(A149,'Base de données'!A$4:A$990,0),2),"")</f>
        <v/>
      </c>
      <c r="C149" s="71" t="str">
        <f>IF(A149&lt;&gt;"",INDEX('Base de données'!A$4:L$990,MATCH(A149,'Base de données'!A$4:A$990,0),12),"")</f>
        <v/>
      </c>
      <c r="D149" s="614"/>
      <c r="E149" s="455"/>
      <c r="F149" s="614"/>
      <c r="G149" s="455"/>
      <c r="H149" s="614"/>
      <c r="I149" s="455"/>
      <c r="J149" s="455"/>
      <c r="K149" s="456"/>
    </row>
    <row r="150" spans="1:11" hidden="1" x14ac:dyDescent="0.25">
      <c r="A150" s="446"/>
      <c r="B150" s="71" t="str">
        <f>IF(A150&lt;&gt;"",INDEX('Base de données'!A$4:L$990,MATCH(A150,'Base de données'!A$4:A$990,0),2),"")</f>
        <v/>
      </c>
      <c r="C150" s="71" t="str">
        <f>IF(A150&lt;&gt;"",INDEX('Base de données'!A$4:L$990,MATCH(A150,'Base de données'!A$4:A$990,0),12),"")</f>
        <v/>
      </c>
      <c r="D150" s="614"/>
      <c r="E150" s="455"/>
      <c r="F150" s="614"/>
      <c r="G150" s="455"/>
      <c r="H150" s="614"/>
      <c r="I150" s="455"/>
      <c r="J150" s="455"/>
      <c r="K150" s="456"/>
    </row>
    <row r="151" spans="1:11" hidden="1" x14ac:dyDescent="0.25">
      <c r="A151" s="446"/>
      <c r="B151" s="71" t="str">
        <f>IF(A151&lt;&gt;"",INDEX('Base de données'!A$4:L$990,MATCH(A151,'Base de données'!A$4:A$990,0),2),"")</f>
        <v/>
      </c>
      <c r="C151" s="71" t="str">
        <f>IF(A151&lt;&gt;"",INDEX('Base de données'!A$4:L$990,MATCH(A151,'Base de données'!A$4:A$990,0),12),"")</f>
        <v/>
      </c>
      <c r="D151" s="614"/>
      <c r="E151" s="455"/>
      <c r="F151" s="614"/>
      <c r="G151" s="455"/>
      <c r="H151" s="614"/>
      <c r="I151" s="455"/>
      <c r="J151" s="455"/>
      <c r="K151" s="456"/>
    </row>
    <row r="152" spans="1:11" hidden="1" x14ac:dyDescent="0.25">
      <c r="A152" s="446"/>
      <c r="B152" s="71" t="str">
        <f>IF(A152&lt;&gt;"",INDEX('Base de données'!A$4:L$990,MATCH(A152,'Base de données'!A$4:A$990,0),2),"")</f>
        <v/>
      </c>
      <c r="C152" s="71" t="str">
        <f>IF(A152&lt;&gt;"",INDEX('Base de données'!A$4:L$990,MATCH(A152,'Base de données'!A$4:A$990,0),12),"")</f>
        <v/>
      </c>
      <c r="D152" s="614"/>
      <c r="E152" s="455"/>
      <c r="F152" s="614"/>
      <c r="G152" s="455"/>
      <c r="H152" s="614"/>
      <c r="I152" s="455"/>
      <c r="J152" s="455"/>
      <c r="K152" s="456"/>
    </row>
    <row r="153" spans="1:11" hidden="1" x14ac:dyDescent="0.25">
      <c r="A153" s="446"/>
      <c r="B153" s="71" t="str">
        <f>IF(A153&lt;&gt;"",INDEX('Base de données'!A$4:L$990,MATCH(A153,'Base de données'!A$4:A$990,0),2),"")</f>
        <v/>
      </c>
      <c r="C153" s="71" t="str">
        <f>IF(A153&lt;&gt;"",INDEX('Base de données'!A$4:L$990,MATCH(A153,'Base de données'!A$4:A$990,0),12),"")</f>
        <v/>
      </c>
      <c r="D153" s="614"/>
      <c r="E153" s="455"/>
      <c r="F153" s="614"/>
      <c r="G153" s="455"/>
      <c r="H153" s="455"/>
      <c r="I153" s="455"/>
      <c r="J153" s="455"/>
      <c r="K153" s="456"/>
    </row>
    <row r="154" spans="1:11" hidden="1" x14ac:dyDescent="0.25">
      <c r="A154" s="446"/>
      <c r="B154" s="71" t="str">
        <f>IF(A154&lt;&gt;"",INDEX('Base de données'!A$4:L$990,MATCH(A154,'Base de données'!A$4:A$990,0),2),"")</f>
        <v/>
      </c>
      <c r="C154" s="71" t="str">
        <f>IF(A154&lt;&gt;"",INDEX('Base de données'!A$4:L$990,MATCH(A154,'Base de données'!A$4:A$990,0),12),"")</f>
        <v/>
      </c>
      <c r="D154" s="614"/>
      <c r="E154" s="455"/>
      <c r="F154" s="614"/>
      <c r="G154" s="455"/>
      <c r="H154" s="614"/>
      <c r="I154" s="455"/>
      <c r="J154" s="455"/>
      <c r="K154" s="456"/>
    </row>
    <row r="155" spans="1:11" hidden="1" x14ac:dyDescent="0.25">
      <c r="A155" s="446"/>
      <c r="B155" s="71" t="str">
        <f>IF(A155&lt;&gt;"",INDEX('Base de données'!A$4:L$990,MATCH(A155,'Base de données'!A$4:A$990,0),2),"")</f>
        <v/>
      </c>
      <c r="C155" s="71" t="str">
        <f>IF(A155&lt;&gt;"",INDEX('Base de données'!A$4:L$990,MATCH(A155,'Base de données'!A$4:A$990,0),12),"")</f>
        <v/>
      </c>
      <c r="D155" s="455"/>
      <c r="E155" s="455"/>
      <c r="F155" s="614"/>
      <c r="G155" s="455"/>
      <c r="H155" s="614"/>
      <c r="I155" s="455"/>
      <c r="J155" s="455"/>
      <c r="K155" s="456"/>
    </row>
    <row r="156" spans="1:11" hidden="1" x14ac:dyDescent="0.25">
      <c r="A156" s="446"/>
      <c r="B156" s="71" t="str">
        <f>IF(A156&lt;&gt;"",INDEX('Base de données'!A$4:L$990,MATCH(A156,'Base de données'!A$4:A$990,0),2),"")</f>
        <v/>
      </c>
      <c r="C156" s="71" t="str">
        <f>IF(A156&lt;&gt;"",INDEX('Base de données'!A$4:L$990,MATCH(A156,'Base de données'!A$4:A$990,0),12),"")</f>
        <v/>
      </c>
      <c r="D156" s="614"/>
      <c r="E156" s="455"/>
      <c r="F156" s="614"/>
      <c r="G156" s="455"/>
      <c r="H156" s="614"/>
      <c r="I156" s="455"/>
      <c r="J156" s="455"/>
      <c r="K156" s="456"/>
    </row>
    <row r="157" spans="1:11" hidden="1" x14ac:dyDescent="0.25">
      <c r="A157" s="446"/>
      <c r="B157" s="71" t="str">
        <f>IF(A157&lt;&gt;"",INDEX('Base de données'!A$4:L$990,MATCH(A157,'Base de données'!A$4:A$990,0),2),"")</f>
        <v/>
      </c>
      <c r="C157" s="71" t="str">
        <f>IF(A157&lt;&gt;"",INDEX('Base de données'!A$4:L$990,MATCH(A157,'Base de données'!A$4:A$990,0),12),"")</f>
        <v/>
      </c>
      <c r="D157" s="614"/>
      <c r="E157" s="455"/>
      <c r="F157" s="614"/>
      <c r="G157" s="455"/>
      <c r="H157" s="455"/>
      <c r="I157" s="455"/>
      <c r="J157" s="455"/>
      <c r="K157" s="456"/>
    </row>
    <row r="158" spans="1:11" hidden="1" x14ac:dyDescent="0.25">
      <c r="A158" s="446"/>
      <c r="B158" s="71" t="str">
        <f>IF(A158&lt;&gt;"",INDEX('Base de données'!A$4:L$990,MATCH(A158,'Base de données'!A$4:A$990,0),2),"")</f>
        <v/>
      </c>
      <c r="C158" s="71" t="str">
        <f>IF(A158&lt;&gt;"",INDEX('Base de données'!A$4:L$990,MATCH(A158,'Base de données'!A$4:A$990,0),12),"")</f>
        <v/>
      </c>
      <c r="D158" s="614"/>
      <c r="E158" s="455"/>
      <c r="F158" s="614"/>
      <c r="G158" s="455"/>
      <c r="H158" s="614"/>
      <c r="I158" s="455"/>
      <c r="J158" s="455"/>
      <c r="K158" s="456"/>
    </row>
    <row r="159" spans="1:11" hidden="1" x14ac:dyDescent="0.25">
      <c r="A159" s="446"/>
      <c r="B159" s="71" t="str">
        <f>IF(A159&lt;&gt;"",INDEX('Base de données'!A$4:L$990,MATCH(A159,'Base de données'!A$4:A$990,0),2),"")</f>
        <v/>
      </c>
      <c r="C159" s="71" t="str">
        <f>IF(A159&lt;&gt;"",INDEX('Base de données'!A$4:L$990,MATCH(A159,'Base de données'!A$4:A$990,0),12),"")</f>
        <v/>
      </c>
      <c r="D159" s="614"/>
      <c r="E159" s="455"/>
      <c r="F159" s="614"/>
      <c r="G159" s="455"/>
      <c r="H159" s="614"/>
      <c r="I159" s="455"/>
      <c r="J159" s="455"/>
      <c r="K159" s="456"/>
    </row>
    <row r="160" spans="1:11" hidden="1" x14ac:dyDescent="0.25">
      <c r="A160" s="446"/>
      <c r="B160" s="71" t="str">
        <f>IF(A160&lt;&gt;"",INDEX('Base de données'!A$4:L$990,MATCH(A160,'Base de données'!A$4:A$990,0),2),"")</f>
        <v/>
      </c>
      <c r="C160" s="71" t="str">
        <f>IF(A160&lt;&gt;"",INDEX('Base de données'!A$4:L$990,MATCH(A160,'Base de données'!A$4:A$990,0),12),"")</f>
        <v/>
      </c>
      <c r="D160" s="614"/>
      <c r="E160" s="455"/>
      <c r="F160" s="614"/>
      <c r="G160" s="455"/>
      <c r="H160" s="614"/>
      <c r="I160" s="455"/>
      <c r="J160" s="455"/>
      <c r="K160" s="456"/>
    </row>
    <row r="161" spans="1:11" hidden="1" x14ac:dyDescent="0.25">
      <c r="A161" s="446"/>
      <c r="B161" s="71" t="str">
        <f>IF(A161&lt;&gt;"",INDEX('Base de données'!A$4:L$990,MATCH(A161,'Base de données'!A$4:A$990,0),2),"")</f>
        <v/>
      </c>
      <c r="C161" s="71" t="str">
        <f>IF(A161&lt;&gt;"",INDEX('Base de données'!A$4:L$990,MATCH(A161,'Base de données'!A$4:A$990,0),12),"")</f>
        <v/>
      </c>
      <c r="D161" s="614"/>
      <c r="E161" s="455"/>
      <c r="F161" s="614"/>
      <c r="G161" s="455"/>
      <c r="H161" s="614"/>
      <c r="I161" s="455"/>
      <c r="J161" s="455"/>
      <c r="K161" s="456"/>
    </row>
    <row r="162" spans="1:11" hidden="1" x14ac:dyDescent="0.25">
      <c r="A162" s="446"/>
      <c r="B162" s="71" t="str">
        <f>IF(A162&lt;&gt;"",INDEX('Base de données'!A$4:L$990,MATCH(A162,'Base de données'!A$4:A$990,0),2),"")</f>
        <v/>
      </c>
      <c r="C162" s="71" t="str">
        <f>IF(A162&lt;&gt;"",INDEX('Base de données'!A$4:L$990,MATCH(A162,'Base de données'!A$4:A$990,0),12),"")</f>
        <v/>
      </c>
      <c r="D162" s="614"/>
      <c r="E162" s="455"/>
      <c r="F162" s="614"/>
      <c r="G162" s="455"/>
      <c r="H162" s="614"/>
      <c r="I162" s="455"/>
      <c r="J162" s="455"/>
      <c r="K162" s="456"/>
    </row>
    <row r="163" spans="1:11" hidden="1" x14ac:dyDescent="0.25">
      <c r="A163" s="446"/>
      <c r="B163" s="71" t="str">
        <f>IF(A163&lt;&gt;"",INDEX('Base de données'!A$4:L$990,MATCH(A163,'Base de données'!A$4:A$990,0),2),"")</f>
        <v/>
      </c>
      <c r="C163" s="71" t="str">
        <f>IF(A163&lt;&gt;"",INDEX('Base de données'!A$4:L$990,MATCH(A163,'Base de données'!A$4:A$990,0),12),"")</f>
        <v/>
      </c>
      <c r="D163" s="614"/>
      <c r="E163" s="455"/>
      <c r="F163" s="614"/>
      <c r="G163" s="455"/>
      <c r="H163" s="614"/>
      <c r="I163" s="455"/>
      <c r="J163" s="455"/>
      <c r="K163" s="456"/>
    </row>
    <row r="164" spans="1:11" hidden="1" x14ac:dyDescent="0.25">
      <c r="A164" s="446"/>
      <c r="B164" s="71" t="str">
        <f>IF(A164&lt;&gt;"",INDEX('Base de données'!A$4:L$990,MATCH(A164,'Base de données'!A$4:A$990,0),2),"")</f>
        <v/>
      </c>
      <c r="C164" s="71" t="str">
        <f>IF(A164&lt;&gt;"",INDEX('Base de données'!A$4:L$990,MATCH(A164,'Base de données'!A$4:A$990,0),12),"")</f>
        <v/>
      </c>
      <c r="D164" s="614"/>
      <c r="E164" s="455"/>
      <c r="F164" s="614"/>
      <c r="G164" s="455"/>
      <c r="H164" s="614"/>
      <c r="I164" s="455"/>
      <c r="J164" s="455"/>
      <c r="K164" s="456"/>
    </row>
    <row r="165" spans="1:11" hidden="1" x14ac:dyDescent="0.25">
      <c r="A165" s="446"/>
      <c r="B165" s="71" t="str">
        <f>IF(A165&lt;&gt;"",INDEX('Base de données'!A$4:L$990,MATCH(A165,'Base de données'!A$4:A$990,0),2),"")</f>
        <v/>
      </c>
      <c r="C165" s="71" t="str">
        <f>IF(A165&lt;&gt;"",INDEX('Base de données'!A$4:L$990,MATCH(A165,'Base de données'!A$4:A$990,0),12),"")</f>
        <v/>
      </c>
      <c r="D165" s="614"/>
      <c r="E165" s="455"/>
      <c r="F165" s="614"/>
      <c r="G165" s="455"/>
      <c r="H165" s="614"/>
      <c r="I165" s="455"/>
      <c r="J165" s="455"/>
      <c r="K165" s="456"/>
    </row>
    <row r="166" spans="1:11" hidden="1" x14ac:dyDescent="0.25">
      <c r="A166" s="446"/>
      <c r="B166" s="71" t="str">
        <f>IF(A166&lt;&gt;"",INDEX('Base de données'!A$4:L$990,MATCH(A166,'Base de données'!A$4:A$990,0),2),"")</f>
        <v/>
      </c>
      <c r="C166" s="71" t="str">
        <f>IF(A166&lt;&gt;"",INDEX('Base de données'!A$4:L$990,MATCH(A166,'Base de données'!A$4:A$990,0),12),"")</f>
        <v/>
      </c>
      <c r="D166" s="614"/>
      <c r="E166" s="455"/>
      <c r="F166" s="614"/>
      <c r="G166" s="455"/>
      <c r="H166" s="614"/>
      <c r="I166" s="455"/>
      <c r="J166" s="455"/>
      <c r="K166" s="456"/>
    </row>
    <row r="167" spans="1:11" hidden="1" x14ac:dyDescent="0.25">
      <c r="A167" s="446"/>
      <c r="B167" s="71" t="str">
        <f>IF(A167&lt;&gt;"",INDEX('Base de données'!A$4:L$990,MATCH(A167,'Base de données'!A$4:A$990,0),2),"")</f>
        <v/>
      </c>
      <c r="C167" s="71" t="str">
        <f>IF(A167&lt;&gt;"",INDEX('Base de données'!A$4:L$990,MATCH(A167,'Base de données'!A$4:A$990,0),12),"")</f>
        <v/>
      </c>
      <c r="D167" s="614"/>
      <c r="E167" s="455"/>
      <c r="F167" s="614"/>
      <c r="G167" s="455"/>
      <c r="H167" s="614"/>
      <c r="I167" s="455"/>
      <c r="J167" s="455"/>
      <c r="K167" s="456"/>
    </row>
    <row r="168" spans="1:11" hidden="1" x14ac:dyDescent="0.25">
      <c r="A168" s="446"/>
      <c r="B168" s="71" t="str">
        <f>IF(A168&lt;&gt;"",INDEX('Base de données'!A$4:L$990,MATCH(A168,'Base de données'!A$4:A$990,0),2),"")</f>
        <v/>
      </c>
      <c r="C168" s="71" t="str">
        <f>IF(A168&lt;&gt;"",INDEX('Base de données'!A$4:L$990,MATCH(A168,'Base de données'!A$4:A$990,0),12),"")</f>
        <v/>
      </c>
      <c r="D168" s="614"/>
      <c r="E168" s="455"/>
      <c r="F168" s="614"/>
      <c r="G168" s="455"/>
      <c r="H168" s="614"/>
      <c r="I168" s="455"/>
      <c r="J168" s="455"/>
      <c r="K168" s="456"/>
    </row>
    <row r="169" spans="1:11" hidden="1" x14ac:dyDescent="0.25">
      <c r="A169" s="446"/>
      <c r="B169" s="71" t="str">
        <f>IF(A169&lt;&gt;"",INDEX('Base de données'!A$4:L$990,MATCH(A169,'Base de données'!A$4:A$990,0),2),"")</f>
        <v/>
      </c>
      <c r="C169" s="71" t="str">
        <f>IF(A169&lt;&gt;"",INDEX('Base de données'!A$4:L$990,MATCH(A169,'Base de données'!A$4:A$990,0),12),"")</f>
        <v/>
      </c>
      <c r="D169" s="614"/>
      <c r="E169" s="455"/>
      <c r="F169" s="614"/>
      <c r="G169" s="455"/>
      <c r="H169" s="614"/>
      <c r="I169" s="455"/>
      <c r="J169" s="455"/>
      <c r="K169" s="456"/>
    </row>
    <row r="170" spans="1:11" hidden="1" x14ac:dyDescent="0.25">
      <c r="A170" s="446"/>
      <c r="B170" s="71" t="str">
        <f>IF(A170&lt;&gt;"",INDEX('Base de données'!A$4:L$990,MATCH(A170,'Base de données'!A$4:A$990,0),2),"")</f>
        <v/>
      </c>
      <c r="C170" s="71" t="str">
        <f>IF(A170&lt;&gt;"",INDEX('Base de données'!A$4:L$990,MATCH(A170,'Base de données'!A$4:A$990,0),12),"")</f>
        <v/>
      </c>
      <c r="D170" s="614"/>
      <c r="E170" s="455"/>
      <c r="F170" s="614"/>
      <c r="G170" s="455"/>
      <c r="H170" s="614"/>
      <c r="I170" s="455"/>
      <c r="J170" s="455"/>
      <c r="K170" s="456"/>
    </row>
    <row r="171" spans="1:11" hidden="1" x14ac:dyDescent="0.25">
      <c r="A171" s="446"/>
      <c r="B171" s="71" t="str">
        <f>IF(A171&lt;&gt;"",INDEX('Base de données'!A$4:L$990,MATCH(A171,'Base de données'!A$4:A$990,0),2),"")</f>
        <v/>
      </c>
      <c r="C171" s="71" t="str">
        <f>IF(A171&lt;&gt;"",INDEX('Base de données'!A$4:L$990,MATCH(A171,'Base de données'!A$4:A$990,0),12),"")</f>
        <v/>
      </c>
      <c r="D171" s="614"/>
      <c r="E171" s="455"/>
      <c r="F171" s="614"/>
      <c r="G171" s="455"/>
      <c r="H171" s="614"/>
      <c r="I171" s="455"/>
      <c r="J171" s="455"/>
      <c r="K171" s="456"/>
    </row>
    <row r="172" spans="1:11" hidden="1" x14ac:dyDescent="0.25">
      <c r="A172" s="446"/>
      <c r="B172" s="71" t="str">
        <f>IF(A172&lt;&gt;"",INDEX('Base de données'!A$4:L$990,MATCH(A172,'Base de données'!A$4:A$990,0),2),"")</f>
        <v/>
      </c>
      <c r="C172" s="71" t="str">
        <f>IF(A172&lt;&gt;"",INDEX('Base de données'!A$4:L$990,MATCH(A172,'Base de données'!A$4:A$990,0),12),"")</f>
        <v/>
      </c>
      <c r="D172" s="614"/>
      <c r="E172" s="455"/>
      <c r="F172" s="614"/>
      <c r="G172" s="455"/>
      <c r="H172" s="614"/>
      <c r="I172" s="455"/>
      <c r="J172" s="455"/>
      <c r="K172" s="456"/>
    </row>
    <row r="173" spans="1:11" hidden="1" x14ac:dyDescent="0.25">
      <c r="A173" s="446"/>
      <c r="B173" s="71" t="str">
        <f>IF(A173&lt;&gt;"",INDEX('Base de données'!A$4:L$990,MATCH(A173,'Base de données'!A$4:A$990,0),2),"")</f>
        <v/>
      </c>
      <c r="C173" s="71" t="str">
        <f>IF(A173&lt;&gt;"",INDEX('Base de données'!A$4:L$990,MATCH(A173,'Base de données'!A$4:A$990,0),12),"")</f>
        <v/>
      </c>
      <c r="D173" s="455"/>
      <c r="E173" s="455"/>
      <c r="F173" s="614"/>
      <c r="G173" s="455"/>
      <c r="H173" s="614"/>
      <c r="I173" s="455"/>
      <c r="J173" s="455"/>
      <c r="K173" s="456"/>
    </row>
    <row r="174" spans="1:11" hidden="1" x14ac:dyDescent="0.25">
      <c r="A174" s="446"/>
      <c r="B174" s="71" t="str">
        <f>IF(A174&lt;&gt;"",INDEX('Base de données'!A$4:L$990,MATCH(A174,'Base de données'!A$4:A$990,0),2),"")</f>
        <v/>
      </c>
      <c r="C174" s="71" t="str">
        <f>IF(A174&lt;&gt;"",INDEX('Base de données'!A$4:L$990,MATCH(A174,'Base de données'!A$4:A$990,0),12),"")</f>
        <v/>
      </c>
      <c r="D174" s="614"/>
      <c r="E174" s="455"/>
      <c r="F174" s="614"/>
      <c r="G174" s="455"/>
      <c r="H174" s="614"/>
      <c r="I174" s="455"/>
      <c r="J174" s="455"/>
      <c r="K174" s="456"/>
    </row>
    <row r="175" spans="1:11" hidden="1" x14ac:dyDescent="0.25">
      <c r="A175" s="446"/>
      <c r="B175" s="71" t="str">
        <f>IF(A175&lt;&gt;"",INDEX('Base de données'!A$4:L$990,MATCH(A175,'Base de données'!A$4:A$990,0),2),"")</f>
        <v/>
      </c>
      <c r="C175" s="71" t="str">
        <f>IF(A175&lt;&gt;"",INDEX('Base de données'!A$4:L$990,MATCH(A175,'Base de données'!A$4:A$990,0),12),"")</f>
        <v/>
      </c>
      <c r="D175" s="614"/>
      <c r="E175" s="455"/>
      <c r="F175" s="614"/>
      <c r="G175" s="455"/>
      <c r="H175" s="614"/>
      <c r="I175" s="455"/>
      <c r="J175" s="455"/>
      <c r="K175" s="456"/>
    </row>
    <row r="176" spans="1:11" hidden="1" x14ac:dyDescent="0.25">
      <c r="A176" s="446"/>
      <c r="B176" s="71" t="str">
        <f>IF(A176&lt;&gt;"",INDEX('Base de données'!A$4:L$990,MATCH(A176,'Base de données'!A$4:A$990,0),2),"")</f>
        <v/>
      </c>
      <c r="C176" s="71" t="str">
        <f>IF(A176&lt;&gt;"",INDEX('Base de données'!A$4:L$990,MATCH(A176,'Base de données'!A$4:A$990,0),12),"")</f>
        <v/>
      </c>
      <c r="D176" s="614"/>
      <c r="E176" s="455"/>
      <c r="F176" s="614"/>
      <c r="G176" s="455"/>
      <c r="H176" s="614"/>
      <c r="I176" s="455"/>
      <c r="J176" s="455"/>
      <c r="K176" s="456"/>
    </row>
    <row r="177" spans="1:11" hidden="1" x14ac:dyDescent="0.25">
      <c r="A177" s="446"/>
      <c r="B177" s="71" t="str">
        <f>IF(A177&lt;&gt;"",INDEX('Base de données'!A$4:L$990,MATCH(A177,'Base de données'!A$4:A$990,0),2),"")</f>
        <v/>
      </c>
      <c r="C177" s="71" t="str">
        <f>IF(A177&lt;&gt;"",INDEX('Base de données'!A$4:L$990,MATCH(A177,'Base de données'!A$4:A$990,0),12),"")</f>
        <v/>
      </c>
      <c r="D177" s="614"/>
      <c r="E177" s="455"/>
      <c r="F177" s="614"/>
      <c r="G177" s="455"/>
      <c r="H177" s="455"/>
      <c r="I177" s="455"/>
      <c r="J177" s="455"/>
      <c r="K177" s="456"/>
    </row>
    <row r="178" spans="1:11" hidden="1" x14ac:dyDescent="0.25">
      <c r="A178" s="446"/>
      <c r="B178" s="71" t="str">
        <f>IF(A178&lt;&gt;"",INDEX('Base de données'!A$4:L$990,MATCH(A178,'Base de données'!A$4:A$990,0),2),"")</f>
        <v/>
      </c>
      <c r="C178" s="71" t="str">
        <f>IF(A178&lt;&gt;"",INDEX('Base de données'!A$4:L$990,MATCH(A178,'Base de données'!A$4:A$990,0),12),"")</f>
        <v/>
      </c>
      <c r="D178" s="614"/>
      <c r="E178" s="455"/>
      <c r="F178" s="614"/>
      <c r="G178" s="455"/>
      <c r="H178" s="455"/>
      <c r="I178" s="455"/>
      <c r="J178" s="455"/>
      <c r="K178" s="456"/>
    </row>
    <row r="179" spans="1:11" hidden="1" x14ac:dyDescent="0.25">
      <c r="A179" s="446"/>
      <c r="B179" s="71" t="str">
        <f>IF(A179&lt;&gt;"",INDEX('Base de données'!A$4:L$990,MATCH(A179,'Base de données'!A$4:A$990,0),2),"")</f>
        <v/>
      </c>
      <c r="C179" s="71" t="str">
        <f>IF(A179&lt;&gt;"",INDEX('Base de données'!A$4:L$990,MATCH(A179,'Base de données'!A$4:A$990,0),12),"")</f>
        <v/>
      </c>
      <c r="D179" s="614"/>
      <c r="E179" s="455"/>
      <c r="F179" s="614"/>
      <c r="G179" s="455"/>
      <c r="H179" s="455"/>
      <c r="I179" s="455"/>
      <c r="J179" s="455"/>
      <c r="K179" s="456"/>
    </row>
    <row r="180" spans="1:11" hidden="1" x14ac:dyDescent="0.25">
      <c r="A180" s="446"/>
      <c r="B180" s="71" t="str">
        <f>IF(A180&lt;&gt;"",INDEX('Base de données'!A$4:L$990,MATCH(A180,'Base de données'!A$4:A$990,0),2),"")</f>
        <v/>
      </c>
      <c r="C180" s="71" t="str">
        <f>IF(A180&lt;&gt;"",INDEX('Base de données'!A$4:L$990,MATCH(A180,'Base de données'!A$4:A$990,0),12),"")</f>
        <v/>
      </c>
      <c r="D180" s="455"/>
      <c r="E180" s="455"/>
      <c r="F180" s="455"/>
      <c r="G180" s="455"/>
      <c r="H180" s="455"/>
      <c r="I180" s="455"/>
      <c r="J180" s="455"/>
      <c r="K180" s="456"/>
    </row>
    <row r="181" spans="1:11" hidden="1" x14ac:dyDescent="0.25">
      <c r="A181" s="446"/>
      <c r="B181" s="71" t="str">
        <f>IF(A181&lt;&gt;"",INDEX('Base de données'!A$4:L$990,MATCH(A181,'Base de données'!A$4:A$990,0),2),"")</f>
        <v/>
      </c>
      <c r="C181" s="71" t="str">
        <f>IF(A181&lt;&gt;"",INDEX('Base de données'!A$4:L$990,MATCH(A181,'Base de données'!A$4:A$990,0),12),"")</f>
        <v/>
      </c>
      <c r="D181" s="455"/>
      <c r="E181" s="455"/>
      <c r="F181" s="455"/>
      <c r="G181" s="455"/>
      <c r="H181" s="455"/>
      <c r="I181" s="455"/>
      <c r="J181" s="455"/>
      <c r="K181" s="456"/>
    </row>
    <row r="182" spans="1:11" hidden="1" x14ac:dyDescent="0.25">
      <c r="A182" s="446"/>
      <c r="B182" s="71" t="str">
        <f>IF(A182&lt;&gt;"",INDEX('Base de données'!A$4:L$990,MATCH(A182,'Base de données'!A$4:A$990,0),2),"")</f>
        <v/>
      </c>
      <c r="C182" s="71" t="str">
        <f>IF(A182&lt;&gt;"",INDEX('Base de données'!A$4:L$990,MATCH(A182,'Base de données'!A$4:A$990,0),12),"")</f>
        <v/>
      </c>
      <c r="D182" s="455"/>
      <c r="E182" s="455"/>
      <c r="F182" s="455"/>
      <c r="G182" s="455"/>
      <c r="H182" s="455"/>
      <c r="I182" s="455"/>
      <c r="J182" s="455"/>
      <c r="K182" s="456"/>
    </row>
    <row r="183" spans="1:11" hidden="1" x14ac:dyDescent="0.25">
      <c r="A183" s="446"/>
      <c r="B183" s="71" t="str">
        <f>IF(A183&lt;&gt;"",INDEX('Base de données'!A$4:L$990,MATCH(A183,'Base de données'!A$4:A$990,0),2),"")</f>
        <v/>
      </c>
      <c r="C183" s="71" t="str">
        <f>IF(A183&lt;&gt;"",INDEX('Base de données'!A$4:L$990,MATCH(A183,'Base de données'!A$4:A$990,0),12),"")</f>
        <v/>
      </c>
      <c r="D183" s="455"/>
      <c r="E183" s="455"/>
      <c r="F183" s="455"/>
      <c r="G183" s="455"/>
      <c r="H183" s="455"/>
      <c r="I183" s="455"/>
      <c r="J183" s="455"/>
      <c r="K183" s="456"/>
    </row>
    <row r="184" spans="1:11" hidden="1" x14ac:dyDescent="0.25">
      <c r="A184" s="446"/>
      <c r="B184" s="71" t="str">
        <f>IF(A184&lt;&gt;"",INDEX('Base de données'!A$4:L$990,MATCH(A184,'Base de données'!A$4:A$990,0),2),"")</f>
        <v/>
      </c>
      <c r="C184" s="71" t="str">
        <f>IF(A184&lt;&gt;"",INDEX('Base de données'!A$4:L$990,MATCH(A184,'Base de données'!A$4:A$990,0),12),"")</f>
        <v/>
      </c>
      <c r="D184" s="455"/>
      <c r="E184" s="455"/>
      <c r="F184" s="455"/>
      <c r="G184" s="455"/>
      <c r="H184" s="455"/>
      <c r="I184" s="455"/>
      <c r="J184" s="455"/>
      <c r="K184" s="456"/>
    </row>
    <row r="185" spans="1:11" hidden="1" x14ac:dyDescent="0.25">
      <c r="A185" s="446"/>
      <c r="B185" s="71" t="str">
        <f>IF(A185&lt;&gt;"",INDEX('Base de données'!A$4:L$990,MATCH(A185,'Base de données'!A$4:A$990,0),2),"")</f>
        <v/>
      </c>
      <c r="C185" s="71" t="str">
        <f>IF(A185&lt;&gt;"",INDEX('Base de données'!A$4:L$990,MATCH(A185,'Base de données'!A$4:A$990,0),12),"")</f>
        <v/>
      </c>
      <c r="D185" s="455"/>
      <c r="E185" s="455"/>
      <c r="F185" s="455"/>
      <c r="G185" s="455"/>
      <c r="H185" s="455"/>
      <c r="I185" s="455"/>
      <c r="J185" s="455"/>
      <c r="K185" s="456"/>
    </row>
    <row r="186" spans="1:11" hidden="1" x14ac:dyDescent="0.25">
      <c r="A186" s="446"/>
      <c r="B186" s="71" t="str">
        <f>IF(A186&lt;&gt;"",INDEX('Base de données'!A$4:L$990,MATCH(A186,'Base de données'!A$4:A$990,0),2),"")</f>
        <v/>
      </c>
      <c r="C186" s="71" t="str">
        <f>IF(A186&lt;&gt;"",INDEX('Base de données'!A$4:L$990,MATCH(A186,'Base de données'!A$4:A$990,0),12),"")</f>
        <v/>
      </c>
      <c r="D186" s="455"/>
      <c r="E186" s="455"/>
      <c r="F186" s="455"/>
      <c r="G186" s="455"/>
      <c r="H186" s="455"/>
      <c r="I186" s="455"/>
      <c r="J186" s="455"/>
      <c r="K186" s="456"/>
    </row>
    <row r="187" spans="1:11" hidden="1" x14ac:dyDescent="0.25">
      <c r="A187" s="446"/>
      <c r="B187" s="71" t="str">
        <f>IF(A187&lt;&gt;"",INDEX('Base de données'!A$4:L$990,MATCH(A187,'Base de données'!A$4:A$990,0),2),"")</f>
        <v/>
      </c>
      <c r="C187" s="71" t="str">
        <f>IF(A187&lt;&gt;"",INDEX('Base de données'!A$4:L$990,MATCH(A187,'Base de données'!A$4:A$990,0),12),"")</f>
        <v/>
      </c>
      <c r="D187" s="455"/>
      <c r="E187" s="455"/>
      <c r="F187" s="455"/>
      <c r="G187" s="455"/>
      <c r="H187" s="455"/>
      <c r="I187" s="455"/>
      <c r="J187" s="455"/>
      <c r="K187" s="456"/>
    </row>
    <row r="188" spans="1:11" hidden="1" x14ac:dyDescent="0.25">
      <c r="A188" s="446"/>
      <c r="B188" s="71" t="str">
        <f>IF(A188&lt;&gt;"",INDEX('Base de données'!A$4:L$990,MATCH(A188,'Base de données'!A$4:A$990,0),2),"")</f>
        <v/>
      </c>
      <c r="C188" s="71" t="str">
        <f>IF(A188&lt;&gt;"",INDEX('Base de données'!A$4:L$990,MATCH(A188,'Base de données'!A$4:A$990,0),12),"")</f>
        <v/>
      </c>
      <c r="D188" s="455"/>
      <c r="E188" s="455"/>
      <c r="F188" s="455"/>
      <c r="G188" s="455"/>
      <c r="H188" s="455"/>
      <c r="I188" s="455"/>
      <c r="J188" s="455"/>
      <c r="K188" s="456"/>
    </row>
    <row r="189" spans="1:11" hidden="1" x14ac:dyDescent="0.25">
      <c r="A189" s="446"/>
      <c r="B189" s="71" t="str">
        <f>IF(A189&lt;&gt;"",INDEX('Base de données'!A$4:L$990,MATCH(A189,'Base de données'!A$4:A$990,0),2),"")</f>
        <v/>
      </c>
      <c r="C189" s="71" t="str">
        <f>IF(A189&lt;&gt;"",INDEX('Base de données'!A$4:L$990,MATCH(A189,'Base de données'!A$4:A$990,0),12),"")</f>
        <v/>
      </c>
      <c r="D189" s="455"/>
      <c r="E189" s="455"/>
      <c r="F189" s="455"/>
      <c r="G189" s="455"/>
      <c r="H189" s="455"/>
      <c r="I189" s="455"/>
      <c r="J189" s="455"/>
      <c r="K189" s="456"/>
    </row>
    <row r="190" spans="1:11" hidden="1" x14ac:dyDescent="0.25">
      <c r="A190" s="446"/>
      <c r="B190" s="71" t="str">
        <f>IF(A190&lt;&gt;"",INDEX('Base de données'!A$4:L$990,MATCH(A190,'Base de données'!A$4:A$990,0),2),"")</f>
        <v/>
      </c>
      <c r="C190" s="71" t="str">
        <f>IF(A190&lt;&gt;"",INDEX('Base de données'!A$4:L$990,MATCH(A190,'Base de données'!A$4:A$990,0),12),"")</f>
        <v/>
      </c>
      <c r="D190" s="455"/>
      <c r="E190" s="455"/>
      <c r="F190" s="455"/>
      <c r="G190" s="455"/>
      <c r="H190" s="455"/>
      <c r="I190" s="455"/>
      <c r="J190" s="455"/>
      <c r="K190" s="456"/>
    </row>
    <row r="191" spans="1:11" hidden="1" x14ac:dyDescent="0.25">
      <c r="A191" s="446"/>
      <c r="B191" s="71" t="str">
        <f>IF(A191&lt;&gt;"",INDEX('Base de données'!A$4:L$990,MATCH(A191,'Base de données'!A$4:A$990,0),2),"")</f>
        <v/>
      </c>
      <c r="C191" s="71" t="str">
        <f>IF(A191&lt;&gt;"",INDEX('Base de données'!A$4:L$990,MATCH(A191,'Base de données'!A$4:A$990,0),12),"")</f>
        <v/>
      </c>
      <c r="D191" s="455"/>
      <c r="E191" s="455"/>
      <c r="F191" s="455"/>
      <c r="G191" s="455"/>
      <c r="H191" s="455"/>
      <c r="I191" s="455"/>
      <c r="J191" s="455"/>
      <c r="K191" s="456"/>
    </row>
    <row r="192" spans="1:11" hidden="1" x14ac:dyDescent="0.25">
      <c r="A192" s="446"/>
      <c r="B192" s="71" t="str">
        <f>IF(A192&lt;&gt;"",INDEX('Base de données'!A$4:L$990,MATCH(A192,'Base de données'!A$4:A$990,0),2),"")</f>
        <v/>
      </c>
      <c r="C192" s="71" t="str">
        <f>IF(A192&lt;&gt;"",INDEX('Base de données'!A$4:L$990,MATCH(A192,'Base de données'!A$4:A$990,0),12),"")</f>
        <v/>
      </c>
      <c r="D192" s="455"/>
      <c r="E192" s="455"/>
      <c r="F192" s="455"/>
      <c r="G192" s="455"/>
      <c r="H192" s="455"/>
      <c r="I192" s="455"/>
      <c r="J192" s="455"/>
      <c r="K192" s="456"/>
    </row>
    <row r="193" spans="1:11" hidden="1" x14ac:dyDescent="0.25">
      <c r="A193" s="446"/>
      <c r="B193" s="71" t="str">
        <f>IF(A193&lt;&gt;"",INDEX('Base de données'!A$4:L$990,MATCH(A193,'Base de données'!A$4:A$990,0),2),"")</f>
        <v/>
      </c>
      <c r="C193" s="71" t="str">
        <f>IF(A193&lt;&gt;"",INDEX('Base de données'!A$4:L$990,MATCH(A193,'Base de données'!A$4:A$990,0),12),"")</f>
        <v/>
      </c>
      <c r="D193" s="455"/>
      <c r="E193" s="455"/>
      <c r="F193" s="455"/>
      <c r="G193" s="455"/>
      <c r="H193" s="455"/>
      <c r="I193" s="455"/>
      <c r="J193" s="455"/>
      <c r="K193" s="456"/>
    </row>
    <row r="194" spans="1:11" hidden="1" x14ac:dyDescent="0.25">
      <c r="A194" s="446"/>
      <c r="B194" s="71" t="str">
        <f>IF(A194&lt;&gt;"",INDEX('Base de données'!A$4:L$990,MATCH(A194,'Base de données'!A$4:A$990,0),2),"")</f>
        <v/>
      </c>
      <c r="C194" s="71" t="str">
        <f>IF(A194&lt;&gt;"",INDEX('Base de données'!A$4:L$990,MATCH(A194,'Base de données'!A$4:A$990,0),12),"")</f>
        <v/>
      </c>
      <c r="D194" s="455"/>
      <c r="E194" s="455"/>
      <c r="F194" s="455"/>
      <c r="G194" s="455"/>
      <c r="H194" s="455"/>
      <c r="I194" s="455"/>
      <c r="J194" s="455"/>
      <c r="K194" s="456"/>
    </row>
    <row r="195" spans="1:11" hidden="1" x14ac:dyDescent="0.25">
      <c r="A195" s="446"/>
      <c r="B195" s="71" t="str">
        <f>IF(A195&lt;&gt;"",INDEX('Base de données'!A$4:L$990,MATCH(A195,'Base de données'!A$4:A$990,0),2),"")</f>
        <v/>
      </c>
      <c r="C195" s="71" t="str">
        <f>IF(A195&lt;&gt;"",INDEX('Base de données'!A$4:L$990,MATCH(A195,'Base de données'!A$4:A$990,0),12),"")</f>
        <v/>
      </c>
      <c r="D195" s="455"/>
      <c r="E195" s="455"/>
      <c r="F195" s="455"/>
      <c r="G195" s="455"/>
      <c r="H195" s="455"/>
      <c r="I195" s="455"/>
      <c r="J195" s="455"/>
      <c r="K195" s="456"/>
    </row>
    <row r="196" spans="1:11" hidden="1" x14ac:dyDescent="0.25">
      <c r="A196" s="446"/>
      <c r="B196" s="71" t="str">
        <f>IF(A196&lt;&gt;"",INDEX('Base de données'!A$4:L$990,MATCH(A196,'Base de données'!A$4:A$990,0),2),"")</f>
        <v/>
      </c>
      <c r="C196" s="71" t="str">
        <f>IF(A196&lt;&gt;"",INDEX('Base de données'!A$4:L$990,MATCH(A196,'Base de données'!A$4:A$990,0),12),"")</f>
        <v/>
      </c>
      <c r="D196" s="455"/>
      <c r="E196" s="455"/>
      <c r="F196" s="455"/>
      <c r="G196" s="455"/>
      <c r="H196" s="455"/>
      <c r="I196" s="455"/>
      <c r="J196" s="455"/>
      <c r="K196" s="456"/>
    </row>
    <row r="197" spans="1:11" hidden="1" x14ac:dyDescent="0.25">
      <c r="A197" s="446"/>
      <c r="B197" s="71" t="str">
        <f>IF(A197&lt;&gt;"",INDEX('Base de données'!A$4:L$990,MATCH(A197,'Base de données'!A$4:A$990,0),2),"")</f>
        <v/>
      </c>
      <c r="C197" s="71" t="str">
        <f>IF(A197&lt;&gt;"",INDEX('Base de données'!A$4:L$990,MATCH(A197,'Base de données'!A$4:A$990,0),12),"")</f>
        <v/>
      </c>
      <c r="D197" s="455"/>
      <c r="E197" s="455"/>
      <c r="F197" s="455"/>
      <c r="G197" s="455"/>
      <c r="H197" s="455"/>
      <c r="I197" s="455"/>
      <c r="J197" s="455"/>
      <c r="K197" s="456"/>
    </row>
    <row r="198" spans="1:11" hidden="1" x14ac:dyDescent="0.25">
      <c r="A198" s="446"/>
      <c r="B198" s="71" t="str">
        <f>IF(A198&lt;&gt;"",INDEX('Base de données'!A$4:L$990,MATCH(A198,'Base de données'!A$4:A$990,0),2),"")</f>
        <v/>
      </c>
      <c r="C198" s="71" t="str">
        <f>IF(A198&lt;&gt;"",INDEX('Base de données'!A$4:L$990,MATCH(A198,'Base de données'!A$4:A$990,0),12),"")</f>
        <v/>
      </c>
      <c r="D198" s="455"/>
      <c r="E198" s="455"/>
      <c r="F198" s="455"/>
      <c r="G198" s="455"/>
      <c r="H198" s="455"/>
      <c r="I198" s="455"/>
      <c r="J198" s="455"/>
      <c r="K198" s="456"/>
    </row>
    <row r="199" spans="1:11" hidden="1" x14ac:dyDescent="0.25">
      <c r="A199" s="446"/>
      <c r="B199" s="71" t="str">
        <f>IF(A199&lt;&gt;"",INDEX('Base de données'!A$4:L$990,MATCH(A199,'Base de données'!A$4:A$990,0),2),"")</f>
        <v/>
      </c>
      <c r="C199" s="71" t="str">
        <f>IF(A199&lt;&gt;"",INDEX('Base de données'!A$4:L$990,MATCH(A199,'Base de données'!A$4:A$990,0),12),"")</f>
        <v/>
      </c>
      <c r="D199" s="455"/>
      <c r="E199" s="455"/>
      <c r="F199" s="455"/>
      <c r="G199" s="455"/>
      <c r="H199" s="455"/>
      <c r="I199" s="455"/>
      <c r="J199" s="455"/>
      <c r="K199" s="456"/>
    </row>
    <row r="200" spans="1:11" hidden="1" x14ac:dyDescent="0.25">
      <c r="A200" s="446"/>
      <c r="B200" s="71" t="str">
        <f>IF(A200&lt;&gt;"",INDEX('Base de données'!A$4:L$990,MATCH(A200,'Base de données'!A$4:A$990,0),2),"")</f>
        <v/>
      </c>
      <c r="C200" s="71" t="str">
        <f>IF(A200&lt;&gt;"",INDEX('Base de données'!A$4:L$990,MATCH(A200,'Base de données'!A$4:A$990,0),12),"")</f>
        <v/>
      </c>
      <c r="D200" s="455"/>
      <c r="E200" s="455"/>
      <c r="F200" s="455"/>
      <c r="G200" s="455"/>
      <c r="H200" s="455"/>
      <c r="I200" s="455"/>
      <c r="J200" s="455"/>
      <c r="K200" s="456"/>
    </row>
  </sheetData>
  <sheetProtection sheet="1" objects="1" scenarios="1" deleteColumns="0" deleteRows="0" selectLockedCells="1" autoFilter="0"/>
  <autoFilter ref="A9:C200">
    <filterColumn colId="2">
      <filters>
        <filter val="NAJAT SAOUD"/>
      </filters>
    </filterColumn>
  </autoFilter>
  <conditionalFormatting sqref="A10:A200">
    <cfRule type="duplicateValues" dxfId="113" priority="15"/>
  </conditionalFormatting>
  <dataValidations count="1">
    <dataValidation type="list" allowBlank="1" showInputMessage="1" sqref="O8">
      <formula1>"KHAMISSA HDIMANE,DAOUD ISSKELA,RACHID NAAIMI ,FATIMA EZZAHRA JAIZI,NAJAT SAOUD,MOHAMED ESSAID,Med EGHIZ,HALIMA OUIJANE,FATIMA EZZAHRA AIT AHMED,ZINEB ELKHOUDARI,"</formula1>
    </dataValidation>
  </dataValidations>
  <pageMargins left="0.7" right="0.7" top="0.75" bottom="0.75" header="0.3" footer="0.3"/>
  <ignoredErrors>
    <ignoredError sqref="E3 E5" evalError="1"/>
    <ignoredError sqref="E1 G1 I1 K1 G5 K5 I5 G3 I3 K3" evalError="1" formula="1"/>
    <ignoredError sqref="F1:F3 H1:H3 J1:J3 F4:F5 H4:H5 J4:J5" formula="1"/>
  </ignoredErrors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4" operator="greaterThan" id="{E19B0D1B-61B7-4324-A982-932BB394EBFC}">
            <xm:f>'Calendrier fiscal'!$B$26</xm:f>
            <x14:dxf>
              <fill>
                <patternFill>
                  <bgColor rgb="FFFF0000"/>
                </patternFill>
              </fill>
            </x14:dxf>
          </x14:cfRule>
          <xm:sqref>D10:D200</xm:sqref>
        </x14:conditionalFormatting>
        <x14:conditionalFormatting xmlns:xm="http://schemas.microsoft.com/office/excel/2006/main">
          <x14:cfRule type="cellIs" priority="13" operator="greaterThan" id="{70903DD4-42E2-4508-B1EB-D73807B6DD8A}">
            <xm:f>'Calendrier fiscal'!$B$27</xm:f>
            <x14:dxf>
              <fill>
                <patternFill>
                  <bgColor rgb="FFFF0000"/>
                </patternFill>
              </fill>
            </x14:dxf>
          </x14:cfRule>
          <xm:sqref>F10:F76 F89:F200</xm:sqref>
        </x14:conditionalFormatting>
        <x14:conditionalFormatting xmlns:xm="http://schemas.microsoft.com/office/excel/2006/main">
          <x14:cfRule type="cellIs" priority="12" operator="greaterThan" id="{CB930F53-CDC2-42A5-BD6D-64D20C95DE9F}">
            <xm:f>'Calendrier fiscal'!$B$28</xm:f>
            <x14:dxf>
              <fill>
                <patternFill>
                  <bgColor rgb="FFFF0000"/>
                </patternFill>
              </fill>
            </x14:dxf>
          </x14:cfRule>
          <xm:sqref>H10:H77 H101:H200</xm:sqref>
        </x14:conditionalFormatting>
        <x14:conditionalFormatting xmlns:xm="http://schemas.microsoft.com/office/excel/2006/main">
          <x14:cfRule type="cellIs" priority="11" operator="greaterThan" id="{D1A2F1F3-2877-4DF7-BCE5-A6ECE55A2795}">
            <xm:f>'Calendrier fiscal'!$B$29</xm:f>
            <x14:dxf>
              <fill>
                <patternFill>
                  <bgColor rgb="FFFF0000"/>
                </patternFill>
              </fill>
            </x14:dxf>
          </x14:cfRule>
          <xm:sqref>J10:J200</xm:sqref>
        </x14:conditionalFormatting>
        <x14:conditionalFormatting xmlns:xm="http://schemas.microsoft.com/office/excel/2006/main">
          <x14:cfRule type="cellIs" priority="10" operator="greaterThan" id="{60F8C36C-F08D-4350-9C68-8C2389548511}">
            <xm:f>'Calendrier fiscal'!$B$26</xm:f>
            <x14:dxf>
              <fill>
                <patternFill>
                  <bgColor rgb="FFFF0000"/>
                </patternFill>
              </fill>
            </x14:dxf>
          </x14:cfRule>
          <xm:sqref>F87:F88</xm:sqref>
        </x14:conditionalFormatting>
        <x14:conditionalFormatting xmlns:xm="http://schemas.microsoft.com/office/excel/2006/main">
          <x14:cfRule type="cellIs" priority="7" operator="greaterThan" id="{C41C775D-92BC-4EB2-B42E-6E6F19F3D9A9}">
            <xm:f>'Calendrier fiscal'!$B$27</xm:f>
            <x14:dxf>
              <fill>
                <patternFill>
                  <bgColor rgb="FFFF0000"/>
                </patternFill>
              </fill>
            </x14:dxf>
          </x14:cfRule>
          <xm:sqref>F77:F99</xm:sqref>
        </x14:conditionalFormatting>
        <x14:conditionalFormatting xmlns:xm="http://schemas.microsoft.com/office/excel/2006/main">
          <x14:cfRule type="cellIs" priority="3" operator="greaterThan" id="{FFBD283C-E173-4FC0-9BA0-7DB3E2A4CB58}">
            <xm:f>'Calendrier fiscal'!$B$28</xm:f>
            <x14:dxf>
              <fill>
                <patternFill>
                  <bgColor rgb="FFFF0000"/>
                </patternFill>
              </fill>
            </x14:dxf>
          </x14:cfRule>
          <xm:sqref>H78:H96</xm:sqref>
        </x14:conditionalFormatting>
        <x14:conditionalFormatting xmlns:xm="http://schemas.microsoft.com/office/excel/2006/main">
          <x14:cfRule type="cellIs" priority="2" operator="greaterThan" id="{007FA5EE-5B6C-4B76-BA83-527763685A28}">
            <xm:f>'Calendrier fiscal'!$B$28</xm:f>
            <x14:dxf>
              <fill>
                <patternFill>
                  <bgColor rgb="FFFF0000"/>
                </patternFill>
              </fill>
            </x14:dxf>
          </x14:cfRule>
          <xm:sqref>H97:H100</xm:sqref>
        </x14:conditionalFormatting>
        <x14:conditionalFormatting xmlns:xm="http://schemas.microsoft.com/office/excel/2006/main">
          <x14:cfRule type="cellIs" priority="1" operator="greaterThan" id="{B6160516-6CEB-44E1-84BD-A4A8A24548C0}">
            <xm:f>'Calendrier fiscal'!$B$27</xm:f>
            <x14:dxf>
              <fill>
                <patternFill>
                  <bgColor rgb="FFFF0000"/>
                </patternFill>
              </fill>
            </x14:dxf>
          </x14:cfRule>
          <xm:sqref>F88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 filterMode="1">
    <tabColor rgb="FF2DD7FF"/>
  </sheetPr>
  <dimension ref="A1:X281"/>
  <sheetViews>
    <sheetView showGridLines="0" showRowColHeaders="0" workbookViewId="0">
      <pane xSplit="3" ySplit="11" topLeftCell="E12" activePane="bottomRight" state="frozen"/>
      <selection activeCell="B1" sqref="B1"/>
      <selection pane="topRight" activeCell="D1" sqref="D1"/>
      <selection pane="bottomLeft" activeCell="B8" sqref="B8"/>
      <selection pane="bottomRight" activeCell="M24" sqref="M24"/>
    </sheetView>
  </sheetViews>
  <sheetFormatPr baseColWidth="10" defaultColWidth="11.7109375" defaultRowHeight="15" x14ac:dyDescent="0.25"/>
  <cols>
    <col min="1" max="1" width="11.7109375" style="87"/>
    <col min="2" max="2" width="34.7109375" style="87" customWidth="1"/>
    <col min="3" max="3" width="20.85546875" style="87" customWidth="1"/>
    <col min="4" max="15" width="13.5703125" style="87" bestFit="1" customWidth="1"/>
    <col min="16" max="17" width="11.7109375" style="87"/>
    <col min="18" max="18" width="14.5703125" style="87" customWidth="1"/>
    <col min="19" max="19" width="17.5703125" style="87" bestFit="1" customWidth="1"/>
    <col min="20" max="20" width="14" style="87" customWidth="1"/>
    <col min="21" max="16384" width="11.7109375" style="87"/>
  </cols>
  <sheetData>
    <row r="1" spans="1:24" ht="9" customHeight="1" x14ac:dyDescent="0.25">
      <c r="A1" s="88"/>
      <c r="B1" s="88"/>
      <c r="C1" s="88"/>
      <c r="D1" s="88">
        <f>COUNTIF(D12:D281,"&lt;"&amp;'Calendrier fiscal'!F8)</f>
        <v>74</v>
      </c>
      <c r="E1" s="88">
        <f>COUNTIF(E12:E281,"&lt;"&amp;'Calendrier fiscal'!F9)</f>
        <v>71</v>
      </c>
      <c r="F1" s="88">
        <f>COUNTIF(F12:F281,"&lt;"&amp;'Calendrier fiscal'!F10)</f>
        <v>63</v>
      </c>
      <c r="G1" s="88">
        <f>COUNTIF(G12:G281,"&lt;"&amp;'Calendrier fiscal'!G11)</f>
        <v>36</v>
      </c>
      <c r="H1" s="88">
        <f>COUNTIF(H12:H281,"&lt;"&amp;'Calendrier fiscal'!F12)</f>
        <v>56</v>
      </c>
      <c r="I1" s="88">
        <f>COUNTIF(I12:I281,"&lt;"&amp;'Calendrier fiscal'!F13)</f>
        <v>66</v>
      </c>
      <c r="J1" s="88">
        <f>COUNTIF(J12:J281,"&lt;"&amp;'Calendrier fiscal'!F14)</f>
        <v>62</v>
      </c>
      <c r="K1" s="88">
        <f>COUNTIF(K12:K281,"&lt;"&amp;'Calendrier fiscal'!F15)</f>
        <v>61</v>
      </c>
      <c r="L1" s="88">
        <f>COUNTIF(L12:L281,"&lt;"&amp;'Calendrier fiscal'!F16)</f>
        <v>10</v>
      </c>
      <c r="M1" s="88">
        <f>COUNTIF(M12:M281,"&lt;"&amp;'Calendrier fiscal'!F17)</f>
        <v>8</v>
      </c>
      <c r="N1" s="88">
        <f>COUNTIF(N12:N281,"&lt;"&amp;'Calendrier fiscal'!F18)</f>
        <v>8</v>
      </c>
      <c r="O1" s="88">
        <f>COUNTIF(O12:O281,"&lt;"&amp;'Calendrier fiscal'!F19)</f>
        <v>9</v>
      </c>
      <c r="Q1" s="459"/>
      <c r="R1" s="459"/>
      <c r="S1" s="459"/>
      <c r="T1" s="459"/>
      <c r="U1" s="459"/>
      <c r="V1" s="459"/>
      <c r="W1" s="459"/>
      <c r="X1" s="459"/>
    </row>
    <row r="2" spans="1:24" ht="8.25" customHeight="1" x14ac:dyDescent="0.25">
      <c r="A2" s="88"/>
      <c r="B2" s="88"/>
      <c r="C2" s="88"/>
      <c r="D2" s="458">
        <f t="shared" ref="D2:O2" si="0">D1/D4</f>
        <v>1</v>
      </c>
      <c r="E2" s="458">
        <f t="shared" si="0"/>
        <v>1</v>
      </c>
      <c r="F2" s="458">
        <f t="shared" si="0"/>
        <v>1</v>
      </c>
      <c r="G2" s="458">
        <f t="shared" si="0"/>
        <v>0.5714285714285714</v>
      </c>
      <c r="H2" s="458">
        <f t="shared" si="0"/>
        <v>0.90322580645161288</v>
      </c>
      <c r="I2" s="458">
        <f t="shared" si="0"/>
        <v>1</v>
      </c>
      <c r="J2" s="458">
        <f t="shared" si="0"/>
        <v>0.98412698412698407</v>
      </c>
      <c r="K2" s="458">
        <f t="shared" si="0"/>
        <v>0.96825396825396826</v>
      </c>
      <c r="L2" s="458">
        <f t="shared" si="0"/>
        <v>1</v>
      </c>
      <c r="M2" s="458">
        <f t="shared" si="0"/>
        <v>0.88888888888888884</v>
      </c>
      <c r="N2" s="458">
        <f t="shared" si="0"/>
        <v>1</v>
      </c>
      <c r="O2" s="458">
        <f t="shared" si="0"/>
        <v>1</v>
      </c>
      <c r="Q2" s="459"/>
      <c r="R2" s="459"/>
      <c r="S2" s="459"/>
      <c r="T2" s="459"/>
      <c r="U2" s="459"/>
      <c r="V2" s="459"/>
      <c r="W2" s="459"/>
      <c r="X2" s="459"/>
    </row>
    <row r="3" spans="1:24" s="292" customFormat="1" ht="8.25" customHeight="1" x14ac:dyDescent="0.25">
      <c r="A3" s="88"/>
      <c r="B3" s="88"/>
      <c r="C3" s="88"/>
      <c r="D3" s="88">
        <f>COUNTIF(D12:D281,"&lt;="&amp;'Calendrier fiscal'!G8)</f>
        <v>73</v>
      </c>
      <c r="E3" s="88">
        <f>COUNTIF(E12:E281,"&lt;="&amp;'Calendrier fiscal'!G9)</f>
        <v>68</v>
      </c>
      <c r="F3" s="88">
        <f>COUNTIF(F12:F281,"&lt;="&amp;'Calendrier fiscal'!G10)</f>
        <v>60</v>
      </c>
      <c r="G3" s="88">
        <f>COUNTIF(G12:G281,"&lt;="&amp;'Calendrier fiscal'!G11)</f>
        <v>42</v>
      </c>
      <c r="H3" s="88">
        <f>COUNTIF(H12:H281,"&lt;="&amp;'Calendrier fiscal'!G12)</f>
        <v>49</v>
      </c>
      <c r="I3" s="88">
        <f>COUNTIF(I12:I281,"&lt;="&amp;'Calendrier fiscal'!G13)</f>
        <v>55</v>
      </c>
      <c r="J3" s="88">
        <f>COUNTIF(J12:J281,"&lt;="&amp;'Calendrier fiscal'!G14)</f>
        <v>58</v>
      </c>
      <c r="K3" s="88">
        <f>COUNTIF(K12:K281,"&lt;="&amp;'Calendrier fiscal'!G15)</f>
        <v>49</v>
      </c>
      <c r="L3" s="88">
        <f>COUNTIF(L12:L281,"&lt;="&amp;'Calendrier fiscal'!G16)</f>
        <v>8</v>
      </c>
      <c r="M3" s="88">
        <f>COUNTIF(M12:M281,"&lt;="&amp;'Calendrier fiscal'!G17)</f>
        <v>8</v>
      </c>
      <c r="N3" s="88">
        <f>COUNTIF(N12:N281,"&lt;="&amp;'Calendrier fiscal'!G18)</f>
        <v>8</v>
      </c>
      <c r="O3" s="88">
        <f>COUNTIF(O12:O281,"&lt;="&amp;'Calendrier fiscal'!G19)</f>
        <v>9</v>
      </c>
      <c r="Q3" s="459"/>
      <c r="R3" s="459"/>
      <c r="S3" s="459"/>
      <c r="T3" s="459"/>
      <c r="U3" s="459"/>
      <c r="V3" s="459"/>
      <c r="W3" s="459"/>
      <c r="X3" s="459"/>
    </row>
    <row r="4" spans="1:24" s="292" customFormat="1" ht="9.75" customHeight="1" x14ac:dyDescent="0.25">
      <c r="A4" s="88"/>
      <c r="B4" s="88"/>
      <c r="C4" s="88"/>
      <c r="D4" s="88">
        <f t="shared" ref="D4:O4" si="1">COUNTA(D12:D281)</f>
        <v>74</v>
      </c>
      <c r="E4" s="88">
        <f t="shared" si="1"/>
        <v>71</v>
      </c>
      <c r="F4" s="88">
        <f t="shared" si="1"/>
        <v>63</v>
      </c>
      <c r="G4" s="88">
        <f t="shared" si="1"/>
        <v>63</v>
      </c>
      <c r="H4" s="88">
        <f t="shared" si="1"/>
        <v>62</v>
      </c>
      <c r="I4" s="88">
        <f t="shared" si="1"/>
        <v>66</v>
      </c>
      <c r="J4" s="88">
        <f t="shared" si="1"/>
        <v>63</v>
      </c>
      <c r="K4" s="88">
        <f t="shared" si="1"/>
        <v>63</v>
      </c>
      <c r="L4" s="88">
        <f t="shared" si="1"/>
        <v>10</v>
      </c>
      <c r="M4" s="88">
        <f t="shared" si="1"/>
        <v>9</v>
      </c>
      <c r="N4" s="88">
        <f t="shared" si="1"/>
        <v>8</v>
      </c>
      <c r="O4" s="88">
        <f t="shared" si="1"/>
        <v>9</v>
      </c>
      <c r="Q4" s="459"/>
      <c r="R4" s="459"/>
      <c r="S4" s="459"/>
      <c r="T4" s="459"/>
      <c r="U4" s="459"/>
      <c r="V4" s="459"/>
      <c r="W4" s="459"/>
      <c r="X4" s="459"/>
    </row>
    <row r="5" spans="1:24" s="292" customFormat="1" ht="9" customHeight="1" x14ac:dyDescent="0.25">
      <c r="A5" s="88"/>
      <c r="B5" s="88"/>
      <c r="C5" s="88"/>
      <c r="D5" s="458">
        <f t="shared" ref="D5:O5" si="2">D3/D4</f>
        <v>0.98648648648648651</v>
      </c>
      <c r="E5" s="458">
        <f t="shared" si="2"/>
        <v>0.95774647887323938</v>
      </c>
      <c r="F5" s="458">
        <f t="shared" si="2"/>
        <v>0.95238095238095233</v>
      </c>
      <c r="G5" s="458">
        <f t="shared" si="2"/>
        <v>0.66666666666666663</v>
      </c>
      <c r="H5" s="458">
        <f t="shared" si="2"/>
        <v>0.79032258064516125</v>
      </c>
      <c r="I5" s="458">
        <f t="shared" si="2"/>
        <v>0.83333333333333337</v>
      </c>
      <c r="J5" s="458">
        <f t="shared" si="2"/>
        <v>0.92063492063492058</v>
      </c>
      <c r="K5" s="458">
        <f t="shared" si="2"/>
        <v>0.77777777777777779</v>
      </c>
      <c r="L5" s="458">
        <f t="shared" si="2"/>
        <v>0.8</v>
      </c>
      <c r="M5" s="458">
        <f t="shared" si="2"/>
        <v>0.88888888888888884</v>
      </c>
      <c r="N5" s="458">
        <f t="shared" si="2"/>
        <v>1</v>
      </c>
      <c r="O5" s="458">
        <f t="shared" si="2"/>
        <v>1</v>
      </c>
      <c r="Q5" s="459"/>
      <c r="R5" s="459"/>
      <c r="S5" s="459"/>
      <c r="T5" s="459"/>
      <c r="U5" s="459"/>
      <c r="V5" s="459"/>
      <c r="W5" s="459"/>
      <c r="X5" s="459"/>
    </row>
    <row r="6" spans="1:24" s="292" customFormat="1" ht="9" customHeight="1" x14ac:dyDescent="0.25">
      <c r="A6" s="88"/>
      <c r="B6" s="88"/>
      <c r="C6" s="88"/>
      <c r="D6" s="458">
        <f t="shared" ref="D6:O6" si="3">D5</f>
        <v>0.98648648648648651</v>
      </c>
      <c r="E6" s="458">
        <f t="shared" si="3"/>
        <v>0.95774647887323938</v>
      </c>
      <c r="F6" s="458">
        <f t="shared" si="3"/>
        <v>0.95238095238095233</v>
      </c>
      <c r="G6" s="458">
        <f t="shared" si="3"/>
        <v>0.66666666666666663</v>
      </c>
      <c r="H6" s="458">
        <f t="shared" si="3"/>
        <v>0.79032258064516125</v>
      </c>
      <c r="I6" s="458">
        <f t="shared" si="3"/>
        <v>0.83333333333333337</v>
      </c>
      <c r="J6" s="458">
        <f t="shared" si="3"/>
        <v>0.92063492063492058</v>
      </c>
      <c r="K6" s="458">
        <f t="shared" si="3"/>
        <v>0.77777777777777779</v>
      </c>
      <c r="L6" s="458">
        <f t="shared" si="3"/>
        <v>0.8</v>
      </c>
      <c r="M6" s="458">
        <f t="shared" si="3"/>
        <v>0.88888888888888884</v>
      </c>
      <c r="N6" s="458">
        <f t="shared" si="3"/>
        <v>1</v>
      </c>
      <c r="O6" s="458">
        <f t="shared" si="3"/>
        <v>1</v>
      </c>
      <c r="Q6" s="460"/>
      <c r="R6" s="87"/>
      <c r="S6" s="87"/>
      <c r="T6" s="87"/>
      <c r="U6" s="87"/>
      <c r="V6" s="460"/>
      <c r="W6" s="647"/>
      <c r="X6" s="647"/>
    </row>
    <row r="7" spans="1:24" s="292" customFormat="1" ht="16.5" customHeight="1" x14ac:dyDescent="0.25">
      <c r="A7" s="88"/>
      <c r="B7" s="88">
        <v>70</v>
      </c>
      <c r="C7" s="88"/>
      <c r="D7" s="458">
        <v>0.02</v>
      </c>
      <c r="E7" s="458">
        <v>0.02</v>
      </c>
      <c r="F7" s="458">
        <v>0.02</v>
      </c>
      <c r="G7" s="458">
        <v>0.02</v>
      </c>
      <c r="H7" s="458">
        <v>0.02</v>
      </c>
      <c r="I7" s="458">
        <v>0.02</v>
      </c>
      <c r="J7" s="458">
        <v>0.02</v>
      </c>
      <c r="K7" s="458">
        <v>0.02</v>
      </c>
      <c r="L7" s="458">
        <v>0.02</v>
      </c>
      <c r="M7" s="458">
        <v>0.02</v>
      </c>
      <c r="N7" s="458">
        <v>0.02</v>
      </c>
      <c r="O7" s="458">
        <v>0.02</v>
      </c>
      <c r="Q7" s="87"/>
      <c r="R7" s="87"/>
      <c r="U7" s="87"/>
      <c r="V7" s="87"/>
      <c r="W7" s="87"/>
      <c r="X7" s="87"/>
    </row>
    <row r="8" spans="1:24" s="292" customFormat="1" ht="10.5" customHeight="1" thickBot="1" x14ac:dyDescent="0.3">
      <c r="A8" s="88"/>
      <c r="B8" s="88">
        <v>20</v>
      </c>
      <c r="C8" s="88"/>
      <c r="D8" s="458">
        <f t="shared" ref="D8:O8" si="4">D9-SUM(D6:D7)</f>
        <v>1.3513513513513598E-2</v>
      </c>
      <c r="E8" s="458">
        <f t="shared" si="4"/>
        <v>4.2253521126760618E-2</v>
      </c>
      <c r="F8" s="458">
        <f t="shared" si="4"/>
        <v>4.7619047619047672E-2</v>
      </c>
      <c r="G8" s="458">
        <f t="shared" si="4"/>
        <v>0.33333333333333337</v>
      </c>
      <c r="H8" s="458">
        <f t="shared" si="4"/>
        <v>0.20967741935483875</v>
      </c>
      <c r="I8" s="458">
        <f t="shared" si="4"/>
        <v>0.16666666666666663</v>
      </c>
      <c r="J8" s="458">
        <f t="shared" si="4"/>
        <v>7.9365079365079416E-2</v>
      </c>
      <c r="K8" s="458">
        <f t="shared" si="4"/>
        <v>0.22222222222222221</v>
      </c>
      <c r="L8" s="458">
        <f t="shared" si="4"/>
        <v>0.19999999999999996</v>
      </c>
      <c r="M8" s="458">
        <f t="shared" si="4"/>
        <v>0.11111111111111116</v>
      </c>
      <c r="N8" s="458">
        <f t="shared" si="4"/>
        <v>0</v>
      </c>
      <c r="O8" s="458">
        <f t="shared" si="4"/>
        <v>0</v>
      </c>
      <c r="Q8" s="87"/>
      <c r="R8" s="87"/>
      <c r="S8" s="87"/>
      <c r="T8" s="87"/>
      <c r="U8" s="87"/>
      <c r="V8" s="202"/>
      <c r="W8" s="461"/>
      <c r="X8" s="87"/>
    </row>
    <row r="9" spans="1:24" s="292" customFormat="1" ht="28.5" customHeight="1" thickBot="1" x14ac:dyDescent="0.3">
      <c r="A9" s="88"/>
      <c r="B9" s="88">
        <v>10</v>
      </c>
      <c r="C9" s="88"/>
      <c r="D9" s="458">
        <v>1.02</v>
      </c>
      <c r="E9" s="458">
        <v>1.02</v>
      </c>
      <c r="F9" s="458">
        <v>1.02</v>
      </c>
      <c r="G9" s="458">
        <v>1.02</v>
      </c>
      <c r="H9" s="458">
        <v>1.02</v>
      </c>
      <c r="I9" s="458">
        <v>1.02</v>
      </c>
      <c r="J9" s="458">
        <v>1.02</v>
      </c>
      <c r="K9" s="458">
        <v>1.02</v>
      </c>
      <c r="L9" s="458">
        <v>1.02</v>
      </c>
      <c r="M9" s="458">
        <v>1.02</v>
      </c>
      <c r="N9" s="458">
        <v>1.02</v>
      </c>
      <c r="O9" s="458">
        <v>1.02</v>
      </c>
      <c r="Q9" s="87"/>
      <c r="R9" s="120" t="s">
        <v>608</v>
      </c>
      <c r="S9" s="471" t="s">
        <v>501</v>
      </c>
    </row>
    <row r="10" spans="1:24" ht="15.75" thickTop="1" x14ac:dyDescent="0.25">
      <c r="A10" s="88"/>
      <c r="B10" s="88">
        <f>SUM(B7:B9)</f>
        <v>100</v>
      </c>
      <c r="C10" s="88"/>
      <c r="D10" s="89" t="s">
        <v>481</v>
      </c>
      <c r="E10" s="90" t="s">
        <v>484</v>
      </c>
      <c r="F10" s="91" t="s">
        <v>485</v>
      </c>
      <c r="G10" s="91" t="s">
        <v>486</v>
      </c>
      <c r="H10" s="91" t="s">
        <v>487</v>
      </c>
      <c r="I10" s="91" t="s">
        <v>488</v>
      </c>
      <c r="J10" s="91" t="s">
        <v>489</v>
      </c>
      <c r="K10" s="91" t="s">
        <v>490</v>
      </c>
      <c r="L10" s="91" t="s">
        <v>491</v>
      </c>
      <c r="M10" s="91" t="s">
        <v>492</v>
      </c>
      <c r="N10" s="91" t="s">
        <v>493</v>
      </c>
      <c r="O10" s="91" t="s">
        <v>494</v>
      </c>
    </row>
    <row r="11" spans="1:24" x14ac:dyDescent="0.25">
      <c r="A11" s="92" t="s">
        <v>478</v>
      </c>
      <c r="B11" s="92" t="s">
        <v>479</v>
      </c>
      <c r="C11" s="93" t="s">
        <v>480</v>
      </c>
      <c r="D11" s="91" t="s">
        <v>482</v>
      </c>
      <c r="E11" s="94" t="s">
        <v>482</v>
      </c>
      <c r="F11" s="91" t="s">
        <v>482</v>
      </c>
      <c r="G11" s="91" t="s">
        <v>482</v>
      </c>
      <c r="H11" s="91" t="s">
        <v>482</v>
      </c>
      <c r="I11" s="91" t="s">
        <v>482</v>
      </c>
      <c r="J11" s="91" t="s">
        <v>482</v>
      </c>
      <c r="K11" s="91" t="s">
        <v>482</v>
      </c>
      <c r="L11" s="91" t="s">
        <v>482</v>
      </c>
      <c r="M11" s="91" t="s">
        <v>482</v>
      </c>
      <c r="N11" s="91" t="s">
        <v>482</v>
      </c>
      <c r="O11" s="91" t="s">
        <v>482</v>
      </c>
      <c r="Q11" s="462" t="s">
        <v>606</v>
      </c>
      <c r="R11" s="463" t="s">
        <v>605</v>
      </c>
      <c r="S11" s="463" t="s">
        <v>610</v>
      </c>
      <c r="T11" s="464" t="s">
        <v>611</v>
      </c>
      <c r="U11" s="465" t="s">
        <v>609</v>
      </c>
      <c r="V11" s="466" t="s">
        <v>621</v>
      </c>
      <c r="W11" s="467" t="s">
        <v>639</v>
      </c>
    </row>
    <row r="12" spans="1:24" x14ac:dyDescent="0.25">
      <c r="A12" s="95">
        <v>6</v>
      </c>
      <c r="B12" s="99" t="str">
        <f>IF(A12&lt;&gt;"",INDEX('Base de données'!A$4:L$990,MATCH(A12,'Base de données'!A$4:A$990,0),2),"")</f>
        <v xml:space="preserve">IBTISSAM CAR </v>
      </c>
      <c r="C12" s="100" t="str">
        <f>IF(A12&lt;&gt;"",INDEX('Base de données'!A$4:L$990,MATCH(A12,'Base de données'!A$4:A$990,0),12),"")</f>
        <v>NAJAT SAOUD</v>
      </c>
      <c r="D12" s="96">
        <v>43866</v>
      </c>
      <c r="E12" s="97">
        <v>43893</v>
      </c>
      <c r="F12" s="96">
        <v>43918</v>
      </c>
      <c r="G12" s="96">
        <v>43961</v>
      </c>
      <c r="H12" s="96">
        <v>44012</v>
      </c>
      <c r="I12" s="96">
        <v>44008</v>
      </c>
      <c r="J12" s="96">
        <v>44047</v>
      </c>
      <c r="K12" s="96">
        <v>44077</v>
      </c>
      <c r="L12" s="96">
        <v>44107</v>
      </c>
      <c r="M12" s="96">
        <v>44140</v>
      </c>
      <c r="N12" s="96">
        <v>44172</v>
      </c>
      <c r="O12" s="96">
        <v>44203</v>
      </c>
      <c r="Q12" s="468" t="s">
        <v>604</v>
      </c>
      <c r="R12" s="468">
        <f>COUNTIFS(C12:C281,S9,D12:D281,"&lt;&gt;"&amp;"")</f>
        <v>15</v>
      </c>
      <c r="S12" s="468">
        <f>COUNTIFS(C12:C281,S9,D12:D281,"&lt;="&amp;'Calendrier fiscal'!G8)</f>
        <v>15</v>
      </c>
      <c r="T12" s="468">
        <f>COUNTIFS(C12:C281,S9,D12:D281,"&lt;="&amp;'Calendrier fiscal'!H8)</f>
        <v>15</v>
      </c>
      <c r="U12" s="468">
        <f>R12-T12</f>
        <v>0</v>
      </c>
      <c r="V12" s="469">
        <f>IF(R12&lt;&gt;0,S12/R12,"")</f>
        <v>1</v>
      </c>
      <c r="W12" s="470">
        <f>IF(R12&lt;&gt;0,T12/R12,"")</f>
        <v>1</v>
      </c>
    </row>
    <row r="13" spans="1:24" x14ac:dyDescent="0.25">
      <c r="A13" s="95">
        <v>224</v>
      </c>
      <c r="B13" s="99" t="str">
        <f>IF(A13&lt;&gt;"",INDEX('Base de données'!A$4:L$990,MATCH(A13,'Base de données'!A$4:A$990,0),2),"")</f>
        <v>JINANE CARS</v>
      </c>
      <c r="C13" s="100" t="str">
        <f>IF(A13&lt;&gt;"",INDEX('Base de données'!A$4:L$990,MATCH(A13,'Base de données'!A$4:A$990,0),12),"")</f>
        <v>NAJAT SAOUD</v>
      </c>
      <c r="D13" s="96">
        <v>43866</v>
      </c>
      <c r="E13" s="97"/>
      <c r="F13" s="96">
        <v>43921</v>
      </c>
      <c r="G13" s="96">
        <v>43962</v>
      </c>
      <c r="H13" s="96">
        <v>44012</v>
      </c>
      <c r="I13" s="96">
        <v>44008</v>
      </c>
      <c r="J13" s="96">
        <v>44047</v>
      </c>
      <c r="K13" s="96">
        <v>44077</v>
      </c>
      <c r="L13" s="96">
        <v>44107</v>
      </c>
      <c r="M13" s="96"/>
      <c r="N13" s="96"/>
      <c r="O13" s="96"/>
      <c r="Q13" s="468" t="s">
        <v>512</v>
      </c>
      <c r="R13" s="468">
        <f>COUNTIFS(C12:C281,S9,E12:E281,"&lt;&gt;"&amp;"")</f>
        <v>13</v>
      </c>
      <c r="S13" s="468">
        <f>COUNTIFS(C12:C281,S9,E12:E281,"&lt;="&amp;'Calendrier fiscal'!G9)</f>
        <v>13</v>
      </c>
      <c r="T13" s="468">
        <f>COUNTIFS(C12:C281,S9,E12:E281,"&lt;="&amp;'Calendrier fiscal'!H9)</f>
        <v>13</v>
      </c>
      <c r="U13" s="468">
        <f t="shared" ref="U13:U23" si="5">R13-T13</f>
        <v>0</v>
      </c>
      <c r="V13" s="469">
        <f t="shared" ref="V13:V23" si="6">IF(R13&lt;&gt;0,S13/R13,"")</f>
        <v>1</v>
      </c>
      <c r="W13" s="470">
        <f t="shared" ref="W13:W23" si="7">IF(R13&lt;&gt;0,T13/R13,"")</f>
        <v>1</v>
      </c>
    </row>
    <row r="14" spans="1:24" x14ac:dyDescent="0.25">
      <c r="A14" s="95">
        <v>14</v>
      </c>
      <c r="B14" s="99" t="str">
        <f>IF(A14&lt;&gt;"",INDEX('Base de données'!A$4:L$990,MATCH(A14,'Base de données'!A$4:A$990,0),2),"")</f>
        <v>MOUZINE CAR</v>
      </c>
      <c r="C14" s="100" t="str">
        <f>IF(A14&lt;&gt;"",INDEX('Base de données'!A$4:L$990,MATCH(A14,'Base de données'!A$4:A$990,0),12),"")</f>
        <v>NAJAT SAOUD</v>
      </c>
      <c r="D14" s="96">
        <v>43866</v>
      </c>
      <c r="E14" s="97">
        <v>43892</v>
      </c>
      <c r="F14" s="96">
        <v>43918</v>
      </c>
      <c r="G14" s="98">
        <v>43961</v>
      </c>
      <c r="H14" s="96">
        <v>44012</v>
      </c>
      <c r="I14" s="96">
        <v>44008</v>
      </c>
      <c r="J14" s="96">
        <v>44047</v>
      </c>
      <c r="K14" s="96">
        <v>44077</v>
      </c>
      <c r="L14" s="96">
        <v>44107</v>
      </c>
      <c r="M14" s="96">
        <v>44139</v>
      </c>
      <c r="N14" s="96">
        <v>44166</v>
      </c>
      <c r="O14" s="96">
        <v>44200</v>
      </c>
      <c r="Q14" s="468" t="s">
        <v>607</v>
      </c>
      <c r="R14" s="468">
        <f>COUNTIFS(C12:C281,S9,F12:F281,"&lt;&gt;"&amp;"")</f>
        <v>14</v>
      </c>
      <c r="S14" s="468">
        <f>COUNTIFS(C12:C281,S9,F12:F281,"&lt;="&amp;'Calendrier fiscal'!G10)</f>
        <v>14</v>
      </c>
      <c r="T14" s="468">
        <f>COUNTIFS(C12:C281,S9,F12:F281,"&lt;="&amp;'Calendrier fiscal'!H10)</f>
        <v>14</v>
      </c>
      <c r="U14" s="468">
        <f t="shared" si="5"/>
        <v>0</v>
      </c>
      <c r="V14" s="469">
        <f t="shared" si="6"/>
        <v>1</v>
      </c>
      <c r="W14" s="470">
        <f t="shared" si="7"/>
        <v>1</v>
      </c>
    </row>
    <row r="15" spans="1:24" x14ac:dyDescent="0.25">
      <c r="A15" s="95">
        <v>292</v>
      </c>
      <c r="B15" s="99" t="str">
        <f>IF(A15&lt;&gt;"",INDEX('Base de données'!A$4:L$990,MATCH(A15,'Base de données'!A$4:A$990,0),2),"")</f>
        <v>ABI LOGISTIC CARS</v>
      </c>
      <c r="C15" s="100" t="str">
        <f>IF(A15&lt;&gt;"",INDEX('Base de données'!A$4:L$990,MATCH(A15,'Base de données'!A$4:A$990,0),12),"")</f>
        <v>NAJAT SAOUD</v>
      </c>
      <c r="D15" s="96">
        <v>43866</v>
      </c>
      <c r="E15" s="97">
        <v>43893</v>
      </c>
      <c r="F15" s="96">
        <v>43918</v>
      </c>
      <c r="G15" s="96">
        <v>43961</v>
      </c>
      <c r="H15" s="96">
        <v>43983</v>
      </c>
      <c r="I15" s="96">
        <v>44008</v>
      </c>
      <c r="J15" s="96">
        <v>44047</v>
      </c>
      <c r="K15" s="96">
        <v>44077</v>
      </c>
      <c r="L15" s="96">
        <v>44107</v>
      </c>
      <c r="M15" s="96">
        <v>44140</v>
      </c>
      <c r="N15" s="96">
        <v>44166</v>
      </c>
      <c r="O15" s="96">
        <v>44200</v>
      </c>
      <c r="Q15" s="468" t="s">
        <v>486</v>
      </c>
      <c r="R15" s="468">
        <f>COUNTIFS(C12:C281,S9,G12:G281,"&lt;&gt;"&amp;"")</f>
        <v>13</v>
      </c>
      <c r="S15" s="468">
        <f>COUNTIFS(C12:C281,S9,G12:G281,"&lt;="&amp;'Calendrier fiscal'!G11)</f>
        <v>2</v>
      </c>
      <c r="T15" s="468">
        <f>COUNTIFS(C12:C281,S9,G12:G281,"&lt;="&amp;'Calendrier fiscal'!H11)</f>
        <v>13</v>
      </c>
      <c r="U15" s="468">
        <f t="shared" si="5"/>
        <v>0</v>
      </c>
      <c r="V15" s="469">
        <f t="shared" si="6"/>
        <v>0.15384615384615385</v>
      </c>
      <c r="W15" s="470">
        <f t="shared" si="7"/>
        <v>1</v>
      </c>
    </row>
    <row r="16" spans="1:24" x14ac:dyDescent="0.25">
      <c r="A16" s="95">
        <v>207</v>
      </c>
      <c r="B16" s="99" t="str">
        <f>IF(A16&lt;&gt;"",INDEX('Base de données'!A$4:L$990,MATCH(A16,'Base de données'!A$4:A$990,0),2),"")</f>
        <v>GOVERNAL                        (INSTITUT TECHNOLOGIE)</v>
      </c>
      <c r="C16" s="100" t="str">
        <f>IF(A16&lt;&gt;"",INDEX('Base de données'!A$4:L$990,MATCH(A16,'Base de données'!A$4:A$990,0),12),"")</f>
        <v>NAJAT SAOUD</v>
      </c>
      <c r="D16" s="96">
        <v>43866</v>
      </c>
      <c r="E16" s="97">
        <v>43893</v>
      </c>
      <c r="F16" s="96"/>
      <c r="G16" s="96"/>
      <c r="H16" s="96"/>
      <c r="I16" s="96"/>
      <c r="J16" s="96"/>
      <c r="K16" s="96"/>
      <c r="L16" s="96"/>
      <c r="M16" s="96"/>
      <c r="N16" s="96"/>
      <c r="O16" s="96"/>
      <c r="Q16" s="468" t="s">
        <v>487</v>
      </c>
      <c r="R16" s="468">
        <f>COUNTIFS(C12:C281,S9,H12:H281,"&lt;&gt;"&amp;"")</f>
        <v>12</v>
      </c>
      <c r="S16" s="468">
        <f>COUNTIFS(C12:C281,S9,H12:H281,"&lt;="&amp;'Calendrier fiscal'!G12)</f>
        <v>5</v>
      </c>
      <c r="T16" s="468">
        <f>COUNTIFS(C12:C281,S9,H12:H281,"&lt;="&amp;'Calendrier fiscal'!H12)</f>
        <v>12</v>
      </c>
      <c r="U16" s="468">
        <f t="shared" si="5"/>
        <v>0</v>
      </c>
      <c r="V16" s="469">
        <f t="shared" si="6"/>
        <v>0.41666666666666669</v>
      </c>
      <c r="W16" s="470">
        <f t="shared" si="7"/>
        <v>1</v>
      </c>
    </row>
    <row r="17" spans="1:23" x14ac:dyDescent="0.25">
      <c r="A17" s="95">
        <v>201</v>
      </c>
      <c r="B17" s="99" t="str">
        <f>IF(A17&lt;&gt;"",INDEX('Base de données'!A$4:L$990,MATCH(A17,'Base de données'!A$4:A$990,0),2),"")</f>
        <v>MEDICALOGIC</v>
      </c>
      <c r="C17" s="100" t="str">
        <f>IF(A17&lt;&gt;"",INDEX('Base de données'!A$4:L$990,MATCH(A17,'Base de données'!A$4:A$990,0),12),"")</f>
        <v>NAJAT SAOUD</v>
      </c>
      <c r="D17" s="96">
        <v>43866</v>
      </c>
      <c r="E17" s="97">
        <v>43893</v>
      </c>
      <c r="F17" s="96">
        <v>43918</v>
      </c>
      <c r="G17" s="96"/>
      <c r="H17" s="96"/>
      <c r="I17" s="96"/>
      <c r="J17" s="96"/>
      <c r="K17" s="96"/>
      <c r="L17" s="96"/>
      <c r="M17" s="96"/>
      <c r="N17" s="96"/>
      <c r="O17" s="96"/>
      <c r="Q17" s="468" t="s">
        <v>488</v>
      </c>
      <c r="R17" s="468">
        <f>COUNTIFS(C12:C281,S9,I12:I281,"&lt;&gt;"&amp;"")</f>
        <v>13</v>
      </c>
      <c r="S17" s="468">
        <f>COUNTIFS(C12:C281,S9,I12:I281,"&lt;="&amp;'Calendrier fiscal'!G13)</f>
        <v>13</v>
      </c>
      <c r="T17" s="468">
        <f>COUNTIFS(C12:C281,S9,I12:I281,"&lt;="&amp;'Calendrier fiscal'!H13)</f>
        <v>13</v>
      </c>
      <c r="U17" s="468">
        <f t="shared" si="5"/>
        <v>0</v>
      </c>
      <c r="V17" s="469">
        <f t="shared" si="6"/>
        <v>1</v>
      </c>
      <c r="W17" s="470">
        <f t="shared" si="7"/>
        <v>1</v>
      </c>
    </row>
    <row r="18" spans="1:23" x14ac:dyDescent="0.25">
      <c r="A18" s="95">
        <v>307</v>
      </c>
      <c r="B18" s="99" t="str">
        <f>IF(A18&lt;&gt;"",INDEX('Base de données'!A$4:L$990,MATCH(A18,'Base de données'!A$4:A$990,0),2),"")</f>
        <v>MOSAB ALI TRANS</v>
      </c>
      <c r="C18" s="100" t="str">
        <f>IF(A18&lt;&gt;"",INDEX('Base de données'!A$4:L$990,MATCH(A18,'Base de données'!A$4:A$990,0),12),"")</f>
        <v>NAJAT SAOUD</v>
      </c>
      <c r="D18" s="96">
        <v>43868</v>
      </c>
      <c r="E18" s="97">
        <v>43893</v>
      </c>
      <c r="F18" s="96">
        <v>43918</v>
      </c>
      <c r="G18" s="96">
        <v>43962</v>
      </c>
      <c r="H18" s="96">
        <v>43983</v>
      </c>
      <c r="I18" s="96">
        <v>44008</v>
      </c>
      <c r="J18" s="96">
        <v>44048</v>
      </c>
      <c r="K18" s="96">
        <v>44077</v>
      </c>
      <c r="L18" s="96">
        <v>44111</v>
      </c>
      <c r="M18" s="96">
        <v>44139</v>
      </c>
      <c r="N18" s="96">
        <v>44169</v>
      </c>
      <c r="O18" s="96">
        <v>44201</v>
      </c>
      <c r="Q18" s="468" t="s">
        <v>489</v>
      </c>
      <c r="R18" s="468">
        <f>COUNTIFS(C12:C281,S9,J12:J281,"&lt;&gt;"&amp;"")</f>
        <v>13</v>
      </c>
      <c r="S18" s="468">
        <f>COUNTIFS(C12:C281,S9,J12:J281,"&lt;="&amp;'Calendrier fiscal'!G14)</f>
        <v>11</v>
      </c>
      <c r="T18" s="468">
        <f>COUNTIFS(C12:C281,S9,J12:J281,"&lt;="&amp;'Calendrier fiscal'!H14)</f>
        <v>12</v>
      </c>
      <c r="U18" s="468">
        <f t="shared" si="5"/>
        <v>1</v>
      </c>
      <c r="V18" s="469">
        <f t="shared" si="6"/>
        <v>0.84615384615384615</v>
      </c>
      <c r="W18" s="470">
        <f t="shared" si="7"/>
        <v>0.92307692307692313</v>
      </c>
    </row>
    <row r="19" spans="1:23" x14ac:dyDescent="0.25">
      <c r="A19" s="95">
        <v>189</v>
      </c>
      <c r="B19" s="99" t="str">
        <f>IF(A19&lt;&gt;"",INDEX('Base de données'!A$4:L$990,MATCH(A19,'Base de données'!A$4:A$990,0),2),"")</f>
        <v xml:space="preserve">BE MARRAKECH </v>
      </c>
      <c r="C19" s="100" t="str">
        <f>IF(A19&lt;&gt;"",INDEX('Base de données'!A$4:L$990,MATCH(A19,'Base de données'!A$4:A$990,0),12),"")</f>
        <v>NAJAT SAOUD</v>
      </c>
      <c r="D19" s="96">
        <v>43868</v>
      </c>
      <c r="E19" s="97">
        <v>43893</v>
      </c>
      <c r="F19" s="96">
        <v>43918</v>
      </c>
      <c r="G19" s="96">
        <v>43962</v>
      </c>
      <c r="H19" s="96">
        <v>44012</v>
      </c>
      <c r="I19" s="96">
        <v>44008</v>
      </c>
      <c r="J19" s="96">
        <v>44047</v>
      </c>
      <c r="K19" s="96">
        <v>44077</v>
      </c>
      <c r="L19" s="96">
        <v>44107</v>
      </c>
      <c r="M19" s="96">
        <v>44139</v>
      </c>
      <c r="N19" s="96">
        <v>44165</v>
      </c>
      <c r="O19" s="96">
        <v>44198</v>
      </c>
      <c r="Q19" s="468" t="s">
        <v>490</v>
      </c>
      <c r="R19" s="468">
        <f>COUNTIFS(C12:C281,S9,K12:K281,"&lt;&gt;"&amp;"")</f>
        <v>13</v>
      </c>
      <c r="S19" s="468">
        <f>COUNTIFS(C12:C281,S9,K12:K281,"&lt;="&amp;'Calendrier fiscal'!G15)</f>
        <v>12</v>
      </c>
      <c r="T19" s="468">
        <f>COUNTIFS(C12:C281,S9,K12:K281,"&lt;="&amp;'Calendrier fiscal'!H15)</f>
        <v>13</v>
      </c>
      <c r="U19" s="468">
        <f t="shared" si="5"/>
        <v>0</v>
      </c>
      <c r="V19" s="469">
        <f t="shared" si="6"/>
        <v>0.92307692307692313</v>
      </c>
      <c r="W19" s="470">
        <f t="shared" si="7"/>
        <v>1</v>
      </c>
    </row>
    <row r="20" spans="1:23" x14ac:dyDescent="0.25">
      <c r="A20" s="95">
        <v>160</v>
      </c>
      <c r="B20" s="99" t="str">
        <f>IF(A20&lt;&gt;"",INDEX('Base de données'!A$4:L$990,MATCH(A20,'Base de données'!A$4:A$990,0),2),"")</f>
        <v>ECOLE AL ITQANE 2</v>
      </c>
      <c r="C20" s="100" t="str">
        <f>IF(A20&lt;&gt;"",INDEX('Base de données'!A$4:L$990,MATCH(A20,'Base de données'!A$4:A$990,0),12),"")</f>
        <v>NAJAT SAOUD</v>
      </c>
      <c r="D20" s="96">
        <v>43867</v>
      </c>
      <c r="E20" s="96"/>
      <c r="F20" s="96">
        <v>43921</v>
      </c>
      <c r="G20" s="96">
        <v>43962</v>
      </c>
      <c r="H20" s="96"/>
      <c r="I20" s="96">
        <v>44018</v>
      </c>
      <c r="J20" s="96">
        <v>44047</v>
      </c>
      <c r="K20" s="96">
        <v>44083</v>
      </c>
      <c r="L20" s="96">
        <v>44112</v>
      </c>
      <c r="M20" s="96">
        <v>44140</v>
      </c>
      <c r="N20" s="96">
        <v>44172</v>
      </c>
      <c r="O20" s="96">
        <v>44203</v>
      </c>
      <c r="Q20" s="468" t="s">
        <v>491</v>
      </c>
      <c r="R20" s="468">
        <f>COUNTIFS(C12:C281,S9,L12:L281,"&lt;&gt;"&amp;"")</f>
        <v>10</v>
      </c>
      <c r="S20" s="468">
        <f>COUNTIFS(C12:C281,S9,L12:L281,"&lt;="&amp;'Calendrier fiscal'!G16)</f>
        <v>8</v>
      </c>
      <c r="T20" s="468">
        <f>COUNTIFS(C12:C281,S9,L12:L281,"&lt;="&amp;'Calendrier fiscal'!H16)</f>
        <v>10</v>
      </c>
      <c r="U20" s="468">
        <f t="shared" si="5"/>
        <v>0</v>
      </c>
      <c r="V20" s="469">
        <f t="shared" si="6"/>
        <v>0.8</v>
      </c>
      <c r="W20" s="470">
        <f t="shared" si="7"/>
        <v>1</v>
      </c>
    </row>
    <row r="21" spans="1:23" x14ac:dyDescent="0.25">
      <c r="A21" s="95">
        <v>208</v>
      </c>
      <c r="B21" s="99" t="str">
        <f>IF(A21&lt;&gt;"",INDEX('Base de données'!A$4:L$990,MATCH(A21,'Base de données'!A$4:A$990,0),2),"")</f>
        <v xml:space="preserve">TOUFITRA </v>
      </c>
      <c r="C21" s="100" t="str">
        <f>IF(A21&lt;&gt;"",INDEX('Base de données'!A$4:L$990,MATCH(A21,'Base de données'!A$4:A$990,0),12),"")</f>
        <v>NAJAT SAOUD</v>
      </c>
      <c r="D21" s="96">
        <v>43868</v>
      </c>
      <c r="E21" s="97">
        <v>43895</v>
      </c>
      <c r="F21" s="96">
        <v>43918</v>
      </c>
      <c r="G21" s="96">
        <v>43961</v>
      </c>
      <c r="H21" s="96">
        <v>44012</v>
      </c>
      <c r="I21" s="96">
        <v>44008</v>
      </c>
      <c r="J21" s="96">
        <v>44047</v>
      </c>
      <c r="K21" s="96">
        <v>44081</v>
      </c>
      <c r="L21" s="96">
        <v>44109</v>
      </c>
      <c r="M21" s="96">
        <v>44139</v>
      </c>
      <c r="N21" s="96">
        <v>44172</v>
      </c>
      <c r="O21" s="96">
        <v>44200</v>
      </c>
      <c r="Q21" s="468" t="s">
        <v>492</v>
      </c>
      <c r="R21" s="468">
        <f>COUNTIFS(C12:C281,S9,M12:M281,"&lt;&gt;"&amp;"")</f>
        <v>9</v>
      </c>
      <c r="S21" s="468">
        <f>COUNTIFS(C12:C281,S9,M12:M281,"&lt;="&amp;'Calendrier fiscal'!G17)</f>
        <v>8</v>
      </c>
      <c r="T21" s="468">
        <f>COUNTIFS(C12:C281,S9,M12:M281,"&lt;="&amp;'Calendrier fiscal'!H17)</f>
        <v>8</v>
      </c>
      <c r="U21" s="468">
        <f t="shared" si="5"/>
        <v>1</v>
      </c>
      <c r="V21" s="469">
        <f t="shared" si="6"/>
        <v>0.88888888888888884</v>
      </c>
      <c r="W21" s="470">
        <f t="shared" si="7"/>
        <v>0.88888888888888884</v>
      </c>
    </row>
    <row r="22" spans="1:23" x14ac:dyDescent="0.25">
      <c r="A22" s="95">
        <v>175</v>
      </c>
      <c r="B22" s="99" t="str">
        <f>IF(A22&lt;&gt;"",INDEX('Base de données'!A$4:L$990,MATCH(A22,'Base de données'!A$4:A$990,0),2),"")</f>
        <v>TSC D'AMEUBLEMENT</v>
      </c>
      <c r="C22" s="100" t="str">
        <f>IF(A22&lt;&gt;"",INDEX('Base de données'!A$4:L$990,MATCH(A22,'Base de données'!A$4:A$990,0),12),"")</f>
        <v>NAJAT SAOUD</v>
      </c>
      <c r="D22" s="96">
        <v>43868</v>
      </c>
      <c r="E22" s="97">
        <v>43893</v>
      </c>
      <c r="F22" s="96">
        <v>43918</v>
      </c>
      <c r="G22" s="96">
        <v>43961</v>
      </c>
      <c r="H22" s="96">
        <v>44012</v>
      </c>
      <c r="I22" s="96">
        <v>44008</v>
      </c>
      <c r="J22" s="96">
        <v>44081</v>
      </c>
      <c r="K22" s="96">
        <v>44081</v>
      </c>
      <c r="L22" s="96">
        <v>44112</v>
      </c>
      <c r="M22" s="96" t="s">
        <v>1410</v>
      </c>
      <c r="N22" s="96"/>
      <c r="O22" s="96">
        <v>44202</v>
      </c>
      <c r="Q22" s="468" t="s">
        <v>493</v>
      </c>
      <c r="R22" s="468">
        <f>COUNTIFS(C12:C281,S9,N12:N281,"&lt;&gt;"&amp;"")</f>
        <v>8</v>
      </c>
      <c r="S22" s="468">
        <f>COUNTIFS(C12:C281,S9,N12:N281,"&lt;="&amp;'Calendrier fiscal'!G18)</f>
        <v>8</v>
      </c>
      <c r="T22" s="468">
        <f>COUNTIFS(C12:C281,S9,N12:N281,"&lt;="&amp;'Calendrier fiscal'!H18)</f>
        <v>8</v>
      </c>
      <c r="U22" s="468">
        <f t="shared" si="5"/>
        <v>0</v>
      </c>
      <c r="V22" s="469">
        <f t="shared" si="6"/>
        <v>1</v>
      </c>
      <c r="W22" s="470">
        <f t="shared" si="7"/>
        <v>1</v>
      </c>
    </row>
    <row r="23" spans="1:23" x14ac:dyDescent="0.25">
      <c r="A23" s="95">
        <v>94</v>
      </c>
      <c r="B23" s="99" t="str">
        <f>IF(A23&lt;&gt;"",INDEX('Base de données'!A$4:L$990,MATCH(A23,'Base de données'!A$4:A$990,0),2),"")</f>
        <v>MARIGHA CONSTRUCTION</v>
      </c>
      <c r="C23" s="100" t="str">
        <f>IF(A23&lt;&gt;"",INDEX('Base de données'!A$4:L$990,MATCH(A23,'Base de données'!A$4:A$990,0),12),"")</f>
        <v>NAJAT SAOUD</v>
      </c>
      <c r="D23" s="96">
        <v>43867</v>
      </c>
      <c r="E23" s="97">
        <v>43893</v>
      </c>
      <c r="F23" s="96">
        <v>43918</v>
      </c>
      <c r="G23" s="96">
        <v>43962</v>
      </c>
      <c r="H23" s="96">
        <v>43983</v>
      </c>
      <c r="I23" s="96">
        <v>44008</v>
      </c>
      <c r="J23" s="96">
        <v>44051</v>
      </c>
      <c r="K23" s="96">
        <v>44078</v>
      </c>
      <c r="L23" s="96">
        <v>44109</v>
      </c>
      <c r="M23" s="96">
        <v>44139</v>
      </c>
      <c r="N23" s="96">
        <v>44172</v>
      </c>
      <c r="O23" s="96">
        <v>44200</v>
      </c>
      <c r="Q23" s="468" t="s">
        <v>494</v>
      </c>
      <c r="R23" s="468">
        <f>COUNTIFS(C12:C281,S9,O12:O281,"&lt;&gt;"&amp;"")</f>
        <v>9</v>
      </c>
      <c r="S23" s="468">
        <f>COUNTIFS(C12:C281,S9,O12:O281,"&lt;="&amp;'Calendrier fiscal'!G19)</f>
        <v>9</v>
      </c>
      <c r="T23" s="468">
        <f>COUNTIFS(C12:C281,S9,O12:O281,"&lt;="&amp;'Calendrier fiscal'!H19)</f>
        <v>9</v>
      </c>
      <c r="U23" s="468">
        <f t="shared" si="5"/>
        <v>0</v>
      </c>
      <c r="V23" s="469">
        <f t="shared" si="6"/>
        <v>1</v>
      </c>
      <c r="W23" s="470">
        <f t="shared" si="7"/>
        <v>1</v>
      </c>
    </row>
    <row r="24" spans="1:23" x14ac:dyDescent="0.25">
      <c r="A24" s="95">
        <v>342</v>
      </c>
      <c r="B24" s="99" t="str">
        <f>IF(A24&lt;&gt;"",INDEX('Base de données'!A$4:L$990,MATCH(A24,'Base de données'!A$4:A$990,0),2),"")</f>
        <v xml:space="preserve">HIMICHE CAR </v>
      </c>
      <c r="C24" s="100" t="str">
        <f>IF(A24&lt;&gt;"",INDEX('Base de données'!A$4:L$990,MATCH(A24,'Base de données'!A$4:A$990,0),12),"")</f>
        <v>NAJAT SAOUD</v>
      </c>
      <c r="D24" s="96"/>
      <c r="E24" s="97"/>
      <c r="F24" s="96"/>
      <c r="G24" s="96"/>
      <c r="H24" s="96"/>
      <c r="I24" s="96"/>
      <c r="J24" s="96"/>
      <c r="K24" s="96"/>
      <c r="L24" s="96"/>
      <c r="M24" s="96"/>
      <c r="N24" s="96"/>
      <c r="O24" s="96"/>
    </row>
    <row r="25" spans="1:23" x14ac:dyDescent="0.25">
      <c r="A25" s="95">
        <v>210</v>
      </c>
      <c r="B25" s="99" t="str">
        <f>IF(A25&lt;&gt;"",INDEX('Base de données'!A$4:L$990,MATCH(A25,'Base de données'!A$4:A$990,0),2),"")</f>
        <v xml:space="preserve">IGHIL ELECTRICITE </v>
      </c>
      <c r="C25" s="100" t="str">
        <f>IF(A25&lt;&gt;"",INDEX('Base de données'!A$4:L$990,MATCH(A25,'Base de données'!A$4:A$990,0),12),"")</f>
        <v>NAJAT SAOUD</v>
      </c>
      <c r="D25" s="96"/>
      <c r="E25" s="97"/>
      <c r="F25" s="96"/>
      <c r="G25" s="96"/>
      <c r="H25" s="96"/>
      <c r="I25" s="96"/>
      <c r="J25" s="96"/>
      <c r="K25" s="96"/>
      <c r="L25" s="96"/>
      <c r="M25" s="96"/>
      <c r="N25" s="96"/>
      <c r="O25" s="96"/>
    </row>
    <row r="26" spans="1:23" hidden="1" x14ac:dyDescent="0.25">
      <c r="A26" s="95">
        <v>1</v>
      </c>
      <c r="B26" s="99" t="str">
        <f>IF(A26&lt;&gt;"",INDEX('Base de données'!A$4:L$990,MATCH(A26,'Base de données'!A$4:A$990,0),2),"")</f>
        <v>STE WAY CONSEIL</v>
      </c>
      <c r="C26" s="100" t="str">
        <f>IF(A26&lt;&gt;"",INDEX('Base de données'!A$4:L$990,MATCH(A26,'Base de données'!A$4:A$990,0),12),"")</f>
        <v>KHAMISSA HDIMANE</v>
      </c>
      <c r="D26" s="96">
        <v>43865</v>
      </c>
      <c r="E26" s="97">
        <v>43895</v>
      </c>
      <c r="F26" s="96">
        <v>43916</v>
      </c>
      <c r="G26" s="96">
        <v>43951</v>
      </c>
      <c r="H26" s="96">
        <v>43983</v>
      </c>
      <c r="I26" s="96">
        <v>44004</v>
      </c>
      <c r="J26" s="96">
        <v>44048</v>
      </c>
      <c r="K26" s="96">
        <v>44077</v>
      </c>
      <c r="L26" s="96"/>
      <c r="M26" s="96"/>
      <c r="N26" s="96"/>
      <c r="O26" s="96"/>
    </row>
    <row r="27" spans="1:23" hidden="1" x14ac:dyDescent="0.25">
      <c r="A27" s="95">
        <v>89</v>
      </c>
      <c r="B27" s="99" t="str">
        <f>IF(A27&lt;&gt;"",INDEX('Base de données'!A$4:L$990,MATCH(A27,'Base de données'!A$4:A$990,0),2),"")</f>
        <v>STE DE SUD POUR
 L'INGENIERIE 
TOPOGRAPHIQUE</v>
      </c>
      <c r="C27" s="100" t="str">
        <f>IF(A27&lt;&gt;"",INDEX('Base de données'!A$4:L$990,MATCH(A27,'Base de données'!A$4:A$990,0),12),"")</f>
        <v>KHAMISSA HDIMANE</v>
      </c>
      <c r="D27" s="96"/>
      <c r="E27" s="97"/>
      <c r="F27" s="96"/>
      <c r="G27" s="96">
        <v>43952</v>
      </c>
      <c r="H27" s="96">
        <v>43978</v>
      </c>
      <c r="I27" s="96">
        <v>44016</v>
      </c>
      <c r="J27" s="96">
        <v>44047</v>
      </c>
      <c r="K27" s="96">
        <v>44078</v>
      </c>
      <c r="L27" s="96"/>
      <c r="M27" s="96"/>
      <c r="N27" s="96"/>
      <c r="O27" s="96"/>
    </row>
    <row r="28" spans="1:23" hidden="1" x14ac:dyDescent="0.25">
      <c r="A28" s="95">
        <v>17</v>
      </c>
      <c r="B28" s="99" t="str">
        <f>IF(A28&lt;&gt;"",INDEX('Base de données'!A$4:L$990,MATCH(A28,'Base de données'!A$4:A$990,0),2),"")</f>
        <v>STE BUREAU D ETUDE
 MANAGEMENT ET
 COMMUNICATION</v>
      </c>
      <c r="C28" s="100" t="str">
        <f>IF(A28&lt;&gt;"",INDEX('Base de données'!A$4:L$990,MATCH(A28,'Base de données'!A$4:A$990,0),12),"")</f>
        <v>KHAMISSA HDIMANE</v>
      </c>
      <c r="D28" s="96">
        <v>43866</v>
      </c>
      <c r="E28" s="97">
        <v>43895</v>
      </c>
      <c r="F28" s="96">
        <v>43920</v>
      </c>
      <c r="G28" s="96">
        <v>43953</v>
      </c>
      <c r="H28" s="96">
        <v>43986</v>
      </c>
      <c r="I28" s="96">
        <v>44015</v>
      </c>
      <c r="J28" s="96">
        <v>44048</v>
      </c>
      <c r="K28" s="96">
        <v>44077</v>
      </c>
      <c r="L28" s="96"/>
      <c r="M28" s="96"/>
      <c r="N28" s="96"/>
      <c r="O28" s="96"/>
    </row>
    <row r="29" spans="1:23" hidden="1" x14ac:dyDescent="0.25">
      <c r="A29" s="95">
        <v>142</v>
      </c>
      <c r="B29" s="99" t="str">
        <f>IF(A29&lt;&gt;"",INDEX('Base de données'!A$4:L$990,MATCH(A29,'Base de données'!A$4:A$990,0),2),"")</f>
        <v>BATIMAY</v>
      </c>
      <c r="C29" s="100" t="str">
        <f>IF(A29&lt;&gt;"",INDEX('Base de données'!A$4:L$990,MATCH(A29,'Base de données'!A$4:A$990,0),12),"")</f>
        <v>KHAMISSA HDIMANE</v>
      </c>
      <c r="D29" s="96">
        <v>43868</v>
      </c>
      <c r="E29" s="97">
        <v>43895</v>
      </c>
      <c r="F29" s="96">
        <v>43916</v>
      </c>
      <c r="G29" s="96">
        <v>43952</v>
      </c>
      <c r="H29" s="96">
        <v>43986</v>
      </c>
      <c r="I29" s="96">
        <v>44014</v>
      </c>
      <c r="J29" s="96">
        <v>44048</v>
      </c>
      <c r="K29" s="96">
        <v>44081</v>
      </c>
      <c r="L29" s="96"/>
      <c r="M29" s="96"/>
      <c r="N29" s="96"/>
      <c r="O29" s="96"/>
    </row>
    <row r="30" spans="1:23" hidden="1" x14ac:dyDescent="0.25">
      <c r="A30" s="95">
        <v>267</v>
      </c>
      <c r="B30" s="99" t="str">
        <f>IF(A30&lt;&gt;"",INDEX('Base de données'!A$4:L$990,MATCH(A30,'Base de données'!A$4:A$990,0),2),"")</f>
        <v>ECOLE AL ITQUANE PRIVE</v>
      </c>
      <c r="C30" s="100" t="str">
        <f>IF(A30&lt;&gt;"",INDEX('Base de données'!A$4:L$990,MATCH(A30,'Base de données'!A$4:A$990,0),12),"")</f>
        <v>KHAMISSA HDIMANE</v>
      </c>
      <c r="D30" s="96">
        <v>43867</v>
      </c>
      <c r="E30" s="97">
        <v>43896</v>
      </c>
      <c r="F30" s="96">
        <v>43920</v>
      </c>
      <c r="G30" s="96">
        <v>43954</v>
      </c>
      <c r="H30" s="96">
        <v>43984</v>
      </c>
      <c r="I30" s="96">
        <v>44015</v>
      </c>
      <c r="J30" s="96">
        <v>44047</v>
      </c>
      <c r="K30" s="96">
        <v>44083</v>
      </c>
      <c r="L30" s="96"/>
      <c r="M30" s="96"/>
      <c r="N30" s="96"/>
      <c r="O30" s="96"/>
    </row>
    <row r="31" spans="1:23" hidden="1" x14ac:dyDescent="0.25">
      <c r="A31" s="95">
        <v>24</v>
      </c>
      <c r="B31" s="99" t="str">
        <f>IF(A31&lt;&gt;"",INDEX('Base de données'!A$4:L$990,MATCH(A31,'Base de données'!A$4:A$990,0),2),"")</f>
        <v>KABBADJE JINANE</v>
      </c>
      <c r="C31" s="100" t="str">
        <f>IF(A31&lt;&gt;"",INDEX('Base de données'!A$4:L$990,MATCH(A31,'Base de données'!A$4:A$990,0),12),"")</f>
        <v>KHAMISSA HDIMANE</v>
      </c>
      <c r="D31" s="96">
        <v>43866</v>
      </c>
      <c r="E31" s="97">
        <v>43897</v>
      </c>
      <c r="F31" s="96">
        <v>43918</v>
      </c>
      <c r="G31" s="96">
        <v>43953</v>
      </c>
      <c r="H31" s="96">
        <v>43983</v>
      </c>
      <c r="I31" s="96">
        <v>44014</v>
      </c>
      <c r="J31" s="96">
        <v>44046</v>
      </c>
      <c r="K31" s="96">
        <v>44077</v>
      </c>
      <c r="L31" s="96"/>
      <c r="M31" s="96"/>
      <c r="N31" s="96"/>
      <c r="O31" s="96"/>
    </row>
    <row r="32" spans="1:23" hidden="1" x14ac:dyDescent="0.25">
      <c r="A32" s="95">
        <v>291</v>
      </c>
      <c r="B32" s="99" t="str">
        <f>IF(A32&lt;&gt;"",INDEX('Base de données'!A$4:L$990,MATCH(A32,'Base de données'!A$4:A$990,0),2),"")</f>
        <v>ECOLE WAHAT AL ATFAL
 PRIVEE</v>
      </c>
      <c r="C32" s="100" t="str">
        <f>IF(A32&lt;&gt;"",INDEX('Base de données'!A$4:L$990,MATCH(A32,'Base de données'!A$4:A$990,0),12),"")</f>
        <v>KHAMISSA HDIMANE</v>
      </c>
      <c r="D32" s="96">
        <v>43861</v>
      </c>
      <c r="E32" s="97">
        <v>43889</v>
      </c>
      <c r="F32" s="96">
        <v>43918</v>
      </c>
      <c r="G32" s="96">
        <v>43955</v>
      </c>
      <c r="H32" s="96">
        <v>43983</v>
      </c>
      <c r="I32" s="96">
        <v>44014</v>
      </c>
      <c r="J32" s="96">
        <v>44041</v>
      </c>
      <c r="K32" s="96">
        <v>44079</v>
      </c>
      <c r="L32" s="96"/>
      <c r="M32" s="96"/>
      <c r="N32" s="96"/>
      <c r="O32" s="96"/>
    </row>
    <row r="33" spans="1:15" hidden="1" x14ac:dyDescent="0.25">
      <c r="A33" s="95">
        <v>27</v>
      </c>
      <c r="B33" s="99" t="str">
        <f>IF(A33&lt;&gt;"",INDEX('Base de données'!A$4:L$990,MATCH(A33,'Base de données'!A$4:A$990,0),2),"")</f>
        <v xml:space="preserve">STE B.F.Z SARL </v>
      </c>
      <c r="C33" s="100" t="str">
        <f>IF(A33&lt;&gt;"",INDEX('Base de données'!A$4:L$990,MATCH(A33,'Base de données'!A$4:A$990,0),12),"")</f>
        <v>KHAMISSA HDIMANE</v>
      </c>
      <c r="D33" s="96">
        <v>43864</v>
      </c>
      <c r="E33" s="97">
        <v>43892</v>
      </c>
      <c r="F33" s="96">
        <v>43918</v>
      </c>
      <c r="G33" s="96">
        <v>43952</v>
      </c>
      <c r="H33" s="96">
        <v>43978</v>
      </c>
      <c r="I33" s="96">
        <v>44013</v>
      </c>
      <c r="J33" s="96">
        <v>44048</v>
      </c>
      <c r="K33" s="96">
        <v>44076</v>
      </c>
      <c r="L33" s="96"/>
      <c r="M33" s="96"/>
      <c r="N33" s="96"/>
      <c r="O33" s="96"/>
    </row>
    <row r="34" spans="1:15" hidden="1" x14ac:dyDescent="0.25">
      <c r="A34" s="95">
        <v>155</v>
      </c>
      <c r="B34" s="99" t="str">
        <f>IF(A34&lt;&gt;"",INDEX('Base de données'!A$4:L$990,MATCH(A34,'Base de données'!A$4:A$990,0),2),"")</f>
        <v>DIROSA</v>
      </c>
      <c r="C34" s="100" t="str">
        <f>IF(A34&lt;&gt;"",INDEX('Base de données'!A$4:L$990,MATCH(A34,'Base de données'!A$4:A$990,0),12),"")</f>
        <v>KHAMISSA HDIMANE</v>
      </c>
      <c r="D34" s="96">
        <v>43868</v>
      </c>
      <c r="E34" s="97">
        <v>43899</v>
      </c>
      <c r="F34" s="96">
        <v>43918</v>
      </c>
      <c r="G34" s="96">
        <v>43953</v>
      </c>
      <c r="H34" s="96">
        <v>43983</v>
      </c>
      <c r="I34" s="96">
        <v>44014</v>
      </c>
      <c r="J34" s="96">
        <v>44049</v>
      </c>
      <c r="K34" s="96">
        <v>44079</v>
      </c>
      <c r="L34" s="96"/>
      <c r="M34" s="96"/>
      <c r="N34" s="96"/>
      <c r="O34" s="96"/>
    </row>
    <row r="35" spans="1:15" hidden="1" x14ac:dyDescent="0.25">
      <c r="A35" s="95">
        <v>139</v>
      </c>
      <c r="B35" s="99" t="str">
        <f>IF(A35&lt;&gt;"",INDEX('Base de données'!A$4:L$990,MATCH(A35,'Base de données'!A$4:A$990,0),2),"")</f>
        <v>AM DROGUERIE</v>
      </c>
      <c r="C35" s="100" t="str">
        <f>IF(A35&lt;&gt;"",INDEX('Base de données'!A$4:L$990,MATCH(A35,'Base de données'!A$4:A$990,0),12),"")</f>
        <v>KHAMISSA HDIMANE</v>
      </c>
      <c r="D35" s="96">
        <v>43864</v>
      </c>
      <c r="E35" s="97">
        <v>43892</v>
      </c>
      <c r="F35" s="96">
        <v>43918</v>
      </c>
      <c r="G35" s="96">
        <v>43953</v>
      </c>
      <c r="H35" s="96">
        <v>43978</v>
      </c>
      <c r="I35" s="96">
        <v>44014</v>
      </c>
      <c r="J35" s="96">
        <v>44046</v>
      </c>
      <c r="K35" s="96">
        <v>44075</v>
      </c>
      <c r="L35" s="96"/>
      <c r="M35" s="96"/>
      <c r="N35" s="96"/>
      <c r="O35" s="96"/>
    </row>
    <row r="36" spans="1:15" hidden="1" x14ac:dyDescent="0.25">
      <c r="A36" s="95">
        <v>130</v>
      </c>
      <c r="B36" s="99" t="str">
        <f>IF(A36&lt;&gt;"",INDEX('Base de données'!A$4:L$990,MATCH(A36,'Base de données'!A$4:A$990,0),2),"")</f>
        <v>GRAMTA HOUSE</v>
      </c>
      <c r="C36" s="100" t="str">
        <f>IF(A36&lt;&gt;"",INDEX('Base de données'!A$4:L$990,MATCH(A36,'Base de données'!A$4:A$990,0),12),"")</f>
        <v>KHAMISSA HDIMANE</v>
      </c>
      <c r="D36" s="96">
        <v>43864</v>
      </c>
      <c r="E36" s="97">
        <v>43892</v>
      </c>
      <c r="F36" s="96">
        <v>43918</v>
      </c>
      <c r="G36" s="96">
        <v>43952</v>
      </c>
      <c r="H36" s="96">
        <v>43983</v>
      </c>
      <c r="I36" s="96">
        <v>44014</v>
      </c>
      <c r="J36" s="96">
        <v>44046</v>
      </c>
      <c r="K36" s="96">
        <v>44075</v>
      </c>
      <c r="L36" s="96"/>
      <c r="M36" s="96"/>
      <c r="N36" s="96"/>
      <c r="O36" s="96"/>
    </row>
    <row r="37" spans="1:15" hidden="1" x14ac:dyDescent="0.25">
      <c r="A37" s="95">
        <v>121</v>
      </c>
      <c r="B37" s="99" t="str">
        <f>IF(A37&lt;&gt;"",INDEX('Base de données'!A$4:L$990,MATCH(A37,'Base de données'!A$4:A$990,0),2),"")</f>
        <v>H2M TADING COMPANY</v>
      </c>
      <c r="C37" s="100" t="str">
        <f>IF(A37&lt;&gt;"",INDEX('Base de données'!A$4:L$990,MATCH(A37,'Base de données'!A$4:A$990,0),12),"")</f>
        <v>KHAMISSA HDIMANE</v>
      </c>
      <c r="D37" s="96">
        <v>43864</v>
      </c>
      <c r="E37" s="97">
        <v>43895</v>
      </c>
      <c r="F37" s="96">
        <v>43918</v>
      </c>
      <c r="G37" s="96">
        <v>43952</v>
      </c>
      <c r="H37" s="96">
        <v>43979</v>
      </c>
      <c r="I37" s="96">
        <v>44014</v>
      </c>
      <c r="J37" s="96">
        <v>44047</v>
      </c>
      <c r="K37" s="96">
        <v>44077</v>
      </c>
      <c r="L37" s="96"/>
      <c r="M37" s="96"/>
      <c r="N37" s="96"/>
      <c r="O37" s="96"/>
    </row>
    <row r="38" spans="1:15" hidden="1" x14ac:dyDescent="0.25">
      <c r="A38" s="95">
        <v>43</v>
      </c>
      <c r="B38" s="99" t="str">
        <f>IF(A38&lt;&gt;"",INDEX('Base de données'!A$4:L$990,MATCH(A38,'Base de données'!A$4:A$990,0),2),"")</f>
        <v>FATIHA EL BASRI</v>
      </c>
      <c r="C38" s="100" t="str">
        <f>IF(A38&lt;&gt;"",INDEX('Base de données'!A$4:L$990,MATCH(A38,'Base de données'!A$4:A$990,0),12),"")</f>
        <v>KHAMISSA HDIMANE</v>
      </c>
      <c r="D38" s="96">
        <v>43864</v>
      </c>
      <c r="E38" s="97">
        <v>43892</v>
      </c>
      <c r="F38" s="96">
        <v>43918</v>
      </c>
      <c r="G38" s="96">
        <v>43952</v>
      </c>
      <c r="H38" s="96">
        <v>43978</v>
      </c>
      <c r="I38" s="96">
        <v>44013</v>
      </c>
      <c r="J38" s="96">
        <v>44047</v>
      </c>
      <c r="K38" s="96">
        <v>44075</v>
      </c>
      <c r="L38" s="96"/>
      <c r="M38" s="96"/>
      <c r="N38" s="96"/>
      <c r="O38" s="96"/>
    </row>
    <row r="39" spans="1:15" hidden="1" x14ac:dyDescent="0.25">
      <c r="A39" s="95">
        <v>44</v>
      </c>
      <c r="B39" s="99" t="str">
        <f>IF(A39&lt;&gt;"",INDEX('Base de données'!A$4:L$990,MATCH(A39,'Base de données'!A$4:A$990,0),2),"")</f>
        <v xml:space="preserve"> STE MUSEEMAR</v>
      </c>
      <c r="C39" s="100" t="str">
        <f>IF(A39&lt;&gt;"",INDEX('Base de données'!A$4:L$990,MATCH(A39,'Base de données'!A$4:A$990,0),12),"")</f>
        <v>KHAMISSA HDIMANE</v>
      </c>
      <c r="D39" s="96">
        <v>43867</v>
      </c>
      <c r="E39" s="97">
        <v>43896</v>
      </c>
      <c r="F39" s="96">
        <v>43916</v>
      </c>
      <c r="G39" s="96">
        <v>43951</v>
      </c>
      <c r="H39" s="96">
        <v>43971</v>
      </c>
      <c r="I39" s="96">
        <v>44013</v>
      </c>
      <c r="J39" s="96">
        <v>44050</v>
      </c>
      <c r="K39" s="96">
        <v>44081</v>
      </c>
      <c r="L39" s="96"/>
      <c r="M39" s="96"/>
      <c r="N39" s="96"/>
      <c r="O39" s="96"/>
    </row>
    <row r="40" spans="1:15" hidden="1" x14ac:dyDescent="0.25">
      <c r="A40" s="95">
        <v>135</v>
      </c>
      <c r="B40" s="99" t="str">
        <f>IF(A40&lt;&gt;"",INDEX('Base de données'!A$4:L$990,MATCH(A40,'Base de données'!A$4:A$990,0),2),"")</f>
        <v>STE R2N CARS SARL</v>
      </c>
      <c r="C40" s="100" t="str">
        <f>IF(A40&lt;&gt;"",INDEX('Base de données'!A$4:L$990,MATCH(A40,'Base de données'!A$4:A$990,0),12),"")</f>
        <v>KHAMISSA HDIMANE</v>
      </c>
      <c r="D40" s="96">
        <v>43868</v>
      </c>
      <c r="E40" s="97">
        <v>43897</v>
      </c>
      <c r="F40" s="96">
        <v>43918</v>
      </c>
      <c r="G40" s="96">
        <v>43952</v>
      </c>
      <c r="H40" s="96">
        <v>43979</v>
      </c>
      <c r="I40" s="96">
        <v>44014</v>
      </c>
      <c r="J40" s="96">
        <v>44047</v>
      </c>
      <c r="K40" s="96">
        <v>44083</v>
      </c>
      <c r="L40" s="96"/>
      <c r="M40" s="96"/>
      <c r="N40" s="96"/>
      <c r="O40" s="96"/>
    </row>
    <row r="41" spans="1:15" hidden="1" x14ac:dyDescent="0.25">
      <c r="A41" s="95">
        <v>280</v>
      </c>
      <c r="B41" s="99" t="str">
        <f>IF(A41&lt;&gt;"",INDEX('Base de données'!A$4:L$990,MATCH(A41,'Base de données'!A$4:A$990,0),2),"")</f>
        <v xml:space="preserve">CAFE SNACK DAR AL FADL </v>
      </c>
      <c r="C41" s="100" t="str">
        <f>IF(A41&lt;&gt;"",INDEX('Base de données'!A$4:L$990,MATCH(A41,'Base de données'!A$4:A$990,0),12),"")</f>
        <v>KHAMISSA HDIMANE</v>
      </c>
      <c r="D41" s="96">
        <v>43864</v>
      </c>
      <c r="E41" s="97">
        <v>43892</v>
      </c>
      <c r="F41" s="96">
        <v>43918</v>
      </c>
      <c r="G41" s="96">
        <v>43951</v>
      </c>
      <c r="H41" s="96">
        <v>43971</v>
      </c>
      <c r="I41" s="96">
        <v>44013</v>
      </c>
      <c r="J41" s="96">
        <v>44048</v>
      </c>
      <c r="K41" s="96">
        <v>44075</v>
      </c>
      <c r="L41" s="96"/>
      <c r="M41" s="96"/>
      <c r="N41" s="96"/>
      <c r="O41" s="96"/>
    </row>
    <row r="42" spans="1:15" hidden="1" x14ac:dyDescent="0.25">
      <c r="A42" s="95">
        <v>78</v>
      </c>
      <c r="B42" s="99" t="str">
        <f>IF(A42&lt;&gt;"",INDEX('Base de données'!A$4:L$990,MATCH(A42,'Base de données'!A$4:A$990,0),2),"")</f>
        <v>DECOUSTA</v>
      </c>
      <c r="C42" s="100" t="str">
        <f>IF(A42&lt;&gt;"",INDEX('Base de données'!A$4:L$990,MATCH(A42,'Base de données'!A$4:A$990,0),12),"")</f>
        <v>KHAMISSA HDIMANE</v>
      </c>
      <c r="D42" s="96">
        <v>43867</v>
      </c>
      <c r="E42" s="97">
        <v>43899</v>
      </c>
      <c r="F42" s="96">
        <v>43918</v>
      </c>
      <c r="G42" s="96">
        <v>43952</v>
      </c>
      <c r="H42" s="96">
        <v>43983</v>
      </c>
      <c r="I42" s="96">
        <v>44021</v>
      </c>
      <c r="J42" s="96">
        <v>44050</v>
      </c>
      <c r="K42" s="96">
        <v>44082</v>
      </c>
      <c r="L42" s="96"/>
      <c r="M42" s="96"/>
      <c r="N42" s="96"/>
      <c r="O42" s="96"/>
    </row>
    <row r="43" spans="1:15" hidden="1" x14ac:dyDescent="0.25">
      <c r="A43" s="95">
        <v>74</v>
      </c>
      <c r="B43" s="99" t="str">
        <f>IF(A43&lt;&gt;"",INDEX('Base de données'!A$4:L$990,MATCH(A43,'Base de données'!A$4:A$990,0),2),"")</f>
        <v>KELTOUM OUMGHAR</v>
      </c>
      <c r="C43" s="100" t="str">
        <f>IF(A43&lt;&gt;"",INDEX('Base de données'!A$4:L$990,MATCH(A43,'Base de données'!A$4:A$990,0),12),"")</f>
        <v>ZINEB ELKHOUDARI</v>
      </c>
      <c r="D43" s="96">
        <v>43866</v>
      </c>
      <c r="E43" s="97">
        <v>43895</v>
      </c>
      <c r="F43" s="96"/>
      <c r="G43" s="96"/>
      <c r="H43" s="96"/>
      <c r="I43" s="96"/>
      <c r="J43" s="96"/>
      <c r="K43" s="96"/>
      <c r="L43" s="96"/>
      <c r="M43" s="96"/>
      <c r="N43" s="96"/>
      <c r="O43" s="96"/>
    </row>
    <row r="44" spans="1:15" hidden="1" x14ac:dyDescent="0.25">
      <c r="A44" s="95">
        <v>50</v>
      </c>
      <c r="B44" s="99" t="str">
        <f>IF(A44&lt;&gt;"",INDEX('Base de données'!A$4:L$990,MATCH(A44,'Base de données'!A$4:A$990,0),2),"")</f>
        <v>PARADIS GALERIE</v>
      </c>
      <c r="C44" s="100" t="str">
        <f>IF(A44&lt;&gt;"",INDEX('Base de données'!A$4:L$990,MATCH(A44,'Base de données'!A$4:A$990,0),12),"")</f>
        <v>ZINEB ELKHOUDARI</v>
      </c>
      <c r="D44" s="96">
        <v>43864</v>
      </c>
      <c r="E44" s="97">
        <v>43895</v>
      </c>
      <c r="F44" s="96"/>
      <c r="G44" s="96"/>
      <c r="H44" s="96"/>
      <c r="I44" s="96"/>
      <c r="J44" s="96"/>
      <c r="K44" s="96"/>
      <c r="L44" s="96"/>
      <c r="M44" s="96"/>
      <c r="N44" s="96"/>
      <c r="O44" s="96"/>
    </row>
    <row r="45" spans="1:15" hidden="1" x14ac:dyDescent="0.25">
      <c r="A45" s="95">
        <v>219</v>
      </c>
      <c r="B45" s="99" t="str">
        <f>IF(A45&lt;&gt;"",INDEX('Base de données'!A$4:L$990,MATCH(A45,'Base de données'!A$4:A$990,0),2),"")</f>
        <v xml:space="preserve">Dr ABDELOUAHED BERDI </v>
      </c>
      <c r="C45" s="100" t="str">
        <f>IF(A45&lt;&gt;"",INDEX('Base de données'!A$4:L$990,MATCH(A45,'Base de données'!A$4:A$990,0),12),"")</f>
        <v>ZINEB ELKHOUDARI</v>
      </c>
      <c r="D45" s="96">
        <v>43864</v>
      </c>
      <c r="E45" s="97">
        <v>43895</v>
      </c>
      <c r="F45" s="96"/>
      <c r="G45" s="96"/>
      <c r="H45" s="96"/>
      <c r="I45" s="96"/>
      <c r="J45" s="96"/>
      <c r="K45" s="96"/>
      <c r="L45" s="96"/>
      <c r="M45" s="96"/>
      <c r="N45" s="96"/>
      <c r="O45" s="96"/>
    </row>
    <row r="46" spans="1:15" hidden="1" x14ac:dyDescent="0.25">
      <c r="A46" s="95">
        <v>209</v>
      </c>
      <c r="B46" s="99" t="str">
        <f>IF(A46&lt;&gt;"",INDEX('Base de données'!A$4:L$990,MATCH(A46,'Base de données'!A$4:A$990,0),2),"")</f>
        <v>VICINATO</v>
      </c>
      <c r="C46" s="100" t="str">
        <f>IF(A46&lt;&gt;"",INDEX('Base de données'!A$4:L$990,MATCH(A46,'Base de données'!A$4:A$990,0),12),"")</f>
        <v>ZINEB ELKHOUDARI</v>
      </c>
      <c r="D46" s="96">
        <v>43866</v>
      </c>
      <c r="E46" s="97">
        <v>43895</v>
      </c>
      <c r="F46" s="96"/>
      <c r="G46" s="96"/>
      <c r="H46" s="96"/>
      <c r="I46" s="96"/>
      <c r="J46" s="96"/>
      <c r="K46" s="96"/>
      <c r="L46" s="96"/>
      <c r="M46" s="96"/>
      <c r="N46" s="96"/>
      <c r="O46" s="96"/>
    </row>
    <row r="47" spans="1:15" hidden="1" x14ac:dyDescent="0.25">
      <c r="A47" s="95">
        <v>357</v>
      </c>
      <c r="B47" s="99" t="str">
        <f>IF(A47&lt;&gt;"",INDEX('Base de données'!A$4:L$990,MATCH(A47,'Base de données'!A$4:A$990,0),2),"")</f>
        <v>FILACOP</v>
      </c>
      <c r="C47" s="100" t="str">
        <f>IF(A47&lt;&gt;"",INDEX('Base de données'!A$4:L$990,MATCH(A47,'Base de données'!A$4:A$990,0),12),"")</f>
        <v>BASMA</v>
      </c>
      <c r="D47" s="96">
        <v>43866</v>
      </c>
      <c r="E47" s="97">
        <v>43895</v>
      </c>
      <c r="F47" s="96"/>
      <c r="G47" s="96"/>
      <c r="H47" s="96"/>
      <c r="I47" s="96"/>
      <c r="J47" s="96"/>
      <c r="K47" s="96"/>
      <c r="L47" s="96"/>
      <c r="M47" s="96"/>
      <c r="N47" s="96"/>
      <c r="O47" s="96"/>
    </row>
    <row r="48" spans="1:15" hidden="1" x14ac:dyDescent="0.25">
      <c r="A48" s="95">
        <v>141</v>
      </c>
      <c r="B48" s="99" t="str">
        <f>IF(A48&lt;&gt;"",INDEX('Base de données'!A$4:L$990,MATCH(A48,'Base de données'!A$4:A$990,0),2),"")</f>
        <v xml:space="preserve">DR,EL MOUHDAB </v>
      </c>
      <c r="C48" s="100" t="str">
        <f>IF(A48&lt;&gt;"",INDEX('Base de données'!A$4:L$990,MATCH(A48,'Base de données'!A$4:A$990,0),12),"")</f>
        <v>ZINEB ELKHOUDARI</v>
      </c>
      <c r="D48" s="96">
        <v>43866</v>
      </c>
      <c r="E48" s="97"/>
      <c r="F48" s="96"/>
      <c r="G48" s="96"/>
      <c r="H48" s="96"/>
      <c r="I48" s="96"/>
      <c r="J48" s="96"/>
      <c r="K48" s="96"/>
      <c r="L48" s="96"/>
      <c r="M48" s="96"/>
      <c r="N48" s="96"/>
      <c r="O48" s="96"/>
    </row>
    <row r="49" spans="1:15" hidden="1" x14ac:dyDescent="0.25">
      <c r="A49" s="95">
        <v>9</v>
      </c>
      <c r="B49" s="99" t="str">
        <f>IF(A49&lt;&gt;"",INDEX('Base de données'!A$4:L$990,MATCH(A49,'Base de données'!A$4:A$990,0),2),"")</f>
        <v>BEN KHATTAB TOURIA</v>
      </c>
      <c r="C49" s="100" t="str">
        <f>IF(A49&lt;&gt;"",INDEX('Base de données'!A$4:L$990,MATCH(A49,'Base de données'!A$4:A$990,0),12),"")</f>
        <v>ZINEB ELKHOUDARI</v>
      </c>
      <c r="D49" s="96">
        <v>43866</v>
      </c>
      <c r="E49" s="97">
        <v>43895</v>
      </c>
      <c r="F49" s="96"/>
      <c r="G49" s="96"/>
      <c r="H49" s="96"/>
      <c r="I49" s="96"/>
      <c r="J49" s="96"/>
      <c r="K49" s="96"/>
      <c r="L49" s="96"/>
      <c r="M49" s="96"/>
      <c r="N49" s="96"/>
      <c r="O49" s="96"/>
    </row>
    <row r="50" spans="1:15" hidden="1" x14ac:dyDescent="0.25">
      <c r="A50" s="95">
        <v>263</v>
      </c>
      <c r="B50" s="99" t="str">
        <f>IF(A50&lt;&gt;"",INDEX('Base de données'!A$4:L$990,MATCH(A50,'Base de données'!A$4:A$990,0),2),"")</f>
        <v>PHARMACIE FEKHARA</v>
      </c>
      <c r="C50" s="100" t="str">
        <f>IF(A50&lt;&gt;"",INDEX('Base de données'!A$4:L$990,MATCH(A50,'Base de données'!A$4:A$990,0),12),"")</f>
        <v>ZINEB ELKHOUDARI</v>
      </c>
      <c r="D50" s="96">
        <v>43866</v>
      </c>
      <c r="E50" s="97">
        <v>43895</v>
      </c>
      <c r="F50" s="96"/>
      <c r="G50" s="96"/>
      <c r="H50" s="96"/>
      <c r="I50" s="96"/>
      <c r="J50" s="96"/>
      <c r="K50" s="96"/>
      <c r="L50" s="96"/>
      <c r="M50" s="96"/>
      <c r="N50" s="96"/>
      <c r="O50" s="96"/>
    </row>
    <row r="51" spans="1:15" hidden="1" x14ac:dyDescent="0.25">
      <c r="A51" s="95">
        <v>347</v>
      </c>
      <c r="B51" s="99" t="str">
        <f>IF(A51&lt;&gt;"",INDEX('Base de données'!A$4:L$990,MATCH(A51,'Base de données'!A$4:A$990,0),2),"")</f>
        <v>EURO STAR CARS</v>
      </c>
      <c r="C51" s="100" t="str">
        <f>IF(A51&lt;&gt;"",INDEX('Base de données'!A$4:L$990,MATCH(A51,'Base de données'!A$4:A$990,0),12),"")</f>
        <v>ZINEB ELKHOUDARI</v>
      </c>
      <c r="D51" s="96">
        <v>43867</v>
      </c>
      <c r="E51" s="97">
        <v>43895</v>
      </c>
      <c r="F51" s="96"/>
      <c r="G51" s="96"/>
      <c r="H51" s="96"/>
      <c r="I51" s="96"/>
      <c r="J51" s="96"/>
      <c r="K51" s="96"/>
      <c r="L51" s="96"/>
      <c r="M51" s="96"/>
      <c r="N51" s="96"/>
      <c r="O51" s="96"/>
    </row>
    <row r="52" spans="1:15" hidden="1" x14ac:dyDescent="0.25">
      <c r="A52" s="95">
        <v>240</v>
      </c>
      <c r="B52" s="99" t="str">
        <f>IF(A52&lt;&gt;"",INDEX('Base de données'!A$4:L$990,MATCH(A52,'Base de données'!A$4:A$990,0),2),"")</f>
        <v>GLOBAL TRAINING TECHNOLOGIES</v>
      </c>
      <c r="C52" s="100" t="str">
        <f>IF(A52&lt;&gt;"",INDEX('Base de données'!A$4:L$990,MATCH(A52,'Base de données'!A$4:A$990,0),12),"")</f>
        <v>ZINEB ELKHOUDARI</v>
      </c>
      <c r="D52" s="96">
        <v>43867</v>
      </c>
      <c r="E52" s="97">
        <v>43895</v>
      </c>
      <c r="F52" s="96"/>
      <c r="G52" s="96"/>
      <c r="H52" s="96"/>
      <c r="I52" s="96"/>
      <c r="J52" s="96"/>
      <c r="K52" s="96"/>
      <c r="L52" s="96"/>
      <c r="M52" s="96"/>
      <c r="N52" s="96"/>
      <c r="O52" s="96"/>
    </row>
    <row r="53" spans="1:15" hidden="1" x14ac:dyDescent="0.25">
      <c r="A53" s="95">
        <v>112</v>
      </c>
      <c r="B53" s="99" t="str">
        <f>IF(A53&lt;&gt;"",INDEX('Base de données'!A$4:L$990,MATCH(A53,'Base de données'!A$4:A$990,0),2),"")</f>
        <v>STE GOUNDA PROPRE</v>
      </c>
      <c r="C53" s="100" t="str">
        <f>IF(A53&lt;&gt;"",INDEX('Base de données'!A$4:L$990,MATCH(A53,'Base de données'!A$4:A$990,0),12),"")</f>
        <v>FATIMA EZZAHRA JAIZI</v>
      </c>
      <c r="D53" s="96">
        <v>43863</v>
      </c>
      <c r="E53" s="97">
        <v>43896</v>
      </c>
      <c r="F53" s="96">
        <v>43928</v>
      </c>
      <c r="G53" s="96">
        <v>43960</v>
      </c>
      <c r="H53" s="96">
        <v>43979</v>
      </c>
      <c r="I53" s="96">
        <v>44016</v>
      </c>
      <c r="J53" s="96">
        <v>44044</v>
      </c>
      <c r="K53" s="96">
        <v>44077</v>
      </c>
      <c r="L53" s="96"/>
      <c r="M53" s="96"/>
      <c r="N53" s="96"/>
      <c r="O53" s="96"/>
    </row>
    <row r="54" spans="1:15" hidden="1" x14ac:dyDescent="0.25">
      <c r="A54" s="95">
        <v>168</v>
      </c>
      <c r="B54" s="99" t="str">
        <f>IF(A54&lt;&gt;"",INDEX('Base de données'!A$4:L$990,MATCH(A54,'Base de données'!A$4:A$990,0),2),"")</f>
        <v>D,M,A,R GESTION</v>
      </c>
      <c r="C54" s="100" t="str">
        <f>IF(A54&lt;&gt;"",INDEX('Base de données'!A$4:L$990,MATCH(A54,'Base de données'!A$4:A$990,0),12),"")</f>
        <v>FATIMA EZZAHRA JAIZI</v>
      </c>
      <c r="D54" s="96">
        <v>43867</v>
      </c>
      <c r="E54" s="97">
        <v>43895</v>
      </c>
      <c r="F54" s="96">
        <v>43926</v>
      </c>
      <c r="G54" s="96">
        <v>43960</v>
      </c>
      <c r="H54" s="96">
        <v>43979</v>
      </c>
      <c r="I54" s="96">
        <v>44020</v>
      </c>
      <c r="J54" s="96">
        <v>44046</v>
      </c>
      <c r="K54" s="96">
        <v>44078</v>
      </c>
      <c r="L54" s="96"/>
      <c r="M54" s="96"/>
      <c r="N54" s="96"/>
      <c r="O54" s="96"/>
    </row>
    <row r="55" spans="1:15" hidden="1" x14ac:dyDescent="0.25">
      <c r="A55" s="95">
        <v>40</v>
      </c>
      <c r="B55" s="99" t="str">
        <f>IF(A55&lt;&gt;"",INDEX('Base de données'!A$4:L$990,MATCH(A55,'Base de données'!A$4:A$990,0),2),"")</f>
        <v>STE MAROC EN LIBERTE</v>
      </c>
      <c r="C55" s="100" t="str">
        <f>IF(A55&lt;&gt;"",INDEX('Base de données'!A$4:L$990,MATCH(A55,'Base de données'!A$4:A$990,0),12),"")</f>
        <v>FATIMA EZZAHRA JAIZI</v>
      </c>
      <c r="D55" s="96">
        <v>43867</v>
      </c>
      <c r="E55" s="97">
        <v>43895</v>
      </c>
      <c r="F55" s="96">
        <v>43925</v>
      </c>
      <c r="G55" s="96">
        <v>43954</v>
      </c>
      <c r="H55" s="96">
        <v>43979</v>
      </c>
      <c r="I55" s="96">
        <v>44015</v>
      </c>
      <c r="J55" s="96">
        <v>44046</v>
      </c>
      <c r="K55" s="96">
        <v>44081</v>
      </c>
      <c r="L55" s="96"/>
      <c r="M55" s="96"/>
      <c r="N55" s="96"/>
      <c r="O55" s="96"/>
    </row>
    <row r="56" spans="1:15" hidden="1" x14ac:dyDescent="0.25">
      <c r="A56" s="95">
        <v>73</v>
      </c>
      <c r="B56" s="99" t="str">
        <f>IF(A56&lt;&gt;"",INDEX('Base de données'!A$4:L$990,MATCH(A56,'Base de données'!A$4:A$990,0),2),"")</f>
        <v>HOTEL SOLEIL IMLIL</v>
      </c>
      <c r="C56" s="100" t="str">
        <f>IF(A56&lt;&gt;"",INDEX('Base de données'!A$4:L$990,MATCH(A56,'Base de données'!A$4:A$990,0),12),"")</f>
        <v>FATIMA EZZAHRA JAIZI</v>
      </c>
      <c r="D56" s="96">
        <v>43867</v>
      </c>
      <c r="E56" s="97">
        <v>43894</v>
      </c>
      <c r="F56" s="96">
        <v>43926</v>
      </c>
      <c r="G56" s="96">
        <v>43960</v>
      </c>
      <c r="H56" s="96">
        <v>43985</v>
      </c>
      <c r="I56" s="96">
        <v>44015</v>
      </c>
      <c r="J56" s="96">
        <v>44046</v>
      </c>
      <c r="K56" s="96">
        <v>44090</v>
      </c>
      <c r="L56" s="96"/>
      <c r="M56" s="96"/>
      <c r="N56" s="96"/>
      <c r="O56" s="96"/>
    </row>
    <row r="57" spans="1:15" hidden="1" x14ac:dyDescent="0.25">
      <c r="A57" s="95">
        <v>136</v>
      </c>
      <c r="B57" s="99" t="str">
        <f>IF(A57&lt;&gt;"",INDEX('Base de données'!A$4:L$990,MATCH(A57,'Base de données'!A$4:A$990,0),2),"")</f>
        <v>POLY FORAGE SARLAU</v>
      </c>
      <c r="C57" s="100" t="str">
        <f>IF(A57&lt;&gt;"",INDEX('Base de données'!A$4:L$990,MATCH(A57,'Base de données'!A$4:A$990,0),12),"")</f>
        <v>FATIMA EZZAHRA JAIZI</v>
      </c>
      <c r="D57" s="96">
        <v>43867</v>
      </c>
      <c r="E57" s="97">
        <v>43895</v>
      </c>
      <c r="F57" s="96">
        <v>43927</v>
      </c>
      <c r="G57" s="96">
        <v>43960</v>
      </c>
      <c r="H57" s="96">
        <v>43989</v>
      </c>
      <c r="I57" s="96">
        <v>44021</v>
      </c>
      <c r="J57" s="96">
        <v>44052</v>
      </c>
      <c r="K57" s="96">
        <v>44083</v>
      </c>
      <c r="L57" s="96"/>
      <c r="M57" s="96"/>
      <c r="N57" s="96"/>
      <c r="O57" s="96"/>
    </row>
    <row r="58" spans="1:15" hidden="1" x14ac:dyDescent="0.25">
      <c r="A58" s="95">
        <v>278</v>
      </c>
      <c r="B58" s="99" t="str">
        <f>IF(A58&lt;&gt;"",INDEX('Base de données'!A$4:L$990,MATCH(A58,'Base de données'!A$4:A$990,0),2),"")</f>
        <v>GMARK GROUPE</v>
      </c>
      <c r="C58" s="100" t="str">
        <f>IF(A58&lt;&gt;"",INDEX('Base de données'!A$4:L$990,MATCH(A58,'Base de données'!A$4:A$990,0),12),"")</f>
        <v>FATIMA EZZAHRA JAIZI</v>
      </c>
      <c r="D58" s="96">
        <v>43867</v>
      </c>
      <c r="E58" s="97">
        <v>43895</v>
      </c>
      <c r="F58" s="96">
        <v>43927</v>
      </c>
      <c r="G58" s="96">
        <v>43960</v>
      </c>
      <c r="H58" s="96">
        <v>43979</v>
      </c>
      <c r="I58" s="96">
        <v>44021</v>
      </c>
      <c r="J58" s="96">
        <v>44052</v>
      </c>
      <c r="K58" s="96">
        <v>44083</v>
      </c>
      <c r="L58" s="96"/>
      <c r="M58" s="96"/>
      <c r="N58" s="96"/>
      <c r="O58" s="96"/>
    </row>
    <row r="59" spans="1:15" hidden="1" x14ac:dyDescent="0.25">
      <c r="A59" s="95">
        <v>222</v>
      </c>
      <c r="B59" s="99" t="str">
        <f>IF(A59&lt;&gt;"",INDEX('Base de données'!A$4:L$990,MATCH(A59,'Base de données'!A$4:A$990,0),2),"")</f>
        <v>PRO-NATURA</v>
      </c>
      <c r="C59" s="100" t="str">
        <f>IF(A59&lt;&gt;"",INDEX('Base de données'!A$4:L$990,MATCH(A59,'Base de données'!A$4:A$990,0),12),"")</f>
        <v>FATIMA EZZAHRA JAIZI</v>
      </c>
      <c r="D59" s="96">
        <v>43867</v>
      </c>
      <c r="E59" s="97">
        <v>43895</v>
      </c>
      <c r="F59" s="96">
        <v>43927</v>
      </c>
      <c r="G59" s="96">
        <v>43956</v>
      </c>
      <c r="H59" s="96">
        <v>43980</v>
      </c>
      <c r="I59" s="96">
        <v>44016</v>
      </c>
      <c r="J59" s="96">
        <v>44046</v>
      </c>
      <c r="K59" s="96">
        <v>44078</v>
      </c>
      <c r="L59" s="96"/>
      <c r="M59" s="96"/>
      <c r="N59" s="96"/>
      <c r="O59" s="96"/>
    </row>
    <row r="60" spans="1:15" hidden="1" x14ac:dyDescent="0.25">
      <c r="A60" s="95">
        <v>327</v>
      </c>
      <c r="B60" s="99" t="str">
        <f>IF(A60&lt;&gt;"",INDEX('Base de données'!A$4:L$990,MATCH(A60,'Base de données'!A$4:A$990,0),2),"")</f>
        <v>IMTA SPORTS CENTER GMBH</v>
      </c>
      <c r="C60" s="100" t="str">
        <f>IF(A60&lt;&gt;"",INDEX('Base de données'!A$4:L$990,MATCH(A60,'Base de données'!A$4:A$990,0),12),"")</f>
        <v>FATIMA EZZAHRA JAIZI</v>
      </c>
      <c r="D60" s="96">
        <v>43865</v>
      </c>
      <c r="E60" s="97">
        <v>43894</v>
      </c>
      <c r="F60" s="96">
        <v>43926</v>
      </c>
      <c r="G60" s="96">
        <v>43959</v>
      </c>
      <c r="H60" s="96">
        <v>43985</v>
      </c>
      <c r="I60" s="96">
        <v>44015</v>
      </c>
      <c r="J60" s="96">
        <v>44046</v>
      </c>
      <c r="K60" s="96">
        <v>44078</v>
      </c>
      <c r="L60" s="96"/>
      <c r="M60" s="96"/>
      <c r="N60" s="96"/>
      <c r="O60" s="96"/>
    </row>
    <row r="61" spans="1:15" hidden="1" x14ac:dyDescent="0.25">
      <c r="A61" s="95">
        <v>29</v>
      </c>
      <c r="B61" s="99" t="str">
        <f>IF(A61&lt;&gt;"",INDEX('Base de données'!A$4:L$990,MATCH(A61,'Base de données'!A$4:A$990,0),2),"")</f>
        <v>HYDROLEADER</v>
      </c>
      <c r="C61" s="100" t="str">
        <f>IF(A61&lt;&gt;"",INDEX('Base de données'!A$4:L$990,MATCH(A61,'Base de données'!A$4:A$990,0),12),"")</f>
        <v>FATIMA EZZAHRA JAIZI</v>
      </c>
      <c r="D61" s="96">
        <v>43865</v>
      </c>
      <c r="E61" s="97">
        <v>43894</v>
      </c>
      <c r="F61" s="96">
        <v>43926</v>
      </c>
      <c r="G61" s="96">
        <v>43955</v>
      </c>
      <c r="H61" s="96">
        <v>43990</v>
      </c>
      <c r="I61" s="96">
        <v>44020</v>
      </c>
      <c r="J61" s="96">
        <v>44046</v>
      </c>
      <c r="K61" s="96">
        <v>44082</v>
      </c>
      <c r="L61" s="96"/>
      <c r="M61" s="96"/>
      <c r="N61" s="96"/>
      <c r="O61" s="96"/>
    </row>
    <row r="62" spans="1:15" hidden="1" x14ac:dyDescent="0.25">
      <c r="A62" s="95">
        <v>110</v>
      </c>
      <c r="B62" s="99" t="str">
        <f>IF(A62&lt;&gt;"",INDEX('Base de données'!A$4:L$990,MATCH(A62,'Base de données'!A$4:A$990,0),2),"")</f>
        <v>CMVAS</v>
      </c>
      <c r="C62" s="100" t="str">
        <f>IF(A62&lt;&gt;"",INDEX('Base de données'!A$4:L$990,MATCH(A62,'Base de données'!A$4:A$990,0),12),"")</f>
        <v>FATIMA EZZAHRA JAIZI</v>
      </c>
      <c r="D62" s="96">
        <v>43865</v>
      </c>
      <c r="E62" s="97">
        <v>43897</v>
      </c>
      <c r="F62" s="96">
        <v>43926</v>
      </c>
      <c r="G62" s="96">
        <v>43958</v>
      </c>
      <c r="H62" s="96">
        <v>43991</v>
      </c>
      <c r="I62" s="96">
        <v>44021</v>
      </c>
      <c r="J62" s="96">
        <v>44046</v>
      </c>
      <c r="K62" s="96">
        <v>44082</v>
      </c>
      <c r="L62" s="96"/>
      <c r="M62" s="96"/>
      <c r="N62" s="96"/>
      <c r="O62" s="96"/>
    </row>
    <row r="63" spans="1:15" hidden="1" x14ac:dyDescent="0.25">
      <c r="A63" s="95">
        <v>244</v>
      </c>
      <c r="B63" s="99" t="str">
        <f>IF(A63&lt;&gt;"",INDEX('Base de données'!A$4:L$990,MATCH(A63,'Base de données'!A$4:A$990,0),2),"")</f>
        <v xml:space="preserve">AKB </v>
      </c>
      <c r="C63" s="100" t="str">
        <f>IF(A63&lt;&gt;"",INDEX('Base de données'!A$4:L$990,MATCH(A63,'Base de données'!A$4:A$990,0),12),"")</f>
        <v>FATIMA EZZAHRA JAIZI</v>
      </c>
      <c r="D63" s="96">
        <v>43863</v>
      </c>
      <c r="E63" s="97">
        <v>43897</v>
      </c>
      <c r="F63" s="96">
        <v>43924</v>
      </c>
      <c r="G63" s="96">
        <v>43954</v>
      </c>
      <c r="H63" s="96">
        <v>43979</v>
      </c>
      <c r="I63" s="96">
        <v>44021</v>
      </c>
      <c r="J63" s="96">
        <v>44046</v>
      </c>
      <c r="K63" s="96">
        <v>44082</v>
      </c>
      <c r="L63" s="96"/>
      <c r="M63" s="96"/>
      <c r="N63" s="96"/>
      <c r="O63" s="96"/>
    </row>
    <row r="64" spans="1:15" hidden="1" x14ac:dyDescent="0.25">
      <c r="A64" s="95">
        <v>102</v>
      </c>
      <c r="B64" s="99" t="str">
        <f>IF(A64&lt;&gt;"",INDEX('Base de données'!A$4:L$990,MATCH(A64,'Base de données'!A$4:A$990,0),2),"")</f>
        <v>DIMAG</v>
      </c>
      <c r="C64" s="100" t="str">
        <f>IF(A64&lt;&gt;"",INDEX('Base de données'!A$4:L$990,MATCH(A64,'Base de données'!A$4:A$990,0),12),"")</f>
        <v>FATIMA EZZAHRA JAIZI</v>
      </c>
      <c r="D64" s="96">
        <v>43863</v>
      </c>
      <c r="E64" s="97">
        <v>43897</v>
      </c>
      <c r="F64" s="96">
        <v>43924</v>
      </c>
      <c r="G64" s="96">
        <v>43960</v>
      </c>
      <c r="H64" s="96">
        <v>43991</v>
      </c>
      <c r="I64" s="96">
        <v>44019</v>
      </c>
      <c r="J64" s="96">
        <v>44052</v>
      </c>
      <c r="K64" s="96">
        <v>44084</v>
      </c>
      <c r="L64" s="96"/>
      <c r="M64" s="96"/>
      <c r="N64" s="96"/>
      <c r="O64" s="96"/>
    </row>
    <row r="65" spans="1:15" hidden="1" x14ac:dyDescent="0.25">
      <c r="A65" s="95">
        <v>237</v>
      </c>
      <c r="B65" s="99" t="str">
        <f>IF(A65&lt;&gt;"",INDEX('Base de données'!A$4:L$990,MATCH(A65,'Base de données'!A$4:A$990,0),2),"")</f>
        <v>2K PHONE CALL CENTER</v>
      </c>
      <c r="C65" s="100" t="str">
        <f>IF(A65&lt;&gt;"",INDEX('Base de données'!A$4:L$990,MATCH(A65,'Base de données'!A$4:A$990,0),12),"")</f>
        <v>FATIMA EZZAHRA JAIZI</v>
      </c>
      <c r="D65" s="96">
        <v>43863</v>
      </c>
      <c r="E65" s="97">
        <v>43896</v>
      </c>
      <c r="F65" s="96">
        <v>43924</v>
      </c>
      <c r="G65" s="96">
        <v>43954</v>
      </c>
      <c r="H65" s="96">
        <v>43985</v>
      </c>
      <c r="I65" s="96">
        <v>44020</v>
      </c>
      <c r="J65" s="96">
        <v>44046</v>
      </c>
      <c r="K65" s="96">
        <v>44082</v>
      </c>
      <c r="L65" s="96"/>
      <c r="M65" s="96"/>
      <c r="N65" s="96"/>
      <c r="O65" s="96"/>
    </row>
    <row r="66" spans="1:15" hidden="1" x14ac:dyDescent="0.25">
      <c r="A66" s="95">
        <v>259</v>
      </c>
      <c r="B66" s="99" t="str">
        <f>IF(A66&lt;&gt;"",INDEX('Base de données'!A$4:L$990,MATCH(A66,'Base de données'!A$4:A$990,0),2),"")</f>
        <v xml:space="preserve">RESSOURE EN EAU SUD </v>
      </c>
      <c r="C66" s="100" t="str">
        <f>IF(A66&lt;&gt;"",INDEX('Base de données'!A$4:L$990,MATCH(A66,'Base de données'!A$4:A$990,0),12),"")</f>
        <v>FATIMA EZZAHRA JAIZI</v>
      </c>
      <c r="D66" s="96">
        <v>43864</v>
      </c>
      <c r="E66" s="97">
        <v>43893</v>
      </c>
      <c r="F66" s="96">
        <v>43928</v>
      </c>
      <c r="G66" s="96">
        <v>43958</v>
      </c>
      <c r="H66" s="96">
        <v>43990</v>
      </c>
      <c r="I66" s="96">
        <v>44019</v>
      </c>
      <c r="J66" s="96">
        <v>44050</v>
      </c>
      <c r="K66" s="96">
        <v>44083</v>
      </c>
      <c r="L66" s="96"/>
      <c r="M66" s="96"/>
      <c r="N66" s="96"/>
      <c r="O66" s="96"/>
    </row>
    <row r="67" spans="1:15" hidden="1" x14ac:dyDescent="0.25">
      <c r="A67" s="95">
        <v>269</v>
      </c>
      <c r="B67" s="99" t="str">
        <f>IF(A67&lt;&gt;"",INDEX('Base de données'!A$4:L$990,MATCH(A67,'Base de données'!A$4:A$990,0),2),"")</f>
        <v xml:space="preserve">AHR COMPAGNIE </v>
      </c>
      <c r="C67" s="100" t="str">
        <f>IF(A67&lt;&gt;"",INDEX('Base de données'!A$4:L$990,MATCH(A67,'Base de données'!A$4:A$990,0),12),"")</f>
        <v>FATIMA EZZAHRA JAIZI</v>
      </c>
      <c r="D67" s="96">
        <v>43864</v>
      </c>
      <c r="E67" s="97">
        <v>43894</v>
      </c>
      <c r="F67" s="96">
        <v>43928</v>
      </c>
      <c r="G67" s="96">
        <v>43954</v>
      </c>
      <c r="H67" s="96">
        <v>43991</v>
      </c>
      <c r="I67" s="96">
        <v>44021</v>
      </c>
      <c r="J67" s="96">
        <v>44046</v>
      </c>
      <c r="K67" s="96">
        <v>44077</v>
      </c>
      <c r="L67" s="96"/>
      <c r="M67" s="96"/>
      <c r="N67" s="96"/>
      <c r="O67" s="96"/>
    </row>
    <row r="68" spans="1:15" hidden="1" x14ac:dyDescent="0.25">
      <c r="A68" s="95">
        <v>228</v>
      </c>
      <c r="B68" s="99" t="str">
        <f>IF(A68&lt;&gt;"",INDEX('Base de données'!A$4:L$990,MATCH(A68,'Base de données'!A$4:A$990,0),2),"")</f>
        <v xml:space="preserve">MARDESIGN </v>
      </c>
      <c r="C68" s="100" t="str">
        <f>IF(A68&lt;&gt;"",INDEX('Base de données'!A$4:L$990,MATCH(A68,'Base de données'!A$4:A$990,0),12),"")</f>
        <v>FATIMA EZZAHRA JAIZI</v>
      </c>
      <c r="D68" s="96">
        <v>43864</v>
      </c>
      <c r="E68" s="97">
        <v>43894</v>
      </c>
      <c r="F68" s="96">
        <v>43929</v>
      </c>
      <c r="G68" s="96">
        <v>43960</v>
      </c>
      <c r="H68" s="96">
        <v>43985</v>
      </c>
      <c r="I68" s="96">
        <v>44020</v>
      </c>
      <c r="J68" s="96">
        <v>44046</v>
      </c>
      <c r="K68" s="96">
        <v>44077</v>
      </c>
      <c r="L68" s="96"/>
      <c r="M68" s="96"/>
      <c r="N68" s="96"/>
      <c r="O68" s="96"/>
    </row>
    <row r="69" spans="1:15" hidden="1" x14ac:dyDescent="0.25">
      <c r="A69" s="95">
        <v>165</v>
      </c>
      <c r="B69" s="99" t="str">
        <f>IF(A69&lt;&gt;"",INDEX('Base de données'!A$4:L$990,MATCH(A69,'Base de données'!A$4:A$990,0),2),"")</f>
        <v>STE ENVITRA</v>
      </c>
      <c r="C69" s="100" t="str">
        <f>IF(A69&lt;&gt;"",INDEX('Base de données'!A$4:L$990,MATCH(A69,'Base de données'!A$4:A$990,0),12),"")</f>
        <v>FATIMA EZZAHRA JAIZI</v>
      </c>
      <c r="D69" s="96">
        <v>43866</v>
      </c>
      <c r="E69" s="97">
        <v>43898</v>
      </c>
      <c r="F69" s="96">
        <v>43929</v>
      </c>
      <c r="G69" s="96">
        <v>43960</v>
      </c>
      <c r="H69" s="96">
        <v>43979</v>
      </c>
      <c r="I69" s="96">
        <v>44021</v>
      </c>
      <c r="J69" s="96">
        <v>44046</v>
      </c>
      <c r="K69" s="96">
        <v>44083</v>
      </c>
      <c r="L69" s="96"/>
      <c r="M69" s="96"/>
      <c r="N69" s="96"/>
      <c r="O69" s="96"/>
    </row>
    <row r="70" spans="1:15" hidden="1" x14ac:dyDescent="0.25">
      <c r="A70" s="95">
        <v>49</v>
      </c>
      <c r="B70" s="99" t="str">
        <f>IF(A70&lt;&gt;"",INDEX('Base de données'!A$4:L$990,MATCH(A70,'Base de données'!A$4:A$990,0),2),"")</f>
        <v xml:space="preserve">LA PIATZA </v>
      </c>
      <c r="C70" s="100" t="str">
        <f>IF(A70&lt;&gt;"",INDEX('Base de données'!A$4:L$990,MATCH(A70,'Base de données'!A$4:A$990,0),12),"")</f>
        <v>HALIMA OUIJANE</v>
      </c>
      <c r="D70" s="96"/>
      <c r="E70" s="97"/>
      <c r="F70" s="96"/>
      <c r="G70" s="96"/>
      <c r="H70" s="96"/>
      <c r="I70" s="96">
        <v>44014</v>
      </c>
      <c r="J70" s="96"/>
      <c r="K70" s="96"/>
      <c r="L70" s="96"/>
      <c r="M70" s="96"/>
      <c r="N70" s="96"/>
      <c r="O70" s="96"/>
    </row>
    <row r="71" spans="1:15" hidden="1" x14ac:dyDescent="0.25">
      <c r="A71" s="95">
        <v>144</v>
      </c>
      <c r="B71" s="99" t="str">
        <f>IF(A71&lt;&gt;"",INDEX('Base de données'!A$4:L$990,MATCH(A71,'Base de données'!A$4:A$990,0),2),"")</f>
        <v>RYNZ CAR</v>
      </c>
      <c r="C71" s="100" t="str">
        <f>IF(A71&lt;&gt;"",INDEX('Base de données'!A$4:L$990,MATCH(A71,'Base de données'!A$4:A$990,0),12),"")</f>
        <v>HALIMA OUIJANE</v>
      </c>
      <c r="D71" s="96"/>
      <c r="E71" s="97"/>
      <c r="F71" s="96"/>
      <c r="G71" s="96"/>
      <c r="H71" s="96"/>
      <c r="I71" s="96">
        <v>44014</v>
      </c>
      <c r="J71" s="96"/>
      <c r="K71" s="96"/>
      <c r="L71" s="96"/>
      <c r="M71" s="96"/>
      <c r="N71" s="96"/>
      <c r="O71" s="96"/>
    </row>
    <row r="72" spans="1:15" hidden="1" x14ac:dyDescent="0.25">
      <c r="A72" s="95">
        <v>295</v>
      </c>
      <c r="B72" s="99" t="str">
        <f>IF(A72&lt;&gt;"",INDEX('Base de données'!A$4:L$990,MATCH(A72,'Base de données'!A$4:A$990,0),2),"")</f>
        <v>ABOU YAHYA TRANSPORT</v>
      </c>
      <c r="C72" s="100" t="str">
        <f>IF(A72&lt;&gt;"",INDEX('Base de données'!A$4:L$990,MATCH(A72,'Base de données'!A$4:A$990,0),12),"")</f>
        <v>HALIMA OUIJANE</v>
      </c>
      <c r="D72" s="96"/>
      <c r="E72" s="97"/>
      <c r="F72" s="96"/>
      <c r="G72" s="96"/>
      <c r="H72" s="96"/>
      <c r="I72" s="96"/>
      <c r="J72" s="96"/>
      <c r="K72" s="96"/>
      <c r="L72" s="96"/>
      <c r="M72" s="96"/>
      <c r="N72" s="96"/>
      <c r="O72" s="96"/>
    </row>
    <row r="73" spans="1:15" hidden="1" x14ac:dyDescent="0.25">
      <c r="A73" s="95">
        <v>172</v>
      </c>
      <c r="B73" s="99" t="str">
        <f>IF(A73&lt;&gt;"",INDEX('Base de données'!A$4:L$990,MATCH(A73,'Base de données'!A$4:A$990,0),2),"")</f>
        <v xml:space="preserve">WISE CAM  </v>
      </c>
      <c r="C73" s="100" t="str">
        <f>IF(A73&lt;&gt;"",INDEX('Base de données'!A$4:L$990,MATCH(A73,'Base de données'!A$4:A$990,0),12),"")</f>
        <v>HALIMA OUIJANE</v>
      </c>
      <c r="D73" s="96"/>
      <c r="E73" s="97"/>
      <c r="F73" s="96"/>
      <c r="G73" s="96"/>
      <c r="H73" s="96"/>
      <c r="I73" s="96"/>
      <c r="J73" s="96"/>
      <c r="K73" s="96"/>
      <c r="L73" s="96"/>
      <c r="M73" s="96"/>
      <c r="N73" s="96"/>
      <c r="O73" s="96"/>
    </row>
    <row r="74" spans="1:15" hidden="1" x14ac:dyDescent="0.25">
      <c r="A74" s="95">
        <v>276</v>
      </c>
      <c r="B74" s="99" t="str">
        <f>IF(A74&lt;&gt;"",INDEX('Base de données'!A$4:L$990,MATCH(A74,'Base de données'!A$4:A$990,0),2),"")</f>
        <v>OUMGHAR KHALID</v>
      </c>
      <c r="C74" s="100" t="str">
        <f>IF(A74&lt;&gt;"",INDEX('Base de données'!A$4:L$990,MATCH(A74,'Base de données'!A$4:A$990,0),12),"")</f>
        <v>HALIMA OUIJANE</v>
      </c>
      <c r="D74" s="96"/>
      <c r="E74" s="97"/>
      <c r="F74" s="96"/>
      <c r="G74" s="96"/>
      <c r="H74" s="96"/>
      <c r="I74" s="96"/>
      <c r="J74" s="96"/>
      <c r="K74" s="96"/>
      <c r="L74" s="96"/>
      <c r="M74" s="96"/>
      <c r="N74" s="96"/>
      <c r="O74" s="96"/>
    </row>
    <row r="75" spans="1:15" hidden="1" x14ac:dyDescent="0.25">
      <c r="A75" s="95">
        <v>363</v>
      </c>
      <c r="B75" s="99" t="str">
        <f>IF(A75&lt;&gt;"",INDEX('Base de données'!A$4:L$990,MATCH(A75,'Base de données'!A$4:A$990,0),2),"")</f>
        <v>HOMYWAY</v>
      </c>
      <c r="C75" s="100" t="str">
        <f>IF(A75&lt;&gt;"",INDEX('Base de données'!A$4:L$990,MATCH(A75,'Base de données'!A$4:A$990,0),12),"")</f>
        <v>HALIMA OUIJANE</v>
      </c>
      <c r="D75" s="96"/>
      <c r="E75" s="97"/>
      <c r="F75" s="96"/>
      <c r="G75" s="96"/>
      <c r="H75" s="96"/>
      <c r="I75" s="96"/>
      <c r="J75" s="96"/>
      <c r="K75" s="96"/>
      <c r="L75" s="96"/>
      <c r="M75" s="96"/>
      <c r="N75" s="96"/>
      <c r="O75" s="96"/>
    </row>
    <row r="76" spans="1:15" hidden="1" x14ac:dyDescent="0.25">
      <c r="A76" s="95">
        <v>364</v>
      </c>
      <c r="B76" s="99" t="str">
        <f>IF(A76&lt;&gt;"",INDEX('Base de données'!A$4:L$990,MATCH(A76,'Base de données'!A$4:A$990,0),2),"")</f>
        <v>HAKKOU KARIMA</v>
      </c>
      <c r="C76" s="100" t="str">
        <f>IF(A76&lt;&gt;"",INDEX('Base de données'!A$4:L$990,MATCH(A76,'Base de données'!A$4:A$990,0),12),"")</f>
        <v>HALIMA OUIJANE</v>
      </c>
      <c r="D76" s="96"/>
      <c r="E76" s="97"/>
      <c r="F76" s="96"/>
      <c r="G76" s="96"/>
      <c r="H76" s="96"/>
      <c r="I76" s="96"/>
      <c r="J76" s="96"/>
      <c r="K76" s="96"/>
      <c r="L76" s="96"/>
      <c r="M76" s="96"/>
      <c r="N76" s="96"/>
      <c r="O76" s="96"/>
    </row>
    <row r="77" spans="1:15" hidden="1" x14ac:dyDescent="0.25">
      <c r="A77" s="95">
        <v>362</v>
      </c>
      <c r="B77" s="99" t="str">
        <f>IF(A77&lt;&gt;"",INDEX('Base de données'!A$4:L$990,MATCH(A77,'Base de données'!A$4:A$990,0),2),"")</f>
        <v>NAKCI AUTO</v>
      </c>
      <c r="C77" s="100" t="str">
        <f>IF(A77&lt;&gt;"",INDEX('Base de données'!A$4:L$990,MATCH(A77,'Base de données'!A$4:A$990,0),12),"")</f>
        <v>HALIMA OUIJANE</v>
      </c>
      <c r="D77" s="96"/>
      <c r="E77" s="97"/>
      <c r="F77" s="96"/>
      <c r="G77" s="96"/>
      <c r="H77" s="96"/>
      <c r="I77" s="96"/>
      <c r="J77" s="96"/>
      <c r="K77" s="96"/>
      <c r="L77" s="96"/>
      <c r="M77" s="96"/>
      <c r="N77" s="96"/>
      <c r="O77" s="96"/>
    </row>
    <row r="78" spans="1:15" hidden="1" x14ac:dyDescent="0.25">
      <c r="A78" s="95">
        <v>370</v>
      </c>
      <c r="B78" s="99" t="str">
        <f>IF(A78&lt;&gt;"",INDEX('Base de données'!A$4:L$990,MATCH(A78,'Base de données'!A$4:A$990,0),2),"")</f>
        <v>AUTO BOOK</v>
      </c>
      <c r="C78" s="100" t="str">
        <f>IF(A78&lt;&gt;"",INDEX('Base de données'!A$4:L$990,MATCH(A78,'Base de données'!A$4:A$990,0),12),"")</f>
        <v>HALIMA OUIJANE</v>
      </c>
      <c r="D78" s="96"/>
      <c r="E78" s="97"/>
      <c r="F78" s="96"/>
      <c r="G78" s="96"/>
      <c r="H78" s="96"/>
      <c r="I78" s="96"/>
      <c r="J78" s="96"/>
      <c r="K78" s="96"/>
      <c r="L78" s="96"/>
      <c r="M78" s="96"/>
      <c r="N78" s="96"/>
      <c r="O78" s="96"/>
    </row>
    <row r="79" spans="1:15" hidden="1" x14ac:dyDescent="0.25">
      <c r="A79" s="95">
        <v>196</v>
      </c>
      <c r="B79" s="99" t="str">
        <f>IF(A79&lt;&gt;"",INDEX('Base de données'!A$4:L$990,MATCH(A79,'Base de données'!A$4:A$990,0),2),"")</f>
        <v>AZAGHAR AL AQSA</v>
      </c>
      <c r="C79" s="100" t="str">
        <f>IF(A79&lt;&gt;"",INDEX('Base de données'!A$4:L$990,MATCH(A79,'Base de données'!A$4:A$990,0),12),"")</f>
        <v>HALIMA OUIJANE</v>
      </c>
      <c r="D79" s="96"/>
      <c r="E79" s="97"/>
      <c r="F79" s="96"/>
      <c r="G79" s="96"/>
      <c r="H79" s="96"/>
      <c r="I79" s="96"/>
      <c r="J79" s="96"/>
      <c r="K79" s="96"/>
      <c r="L79" s="96"/>
      <c r="M79" s="96"/>
      <c r="N79" s="96"/>
      <c r="O79" s="96"/>
    </row>
    <row r="80" spans="1:15" hidden="1" x14ac:dyDescent="0.25">
      <c r="A80" s="95">
        <v>25</v>
      </c>
      <c r="B80" s="99" t="str">
        <f>IF(A80&lt;&gt;"",INDEX('Base de données'!A$4:L$990,MATCH(A80,'Base de données'!A$4:A$990,0),2),"")</f>
        <v>ZAKARIA LAKTIB</v>
      </c>
      <c r="C80" s="100" t="str">
        <f>IF(A80&lt;&gt;"",INDEX('Base de données'!A$4:L$990,MATCH(A80,'Base de données'!A$4:A$990,0),12),"")</f>
        <v>HALIMA OUIJANE</v>
      </c>
      <c r="D80" s="96"/>
      <c r="E80" s="97"/>
      <c r="F80" s="96"/>
      <c r="G80" s="96"/>
      <c r="H80" s="96"/>
      <c r="I80" s="96"/>
      <c r="J80" s="96"/>
      <c r="K80" s="96"/>
      <c r="L80" s="96"/>
      <c r="M80" s="96"/>
      <c r="N80" s="96"/>
      <c r="O80" s="96"/>
    </row>
    <row r="81" spans="1:15" hidden="1" x14ac:dyDescent="0.25">
      <c r="A81" s="95">
        <v>254</v>
      </c>
      <c r="B81" s="99" t="str">
        <f>IF(A81&lt;&gt;"",INDEX('Base de données'!A$4:L$990,MATCH(A81,'Base de données'!A$4:A$990,0),2),"")</f>
        <v>MOSTAPHA OUMGHAR</v>
      </c>
      <c r="C81" s="100" t="str">
        <f>IF(A81&lt;&gt;"",INDEX('Base de données'!A$4:L$990,MATCH(A81,'Base de données'!A$4:A$990,0),12),"")</f>
        <v>HALIMA OUIJANE</v>
      </c>
      <c r="D81" s="96"/>
      <c r="E81" s="97"/>
      <c r="F81" s="96"/>
      <c r="G81" s="96"/>
      <c r="H81" s="96"/>
      <c r="I81" s="96"/>
      <c r="J81" s="96"/>
      <c r="K81" s="96"/>
      <c r="L81" s="96"/>
      <c r="M81" s="96"/>
      <c r="N81" s="96"/>
      <c r="O81" s="96"/>
    </row>
    <row r="82" spans="1:15" hidden="1" x14ac:dyDescent="0.25">
      <c r="A82" s="95">
        <v>310</v>
      </c>
      <c r="B82" s="99" t="str">
        <f>IF(A82&lt;&gt;"",INDEX('Base de données'!A$4:L$990,MATCH(A82,'Base de données'!A$4:A$990,0),2),"")</f>
        <v>CONNECT TRAVAUX</v>
      </c>
      <c r="C82" s="100" t="str">
        <f>IF(A82&lt;&gt;"",INDEX('Base de données'!A$4:L$990,MATCH(A82,'Base de données'!A$4:A$990,0),12),"")</f>
        <v>HALIMA OUIJANE</v>
      </c>
      <c r="D82" s="96"/>
      <c r="E82" s="97"/>
      <c r="F82" s="96"/>
      <c r="G82" s="96"/>
      <c r="H82" s="96"/>
      <c r="I82" s="96"/>
      <c r="J82" s="96"/>
      <c r="K82" s="96"/>
      <c r="L82" s="96"/>
      <c r="M82" s="96"/>
      <c r="N82" s="96"/>
      <c r="O82" s="96"/>
    </row>
    <row r="83" spans="1:15" hidden="1" x14ac:dyDescent="0.25">
      <c r="A83" s="95">
        <v>351</v>
      </c>
      <c r="B83" s="99" t="str">
        <f>IF(A83&lt;&gt;"",INDEX('Base de données'!A$4:L$990,MATCH(A83,'Base de données'!A$4:A$990,0),2),"")</f>
        <v>SABRITEC</v>
      </c>
      <c r="C83" s="100" t="str">
        <f>IF(A83&lt;&gt;"",INDEX('Base de données'!A$4:L$990,MATCH(A83,'Base de données'!A$4:A$990,0),12),"")</f>
        <v>HALIMA OUIJANE</v>
      </c>
      <c r="D83" s="96"/>
      <c r="E83" s="97"/>
      <c r="F83" s="96"/>
      <c r="G83" s="96"/>
      <c r="H83" s="96"/>
      <c r="I83" s="96"/>
      <c r="J83" s="96"/>
      <c r="K83" s="96"/>
      <c r="L83" s="96"/>
      <c r="M83" s="96"/>
      <c r="N83" s="96"/>
      <c r="O83" s="96"/>
    </row>
    <row r="84" spans="1:15" hidden="1" x14ac:dyDescent="0.25">
      <c r="A84" s="95">
        <v>381</v>
      </c>
      <c r="B84" s="99" t="str">
        <f>IF(A84&lt;&gt;"",INDEX('Base de données'!A$4:L$990,MATCH(A84,'Base de données'!A$4:A$990,0),2),"")</f>
        <v>PHARMACIE AZOUKENI</v>
      </c>
      <c r="C84" s="100" t="str">
        <f>IF(A84&lt;&gt;"",INDEX('Base de données'!A$4:L$990,MATCH(A84,'Base de données'!A$4:A$990,0),12),"")</f>
        <v>HALIMA OUIJANE</v>
      </c>
      <c r="D84" s="96"/>
      <c r="E84" s="97"/>
      <c r="F84" s="96"/>
      <c r="G84" s="96"/>
      <c r="H84" s="96"/>
      <c r="I84" s="96"/>
      <c r="J84" s="96"/>
      <c r="K84" s="96"/>
      <c r="L84" s="96"/>
      <c r="M84" s="96"/>
      <c r="N84" s="96"/>
      <c r="O84" s="96"/>
    </row>
    <row r="85" spans="1:15" hidden="1" x14ac:dyDescent="0.25">
      <c r="A85" s="95">
        <v>272</v>
      </c>
      <c r="B85" s="99" t="str">
        <f>IF(A85&lt;&gt;"",INDEX('Base de données'!A$4:L$990,MATCH(A85,'Base de données'!A$4:A$990,0),2),"")</f>
        <v>SOFIA GROUPE INFORMATIQUE</v>
      </c>
      <c r="C85" s="100" t="str">
        <f>IF(A85&lt;&gt;"",INDEX('Base de données'!A$4:L$990,MATCH(A85,'Base de données'!A$4:A$990,0),12),"")</f>
        <v>HALIMA OUIJANE</v>
      </c>
      <c r="D85" s="96"/>
      <c r="E85" s="97"/>
      <c r="F85" s="96"/>
      <c r="G85" s="96"/>
      <c r="H85" s="96"/>
      <c r="I85" s="96"/>
      <c r="J85" s="96"/>
      <c r="K85" s="96"/>
      <c r="L85" s="96"/>
      <c r="M85" s="96"/>
      <c r="N85" s="96"/>
      <c r="O85" s="96"/>
    </row>
    <row r="86" spans="1:15" hidden="1" x14ac:dyDescent="0.25">
      <c r="A86" s="95">
        <v>285</v>
      </c>
      <c r="B86" s="99" t="str">
        <f>IF(A86&lt;&gt;"",INDEX('Base de données'!A$4:L$990,MATCH(A86,'Base de données'!A$4:A$990,0),2),"")</f>
        <v xml:space="preserve">PESCARITA SARL </v>
      </c>
      <c r="C86" s="100" t="str">
        <f>IF(A86&lt;&gt;"",INDEX('Base de données'!A$4:L$990,MATCH(A86,'Base de données'!A$4:A$990,0),12),"")</f>
        <v>HALIMA OUIJANE</v>
      </c>
      <c r="D86" s="96"/>
      <c r="E86" s="97"/>
      <c r="F86" s="96"/>
      <c r="G86" s="96"/>
      <c r="H86" s="96"/>
      <c r="I86" s="96">
        <v>44014</v>
      </c>
      <c r="J86" s="96"/>
      <c r="K86" s="96"/>
      <c r="L86" s="96"/>
      <c r="M86" s="96"/>
      <c r="N86" s="96"/>
      <c r="O86" s="96"/>
    </row>
    <row r="87" spans="1:15" hidden="1" x14ac:dyDescent="0.25">
      <c r="A87" s="95">
        <v>124</v>
      </c>
      <c r="B87" s="99" t="str">
        <f>IF(A87&lt;&gt;"",INDEX('Base de données'!A$4:L$990,MATCH(A87,'Base de données'!A$4:A$990,0),2),"")</f>
        <v>COSMOS TECHNOLOGIE</v>
      </c>
      <c r="C87" s="100" t="str">
        <f>IF(A87&lt;&gt;"",INDEX('Base de données'!A$4:L$990,MATCH(A87,'Base de données'!A$4:A$990,0),12),"")</f>
        <v>HALIMA OUIJANE</v>
      </c>
      <c r="D87" s="96"/>
      <c r="E87" s="97"/>
      <c r="F87" s="96"/>
      <c r="G87" s="96"/>
      <c r="H87" s="96"/>
      <c r="I87" s="96"/>
      <c r="J87" s="96"/>
      <c r="K87" s="96"/>
      <c r="L87" s="96"/>
      <c r="M87" s="96"/>
      <c r="N87" s="96"/>
      <c r="O87" s="96"/>
    </row>
    <row r="88" spans="1:15" hidden="1" x14ac:dyDescent="0.25">
      <c r="A88" s="95">
        <v>62</v>
      </c>
      <c r="B88" s="99" t="str">
        <f>IF(A88&lt;&gt;"",INDEX('Base de données'!A$4:L$990,MATCH(A88,'Base de données'!A$4:A$990,0),2),"")</f>
        <v>CIB INVEST</v>
      </c>
      <c r="C88" s="100" t="str">
        <f>IF(A88&lt;&gt;"",INDEX('Base de données'!A$4:L$990,MATCH(A88,'Base de données'!A$4:A$990,0),12),"")</f>
        <v>FATIMA EZZAHRA AIT AHMED</v>
      </c>
      <c r="D88" s="96">
        <v>43864</v>
      </c>
      <c r="E88" s="97">
        <v>43894</v>
      </c>
      <c r="F88" s="96">
        <v>43925</v>
      </c>
      <c r="G88" s="96">
        <v>43952</v>
      </c>
      <c r="H88" s="96">
        <v>43983</v>
      </c>
      <c r="I88" s="96">
        <v>44016</v>
      </c>
      <c r="J88" s="96">
        <v>44044</v>
      </c>
      <c r="K88" s="96">
        <v>44075</v>
      </c>
      <c r="L88" s="96"/>
      <c r="M88" s="96"/>
      <c r="N88" s="96"/>
      <c r="O88" s="96"/>
    </row>
    <row r="89" spans="1:15" hidden="1" x14ac:dyDescent="0.25">
      <c r="A89" s="95">
        <v>100</v>
      </c>
      <c r="B89" s="99" t="str">
        <f>IF(A89&lt;&gt;"",INDEX('Base de données'!A$4:L$990,MATCH(A89,'Base de données'!A$4:A$990,0),2),"")</f>
        <v>TATOU MERIEME
MAISON D'OPTIQUE</v>
      </c>
      <c r="C89" s="100" t="str">
        <f>IF(A89&lt;&gt;"",INDEX('Base de données'!A$4:L$990,MATCH(A89,'Base de données'!A$4:A$990,0),12),"")</f>
        <v>FATIMA EZZAHRA AIT AHMED</v>
      </c>
      <c r="D89" s="96">
        <v>43864</v>
      </c>
      <c r="E89" s="97">
        <v>43894</v>
      </c>
      <c r="F89" s="96">
        <v>43922</v>
      </c>
      <c r="G89" s="96">
        <v>43953</v>
      </c>
      <c r="H89" s="96">
        <v>43984</v>
      </c>
      <c r="I89" s="96">
        <v>44016</v>
      </c>
      <c r="J89" s="96">
        <v>44046</v>
      </c>
      <c r="K89" s="96">
        <v>44077</v>
      </c>
      <c r="L89" s="96"/>
      <c r="M89" s="96"/>
      <c r="N89" s="96"/>
      <c r="O89" s="96"/>
    </row>
    <row r="90" spans="1:15" hidden="1" x14ac:dyDescent="0.25">
      <c r="A90" s="95">
        <v>306</v>
      </c>
      <c r="B90" s="99" t="str">
        <f>IF(A90&lt;&gt;"",INDEX('Base de données'!A$4:L$990,MATCH(A90,'Base de données'!A$4:A$990,0),2),"")</f>
        <v xml:space="preserve">IN STYLE TRAVEL &amp; EVENTS </v>
      </c>
      <c r="C90" s="100" t="str">
        <f>IF(A90&lt;&gt;"",INDEX('Base de données'!A$4:L$990,MATCH(A90,'Base de données'!A$4:A$990,0),12),"")</f>
        <v>FATIMA EZZAHRA AIT AHMED</v>
      </c>
      <c r="D90" s="96">
        <v>43864</v>
      </c>
      <c r="E90" s="97">
        <v>43895</v>
      </c>
      <c r="F90" s="96">
        <v>43922</v>
      </c>
      <c r="G90" s="96">
        <v>43953</v>
      </c>
      <c r="H90" s="96">
        <v>43988</v>
      </c>
      <c r="I90" s="96">
        <v>44013</v>
      </c>
      <c r="J90" s="96">
        <v>44044</v>
      </c>
      <c r="K90" s="96">
        <v>44079</v>
      </c>
      <c r="L90" s="96"/>
      <c r="M90" s="96"/>
      <c r="N90" s="96"/>
      <c r="O90" s="96"/>
    </row>
    <row r="91" spans="1:15" hidden="1" x14ac:dyDescent="0.25">
      <c r="A91" s="95">
        <v>315</v>
      </c>
      <c r="B91" s="99" t="str">
        <f>IF(A91&lt;&gt;"",INDEX('Base de données'!A$4:L$990,MATCH(A91,'Base de données'!A$4:A$990,0),2),"")</f>
        <v>ZA TECHNOLOGY</v>
      </c>
      <c r="C91" s="100" t="str">
        <f>IF(A91&lt;&gt;"",INDEX('Base de données'!A$4:L$990,MATCH(A91,'Base de données'!A$4:A$990,0),12),"")</f>
        <v>FATIMA EZZAHRA AIT AHMED</v>
      </c>
      <c r="D91" s="96">
        <v>43866</v>
      </c>
      <c r="E91" s="97">
        <v>43895</v>
      </c>
      <c r="F91" s="96">
        <v>43926</v>
      </c>
      <c r="G91" s="96">
        <v>43955</v>
      </c>
      <c r="H91" s="96">
        <v>43985</v>
      </c>
      <c r="I91" s="96">
        <v>44013</v>
      </c>
      <c r="J91" s="96">
        <v>44044</v>
      </c>
      <c r="K91" s="96">
        <v>44079</v>
      </c>
      <c r="L91" s="96"/>
      <c r="M91" s="96"/>
      <c r="N91" s="96"/>
      <c r="O91" s="96"/>
    </row>
    <row r="92" spans="1:15" hidden="1" x14ac:dyDescent="0.25">
      <c r="A92" s="95">
        <v>328</v>
      </c>
      <c r="B92" s="99" t="str">
        <f>IF(A92&lt;&gt;"",INDEX('Base de données'!A$4:L$990,MATCH(A92,'Base de données'!A$4:A$990,0),2),"")</f>
        <v xml:space="preserve">BLANCHISSERIE YASSIN </v>
      </c>
      <c r="C92" s="100" t="str">
        <f>IF(A92&lt;&gt;"",INDEX('Base de données'!A$4:L$990,MATCH(A92,'Base de données'!A$4:A$990,0),12),"")</f>
        <v>NAJAT SAOUD</v>
      </c>
      <c r="D92" s="96">
        <v>43866</v>
      </c>
      <c r="E92" s="97">
        <v>43896</v>
      </c>
      <c r="F92" s="96">
        <v>43926</v>
      </c>
      <c r="G92" s="96">
        <v>43955</v>
      </c>
      <c r="H92" s="96">
        <v>43985</v>
      </c>
      <c r="I92" s="96">
        <v>44013</v>
      </c>
      <c r="J92" s="96">
        <v>44046</v>
      </c>
      <c r="K92" s="96">
        <v>44079</v>
      </c>
      <c r="L92" s="96"/>
      <c r="M92" s="96"/>
      <c r="N92" s="96"/>
      <c r="O92" s="96"/>
    </row>
    <row r="93" spans="1:15" hidden="1" x14ac:dyDescent="0.25">
      <c r="A93" s="95">
        <v>325</v>
      </c>
      <c r="B93" s="99" t="str">
        <f>IF(A93&lt;&gt;"",INDEX('Base de données'!A$4:L$990,MATCH(A93,'Base de données'!A$4:A$990,0),2),"")</f>
        <v xml:space="preserve">GEOP CARS </v>
      </c>
      <c r="C93" s="100" t="str">
        <f>IF(A93&lt;&gt;"",INDEX('Base de données'!A$4:L$990,MATCH(A93,'Base de données'!A$4:A$990,0),12),"")</f>
        <v>FATIMA EZZAHRA AIT AHMED</v>
      </c>
      <c r="D93" s="96">
        <v>43867</v>
      </c>
      <c r="E93" s="97">
        <v>43896</v>
      </c>
      <c r="F93" s="96">
        <v>43927</v>
      </c>
      <c r="G93" s="96">
        <v>43957</v>
      </c>
      <c r="H93" s="96">
        <v>43985</v>
      </c>
      <c r="I93" s="96">
        <v>44016</v>
      </c>
      <c r="J93" s="96">
        <v>44046</v>
      </c>
      <c r="K93" s="96">
        <v>44077</v>
      </c>
      <c r="L93" s="96"/>
      <c r="M93" s="96"/>
      <c r="N93" s="96"/>
      <c r="O93" s="96"/>
    </row>
    <row r="94" spans="1:15" hidden="1" x14ac:dyDescent="0.25">
      <c r="A94" s="95">
        <v>332</v>
      </c>
      <c r="B94" s="99" t="str">
        <f>IF(A94&lt;&gt;"",INDEX('Base de données'!A$4:L$990,MATCH(A94,'Base de données'!A$4:A$990,0),2),"")</f>
        <v>TALLAL SALMA</v>
      </c>
      <c r="C94" s="100" t="str">
        <f>IF(A94&lt;&gt;"",INDEX('Base de données'!A$4:L$990,MATCH(A94,'Base de données'!A$4:A$990,0),12),"")</f>
        <v>FATIMA EZZAHRA AIT AHMED</v>
      </c>
      <c r="D94" s="96">
        <v>43867</v>
      </c>
      <c r="E94" s="97">
        <v>43896</v>
      </c>
      <c r="F94" s="96">
        <v>43925</v>
      </c>
      <c r="G94" s="96">
        <v>43957</v>
      </c>
      <c r="H94" s="96">
        <v>43984</v>
      </c>
      <c r="I94" s="96">
        <v>44013</v>
      </c>
      <c r="J94" s="96">
        <v>44047</v>
      </c>
      <c r="K94" s="96">
        <v>44077</v>
      </c>
      <c r="L94" s="96"/>
      <c r="M94" s="96"/>
      <c r="N94" s="96"/>
      <c r="O94" s="96"/>
    </row>
    <row r="95" spans="1:15" hidden="1" x14ac:dyDescent="0.25">
      <c r="A95" s="95">
        <v>334</v>
      </c>
      <c r="B95" s="99" t="str">
        <f>IF(A95&lt;&gt;"",INDEX('Base de données'!A$4:L$990,MATCH(A95,'Base de données'!A$4:A$990,0),2),"")</f>
        <v xml:space="preserve">HASSI AICHA </v>
      </c>
      <c r="C95" s="100" t="str">
        <f>IF(A95&lt;&gt;"",INDEX('Base de données'!A$4:L$990,MATCH(A95,'Base de données'!A$4:A$990,0),12),"")</f>
        <v>FATIMA EZZAHRA AIT AHMED</v>
      </c>
      <c r="D95" s="96">
        <v>43869</v>
      </c>
      <c r="E95" s="97">
        <v>43895</v>
      </c>
      <c r="F95" s="96">
        <v>43929</v>
      </c>
      <c r="G95" s="96">
        <v>43955</v>
      </c>
      <c r="H95" s="96">
        <v>43984</v>
      </c>
      <c r="I95" s="96">
        <v>44013</v>
      </c>
      <c r="J95" s="96">
        <v>44049</v>
      </c>
      <c r="K95" s="96">
        <v>44076</v>
      </c>
      <c r="L95" s="96"/>
      <c r="M95" s="96"/>
      <c r="N95" s="96"/>
      <c r="O95" s="96"/>
    </row>
    <row r="96" spans="1:15" hidden="1" x14ac:dyDescent="0.25">
      <c r="A96" s="95">
        <v>335</v>
      </c>
      <c r="B96" s="99" t="str">
        <f>IF(A96&lt;&gt;"",INDEX('Base de données'!A$4:L$990,MATCH(A96,'Base de données'!A$4:A$990,0),2),"")</f>
        <v xml:space="preserve">HAMMOU FATIMA </v>
      </c>
      <c r="C96" s="100" t="str">
        <f>IF(A96&lt;&gt;"",INDEX('Base de données'!A$4:L$990,MATCH(A96,'Base de données'!A$4:A$990,0),12),"")</f>
        <v>FATIMA EZZAHRA AIT AHMED</v>
      </c>
      <c r="D96" s="96">
        <v>43867</v>
      </c>
      <c r="E96" s="97">
        <v>43892</v>
      </c>
      <c r="F96" s="96">
        <v>43925</v>
      </c>
      <c r="G96" s="96">
        <v>43959</v>
      </c>
      <c r="H96" s="96">
        <v>43983</v>
      </c>
      <c r="I96" s="96">
        <v>44016</v>
      </c>
      <c r="J96" s="96">
        <v>44049</v>
      </c>
      <c r="K96" s="96">
        <v>44078</v>
      </c>
      <c r="L96" s="96"/>
      <c r="M96" s="96"/>
      <c r="N96" s="96"/>
      <c r="O96" s="96"/>
    </row>
    <row r="97" spans="1:15" hidden="1" x14ac:dyDescent="0.25">
      <c r="A97" s="95">
        <v>353</v>
      </c>
      <c r="B97" s="99" t="str">
        <f>IF(A97&lt;&gt;"",INDEX('Base de données'!A$4:L$990,MATCH(A97,'Base de données'!A$4:A$990,0),2),"")</f>
        <v xml:space="preserve">K.M.N SARL </v>
      </c>
      <c r="C97" s="100" t="str">
        <f>IF(A97&lt;&gt;"",INDEX('Base de données'!A$4:L$990,MATCH(A97,'Base de données'!A$4:A$990,0),12),"")</f>
        <v>NAJAT SAOUD</v>
      </c>
      <c r="D97" s="96">
        <v>43864</v>
      </c>
      <c r="E97" s="97">
        <v>43897</v>
      </c>
      <c r="F97" s="96">
        <v>43923</v>
      </c>
      <c r="G97" s="96">
        <v>43959</v>
      </c>
      <c r="H97" s="96">
        <v>43983</v>
      </c>
      <c r="I97" s="96">
        <v>44014</v>
      </c>
      <c r="J97" s="96">
        <v>44049</v>
      </c>
      <c r="K97" s="96">
        <v>44076</v>
      </c>
      <c r="L97" s="96"/>
      <c r="M97" s="96"/>
      <c r="N97" s="96"/>
      <c r="O97" s="96"/>
    </row>
    <row r="98" spans="1:15" hidden="1" x14ac:dyDescent="0.25">
      <c r="A98" s="95">
        <v>303</v>
      </c>
      <c r="B98" s="99" t="str">
        <f>IF(A98&lt;&gt;"",INDEX('Base de données'!A$4:L$990,MATCH(A98,'Base de données'!A$4:A$990,0),2),"")</f>
        <v xml:space="preserve">SALIM BRAHIM </v>
      </c>
      <c r="C98" s="100" t="str">
        <f>IF(A98&lt;&gt;"",INDEX('Base de données'!A$4:L$990,MATCH(A98,'Base de données'!A$4:A$990,0),12),"")</f>
        <v>NAJAT SAOUD</v>
      </c>
      <c r="D98" s="96">
        <v>43864</v>
      </c>
      <c r="E98" s="97">
        <v>43897</v>
      </c>
      <c r="F98" s="96">
        <v>43922</v>
      </c>
      <c r="G98" s="96">
        <v>43958</v>
      </c>
      <c r="H98" s="96">
        <v>43990</v>
      </c>
      <c r="I98" s="96">
        <v>44014</v>
      </c>
      <c r="J98" s="96">
        <v>44047</v>
      </c>
      <c r="K98" s="96">
        <v>44078</v>
      </c>
      <c r="L98" s="96"/>
      <c r="M98" s="96"/>
      <c r="N98" s="96"/>
      <c r="O98" s="96"/>
    </row>
    <row r="99" spans="1:15" hidden="1" x14ac:dyDescent="0.25">
      <c r="A99" s="95">
        <v>331</v>
      </c>
      <c r="B99" s="99" t="str">
        <f>IF(A99&lt;&gt;"",INDEX('Base de données'!A$4:L$990,MATCH(A99,'Base de données'!A$4:A$990,0),2),"")</f>
        <v xml:space="preserve">SINDY CONFECTION </v>
      </c>
      <c r="C99" s="100" t="str">
        <f>IF(A99&lt;&gt;"",INDEX('Base de données'!A$4:L$990,MATCH(A99,'Base de données'!A$4:A$990,0),12),"")</f>
        <v>FATIMA EZZAHRA AIT AHMED</v>
      </c>
      <c r="D99" s="96">
        <v>43867</v>
      </c>
      <c r="E99" s="97">
        <v>43893</v>
      </c>
      <c r="F99" s="96">
        <v>43922</v>
      </c>
      <c r="G99" s="96">
        <v>43955</v>
      </c>
      <c r="H99" s="96">
        <v>43990</v>
      </c>
      <c r="I99" s="96">
        <v>44013</v>
      </c>
      <c r="J99" s="96">
        <v>44047</v>
      </c>
      <c r="K99" s="96">
        <v>44079</v>
      </c>
      <c r="L99" s="96"/>
      <c r="M99" s="96"/>
      <c r="N99" s="96"/>
      <c r="O99" s="96"/>
    </row>
    <row r="100" spans="1:15" hidden="1" x14ac:dyDescent="0.25">
      <c r="A100" s="95">
        <v>205</v>
      </c>
      <c r="B100" s="99" t="str">
        <f>IF(A100&lt;&gt;"",INDEX('Base de données'!A$4:L$990,MATCH(A100,'Base de données'!A$4:A$990,0),2),"")</f>
        <v xml:space="preserve">INTERNATIOANL MARIMA SERVICE </v>
      </c>
      <c r="C100" s="100" t="str">
        <f>IF(A100&lt;&gt;"",INDEX('Base de données'!A$4:L$990,MATCH(A100,'Base de données'!A$4:A$990,0),12),"")</f>
        <v>FATIMA EZZAHRA AIT AHMED</v>
      </c>
      <c r="D100" s="96">
        <v>43868</v>
      </c>
      <c r="E100" s="97">
        <v>43893</v>
      </c>
      <c r="F100" s="96">
        <v>43923</v>
      </c>
      <c r="G100" s="96">
        <v>43955</v>
      </c>
      <c r="H100" s="96">
        <v>43983</v>
      </c>
      <c r="I100" s="96">
        <v>44016</v>
      </c>
      <c r="J100" s="96">
        <v>44047</v>
      </c>
      <c r="K100" s="96">
        <v>44076</v>
      </c>
      <c r="L100" s="96"/>
      <c r="M100" s="96"/>
      <c r="N100" s="96"/>
      <c r="O100" s="96"/>
    </row>
    <row r="101" spans="1:15" hidden="1" x14ac:dyDescent="0.25">
      <c r="A101" s="95">
        <v>221</v>
      </c>
      <c r="B101" s="99" t="str">
        <f>IF(A101&lt;&gt;"",INDEX('Base de données'!A$4:L$990,MATCH(A101,'Base de données'!A$4:A$990,0),2),"")</f>
        <v>DR OUADFEL NAILA</v>
      </c>
      <c r="C101" s="100" t="str">
        <f>IF(A101&lt;&gt;"",INDEX('Base de données'!A$4:L$990,MATCH(A101,'Base de données'!A$4:A$990,0),12),"")</f>
        <v>FATIMA EZZAHRA AIT AHMED</v>
      </c>
      <c r="D101" s="96">
        <v>43867</v>
      </c>
      <c r="E101" s="97">
        <v>43893</v>
      </c>
      <c r="F101" s="96">
        <v>43927</v>
      </c>
      <c r="G101" s="96">
        <v>43958</v>
      </c>
      <c r="H101" s="96">
        <v>43984</v>
      </c>
      <c r="I101" s="96">
        <v>44018</v>
      </c>
      <c r="J101" s="96">
        <v>44049</v>
      </c>
      <c r="K101" s="96">
        <v>44075</v>
      </c>
      <c r="L101" s="96"/>
      <c r="M101" s="96"/>
      <c r="N101" s="96"/>
      <c r="O101" s="96"/>
    </row>
    <row r="102" spans="1:15" hidden="1" x14ac:dyDescent="0.25">
      <c r="A102" s="95">
        <v>283</v>
      </c>
      <c r="B102" s="99" t="str">
        <f>IF(A102&lt;&gt;"",INDEX('Base de données'!A$4:L$990,MATCH(A102,'Base de données'!A$4:A$990,0),2),"")</f>
        <v xml:space="preserve">AZTAT TREX </v>
      </c>
      <c r="C102" s="100" t="str">
        <f>IF(A102&lt;&gt;"",INDEX('Base de données'!A$4:L$990,MATCH(A102,'Base de données'!A$4:A$990,0),12),"")</f>
        <v>FATIMA EZZAHRA AIT AHMED</v>
      </c>
      <c r="D102" s="96">
        <v>43865</v>
      </c>
      <c r="E102" s="97">
        <v>43892</v>
      </c>
      <c r="F102" s="96">
        <v>43927</v>
      </c>
      <c r="G102" s="96">
        <v>43958</v>
      </c>
      <c r="H102" s="96">
        <v>43984</v>
      </c>
      <c r="I102" s="96">
        <v>44016</v>
      </c>
      <c r="J102" s="96">
        <v>44049</v>
      </c>
      <c r="K102" s="96">
        <v>44076</v>
      </c>
      <c r="L102" s="96"/>
      <c r="M102" s="96"/>
      <c r="N102" s="96"/>
      <c r="O102" s="96"/>
    </row>
    <row r="103" spans="1:15" hidden="1" x14ac:dyDescent="0.25">
      <c r="A103" s="95">
        <v>11</v>
      </c>
      <c r="B103" s="99" t="str">
        <f>IF(A103&lt;&gt;"",INDEX('Base de données'!A$4:L$990,MATCH(A103,'Base de données'!A$4:A$990,0),2),"")</f>
        <v>YOUSSEF YASSINE</v>
      </c>
      <c r="C103" s="100" t="str">
        <f>IF(A103&lt;&gt;"",INDEX('Base de données'!A$4:L$990,MATCH(A103,'Base de données'!A$4:A$990,0),12),"")</f>
        <v>FATIMA EZZAHRA AIT AHMED</v>
      </c>
      <c r="D103" s="96">
        <v>43864</v>
      </c>
      <c r="E103" s="97">
        <v>43895</v>
      </c>
      <c r="F103" s="96">
        <v>43922</v>
      </c>
      <c r="G103" s="96">
        <v>43958</v>
      </c>
      <c r="H103" s="96">
        <v>43988</v>
      </c>
      <c r="I103" s="96">
        <v>44016</v>
      </c>
      <c r="J103" s="96">
        <v>44049</v>
      </c>
      <c r="K103" s="96">
        <v>44075</v>
      </c>
      <c r="L103" s="96"/>
      <c r="M103" s="96"/>
      <c r="N103" s="96"/>
      <c r="O103" s="96"/>
    </row>
    <row r="104" spans="1:15" hidden="1" x14ac:dyDescent="0.25">
      <c r="A104" s="95">
        <v>192</v>
      </c>
      <c r="B104" s="99" t="str">
        <f>IF(A104&lt;&gt;"",INDEX('Base de données'!A$4:L$990,MATCH(A104,'Base de données'!A$4:A$990,0),2),"")</f>
        <v>JACARANDA CAR</v>
      </c>
      <c r="C104" s="100" t="str">
        <f>IF(A104&lt;&gt;"",INDEX('Base de données'!A$4:L$990,MATCH(A104,'Base de données'!A$4:A$990,0),12),"")</f>
        <v>FATIMA EZZAHRA AIT AHMED</v>
      </c>
      <c r="D104" s="96">
        <v>43863</v>
      </c>
      <c r="E104" s="97">
        <v>43897</v>
      </c>
      <c r="F104" s="96">
        <v>43922</v>
      </c>
      <c r="G104" s="96">
        <v>43952</v>
      </c>
      <c r="H104" s="96">
        <v>43988</v>
      </c>
      <c r="I104" s="96">
        <v>44016</v>
      </c>
      <c r="J104" s="96">
        <v>44049</v>
      </c>
      <c r="K104" s="96">
        <v>44075</v>
      </c>
      <c r="L104" s="96"/>
      <c r="M104" s="96"/>
      <c r="N104" s="96"/>
      <c r="O104" s="96"/>
    </row>
    <row r="105" spans="1:15" hidden="1" x14ac:dyDescent="0.25">
      <c r="A105" s="95">
        <v>71</v>
      </c>
      <c r="B105" s="99" t="str">
        <f>IF(A105&lt;&gt;"",INDEX('Base de données'!A$4:L$990,MATCH(A105,'Base de données'!A$4:A$990,0),2),"")</f>
        <v>SOCIETE DE L'EXPERTISE FONCIERE ET TRAVAUX TOPOGRAPHIQUE</v>
      </c>
      <c r="C105" s="100" t="str">
        <f>IF(A105&lt;&gt;"",INDEX('Base de données'!A$4:L$990,MATCH(A105,'Base de données'!A$4:A$990,0),12),"")</f>
        <v>KHAMISSA HDIMANE</v>
      </c>
      <c r="D105" s="96">
        <v>43865</v>
      </c>
      <c r="E105" s="97">
        <v>43894</v>
      </c>
      <c r="F105" s="96">
        <v>43918</v>
      </c>
      <c r="G105" s="96">
        <v>43952</v>
      </c>
      <c r="H105" s="96">
        <v>43978</v>
      </c>
      <c r="I105" s="96">
        <v>44014</v>
      </c>
      <c r="J105" s="96">
        <v>44047</v>
      </c>
      <c r="K105" s="96">
        <v>44076</v>
      </c>
      <c r="L105" s="96"/>
      <c r="M105" s="96"/>
      <c r="N105" s="96"/>
      <c r="O105" s="96"/>
    </row>
    <row r="106" spans="1:15" hidden="1" x14ac:dyDescent="0.25">
      <c r="A106" s="95">
        <v>309</v>
      </c>
      <c r="B106" s="99" t="str">
        <f>IF(A106&lt;&gt;"",INDEX('Base de données'!A$4:L$990,MATCH(A106,'Base de données'!A$4:A$990,0),2),"")</f>
        <v>SOUIHLA PNEUMATIQUE</v>
      </c>
      <c r="C106" s="100" t="str">
        <f>IF(A106&lt;&gt;"",INDEX('Base de données'!A$4:L$990,MATCH(A106,'Base de données'!A$4:A$990,0),12),"")</f>
        <v>KHAMISSA HDIMANE</v>
      </c>
      <c r="D106" s="96">
        <v>43867</v>
      </c>
      <c r="E106" s="97">
        <v>43894</v>
      </c>
      <c r="F106" s="96">
        <v>43918</v>
      </c>
      <c r="G106" s="96">
        <v>43953</v>
      </c>
      <c r="H106" s="96">
        <v>43978</v>
      </c>
      <c r="I106" s="96">
        <v>44014</v>
      </c>
      <c r="J106" s="96">
        <v>44048</v>
      </c>
      <c r="K106" s="96">
        <v>44075</v>
      </c>
      <c r="L106" s="96"/>
      <c r="M106" s="96"/>
      <c r="N106" s="96"/>
      <c r="O106" s="96"/>
    </row>
    <row r="107" spans="1:15" hidden="1" x14ac:dyDescent="0.25">
      <c r="A107" s="95"/>
      <c r="B107" s="99" t="str">
        <f>IF(A107&lt;&gt;"",INDEX('Base de données'!A$4:L$990,MATCH(A107,'Base de données'!A$4:A$990,0),2),"")</f>
        <v/>
      </c>
      <c r="C107" s="100" t="str">
        <f>IF(A107&lt;&gt;"",INDEX('Base de données'!A$4:L$990,MATCH(A107,'Base de données'!A$4:A$990,0),12),"")</f>
        <v/>
      </c>
      <c r="D107" s="96"/>
      <c r="E107" s="96"/>
      <c r="F107" s="96"/>
      <c r="G107" s="96"/>
      <c r="H107" s="96"/>
      <c r="I107" s="96"/>
      <c r="J107" s="412"/>
      <c r="K107" s="96"/>
      <c r="L107" s="96"/>
      <c r="M107" s="96"/>
      <c r="N107" s="96"/>
      <c r="O107" s="96"/>
    </row>
    <row r="108" spans="1:15" hidden="1" x14ac:dyDescent="0.25">
      <c r="A108" s="95"/>
      <c r="B108" s="99" t="str">
        <f>IF(A108&lt;&gt;"",INDEX('Base de données'!A$4:L$990,MATCH(A108,'Base de données'!A$4:A$990,0),2),"")</f>
        <v/>
      </c>
      <c r="C108" s="100" t="str">
        <f>IF(A108&lt;&gt;"",INDEX('Base de données'!A$4:L$990,MATCH(A108,'Base de données'!A$4:A$990,0),12),"")</f>
        <v/>
      </c>
      <c r="D108" s="96"/>
      <c r="E108" s="96"/>
      <c r="F108" s="96"/>
      <c r="G108" s="96"/>
      <c r="H108" s="96"/>
      <c r="I108" s="96"/>
      <c r="J108" s="96"/>
      <c r="K108" s="96"/>
      <c r="L108" s="96"/>
      <c r="M108" s="96"/>
      <c r="N108" s="96"/>
      <c r="O108" s="96"/>
    </row>
    <row r="109" spans="1:15" hidden="1" x14ac:dyDescent="0.25">
      <c r="A109" s="95"/>
      <c r="B109" s="99" t="str">
        <f>IF(A109&lt;&gt;"",INDEX('Base de données'!A$4:L$990,MATCH(A109,'Base de données'!A$4:A$990,0),2),"")</f>
        <v/>
      </c>
      <c r="C109" s="100" t="str">
        <f>IF(A109&lt;&gt;"",INDEX('Base de données'!A$4:L$990,MATCH(A109,'Base de données'!A$4:A$990,0),12),"")</f>
        <v/>
      </c>
      <c r="D109" s="96"/>
      <c r="E109" s="96"/>
      <c r="F109" s="96"/>
      <c r="G109" s="96"/>
      <c r="H109" s="96"/>
      <c r="I109" s="96"/>
      <c r="J109" s="96"/>
      <c r="K109" s="96"/>
      <c r="L109" s="96"/>
      <c r="M109" s="96"/>
      <c r="N109" s="96"/>
      <c r="O109" s="96"/>
    </row>
    <row r="110" spans="1:15" hidden="1" x14ac:dyDescent="0.25">
      <c r="A110" s="95"/>
      <c r="B110" s="99" t="str">
        <f>IF(A110&lt;&gt;"",INDEX('Base de données'!A$4:L$990,MATCH(A110,'Base de données'!A$4:A$990,0),2),"")</f>
        <v/>
      </c>
      <c r="C110" s="100" t="str">
        <f>IF(A110&lt;&gt;"",INDEX('Base de données'!A$4:L$990,MATCH(A110,'Base de données'!A$4:A$990,0),12),"")</f>
        <v/>
      </c>
      <c r="D110" s="96"/>
      <c r="E110" s="96"/>
      <c r="F110" s="96"/>
      <c r="G110" s="96"/>
      <c r="H110" s="96"/>
      <c r="I110" s="96"/>
      <c r="J110" s="96"/>
      <c r="K110" s="96"/>
      <c r="L110" s="96"/>
      <c r="M110" s="96"/>
      <c r="N110" s="96"/>
      <c r="O110" s="96"/>
    </row>
    <row r="111" spans="1:15" hidden="1" x14ac:dyDescent="0.25">
      <c r="A111" s="95"/>
      <c r="B111" s="99" t="str">
        <f>IF(A111&lt;&gt;"",INDEX('Base de données'!A$4:L$990,MATCH(A111,'Base de données'!A$4:A$990,0),2),"")</f>
        <v/>
      </c>
      <c r="C111" s="100" t="str">
        <f>IF(A111&lt;&gt;"",INDEX('Base de données'!A$4:L$990,MATCH(A111,'Base de données'!A$4:A$990,0),12),"")</f>
        <v/>
      </c>
      <c r="D111" s="96"/>
      <c r="E111" s="96"/>
      <c r="F111" s="96"/>
      <c r="G111" s="96"/>
      <c r="H111" s="96"/>
      <c r="I111" s="96"/>
      <c r="J111" s="96"/>
      <c r="K111" s="96"/>
      <c r="L111" s="96"/>
      <c r="M111" s="96"/>
      <c r="N111" s="96"/>
      <c r="O111" s="96"/>
    </row>
    <row r="112" spans="1:15" hidden="1" x14ac:dyDescent="0.25">
      <c r="A112" s="95"/>
      <c r="B112" s="99" t="str">
        <f>IF(A112&lt;&gt;"",INDEX('Base de données'!A$4:L$990,MATCH(A112,'Base de données'!A$4:A$990,0),2),"")</f>
        <v/>
      </c>
      <c r="C112" s="100" t="str">
        <f>IF(A112&lt;&gt;"",INDEX('Base de données'!A$4:L$990,MATCH(A112,'Base de données'!A$4:A$990,0),12),"")</f>
        <v/>
      </c>
      <c r="D112" s="96"/>
      <c r="E112" s="96"/>
      <c r="F112" s="96"/>
      <c r="G112" s="96"/>
      <c r="H112" s="96"/>
      <c r="I112" s="96"/>
      <c r="J112" s="96"/>
      <c r="K112" s="96"/>
      <c r="L112" s="96"/>
      <c r="M112" s="96"/>
      <c r="N112" s="96"/>
      <c r="O112" s="96"/>
    </row>
    <row r="113" spans="1:15" hidden="1" x14ac:dyDescent="0.25">
      <c r="A113" s="95"/>
      <c r="B113" s="99" t="str">
        <f>IF(A113&lt;&gt;"",INDEX('Base de données'!A$4:L$990,MATCH(A113,'Base de données'!A$4:A$990,0),2),"")</f>
        <v/>
      </c>
      <c r="C113" s="100" t="str">
        <f>IF(A113&lt;&gt;"",INDEX('Base de données'!A$4:L$990,MATCH(A113,'Base de données'!A$4:A$990,0),12),"")</f>
        <v/>
      </c>
      <c r="D113" s="96"/>
      <c r="E113" s="96"/>
      <c r="F113" s="96"/>
      <c r="G113" s="96"/>
      <c r="H113" s="96"/>
      <c r="I113" s="96"/>
      <c r="J113" s="96"/>
      <c r="K113" s="96"/>
      <c r="L113" s="96"/>
      <c r="M113" s="96"/>
      <c r="N113" s="96"/>
      <c r="O113" s="96"/>
    </row>
    <row r="114" spans="1:15" hidden="1" x14ac:dyDescent="0.25">
      <c r="A114" s="95"/>
      <c r="B114" s="99" t="str">
        <f>IF(A114&lt;&gt;"",INDEX('Base de données'!A$4:L$990,MATCH(A114,'Base de données'!A$4:A$990,0),2),"")</f>
        <v/>
      </c>
      <c r="C114" s="100" t="str">
        <f>IF(A114&lt;&gt;"",INDEX('Base de données'!A$4:L$990,MATCH(A114,'Base de données'!A$4:A$990,0),12),"")</f>
        <v/>
      </c>
      <c r="D114" s="96"/>
      <c r="E114" s="96"/>
      <c r="F114" s="96"/>
      <c r="G114" s="96"/>
      <c r="H114" s="96"/>
      <c r="I114" s="96"/>
      <c r="J114" s="96"/>
      <c r="K114" s="96"/>
      <c r="L114" s="96"/>
      <c r="M114" s="96"/>
      <c r="N114" s="96"/>
      <c r="O114" s="96"/>
    </row>
    <row r="115" spans="1:15" hidden="1" x14ac:dyDescent="0.25">
      <c r="A115" s="95"/>
      <c r="B115" s="99" t="str">
        <f>IF(A115&lt;&gt;"",INDEX('Base de données'!A$4:L$990,MATCH(A115,'Base de données'!A$4:A$990,0),2),"")</f>
        <v/>
      </c>
      <c r="C115" s="100" t="str">
        <f>IF(A115&lt;&gt;"",INDEX('Base de données'!A$4:L$990,MATCH(A115,'Base de données'!A$4:A$990,0),12),"")</f>
        <v/>
      </c>
      <c r="D115" s="96"/>
      <c r="E115" s="96"/>
      <c r="F115" s="96"/>
      <c r="G115" s="96"/>
      <c r="H115" s="96"/>
      <c r="I115" s="96"/>
      <c r="J115" s="412"/>
      <c r="K115" s="96"/>
      <c r="L115" s="96"/>
      <c r="M115" s="96"/>
      <c r="N115" s="96"/>
      <c r="O115" s="96"/>
    </row>
    <row r="116" spans="1:15" hidden="1" x14ac:dyDescent="0.25">
      <c r="A116" s="95"/>
      <c r="B116" s="99" t="str">
        <f>IF(A116&lt;&gt;"",INDEX('Base de données'!A$4:L$990,MATCH(A116,'Base de données'!A$4:A$990,0),2),"")</f>
        <v/>
      </c>
      <c r="C116" s="100" t="str">
        <f>IF(A116&lt;&gt;"",INDEX('Base de données'!A$4:L$990,MATCH(A116,'Base de données'!A$4:A$990,0),12),"")</f>
        <v/>
      </c>
      <c r="D116" s="96"/>
      <c r="E116" s="96"/>
      <c r="F116" s="96"/>
      <c r="G116" s="96"/>
      <c r="H116" s="96"/>
      <c r="I116" s="96"/>
      <c r="J116" s="412"/>
      <c r="K116" s="96"/>
      <c r="L116" s="96"/>
      <c r="M116" s="96"/>
      <c r="N116" s="96"/>
      <c r="O116" s="96"/>
    </row>
    <row r="117" spans="1:15" hidden="1" x14ac:dyDescent="0.25">
      <c r="A117" s="95"/>
      <c r="B117" s="99" t="str">
        <f>IF(A117&lt;&gt;"",INDEX('Base de données'!A$4:L$990,MATCH(A117,'Base de données'!A$4:A$990,0),2),"")</f>
        <v/>
      </c>
      <c r="C117" s="100" t="str">
        <f>IF(A117&lt;&gt;"",INDEX('Base de données'!A$4:L$990,MATCH(A117,'Base de données'!A$4:A$990,0),12),"")</f>
        <v/>
      </c>
      <c r="D117" s="96"/>
      <c r="E117" s="96"/>
      <c r="F117" s="96"/>
      <c r="G117" s="96"/>
      <c r="H117" s="96"/>
      <c r="I117" s="96"/>
      <c r="J117" s="412"/>
      <c r="K117" s="96"/>
      <c r="L117" s="96"/>
      <c r="M117" s="96"/>
      <c r="N117" s="96"/>
      <c r="O117" s="96"/>
    </row>
    <row r="118" spans="1:15" hidden="1" x14ac:dyDescent="0.25">
      <c r="A118" s="95"/>
      <c r="B118" s="99" t="str">
        <f>IF(A118&lt;&gt;"",INDEX('Base de données'!A$4:L$990,MATCH(A118,'Base de données'!A$4:A$990,0),2),"")</f>
        <v/>
      </c>
      <c r="C118" s="100" t="str">
        <f>IF(A118&lt;&gt;"",INDEX('Base de données'!A$4:L$990,MATCH(A118,'Base de données'!A$4:A$990,0),12),"")</f>
        <v/>
      </c>
      <c r="D118" s="96"/>
      <c r="E118" s="96"/>
      <c r="F118" s="96"/>
      <c r="G118" s="96"/>
      <c r="H118" s="96"/>
      <c r="I118" s="96"/>
      <c r="J118" s="412"/>
      <c r="K118" s="96"/>
      <c r="L118" s="96"/>
      <c r="M118" s="96"/>
      <c r="N118" s="96"/>
      <c r="O118" s="96"/>
    </row>
    <row r="119" spans="1:15" hidden="1" x14ac:dyDescent="0.25">
      <c r="A119" s="95"/>
      <c r="B119" s="99" t="str">
        <f>IF(A119&lt;&gt;"",INDEX('Base de données'!A$4:L$990,MATCH(A119,'Base de données'!A$4:A$990,0),2),"")</f>
        <v/>
      </c>
      <c r="C119" s="100" t="str">
        <f>IF(A119&lt;&gt;"",INDEX('Base de données'!A$4:L$990,MATCH(A119,'Base de données'!A$4:A$990,0),12),"")</f>
        <v/>
      </c>
      <c r="D119" s="96"/>
      <c r="E119" s="96"/>
      <c r="F119" s="96"/>
      <c r="G119" s="96"/>
      <c r="H119" s="96"/>
      <c r="I119" s="96"/>
      <c r="J119" s="412"/>
      <c r="K119" s="96"/>
      <c r="L119" s="96"/>
      <c r="M119" s="96"/>
      <c r="N119" s="96"/>
      <c r="O119" s="96"/>
    </row>
    <row r="120" spans="1:15" hidden="1" x14ac:dyDescent="0.25">
      <c r="A120" s="95"/>
      <c r="B120" s="99" t="str">
        <f>IF(A120&lt;&gt;"",INDEX('Base de données'!A$4:L$990,MATCH(A120,'Base de données'!A$4:A$990,0),2),"")</f>
        <v/>
      </c>
      <c r="C120" s="100" t="str">
        <f>IF(A120&lt;&gt;"",INDEX('Base de données'!A$4:L$990,MATCH(A120,'Base de données'!A$4:A$990,0),12),"")</f>
        <v/>
      </c>
      <c r="D120" s="96"/>
      <c r="E120" s="96"/>
      <c r="F120" s="96"/>
      <c r="G120" s="96"/>
      <c r="H120" s="96"/>
      <c r="I120" s="96"/>
      <c r="J120" s="412"/>
      <c r="K120" s="96"/>
      <c r="L120" s="96"/>
      <c r="M120" s="96"/>
      <c r="N120" s="96"/>
      <c r="O120" s="96"/>
    </row>
    <row r="121" spans="1:15" hidden="1" x14ac:dyDescent="0.25">
      <c r="A121" s="95"/>
      <c r="B121" s="99" t="str">
        <f>IF(A121&lt;&gt;"",INDEX('Base de données'!A$4:L$990,MATCH(A121,'Base de données'!A$4:A$990,0),2),"")</f>
        <v/>
      </c>
      <c r="C121" s="100" t="str">
        <f>IF(A121&lt;&gt;"",INDEX('Base de données'!A$4:L$990,MATCH(A121,'Base de données'!A$4:A$990,0),12),"")</f>
        <v/>
      </c>
      <c r="D121" s="96"/>
      <c r="E121" s="96"/>
      <c r="F121" s="96"/>
      <c r="G121" s="96"/>
      <c r="H121" s="96"/>
      <c r="I121" s="96"/>
      <c r="J121" s="412"/>
      <c r="K121" s="96"/>
      <c r="L121" s="96"/>
      <c r="M121" s="96"/>
      <c r="N121" s="96"/>
      <c r="O121" s="96"/>
    </row>
    <row r="122" spans="1:15" hidden="1" x14ac:dyDescent="0.25">
      <c r="A122" s="95"/>
      <c r="B122" s="99" t="str">
        <f>IF(A122&lt;&gt;"",INDEX('Base de données'!A$4:L$990,MATCH(A122,'Base de données'!A$4:A$990,0),2),"")</f>
        <v/>
      </c>
      <c r="C122" s="100" t="str">
        <f>IF(A122&lt;&gt;"",INDEX('Base de données'!A$4:L$990,MATCH(A122,'Base de données'!A$4:A$990,0),12),"")</f>
        <v/>
      </c>
      <c r="D122" s="96"/>
      <c r="E122" s="96"/>
      <c r="F122" s="96"/>
      <c r="G122" s="96"/>
      <c r="H122" s="96"/>
      <c r="I122" s="96"/>
      <c r="J122" s="96"/>
      <c r="K122" s="96"/>
      <c r="L122" s="96"/>
      <c r="M122" s="96"/>
      <c r="N122" s="96"/>
      <c r="O122" s="96"/>
    </row>
    <row r="123" spans="1:15" hidden="1" x14ac:dyDescent="0.25">
      <c r="A123" s="95"/>
      <c r="B123" s="99" t="str">
        <f>IF(A123&lt;&gt;"",INDEX('Base de données'!A$4:L$990,MATCH(A123,'Base de données'!A$4:A$990,0),2),"")</f>
        <v/>
      </c>
      <c r="C123" s="100" t="str">
        <f>IF(A123&lt;&gt;"",INDEX('Base de données'!A$4:L$990,MATCH(A123,'Base de données'!A$4:A$990,0),12),"")</f>
        <v/>
      </c>
      <c r="D123" s="96"/>
      <c r="E123" s="96"/>
      <c r="F123" s="96"/>
      <c r="G123" s="96"/>
      <c r="H123" s="96"/>
      <c r="I123" s="96"/>
      <c r="J123" s="96"/>
      <c r="K123" s="96"/>
      <c r="L123" s="96"/>
      <c r="M123" s="96"/>
      <c r="N123" s="96"/>
      <c r="O123" s="96"/>
    </row>
    <row r="124" spans="1:15" hidden="1" x14ac:dyDescent="0.25">
      <c r="A124" s="95"/>
      <c r="B124" s="99" t="str">
        <f>IF(A124&lt;&gt;"",INDEX('Base de données'!A$4:L$990,MATCH(A124,'Base de données'!A$4:A$990,0),2),"")</f>
        <v/>
      </c>
      <c r="C124" s="100" t="str">
        <f>IF(A124&lt;&gt;"",INDEX('Base de données'!A$4:L$990,MATCH(A124,'Base de données'!A$4:A$990,0),12),"")</f>
        <v/>
      </c>
      <c r="D124" s="96"/>
      <c r="E124" s="97"/>
      <c r="F124" s="96"/>
      <c r="G124" s="96"/>
      <c r="H124" s="96"/>
      <c r="I124" s="96"/>
      <c r="J124" s="96"/>
      <c r="K124" s="96"/>
      <c r="L124" s="96"/>
      <c r="M124" s="96"/>
      <c r="N124" s="96"/>
      <c r="O124" s="96"/>
    </row>
    <row r="125" spans="1:15" hidden="1" x14ac:dyDescent="0.25">
      <c r="A125" s="95"/>
      <c r="B125" s="99" t="str">
        <f>IF(A125&lt;&gt;"",INDEX('Base de données'!A$4:L$990,MATCH(A125,'Base de données'!A$4:A$990,0),2),"")</f>
        <v/>
      </c>
      <c r="C125" s="100" t="str">
        <f>IF(A125&lt;&gt;"",INDEX('Base de données'!A$4:L$990,MATCH(A125,'Base de données'!A$4:A$990,0),12),"")</f>
        <v/>
      </c>
      <c r="D125" s="96"/>
      <c r="E125" s="97"/>
      <c r="F125" s="96"/>
      <c r="G125" s="96"/>
      <c r="H125" s="96"/>
      <c r="I125" s="96"/>
      <c r="J125" s="96"/>
      <c r="K125" s="96"/>
      <c r="L125" s="96"/>
      <c r="M125" s="96"/>
      <c r="N125" s="96"/>
      <c r="O125" s="96"/>
    </row>
    <row r="126" spans="1:15" hidden="1" x14ac:dyDescent="0.25">
      <c r="A126" s="95"/>
      <c r="B126" s="99" t="str">
        <f>IF(A126&lt;&gt;"",INDEX('Base de données'!A$4:L$990,MATCH(A126,'Base de données'!A$4:A$990,0),2),"")</f>
        <v/>
      </c>
      <c r="C126" s="100" t="str">
        <f>IF(A126&lt;&gt;"",INDEX('Base de données'!A$4:L$990,MATCH(A126,'Base de données'!A$4:A$990,0),12),"")</f>
        <v/>
      </c>
      <c r="D126" s="96"/>
      <c r="E126" s="97"/>
      <c r="F126" s="96"/>
      <c r="G126" s="96"/>
      <c r="H126" s="96"/>
      <c r="I126" s="96"/>
      <c r="J126" s="96"/>
      <c r="K126" s="96"/>
      <c r="L126" s="96"/>
      <c r="M126" s="96"/>
      <c r="N126" s="96"/>
      <c r="O126" s="96"/>
    </row>
    <row r="127" spans="1:15" hidden="1" x14ac:dyDescent="0.25">
      <c r="A127" s="95"/>
      <c r="B127" s="99" t="str">
        <f>IF(A127&lt;&gt;"",INDEX('Base de données'!A$4:L$990,MATCH(A127,'Base de données'!A$4:A$990,0),2),"")</f>
        <v/>
      </c>
      <c r="C127" s="100" t="str">
        <f>IF(A127&lt;&gt;"",INDEX('Base de données'!A$4:L$990,MATCH(A127,'Base de données'!A$4:A$990,0),12),"")</f>
        <v/>
      </c>
      <c r="D127" s="96"/>
      <c r="E127" s="97"/>
      <c r="F127" s="96"/>
      <c r="G127" s="96"/>
      <c r="H127" s="96"/>
      <c r="I127" s="96"/>
      <c r="J127" s="96"/>
      <c r="K127" s="96"/>
      <c r="L127" s="96"/>
      <c r="M127" s="96"/>
      <c r="N127" s="96"/>
      <c r="O127" s="96"/>
    </row>
    <row r="128" spans="1:15" hidden="1" x14ac:dyDescent="0.25">
      <c r="A128" s="95"/>
      <c r="B128" s="99" t="str">
        <f>IF(A128&lt;&gt;"",INDEX('Base de données'!A$4:L$990,MATCH(A128,'Base de données'!A$4:A$990,0),2),"")</f>
        <v/>
      </c>
      <c r="C128" s="100" t="str">
        <f>IF(A128&lt;&gt;"",INDEX('Base de données'!A$4:L$990,MATCH(A128,'Base de données'!A$4:A$990,0),12),"")</f>
        <v/>
      </c>
      <c r="D128" s="96"/>
      <c r="E128" s="97"/>
      <c r="F128" s="96"/>
      <c r="G128" s="96"/>
      <c r="H128" s="96"/>
      <c r="I128" s="96"/>
      <c r="J128" s="96"/>
      <c r="K128" s="96"/>
      <c r="L128" s="96"/>
      <c r="M128" s="96"/>
      <c r="N128" s="96"/>
      <c r="O128" s="96"/>
    </row>
    <row r="129" spans="1:15" hidden="1" x14ac:dyDescent="0.25">
      <c r="A129" s="95"/>
      <c r="B129" s="99" t="str">
        <f>IF(A129&lt;&gt;"",INDEX('Base de données'!A$4:L$990,MATCH(A129,'Base de données'!A$4:A$990,0),2),"")</f>
        <v/>
      </c>
      <c r="C129" s="100" t="str">
        <f>IF(A129&lt;&gt;"",INDEX('Base de données'!A$4:L$990,MATCH(A129,'Base de données'!A$4:A$990,0),12),"")</f>
        <v/>
      </c>
      <c r="D129" s="96"/>
      <c r="E129" s="97"/>
      <c r="F129" s="96"/>
      <c r="G129" s="96"/>
      <c r="H129" s="96"/>
      <c r="I129" s="96"/>
      <c r="J129" s="96"/>
      <c r="K129" s="96"/>
      <c r="L129" s="96"/>
      <c r="M129" s="96"/>
      <c r="N129" s="96"/>
      <c r="O129" s="96"/>
    </row>
    <row r="130" spans="1:15" hidden="1" x14ac:dyDescent="0.25">
      <c r="A130" s="95"/>
      <c r="B130" s="99" t="str">
        <f>IF(A130&lt;&gt;"",INDEX('Base de données'!A$4:L$990,MATCH(A130,'Base de données'!A$4:A$990,0),2),"")</f>
        <v/>
      </c>
      <c r="C130" s="100" t="str">
        <f>IF(A130&lt;&gt;"",INDEX('Base de données'!A$4:L$990,MATCH(A130,'Base de données'!A$4:A$990,0),12),"")</f>
        <v/>
      </c>
      <c r="D130" s="96"/>
      <c r="E130" s="97"/>
      <c r="F130" s="96"/>
      <c r="G130" s="96"/>
      <c r="H130" s="96"/>
      <c r="I130" s="96"/>
      <c r="J130" s="96"/>
      <c r="K130" s="96"/>
      <c r="L130" s="96"/>
      <c r="M130" s="96"/>
      <c r="N130" s="96"/>
      <c r="O130" s="96"/>
    </row>
    <row r="131" spans="1:15" hidden="1" x14ac:dyDescent="0.25">
      <c r="A131" s="95"/>
      <c r="B131" s="99" t="str">
        <f>IF(A131&lt;&gt;"",INDEX('Base de données'!A$4:L$990,MATCH(A131,'Base de données'!A$4:A$990,0),2),"")</f>
        <v/>
      </c>
      <c r="C131" s="100" t="str">
        <f>IF(A131&lt;&gt;"",INDEX('Base de données'!A$4:L$990,MATCH(A131,'Base de données'!A$4:A$990,0),12),"")</f>
        <v/>
      </c>
      <c r="D131" s="96"/>
      <c r="E131" s="97"/>
      <c r="F131" s="96"/>
      <c r="G131" s="96"/>
      <c r="H131" s="96"/>
      <c r="I131" s="96"/>
      <c r="J131" s="96"/>
      <c r="K131" s="96"/>
      <c r="L131" s="96"/>
      <c r="M131" s="96"/>
      <c r="N131" s="96"/>
      <c r="O131" s="96"/>
    </row>
    <row r="132" spans="1:15" hidden="1" x14ac:dyDescent="0.25">
      <c r="A132" s="95"/>
      <c r="B132" s="99" t="str">
        <f>IF(A132&lt;&gt;"",INDEX('Base de données'!A$4:L$990,MATCH(A132,'Base de données'!A$4:A$990,0),2),"")</f>
        <v/>
      </c>
      <c r="C132" s="100" t="str">
        <f>IF(A132&lt;&gt;"",INDEX('Base de données'!A$4:L$990,MATCH(A132,'Base de données'!A$4:A$990,0),12),"")</f>
        <v/>
      </c>
      <c r="D132" s="96"/>
      <c r="E132" s="97"/>
      <c r="F132" s="96"/>
      <c r="G132" s="96"/>
      <c r="H132" s="96"/>
      <c r="I132" s="96"/>
      <c r="J132" s="96"/>
      <c r="K132" s="96"/>
      <c r="L132" s="96"/>
      <c r="M132" s="96"/>
      <c r="N132" s="96"/>
      <c r="O132" s="96"/>
    </row>
    <row r="133" spans="1:15" hidden="1" x14ac:dyDescent="0.25">
      <c r="A133" s="95"/>
      <c r="B133" s="99" t="str">
        <f>IF(A133&lt;&gt;"",INDEX('Base de données'!A$4:L$990,MATCH(A133,'Base de données'!A$4:A$990,0),2),"")</f>
        <v/>
      </c>
      <c r="C133" s="100" t="str">
        <f>IF(A133&lt;&gt;"",INDEX('Base de données'!A$4:L$990,MATCH(A133,'Base de données'!A$4:A$990,0),12),"")</f>
        <v/>
      </c>
      <c r="D133" s="96"/>
      <c r="E133" s="97"/>
      <c r="F133" s="96"/>
      <c r="G133" s="96"/>
      <c r="H133" s="96"/>
      <c r="I133" s="96"/>
      <c r="J133" s="96"/>
      <c r="K133" s="96"/>
      <c r="L133" s="96"/>
      <c r="M133" s="96"/>
      <c r="N133" s="96"/>
      <c r="O133" s="96"/>
    </row>
    <row r="134" spans="1:15" hidden="1" x14ac:dyDescent="0.25">
      <c r="A134" s="95"/>
      <c r="B134" s="99" t="str">
        <f>IF(A134&lt;&gt;"",INDEX('Base de données'!A$4:L$990,MATCH(A134,'Base de données'!A$4:A$990,0),2),"")</f>
        <v/>
      </c>
      <c r="C134" s="100" t="str">
        <f>IF(A134&lt;&gt;"",INDEX('Base de données'!A$4:L$990,MATCH(A134,'Base de données'!A$4:A$990,0),12),"")</f>
        <v/>
      </c>
      <c r="D134" s="96"/>
      <c r="E134" s="97"/>
      <c r="F134" s="96"/>
      <c r="G134" s="96"/>
      <c r="H134" s="96"/>
      <c r="I134" s="96"/>
      <c r="J134" s="96"/>
      <c r="K134" s="96"/>
      <c r="L134" s="96"/>
      <c r="M134" s="96"/>
      <c r="N134" s="96"/>
      <c r="O134" s="96"/>
    </row>
    <row r="135" spans="1:15" hidden="1" x14ac:dyDescent="0.25">
      <c r="A135" s="95"/>
      <c r="B135" s="99" t="str">
        <f>IF(A135&lt;&gt;"",INDEX('Base de données'!A$4:L$990,MATCH(A135,'Base de données'!A$4:A$990,0),2),"")</f>
        <v/>
      </c>
      <c r="C135" s="100" t="str">
        <f>IF(A135&lt;&gt;"",INDEX('Base de données'!A$4:L$990,MATCH(A135,'Base de données'!A$4:A$990,0),12),"")</f>
        <v/>
      </c>
      <c r="D135" s="96"/>
      <c r="E135" s="97"/>
      <c r="F135" s="96"/>
      <c r="G135" s="96"/>
      <c r="H135" s="96"/>
      <c r="I135" s="96"/>
      <c r="J135" s="96"/>
      <c r="K135" s="96"/>
      <c r="L135" s="96"/>
      <c r="M135" s="96"/>
      <c r="N135" s="96"/>
      <c r="O135" s="96"/>
    </row>
    <row r="136" spans="1:15" hidden="1" x14ac:dyDescent="0.25">
      <c r="A136" s="95"/>
      <c r="B136" s="99" t="str">
        <f>IF(A136&lt;&gt;"",INDEX('Base de données'!A$4:L$990,MATCH(A136,'Base de données'!A$4:A$990,0),2),"")</f>
        <v/>
      </c>
      <c r="C136" s="100" t="str">
        <f>IF(A136&lt;&gt;"",INDEX('Base de données'!A$4:L$990,MATCH(A136,'Base de données'!A$4:A$990,0),12),"")</f>
        <v/>
      </c>
      <c r="D136" s="96"/>
      <c r="E136" s="97"/>
      <c r="F136" s="96"/>
      <c r="G136" s="96"/>
      <c r="H136" s="96"/>
      <c r="I136" s="96"/>
      <c r="J136" s="96"/>
      <c r="K136" s="96"/>
      <c r="L136" s="96"/>
      <c r="M136" s="96"/>
      <c r="N136" s="96"/>
      <c r="O136" s="96"/>
    </row>
    <row r="137" spans="1:15" hidden="1" x14ac:dyDescent="0.25">
      <c r="A137" s="95"/>
      <c r="B137" s="99" t="str">
        <f>IF(A137&lt;&gt;"",INDEX('Base de données'!A$4:L$990,MATCH(A137,'Base de données'!A$4:A$990,0),2),"")</f>
        <v/>
      </c>
      <c r="C137" s="100" t="str">
        <f>IF(A137&lt;&gt;"",INDEX('Base de données'!A$4:L$990,MATCH(A137,'Base de données'!A$4:A$990,0),12),"")</f>
        <v/>
      </c>
      <c r="D137" s="96"/>
      <c r="E137" s="97"/>
      <c r="F137" s="96"/>
      <c r="G137" s="96"/>
      <c r="H137" s="96"/>
      <c r="I137" s="96"/>
      <c r="J137" s="96"/>
      <c r="K137" s="96"/>
      <c r="L137" s="96"/>
      <c r="M137" s="96"/>
      <c r="N137" s="96"/>
      <c r="O137" s="96"/>
    </row>
    <row r="138" spans="1:15" hidden="1" x14ac:dyDescent="0.25">
      <c r="A138" s="95"/>
      <c r="B138" s="99" t="str">
        <f>IF(A138&lt;&gt;"",INDEX('Base de données'!A$4:L$990,MATCH(A138,'Base de données'!A$4:A$990,0),2),"")</f>
        <v/>
      </c>
      <c r="C138" s="100" t="str">
        <f>IF(A138&lt;&gt;"",INDEX('Base de données'!A$4:L$990,MATCH(A138,'Base de données'!A$4:A$990,0),12),"")</f>
        <v/>
      </c>
      <c r="D138" s="96"/>
      <c r="E138" s="97"/>
      <c r="F138" s="96"/>
      <c r="G138" s="96"/>
      <c r="H138" s="96"/>
      <c r="I138" s="96"/>
      <c r="J138" s="96"/>
      <c r="K138" s="96"/>
      <c r="L138" s="96"/>
      <c r="M138" s="96"/>
      <c r="N138" s="96"/>
      <c r="O138" s="96"/>
    </row>
    <row r="139" spans="1:15" hidden="1" x14ac:dyDescent="0.25">
      <c r="A139" s="95"/>
      <c r="B139" s="99" t="str">
        <f>IF(A139&lt;&gt;"",INDEX('Base de données'!A$4:L$990,MATCH(A139,'Base de données'!A$4:A$990,0),2),"")</f>
        <v/>
      </c>
      <c r="C139" s="100" t="str">
        <f>IF(A139&lt;&gt;"",INDEX('Base de données'!A$4:L$990,MATCH(A139,'Base de données'!A$4:A$990,0),12),"")</f>
        <v/>
      </c>
      <c r="D139" s="96"/>
      <c r="E139" s="97"/>
      <c r="F139" s="96"/>
      <c r="G139" s="96"/>
      <c r="H139" s="96"/>
      <c r="I139" s="96"/>
      <c r="J139" s="96"/>
      <c r="K139" s="96"/>
      <c r="L139" s="96"/>
      <c r="M139" s="96"/>
      <c r="N139" s="96"/>
      <c r="O139" s="96"/>
    </row>
    <row r="140" spans="1:15" hidden="1" x14ac:dyDescent="0.25">
      <c r="A140" s="95"/>
      <c r="B140" s="99" t="str">
        <f>IF(A140&lt;&gt;"",INDEX('Base de données'!A$4:L$990,MATCH(A140,'Base de données'!A$4:A$990,0),2),"")</f>
        <v/>
      </c>
      <c r="C140" s="100" t="str">
        <f>IF(A140&lt;&gt;"",INDEX('Base de données'!A$4:L$990,MATCH(A140,'Base de données'!A$4:A$990,0),12),"")</f>
        <v/>
      </c>
      <c r="D140" s="96"/>
      <c r="E140" s="97"/>
      <c r="F140" s="96"/>
      <c r="G140" s="96"/>
      <c r="H140" s="96"/>
      <c r="I140" s="96"/>
      <c r="J140" s="96"/>
      <c r="K140" s="96"/>
      <c r="L140" s="96"/>
      <c r="M140" s="96"/>
      <c r="N140" s="96"/>
      <c r="O140" s="96"/>
    </row>
    <row r="141" spans="1:15" hidden="1" x14ac:dyDescent="0.25">
      <c r="A141" s="95"/>
      <c r="B141" s="99" t="str">
        <f>IF(A141&lt;&gt;"",INDEX('Base de données'!A$4:L$990,MATCH(A141,'Base de données'!A$4:A$990,0),2),"")</f>
        <v/>
      </c>
      <c r="C141" s="100" t="str">
        <f>IF(A141&lt;&gt;"",INDEX('Base de données'!A$4:L$990,MATCH(A141,'Base de données'!A$4:A$990,0),12),"")</f>
        <v/>
      </c>
      <c r="D141" s="96"/>
      <c r="E141" s="97"/>
      <c r="F141" s="96"/>
      <c r="G141" s="96"/>
      <c r="H141" s="96"/>
      <c r="I141" s="96"/>
      <c r="J141" s="96"/>
      <c r="K141" s="96"/>
      <c r="L141" s="96"/>
      <c r="M141" s="96"/>
      <c r="N141" s="96"/>
      <c r="O141" s="96"/>
    </row>
    <row r="142" spans="1:15" hidden="1" x14ac:dyDescent="0.25">
      <c r="A142" s="95"/>
      <c r="B142" s="99" t="str">
        <f>IF(A142&lt;&gt;"",INDEX('Base de données'!A$4:L$990,MATCH(A142,'Base de données'!A$4:A$990,0),2),"")</f>
        <v/>
      </c>
      <c r="C142" s="100" t="str">
        <f>IF(A142&lt;&gt;"",INDEX('Base de données'!A$4:L$990,MATCH(A142,'Base de données'!A$4:A$990,0),12),"")</f>
        <v/>
      </c>
      <c r="D142" s="96"/>
      <c r="E142" s="97"/>
      <c r="F142" s="96"/>
      <c r="G142" s="96"/>
      <c r="H142" s="96"/>
      <c r="I142" s="96"/>
      <c r="J142" s="96"/>
      <c r="K142" s="96"/>
      <c r="L142" s="96"/>
      <c r="M142" s="96"/>
      <c r="N142" s="96"/>
      <c r="O142" s="96"/>
    </row>
    <row r="143" spans="1:15" hidden="1" x14ac:dyDescent="0.25">
      <c r="A143" s="95"/>
      <c r="B143" s="99" t="str">
        <f>IF(A143&lt;&gt;"",INDEX('Base de données'!A$4:L$990,MATCH(A143,'Base de données'!A$4:A$990,0),2),"")</f>
        <v/>
      </c>
      <c r="C143" s="100" t="str">
        <f>IF(A143&lt;&gt;"",INDEX('Base de données'!A$4:L$990,MATCH(A143,'Base de données'!A$4:A$990,0),12),"")</f>
        <v/>
      </c>
      <c r="D143" s="96"/>
      <c r="E143" s="97"/>
      <c r="F143" s="96"/>
      <c r="G143" s="96"/>
      <c r="H143" s="96"/>
      <c r="I143" s="96"/>
      <c r="J143" s="96"/>
      <c r="K143" s="96"/>
      <c r="L143" s="96"/>
      <c r="M143" s="96"/>
      <c r="N143" s="96"/>
      <c r="O143" s="96"/>
    </row>
    <row r="144" spans="1:15" hidden="1" x14ac:dyDescent="0.25">
      <c r="A144" s="95"/>
      <c r="B144" s="99" t="str">
        <f>IF(A144&lt;&gt;"",INDEX('Base de données'!A$4:L$990,MATCH(A144,'Base de données'!A$4:A$990,0),2),"")</f>
        <v/>
      </c>
      <c r="C144" s="100" t="str">
        <f>IF(A144&lt;&gt;"",INDEX('Base de données'!A$4:L$990,MATCH(A144,'Base de données'!A$4:A$990,0),12),"")</f>
        <v/>
      </c>
      <c r="D144" s="96"/>
      <c r="E144" s="97"/>
      <c r="F144" s="96"/>
      <c r="G144" s="96"/>
      <c r="H144" s="96"/>
      <c r="I144" s="96"/>
      <c r="J144" s="96"/>
      <c r="K144" s="96"/>
      <c r="L144" s="96"/>
      <c r="M144" s="96"/>
      <c r="N144" s="96"/>
      <c r="O144" s="96"/>
    </row>
    <row r="145" spans="1:15" hidden="1" x14ac:dyDescent="0.25">
      <c r="A145" s="95"/>
      <c r="B145" s="99" t="str">
        <f>IF(A145&lt;&gt;"",INDEX('Base de données'!A$4:L$990,MATCH(A145,'Base de données'!A$4:A$990,0),2),"")</f>
        <v/>
      </c>
      <c r="C145" s="100" t="str">
        <f>IF(A145&lt;&gt;"",INDEX('Base de données'!A$4:L$990,MATCH(A145,'Base de données'!A$4:A$990,0),12),"")</f>
        <v/>
      </c>
      <c r="D145" s="96"/>
      <c r="E145" s="97"/>
      <c r="F145" s="96"/>
      <c r="G145" s="96"/>
      <c r="H145" s="96"/>
      <c r="I145" s="96"/>
      <c r="J145" s="96"/>
      <c r="K145" s="96"/>
      <c r="L145" s="96"/>
      <c r="M145" s="96"/>
      <c r="N145" s="96"/>
      <c r="O145" s="96"/>
    </row>
    <row r="146" spans="1:15" hidden="1" x14ac:dyDescent="0.25">
      <c r="A146" s="95"/>
      <c r="B146" s="99" t="str">
        <f>IF(A146&lt;&gt;"",INDEX('Base de données'!A$4:L$990,MATCH(A146,'Base de données'!A$4:A$990,0),2),"")</f>
        <v/>
      </c>
      <c r="C146" s="100" t="str">
        <f>IF(A146&lt;&gt;"",INDEX('Base de données'!A$4:L$990,MATCH(A146,'Base de données'!A$4:A$990,0),12),"")</f>
        <v/>
      </c>
      <c r="D146" s="96"/>
      <c r="E146" s="97"/>
      <c r="F146" s="96"/>
      <c r="G146" s="96"/>
      <c r="H146" s="96"/>
      <c r="I146" s="96"/>
      <c r="J146" s="96"/>
      <c r="K146" s="96"/>
      <c r="L146" s="96"/>
      <c r="M146" s="96"/>
      <c r="N146" s="96"/>
      <c r="O146" s="96"/>
    </row>
    <row r="147" spans="1:15" hidden="1" x14ac:dyDescent="0.25">
      <c r="A147" s="95"/>
      <c r="B147" s="99" t="str">
        <f>IF(A147&lt;&gt;"",INDEX('Base de données'!A$4:L$990,MATCH(A147,'Base de données'!A$4:A$990,0),2),"")</f>
        <v/>
      </c>
      <c r="C147" s="100" t="str">
        <f>IF(A147&lt;&gt;"",INDEX('Base de données'!A$4:L$990,MATCH(A147,'Base de données'!A$4:A$990,0),12),"")</f>
        <v/>
      </c>
      <c r="D147" s="96"/>
      <c r="E147" s="97"/>
      <c r="F147" s="96"/>
      <c r="G147" s="96"/>
      <c r="H147" s="96"/>
      <c r="I147" s="96"/>
      <c r="J147" s="96"/>
      <c r="K147" s="96"/>
      <c r="L147" s="96"/>
      <c r="M147" s="96"/>
      <c r="N147" s="96"/>
      <c r="O147" s="96"/>
    </row>
    <row r="148" spans="1:15" hidden="1" x14ac:dyDescent="0.25">
      <c r="A148" s="95"/>
      <c r="B148" s="99" t="str">
        <f>IF(A148&lt;&gt;"",INDEX('Base de données'!A$4:L$990,MATCH(A148,'Base de données'!A$4:A$990,0),2),"")</f>
        <v/>
      </c>
      <c r="C148" s="100" t="str">
        <f>IF(A148&lt;&gt;"",INDEX('Base de données'!A$4:L$990,MATCH(A148,'Base de données'!A$4:A$990,0),12),"")</f>
        <v/>
      </c>
      <c r="D148" s="96"/>
      <c r="E148" s="97"/>
      <c r="F148" s="96"/>
      <c r="G148" s="96"/>
      <c r="H148" s="96"/>
      <c r="I148" s="96"/>
      <c r="J148" s="96"/>
      <c r="K148" s="96"/>
      <c r="L148" s="96"/>
      <c r="M148" s="96"/>
      <c r="N148" s="96"/>
      <c r="O148" s="96"/>
    </row>
    <row r="149" spans="1:15" hidden="1" x14ac:dyDescent="0.25">
      <c r="A149" s="95"/>
      <c r="B149" s="99" t="str">
        <f>IF(A149&lt;&gt;"",INDEX('Base de données'!A$4:L$990,MATCH(A149,'Base de données'!A$4:A$990,0),2),"")</f>
        <v/>
      </c>
      <c r="C149" s="100" t="str">
        <f>IF(A149&lt;&gt;"",INDEX('Base de données'!A$4:L$990,MATCH(A149,'Base de données'!A$4:A$990,0),12),"")</f>
        <v/>
      </c>
      <c r="D149" s="96"/>
      <c r="E149" s="97"/>
      <c r="F149" s="96"/>
      <c r="G149" s="96"/>
      <c r="H149" s="96"/>
      <c r="I149" s="96"/>
      <c r="J149" s="96"/>
      <c r="K149" s="96"/>
      <c r="L149" s="96"/>
      <c r="M149" s="96"/>
      <c r="N149" s="96"/>
      <c r="O149" s="96"/>
    </row>
    <row r="150" spans="1:15" hidden="1" x14ac:dyDescent="0.25">
      <c r="A150" s="95"/>
      <c r="B150" s="99" t="str">
        <f>IF(A150&lt;&gt;"",INDEX('Base de données'!A$4:L$990,MATCH(A150,'Base de données'!A$4:A$990,0),2),"")</f>
        <v/>
      </c>
      <c r="C150" s="100" t="str">
        <f>IF(A150&lt;&gt;"",INDEX('Base de données'!A$4:L$990,MATCH(A150,'Base de données'!A$4:A$990,0),12),"")</f>
        <v/>
      </c>
      <c r="D150" s="96"/>
      <c r="E150" s="97"/>
      <c r="F150" s="96"/>
      <c r="G150" s="96"/>
      <c r="H150" s="96"/>
      <c r="I150" s="96"/>
      <c r="J150" s="96"/>
      <c r="K150" s="96"/>
      <c r="L150" s="96"/>
      <c r="M150" s="96"/>
      <c r="N150" s="96"/>
      <c r="O150" s="96"/>
    </row>
    <row r="151" spans="1:15" hidden="1" x14ac:dyDescent="0.25">
      <c r="A151" s="95"/>
      <c r="B151" s="99" t="str">
        <f>IF(A151&lt;&gt;"",INDEX('Base de données'!A$4:L$990,MATCH(A151,'Base de données'!A$4:A$990,0),2),"")</f>
        <v/>
      </c>
      <c r="C151" s="100" t="str">
        <f>IF(A151&lt;&gt;"",INDEX('Base de données'!A$4:L$990,MATCH(A151,'Base de données'!A$4:A$990,0),12),"")</f>
        <v/>
      </c>
      <c r="D151" s="96"/>
      <c r="E151" s="97"/>
      <c r="F151" s="96"/>
      <c r="G151" s="96"/>
      <c r="H151" s="96"/>
      <c r="I151" s="96"/>
      <c r="J151" s="96"/>
      <c r="K151" s="96"/>
      <c r="L151" s="96"/>
      <c r="M151" s="96"/>
      <c r="N151" s="96"/>
      <c r="O151" s="96"/>
    </row>
    <row r="152" spans="1:15" hidden="1" x14ac:dyDescent="0.25">
      <c r="A152" s="95"/>
      <c r="B152" s="99" t="str">
        <f>IF(A152&lt;&gt;"",INDEX('Base de données'!A$4:L$990,MATCH(A152,'Base de données'!A$4:A$990,0),2),"")</f>
        <v/>
      </c>
      <c r="C152" s="100" t="str">
        <f>IF(A152&lt;&gt;"",INDEX('Base de données'!A$4:L$990,MATCH(A152,'Base de données'!A$4:A$990,0),12),"")</f>
        <v/>
      </c>
      <c r="D152" s="96"/>
      <c r="E152" s="97"/>
      <c r="F152" s="96"/>
      <c r="G152" s="96"/>
      <c r="H152" s="96"/>
      <c r="I152" s="96"/>
      <c r="J152" s="96"/>
      <c r="K152" s="96"/>
      <c r="L152" s="96"/>
      <c r="M152" s="96"/>
      <c r="N152" s="96"/>
      <c r="O152" s="96"/>
    </row>
    <row r="153" spans="1:15" hidden="1" x14ac:dyDescent="0.25">
      <c r="A153" s="95"/>
      <c r="B153" s="99" t="str">
        <f>IF(A153&lt;&gt;"",INDEX('Base de données'!A$4:L$990,MATCH(A153,'Base de données'!A$4:A$990,0),2),"")</f>
        <v/>
      </c>
      <c r="C153" s="100" t="str">
        <f>IF(A153&lt;&gt;"",INDEX('Base de données'!A$4:L$990,MATCH(A153,'Base de données'!A$4:A$990,0),12),"")</f>
        <v/>
      </c>
      <c r="D153" s="96"/>
      <c r="E153" s="97"/>
      <c r="F153" s="96"/>
      <c r="G153" s="96"/>
      <c r="H153" s="96"/>
      <c r="I153" s="96"/>
      <c r="J153" s="96"/>
      <c r="K153" s="96"/>
      <c r="L153" s="96"/>
      <c r="M153" s="96"/>
      <c r="N153" s="96"/>
      <c r="O153" s="96"/>
    </row>
    <row r="154" spans="1:15" hidden="1" x14ac:dyDescent="0.25">
      <c r="A154" s="95"/>
      <c r="B154" s="99" t="str">
        <f>IF(A154&lt;&gt;"",INDEX('Base de données'!A$4:L$990,MATCH(A154,'Base de données'!A$4:A$990,0),2),"")</f>
        <v/>
      </c>
      <c r="C154" s="100" t="str">
        <f>IF(A154&lt;&gt;"",INDEX('Base de données'!A$4:L$990,MATCH(A154,'Base de données'!A$4:A$990,0),12),"")</f>
        <v/>
      </c>
      <c r="D154" s="96"/>
      <c r="E154" s="97"/>
      <c r="F154" s="96"/>
      <c r="G154" s="96"/>
      <c r="H154" s="96"/>
      <c r="I154" s="96"/>
      <c r="J154" s="96"/>
      <c r="K154" s="96"/>
      <c r="L154" s="96"/>
      <c r="M154" s="96"/>
      <c r="N154" s="96"/>
      <c r="O154" s="96"/>
    </row>
    <row r="155" spans="1:15" hidden="1" x14ac:dyDescent="0.25">
      <c r="A155" s="95"/>
      <c r="B155" s="99" t="str">
        <f>IF(A155&lt;&gt;"",INDEX('Base de données'!A$4:L$990,MATCH(A155,'Base de données'!A$4:A$990,0),2),"")</f>
        <v/>
      </c>
      <c r="C155" s="100" t="str">
        <f>IF(A155&lt;&gt;"",INDEX('Base de données'!A$4:L$990,MATCH(A155,'Base de données'!A$4:A$990,0),12),"")</f>
        <v/>
      </c>
      <c r="D155" s="96"/>
      <c r="E155" s="97"/>
      <c r="F155" s="96"/>
      <c r="G155" s="96"/>
      <c r="H155" s="96"/>
      <c r="I155" s="96"/>
      <c r="J155" s="96"/>
      <c r="K155" s="96"/>
      <c r="L155" s="96"/>
      <c r="M155" s="96"/>
      <c r="N155" s="96"/>
      <c r="O155" s="96"/>
    </row>
    <row r="156" spans="1:15" hidden="1" x14ac:dyDescent="0.25">
      <c r="A156" s="95"/>
      <c r="B156" s="99" t="str">
        <f>IF(A156&lt;&gt;"",INDEX('Base de données'!A$4:L$990,MATCH(A156,'Base de données'!A$4:A$990,0),2),"")</f>
        <v/>
      </c>
      <c r="C156" s="100" t="str">
        <f>IF(A156&lt;&gt;"",INDEX('Base de données'!A$4:L$990,MATCH(A156,'Base de données'!A$4:A$990,0),12),"")</f>
        <v/>
      </c>
      <c r="D156" s="96"/>
      <c r="E156" s="97"/>
      <c r="F156" s="96"/>
      <c r="G156" s="96"/>
      <c r="H156" s="96"/>
      <c r="I156" s="96"/>
      <c r="J156" s="96"/>
      <c r="K156" s="96"/>
      <c r="L156" s="96"/>
      <c r="M156" s="96"/>
      <c r="N156" s="96"/>
      <c r="O156" s="96"/>
    </row>
    <row r="157" spans="1:15" hidden="1" x14ac:dyDescent="0.25">
      <c r="A157" s="95"/>
      <c r="B157" s="99" t="str">
        <f>IF(A157&lt;&gt;"",INDEX('Base de données'!A$4:L$990,MATCH(A157,'Base de données'!A$4:A$990,0),2),"")</f>
        <v/>
      </c>
      <c r="C157" s="100" t="str">
        <f>IF(A157&lt;&gt;"",INDEX('Base de données'!A$4:L$990,MATCH(A157,'Base de données'!A$4:A$990,0),12),"")</f>
        <v/>
      </c>
      <c r="D157" s="96"/>
      <c r="E157" s="97"/>
      <c r="F157" s="96"/>
      <c r="G157" s="96"/>
      <c r="H157" s="96"/>
      <c r="I157" s="96"/>
      <c r="J157" s="96"/>
      <c r="K157" s="96"/>
      <c r="L157" s="96"/>
      <c r="M157" s="96"/>
      <c r="N157" s="96"/>
      <c r="O157" s="96"/>
    </row>
    <row r="158" spans="1:15" hidden="1" x14ac:dyDescent="0.25">
      <c r="A158" s="95"/>
      <c r="B158" s="99" t="str">
        <f>IF(A158&lt;&gt;"",INDEX('Base de données'!A$4:L$990,MATCH(A158,'Base de données'!A$4:A$990,0),2),"")</f>
        <v/>
      </c>
      <c r="C158" s="100" t="str">
        <f>IF(A158&lt;&gt;"",INDEX('Base de données'!A$4:L$990,MATCH(A158,'Base de données'!A$4:A$990,0),12),"")</f>
        <v/>
      </c>
      <c r="D158" s="96"/>
      <c r="E158" s="97"/>
      <c r="F158" s="96"/>
      <c r="G158" s="96"/>
      <c r="H158" s="96"/>
      <c r="I158" s="96"/>
      <c r="J158" s="96"/>
      <c r="K158" s="96"/>
      <c r="L158" s="96"/>
      <c r="M158" s="96"/>
      <c r="N158" s="96"/>
      <c r="O158" s="96"/>
    </row>
    <row r="159" spans="1:15" hidden="1" x14ac:dyDescent="0.25">
      <c r="A159" s="95"/>
      <c r="B159" s="99" t="str">
        <f>IF(A159&lt;&gt;"",INDEX('Base de données'!A$4:L$990,MATCH(A159,'Base de données'!A$4:A$990,0),2),"")</f>
        <v/>
      </c>
      <c r="C159" s="100" t="str">
        <f>IF(A159&lt;&gt;"",INDEX('Base de données'!A$4:L$990,MATCH(A159,'Base de données'!A$4:A$990,0),12),"")</f>
        <v/>
      </c>
      <c r="D159" s="96"/>
      <c r="E159" s="97"/>
      <c r="F159" s="96"/>
      <c r="G159" s="96"/>
      <c r="H159" s="96"/>
      <c r="I159" s="96"/>
      <c r="J159" s="96"/>
      <c r="K159" s="96"/>
      <c r="L159" s="96"/>
      <c r="M159" s="96"/>
      <c r="N159" s="96"/>
      <c r="O159" s="96"/>
    </row>
    <row r="160" spans="1:15" hidden="1" x14ac:dyDescent="0.25">
      <c r="A160" s="95"/>
      <c r="B160" s="99" t="str">
        <f>IF(A160&lt;&gt;"",INDEX('Base de données'!A$4:L$990,MATCH(A160,'Base de données'!A$4:A$990,0),2),"")</f>
        <v/>
      </c>
      <c r="C160" s="100" t="str">
        <f>IF(A160&lt;&gt;"",INDEX('Base de données'!A$4:L$990,MATCH(A160,'Base de données'!A$4:A$990,0),12),"")</f>
        <v/>
      </c>
      <c r="D160" s="96"/>
      <c r="E160" s="97"/>
      <c r="F160" s="96"/>
      <c r="G160" s="96"/>
      <c r="H160" s="96"/>
      <c r="I160" s="96"/>
      <c r="J160" s="96"/>
      <c r="K160" s="96"/>
      <c r="L160" s="96"/>
      <c r="M160" s="96"/>
      <c r="N160" s="96"/>
      <c r="O160" s="96"/>
    </row>
    <row r="161" spans="1:15" hidden="1" x14ac:dyDescent="0.25">
      <c r="A161" s="95"/>
      <c r="B161" s="99" t="str">
        <f>IF(A161&lt;&gt;"",INDEX('Base de données'!A$4:L$990,MATCH(A161,'Base de données'!A$4:A$990,0),2),"")</f>
        <v/>
      </c>
      <c r="C161" s="100" t="str">
        <f>IF(A161&lt;&gt;"",INDEX('Base de données'!A$4:L$990,MATCH(A161,'Base de données'!A$4:A$990,0),12),"")</f>
        <v/>
      </c>
      <c r="D161" s="96"/>
      <c r="E161" s="97"/>
      <c r="F161" s="96"/>
      <c r="G161" s="96"/>
      <c r="H161" s="96"/>
      <c r="I161" s="96"/>
      <c r="J161" s="96"/>
      <c r="K161" s="96"/>
      <c r="L161" s="96"/>
      <c r="M161" s="96"/>
      <c r="N161" s="96"/>
      <c r="O161" s="96"/>
    </row>
    <row r="162" spans="1:15" hidden="1" x14ac:dyDescent="0.25">
      <c r="A162" s="95"/>
      <c r="B162" s="99" t="str">
        <f>IF(A162&lt;&gt;"",INDEX('Base de données'!A$4:L$990,MATCH(A162,'Base de données'!A$4:A$990,0),2),"")</f>
        <v/>
      </c>
      <c r="C162" s="100" t="str">
        <f>IF(A162&lt;&gt;"",INDEX('Base de données'!A$4:L$990,MATCH(A162,'Base de données'!A$4:A$990,0),12),"")</f>
        <v/>
      </c>
      <c r="D162" s="96"/>
      <c r="E162" s="97"/>
      <c r="F162" s="96"/>
      <c r="G162" s="96"/>
      <c r="H162" s="96"/>
      <c r="I162" s="96"/>
      <c r="J162" s="96"/>
      <c r="K162" s="96"/>
      <c r="L162" s="96"/>
      <c r="M162" s="96"/>
      <c r="N162" s="96"/>
      <c r="O162" s="96"/>
    </row>
    <row r="163" spans="1:15" hidden="1" x14ac:dyDescent="0.25">
      <c r="A163" s="95"/>
      <c r="B163" s="99" t="str">
        <f>IF(A163&lt;&gt;"",INDEX('Base de données'!A$4:L$990,MATCH(A163,'Base de données'!A$4:A$990,0),2),"")</f>
        <v/>
      </c>
      <c r="C163" s="100" t="str">
        <f>IF(A163&lt;&gt;"",INDEX('Base de données'!A$4:L$990,MATCH(A163,'Base de données'!A$4:A$990,0),12),"")</f>
        <v/>
      </c>
      <c r="D163" s="96"/>
      <c r="E163" s="97"/>
      <c r="F163" s="96"/>
      <c r="G163" s="96"/>
      <c r="H163" s="96"/>
      <c r="I163" s="96"/>
      <c r="J163" s="96"/>
      <c r="K163" s="96"/>
      <c r="L163" s="96"/>
      <c r="M163" s="96"/>
      <c r="N163" s="96"/>
      <c r="O163" s="96"/>
    </row>
    <row r="164" spans="1:15" hidden="1" x14ac:dyDescent="0.25">
      <c r="A164" s="95"/>
      <c r="B164" s="99" t="str">
        <f>IF(A164&lt;&gt;"",INDEX('Base de données'!A$4:L$990,MATCH(A164,'Base de données'!A$4:A$990,0),2),"")</f>
        <v/>
      </c>
      <c r="C164" s="100" t="str">
        <f>IF(A164&lt;&gt;"",INDEX('Base de données'!A$4:L$990,MATCH(A164,'Base de données'!A$4:A$990,0),12),"")</f>
        <v/>
      </c>
      <c r="D164" s="96"/>
      <c r="E164" s="97"/>
      <c r="F164" s="96"/>
      <c r="G164" s="96"/>
      <c r="H164" s="96"/>
      <c r="I164" s="96"/>
      <c r="J164" s="96"/>
      <c r="K164" s="96"/>
      <c r="L164" s="96"/>
      <c r="M164" s="96"/>
      <c r="N164" s="96"/>
      <c r="O164" s="96"/>
    </row>
    <row r="165" spans="1:15" hidden="1" x14ac:dyDescent="0.25">
      <c r="A165" s="95"/>
      <c r="B165" s="99" t="str">
        <f>IF(A165&lt;&gt;"",INDEX('Base de données'!A$4:L$990,MATCH(A165,'Base de données'!A$4:A$990,0),2),"")</f>
        <v/>
      </c>
      <c r="C165" s="100" t="str">
        <f>IF(A165&lt;&gt;"",INDEX('Base de données'!A$4:L$990,MATCH(A165,'Base de données'!A$4:A$990,0),12),"")</f>
        <v/>
      </c>
      <c r="D165" s="96"/>
      <c r="E165" s="97"/>
      <c r="F165" s="96"/>
      <c r="G165" s="96"/>
      <c r="H165" s="96"/>
      <c r="I165" s="96"/>
      <c r="J165" s="96"/>
      <c r="K165" s="96"/>
      <c r="L165" s="96"/>
      <c r="M165" s="96"/>
      <c r="N165" s="96"/>
      <c r="O165" s="96"/>
    </row>
    <row r="166" spans="1:15" hidden="1" x14ac:dyDescent="0.25">
      <c r="A166" s="95"/>
      <c r="B166" s="99" t="str">
        <f>IF(A166&lt;&gt;"",INDEX('Base de données'!A$4:L$990,MATCH(A166,'Base de données'!A$4:A$990,0),2),"")</f>
        <v/>
      </c>
      <c r="C166" s="100" t="str">
        <f>IF(A166&lt;&gt;"",INDEX('Base de données'!A$4:L$990,MATCH(A166,'Base de données'!A$4:A$990,0),12),"")</f>
        <v/>
      </c>
      <c r="D166" s="96"/>
      <c r="E166" s="97"/>
      <c r="F166" s="96"/>
      <c r="G166" s="96"/>
      <c r="H166" s="96"/>
      <c r="I166" s="96"/>
      <c r="J166" s="96"/>
      <c r="K166" s="96"/>
      <c r="L166" s="96"/>
      <c r="M166" s="96"/>
      <c r="N166" s="96"/>
      <c r="O166" s="96"/>
    </row>
    <row r="167" spans="1:15" hidden="1" x14ac:dyDescent="0.25">
      <c r="A167" s="95"/>
      <c r="B167" s="99" t="str">
        <f>IF(A167&lt;&gt;"",INDEX('Base de données'!A$4:L$990,MATCH(A167,'Base de données'!A$4:A$990,0),2),"")</f>
        <v/>
      </c>
      <c r="C167" s="100" t="str">
        <f>IF(A167&lt;&gt;"",INDEX('Base de données'!A$4:L$990,MATCH(A167,'Base de données'!A$4:A$990,0),12),"")</f>
        <v/>
      </c>
      <c r="D167" s="96"/>
      <c r="E167" s="97"/>
      <c r="F167" s="96"/>
      <c r="G167" s="96"/>
      <c r="H167" s="96"/>
      <c r="I167" s="96"/>
      <c r="J167" s="96"/>
      <c r="K167" s="96"/>
      <c r="L167" s="96"/>
      <c r="M167" s="96"/>
      <c r="N167" s="96"/>
      <c r="O167" s="96"/>
    </row>
    <row r="168" spans="1:15" hidden="1" x14ac:dyDescent="0.25">
      <c r="A168" s="95"/>
      <c r="B168" s="99" t="str">
        <f>IF(A168&lt;&gt;"",INDEX('Base de données'!A$4:L$990,MATCH(A168,'Base de données'!A$4:A$990,0),2),"")</f>
        <v/>
      </c>
      <c r="C168" s="100" t="str">
        <f>IF(A168&lt;&gt;"",INDEX('Base de données'!A$4:L$990,MATCH(A168,'Base de données'!A$4:A$990,0),12),"")</f>
        <v/>
      </c>
      <c r="D168" s="96"/>
      <c r="E168" s="97"/>
      <c r="F168" s="96"/>
      <c r="G168" s="96"/>
      <c r="H168" s="96"/>
      <c r="I168" s="96"/>
      <c r="J168" s="96"/>
      <c r="K168" s="96"/>
      <c r="L168" s="96"/>
      <c r="M168" s="96"/>
      <c r="N168" s="96"/>
      <c r="O168" s="96"/>
    </row>
    <row r="169" spans="1:15" hidden="1" x14ac:dyDescent="0.25">
      <c r="A169" s="95"/>
      <c r="B169" s="99" t="str">
        <f>IF(A169&lt;&gt;"",INDEX('Base de données'!A$4:L$990,MATCH(A169,'Base de données'!A$4:A$990,0),2),"")</f>
        <v/>
      </c>
      <c r="C169" s="100" t="str">
        <f>IF(A169&lt;&gt;"",INDEX('Base de données'!A$4:L$990,MATCH(A169,'Base de données'!A$4:A$990,0),12),"")</f>
        <v/>
      </c>
      <c r="D169" s="96"/>
      <c r="E169" s="97"/>
      <c r="F169" s="96"/>
      <c r="G169" s="96"/>
      <c r="H169" s="96"/>
      <c r="I169" s="96"/>
      <c r="J169" s="96"/>
      <c r="K169" s="96"/>
      <c r="L169" s="96"/>
      <c r="M169" s="96"/>
      <c r="N169" s="96"/>
      <c r="O169" s="96"/>
    </row>
    <row r="170" spans="1:15" hidden="1" x14ac:dyDescent="0.25">
      <c r="A170" s="95"/>
      <c r="B170" s="99" t="str">
        <f>IF(A170&lt;&gt;"",INDEX('Base de données'!A$4:L$990,MATCH(A170,'Base de données'!A$4:A$990,0),2),"")</f>
        <v/>
      </c>
      <c r="C170" s="100" t="str">
        <f>IF(A170&lt;&gt;"",INDEX('Base de données'!A$4:L$990,MATCH(A170,'Base de données'!A$4:A$990,0),12),"")</f>
        <v/>
      </c>
      <c r="D170" s="96"/>
      <c r="E170" s="97"/>
      <c r="F170" s="96"/>
      <c r="G170" s="96"/>
      <c r="H170" s="96"/>
      <c r="I170" s="96"/>
      <c r="J170" s="96"/>
      <c r="K170" s="96"/>
      <c r="L170" s="96"/>
      <c r="M170" s="96"/>
      <c r="N170" s="96"/>
      <c r="O170" s="96"/>
    </row>
    <row r="171" spans="1:15" hidden="1" x14ac:dyDescent="0.25">
      <c r="A171" s="95"/>
      <c r="B171" s="99" t="str">
        <f>IF(A171&lt;&gt;"",INDEX('Base de données'!A$4:L$990,MATCH(A171,'Base de données'!A$4:A$990,0),2),"")</f>
        <v/>
      </c>
      <c r="C171" s="100" t="str">
        <f>IF(A171&lt;&gt;"",INDEX('Base de données'!A$4:L$990,MATCH(A171,'Base de données'!A$4:A$990,0),12),"")</f>
        <v/>
      </c>
      <c r="D171" s="96"/>
      <c r="E171" s="97"/>
      <c r="F171" s="96"/>
      <c r="G171" s="96"/>
      <c r="H171" s="96"/>
      <c r="I171" s="96"/>
      <c r="J171" s="96"/>
      <c r="K171" s="96"/>
      <c r="L171" s="96"/>
      <c r="M171" s="96"/>
      <c r="N171" s="96"/>
      <c r="O171" s="96"/>
    </row>
    <row r="172" spans="1:15" hidden="1" x14ac:dyDescent="0.25">
      <c r="A172" s="95"/>
      <c r="B172" s="99" t="str">
        <f>IF(A172&lt;&gt;"",INDEX('Base de données'!A$4:L$990,MATCH(A172,'Base de données'!A$4:A$990,0),2),"")</f>
        <v/>
      </c>
      <c r="C172" s="100" t="str">
        <f>IF(A172&lt;&gt;"",INDEX('Base de données'!A$4:L$990,MATCH(A172,'Base de données'!A$4:A$990,0),12),"")</f>
        <v/>
      </c>
      <c r="D172" s="96"/>
      <c r="E172" s="97"/>
      <c r="F172" s="96"/>
      <c r="G172" s="96"/>
      <c r="H172" s="96"/>
      <c r="I172" s="96"/>
      <c r="J172" s="96"/>
      <c r="K172" s="96"/>
      <c r="L172" s="96"/>
      <c r="M172" s="96"/>
      <c r="N172" s="96"/>
      <c r="O172" s="96"/>
    </row>
    <row r="173" spans="1:15" hidden="1" x14ac:dyDescent="0.25">
      <c r="A173" s="95"/>
      <c r="B173" s="99" t="str">
        <f>IF(A173&lt;&gt;"",INDEX('Base de données'!A$4:L$990,MATCH(A173,'Base de données'!A$4:A$990,0),2),"")</f>
        <v/>
      </c>
      <c r="C173" s="100" t="str">
        <f>IF(A173&lt;&gt;"",INDEX('Base de données'!A$4:L$990,MATCH(A173,'Base de données'!A$4:A$990,0),12),"")</f>
        <v/>
      </c>
      <c r="D173" s="96"/>
      <c r="E173" s="97"/>
      <c r="F173" s="96"/>
      <c r="G173" s="96"/>
      <c r="H173" s="96"/>
      <c r="I173" s="96"/>
      <c r="J173" s="96"/>
      <c r="K173" s="96"/>
      <c r="L173" s="96"/>
      <c r="M173" s="96"/>
      <c r="N173" s="96"/>
      <c r="O173" s="96"/>
    </row>
    <row r="174" spans="1:15" hidden="1" x14ac:dyDescent="0.25">
      <c r="A174" s="95"/>
      <c r="B174" s="99" t="str">
        <f>IF(A174&lt;&gt;"",INDEX('Base de données'!A$4:L$990,MATCH(A174,'Base de données'!A$4:A$990,0),2),"")</f>
        <v/>
      </c>
      <c r="C174" s="100" t="str">
        <f>IF(A174&lt;&gt;"",INDEX('Base de données'!A$4:L$990,MATCH(A174,'Base de données'!A$4:A$990,0),12),"")</f>
        <v/>
      </c>
      <c r="D174" s="96"/>
      <c r="E174" s="97"/>
      <c r="F174" s="96"/>
      <c r="G174" s="96"/>
      <c r="H174" s="96"/>
      <c r="I174" s="96"/>
      <c r="J174" s="96"/>
      <c r="K174" s="96"/>
      <c r="L174" s="96"/>
      <c r="M174" s="96"/>
      <c r="N174" s="96"/>
      <c r="O174" s="96"/>
    </row>
    <row r="175" spans="1:15" hidden="1" x14ac:dyDescent="0.25">
      <c r="A175" s="95"/>
      <c r="B175" s="99" t="str">
        <f>IF(A175&lt;&gt;"",INDEX('Base de données'!A$4:L$990,MATCH(A175,'Base de données'!A$4:A$990,0),2),"")</f>
        <v/>
      </c>
      <c r="C175" s="100" t="str">
        <f>IF(A175&lt;&gt;"",INDEX('Base de données'!A$4:L$990,MATCH(A175,'Base de données'!A$4:A$990,0),12),"")</f>
        <v/>
      </c>
      <c r="D175" s="96"/>
      <c r="E175" s="97"/>
      <c r="F175" s="96"/>
      <c r="G175" s="96"/>
      <c r="H175" s="96"/>
      <c r="I175" s="96"/>
      <c r="J175" s="96"/>
      <c r="K175" s="96"/>
      <c r="L175" s="96"/>
      <c r="M175" s="96"/>
      <c r="N175" s="96"/>
      <c r="O175" s="96"/>
    </row>
    <row r="176" spans="1:15" hidden="1" x14ac:dyDescent="0.25">
      <c r="A176" s="95"/>
      <c r="B176" s="99" t="str">
        <f>IF(A176&lt;&gt;"",INDEX('Base de données'!A$4:L$990,MATCH(A176,'Base de données'!A$4:A$990,0),2),"")</f>
        <v/>
      </c>
      <c r="C176" s="100" t="str">
        <f>IF(A176&lt;&gt;"",INDEX('Base de données'!A$4:L$990,MATCH(A176,'Base de données'!A$4:A$990,0),12),"")</f>
        <v/>
      </c>
      <c r="D176" s="96"/>
      <c r="E176" s="97"/>
      <c r="F176" s="96"/>
      <c r="G176" s="96"/>
      <c r="H176" s="96"/>
      <c r="I176" s="96"/>
      <c r="J176" s="96"/>
      <c r="K176" s="96"/>
      <c r="L176" s="96"/>
      <c r="M176" s="96"/>
      <c r="N176" s="96"/>
      <c r="O176" s="96"/>
    </row>
    <row r="177" spans="1:15" hidden="1" x14ac:dyDescent="0.25">
      <c r="A177" s="95"/>
      <c r="B177" s="99" t="str">
        <f>IF(A177&lt;&gt;"",INDEX('Base de données'!A$4:L$990,MATCH(A177,'Base de données'!A$4:A$990,0),2),"")</f>
        <v/>
      </c>
      <c r="C177" s="100" t="str">
        <f>IF(A177&lt;&gt;"",INDEX('Base de données'!A$4:L$990,MATCH(A177,'Base de données'!A$4:A$990,0),12),"")</f>
        <v/>
      </c>
      <c r="D177" s="96"/>
      <c r="E177" s="97"/>
      <c r="F177" s="96"/>
      <c r="G177" s="96"/>
      <c r="H177" s="96"/>
      <c r="I177" s="96"/>
      <c r="J177" s="96"/>
      <c r="K177" s="96"/>
      <c r="L177" s="96"/>
      <c r="M177" s="96"/>
      <c r="N177" s="96"/>
      <c r="O177" s="96"/>
    </row>
    <row r="178" spans="1:15" hidden="1" x14ac:dyDescent="0.25">
      <c r="A178" s="95"/>
      <c r="B178" s="99" t="str">
        <f>IF(A178&lt;&gt;"",INDEX('Base de données'!A$4:L$990,MATCH(A178,'Base de données'!A$4:A$990,0),2),"")</f>
        <v/>
      </c>
      <c r="C178" s="100" t="str">
        <f>IF(A178&lt;&gt;"",INDEX('Base de données'!A$4:L$990,MATCH(A178,'Base de données'!A$4:A$990,0),12),"")</f>
        <v/>
      </c>
      <c r="D178" s="96"/>
      <c r="E178" s="97"/>
      <c r="F178" s="96"/>
      <c r="G178" s="96"/>
      <c r="H178" s="96"/>
      <c r="I178" s="96"/>
      <c r="J178" s="96"/>
      <c r="K178" s="96"/>
      <c r="L178" s="96"/>
      <c r="M178" s="96"/>
      <c r="N178" s="96"/>
      <c r="O178" s="96"/>
    </row>
    <row r="179" spans="1:15" hidden="1" x14ac:dyDescent="0.25">
      <c r="A179" s="95"/>
      <c r="B179" s="99" t="str">
        <f>IF(A179&lt;&gt;"",INDEX('Base de données'!A$4:L$990,MATCH(A179,'Base de données'!A$4:A$990,0),2),"")</f>
        <v/>
      </c>
      <c r="C179" s="100" t="str">
        <f>IF(A179&lt;&gt;"",INDEX('Base de données'!A$4:L$990,MATCH(A179,'Base de données'!A$4:A$990,0),12),"")</f>
        <v/>
      </c>
      <c r="D179" s="96"/>
      <c r="E179" s="97"/>
      <c r="F179" s="96"/>
      <c r="G179" s="96"/>
      <c r="H179" s="96"/>
      <c r="I179" s="96"/>
      <c r="J179" s="96"/>
      <c r="K179" s="96"/>
      <c r="L179" s="96"/>
      <c r="M179" s="96"/>
      <c r="N179" s="96"/>
      <c r="O179" s="96"/>
    </row>
    <row r="180" spans="1:15" hidden="1" x14ac:dyDescent="0.25">
      <c r="A180" s="95"/>
      <c r="B180" s="99" t="str">
        <f>IF(A180&lt;&gt;"",INDEX('Base de données'!A$4:L$990,MATCH(A180,'Base de données'!A$4:A$990,0),2),"")</f>
        <v/>
      </c>
      <c r="C180" s="100" t="str">
        <f>IF(A180&lt;&gt;"",INDEX('Base de données'!A$4:L$990,MATCH(A180,'Base de données'!A$4:A$990,0),12),"")</f>
        <v/>
      </c>
      <c r="D180" s="96"/>
      <c r="E180" s="97"/>
      <c r="F180" s="96"/>
      <c r="G180" s="96"/>
      <c r="H180" s="96"/>
      <c r="I180" s="96"/>
      <c r="J180" s="96"/>
      <c r="K180" s="96"/>
      <c r="L180" s="96"/>
      <c r="M180" s="96"/>
      <c r="N180" s="96"/>
      <c r="O180" s="96"/>
    </row>
    <row r="181" spans="1:15" hidden="1" x14ac:dyDescent="0.25">
      <c r="A181" s="95"/>
      <c r="B181" s="99" t="str">
        <f>IF(A181&lt;&gt;"",INDEX('Base de données'!A$4:L$990,MATCH(A181,'Base de données'!A$4:A$990,0),2),"")</f>
        <v/>
      </c>
      <c r="C181" s="100" t="str">
        <f>IF(A181&lt;&gt;"",INDEX('Base de données'!A$4:L$990,MATCH(A181,'Base de données'!A$4:A$990,0),12),"")</f>
        <v/>
      </c>
      <c r="D181" s="96"/>
      <c r="E181" s="97"/>
      <c r="F181" s="96"/>
      <c r="G181" s="96"/>
      <c r="H181" s="96"/>
      <c r="I181" s="96"/>
      <c r="J181" s="96"/>
      <c r="K181" s="96"/>
      <c r="L181" s="96"/>
      <c r="M181" s="96"/>
      <c r="N181" s="96"/>
      <c r="O181" s="96"/>
    </row>
    <row r="182" spans="1:15" hidden="1" x14ac:dyDescent="0.25">
      <c r="A182" s="95"/>
      <c r="B182" s="99" t="str">
        <f>IF(A182&lt;&gt;"",INDEX('Base de données'!A$4:L$990,MATCH(A182,'Base de données'!A$4:A$990,0),2),"")</f>
        <v/>
      </c>
      <c r="C182" s="100" t="str">
        <f>IF(A182&lt;&gt;"",INDEX('Base de données'!A$4:L$990,MATCH(A182,'Base de données'!A$4:A$990,0),12),"")</f>
        <v/>
      </c>
      <c r="D182" s="96"/>
      <c r="E182" s="97"/>
      <c r="F182" s="96"/>
      <c r="G182" s="96"/>
      <c r="H182" s="96"/>
      <c r="I182" s="96"/>
      <c r="J182" s="96"/>
      <c r="K182" s="96"/>
      <c r="L182" s="96"/>
      <c r="M182" s="96"/>
      <c r="N182" s="96"/>
      <c r="O182" s="96"/>
    </row>
    <row r="183" spans="1:15" hidden="1" x14ac:dyDescent="0.25">
      <c r="A183" s="95"/>
      <c r="B183" s="99" t="str">
        <f>IF(A183&lt;&gt;"",INDEX('Base de données'!A$4:L$990,MATCH(A183,'Base de données'!A$4:A$990,0),2),"")</f>
        <v/>
      </c>
      <c r="C183" s="100" t="str">
        <f>IF(A183&lt;&gt;"",INDEX('Base de données'!A$4:L$990,MATCH(A183,'Base de données'!A$4:A$990,0),12),"")</f>
        <v/>
      </c>
      <c r="D183" s="96"/>
      <c r="E183" s="97"/>
      <c r="F183" s="96"/>
      <c r="G183" s="96"/>
      <c r="H183" s="96"/>
      <c r="I183" s="96"/>
      <c r="J183" s="96"/>
      <c r="K183" s="96"/>
      <c r="L183" s="96"/>
      <c r="M183" s="96"/>
      <c r="N183" s="96"/>
      <c r="O183" s="96"/>
    </row>
    <row r="184" spans="1:15" hidden="1" x14ac:dyDescent="0.25">
      <c r="A184" s="95"/>
      <c r="B184" s="99" t="str">
        <f>IF(A184&lt;&gt;"",INDEX('Base de données'!A$4:L$990,MATCH(A184,'Base de données'!A$4:A$990,0),2),"")</f>
        <v/>
      </c>
      <c r="C184" s="100" t="str">
        <f>IF(A184&lt;&gt;"",INDEX('Base de données'!A$4:L$990,MATCH(A184,'Base de données'!A$4:A$990,0),12),"")</f>
        <v/>
      </c>
      <c r="D184" s="96"/>
      <c r="E184" s="97"/>
      <c r="F184" s="96"/>
      <c r="G184" s="96"/>
      <c r="H184" s="96"/>
      <c r="I184" s="96"/>
      <c r="J184" s="96"/>
      <c r="K184" s="96"/>
      <c r="L184" s="96"/>
      <c r="M184" s="96"/>
      <c r="N184" s="96"/>
      <c r="O184" s="96"/>
    </row>
    <row r="185" spans="1:15" hidden="1" x14ac:dyDescent="0.25">
      <c r="A185" s="95"/>
      <c r="B185" s="99" t="str">
        <f>IF(A185&lt;&gt;"",INDEX('Base de données'!A$4:L$990,MATCH(A185,'Base de données'!A$4:A$990,0),2),"")</f>
        <v/>
      </c>
      <c r="C185" s="100" t="str">
        <f>IF(A185&lt;&gt;"",INDEX('Base de données'!A$4:L$990,MATCH(A185,'Base de données'!A$4:A$990,0),12),"")</f>
        <v/>
      </c>
      <c r="D185" s="96"/>
      <c r="E185" s="97"/>
      <c r="F185" s="96"/>
      <c r="G185" s="96"/>
      <c r="H185" s="96"/>
      <c r="I185" s="96"/>
      <c r="J185" s="96"/>
      <c r="K185" s="96"/>
      <c r="L185" s="96"/>
      <c r="M185" s="96"/>
      <c r="N185" s="96"/>
      <c r="O185" s="96"/>
    </row>
    <row r="186" spans="1:15" hidden="1" x14ac:dyDescent="0.25">
      <c r="A186" s="95"/>
      <c r="B186" s="99" t="str">
        <f>IF(A186&lt;&gt;"",INDEX('Base de données'!A$4:L$990,MATCH(A186,'Base de données'!A$4:A$990,0),2),"")</f>
        <v/>
      </c>
      <c r="C186" s="100" t="str">
        <f>IF(A186&lt;&gt;"",INDEX('Base de données'!A$4:L$990,MATCH(A186,'Base de données'!A$4:A$990,0),12),"")</f>
        <v/>
      </c>
      <c r="D186" s="96"/>
      <c r="E186" s="97"/>
      <c r="F186" s="96"/>
      <c r="G186" s="96"/>
      <c r="H186" s="96"/>
      <c r="I186" s="96"/>
      <c r="J186" s="96"/>
      <c r="K186" s="96"/>
      <c r="L186" s="96"/>
      <c r="M186" s="96"/>
      <c r="N186" s="96"/>
      <c r="O186" s="96"/>
    </row>
    <row r="187" spans="1:15" hidden="1" x14ac:dyDescent="0.25">
      <c r="A187" s="95"/>
      <c r="B187" s="99" t="str">
        <f>IF(A187&lt;&gt;"",INDEX('Base de données'!A$4:L$990,MATCH(A187,'Base de données'!A$4:A$990,0),2),"")</f>
        <v/>
      </c>
      <c r="C187" s="100" t="str">
        <f>IF(A187&lt;&gt;"",INDEX('Base de données'!A$4:L$990,MATCH(A187,'Base de données'!A$4:A$990,0),12),"")</f>
        <v/>
      </c>
      <c r="D187" s="96"/>
      <c r="E187" s="97"/>
      <c r="F187" s="96"/>
      <c r="G187" s="96"/>
      <c r="H187" s="96"/>
      <c r="I187" s="96"/>
      <c r="J187" s="96"/>
      <c r="K187" s="96"/>
      <c r="L187" s="96"/>
      <c r="M187" s="96"/>
      <c r="N187" s="96"/>
      <c r="O187" s="96"/>
    </row>
    <row r="188" spans="1:15" hidden="1" x14ac:dyDescent="0.25">
      <c r="A188" s="95"/>
      <c r="B188" s="99" t="str">
        <f>IF(A188&lt;&gt;"",INDEX('Base de données'!A$4:L$990,MATCH(A188,'Base de données'!A$4:A$990,0),2),"")</f>
        <v/>
      </c>
      <c r="C188" s="100" t="str">
        <f>IF(A188&lt;&gt;"",INDEX('Base de données'!A$4:L$990,MATCH(A188,'Base de données'!A$4:A$990,0),12),"")</f>
        <v/>
      </c>
      <c r="D188" s="96"/>
      <c r="E188" s="97"/>
      <c r="F188" s="96"/>
      <c r="G188" s="96"/>
      <c r="H188" s="96"/>
      <c r="I188" s="96"/>
      <c r="J188" s="96"/>
      <c r="K188" s="96"/>
      <c r="L188" s="96"/>
      <c r="M188" s="96"/>
      <c r="N188" s="96"/>
      <c r="O188" s="96"/>
    </row>
    <row r="189" spans="1:15" hidden="1" x14ac:dyDescent="0.25">
      <c r="A189" s="95"/>
      <c r="B189" s="99" t="str">
        <f>IF(A189&lt;&gt;"",INDEX('Base de données'!A$4:L$990,MATCH(A189,'Base de données'!A$4:A$990,0),2),"")</f>
        <v/>
      </c>
      <c r="C189" s="100" t="str">
        <f>IF(A189&lt;&gt;"",INDEX('Base de données'!A$4:L$990,MATCH(A189,'Base de données'!A$4:A$990,0),12),"")</f>
        <v/>
      </c>
      <c r="D189" s="96"/>
      <c r="E189" s="97"/>
      <c r="F189" s="96"/>
      <c r="G189" s="96"/>
      <c r="H189" s="96"/>
      <c r="I189" s="96"/>
      <c r="J189" s="96"/>
      <c r="K189" s="96"/>
      <c r="L189" s="96"/>
      <c r="M189" s="96"/>
      <c r="N189" s="96"/>
      <c r="O189" s="96"/>
    </row>
    <row r="190" spans="1:15" hidden="1" x14ac:dyDescent="0.25">
      <c r="A190" s="95"/>
      <c r="B190" s="99" t="str">
        <f>IF(A190&lt;&gt;"",INDEX('Base de données'!A$4:L$990,MATCH(A190,'Base de données'!A$4:A$990,0),2),"")</f>
        <v/>
      </c>
      <c r="C190" s="100" t="str">
        <f>IF(A190&lt;&gt;"",INDEX('Base de données'!A$4:L$990,MATCH(A190,'Base de données'!A$4:A$990,0),12),"")</f>
        <v/>
      </c>
      <c r="D190" s="96"/>
      <c r="E190" s="97"/>
      <c r="F190" s="96"/>
      <c r="G190" s="96"/>
      <c r="H190" s="96"/>
      <c r="I190" s="96"/>
      <c r="J190" s="96"/>
      <c r="K190" s="96"/>
      <c r="L190" s="96"/>
      <c r="M190" s="96"/>
      <c r="N190" s="96"/>
      <c r="O190" s="96"/>
    </row>
    <row r="191" spans="1:15" hidden="1" x14ac:dyDescent="0.25">
      <c r="A191" s="95"/>
      <c r="B191" s="99" t="str">
        <f>IF(A191&lt;&gt;"",INDEX('Base de données'!A$4:L$990,MATCH(A191,'Base de données'!A$4:A$990,0),2),"")</f>
        <v/>
      </c>
      <c r="C191" s="100" t="str">
        <f>IF(A191&lt;&gt;"",INDEX('Base de données'!A$4:L$990,MATCH(A191,'Base de données'!A$4:A$990,0),12),"")</f>
        <v/>
      </c>
      <c r="D191" s="96"/>
      <c r="E191" s="97"/>
      <c r="F191" s="96"/>
      <c r="G191" s="96"/>
      <c r="H191" s="96"/>
      <c r="I191" s="96"/>
      <c r="J191" s="96"/>
      <c r="K191" s="96"/>
      <c r="L191" s="96"/>
      <c r="M191" s="96"/>
      <c r="N191" s="96"/>
      <c r="O191" s="96"/>
    </row>
    <row r="192" spans="1:15" hidden="1" x14ac:dyDescent="0.25">
      <c r="A192" s="95"/>
      <c r="B192" s="99" t="str">
        <f>IF(A192&lt;&gt;"",INDEX('Base de données'!A$4:L$990,MATCH(A192,'Base de données'!A$4:A$990,0),2),"")</f>
        <v/>
      </c>
      <c r="C192" s="100" t="str">
        <f>IF(A192&lt;&gt;"",INDEX('Base de données'!A$4:L$990,MATCH(A192,'Base de données'!A$4:A$990,0),12),"")</f>
        <v/>
      </c>
      <c r="D192" s="96"/>
      <c r="E192" s="97"/>
      <c r="F192" s="96"/>
      <c r="G192" s="96"/>
      <c r="H192" s="96"/>
      <c r="I192" s="96"/>
      <c r="J192" s="96"/>
      <c r="K192" s="96"/>
      <c r="L192" s="96"/>
      <c r="M192" s="96"/>
      <c r="N192" s="96"/>
      <c r="O192" s="96"/>
    </row>
    <row r="193" spans="1:15" hidden="1" x14ac:dyDescent="0.25">
      <c r="A193" s="95"/>
      <c r="B193" s="99" t="str">
        <f>IF(A193&lt;&gt;"",INDEX('Base de données'!A$4:L$990,MATCH(A193,'Base de données'!A$4:A$990,0),2),"")</f>
        <v/>
      </c>
      <c r="C193" s="100" t="str">
        <f>IF(A193&lt;&gt;"",INDEX('Base de données'!A$4:L$990,MATCH(A193,'Base de données'!A$4:A$990,0),12),"")</f>
        <v/>
      </c>
      <c r="D193" s="96"/>
      <c r="E193" s="97"/>
      <c r="F193" s="96"/>
      <c r="G193" s="96"/>
      <c r="H193" s="96"/>
      <c r="I193" s="96"/>
      <c r="J193" s="96"/>
      <c r="K193" s="96"/>
      <c r="L193" s="96"/>
      <c r="M193" s="96"/>
      <c r="N193" s="96"/>
      <c r="O193" s="96"/>
    </row>
    <row r="194" spans="1:15" hidden="1" x14ac:dyDescent="0.25">
      <c r="A194" s="95"/>
      <c r="B194" s="99" t="str">
        <f>IF(A194&lt;&gt;"",INDEX('Base de données'!A$4:L$990,MATCH(A194,'Base de données'!A$4:A$990,0),2),"")</f>
        <v/>
      </c>
      <c r="C194" s="100" t="str">
        <f>IF(A194&lt;&gt;"",INDEX('Base de données'!A$4:L$990,MATCH(A194,'Base de données'!A$4:A$990,0),12),"")</f>
        <v/>
      </c>
      <c r="D194" s="96"/>
      <c r="E194" s="97"/>
      <c r="F194" s="96"/>
      <c r="G194" s="96"/>
      <c r="H194" s="96"/>
      <c r="I194" s="96"/>
      <c r="J194" s="96"/>
      <c r="K194" s="96"/>
      <c r="L194" s="96"/>
      <c r="M194" s="96"/>
      <c r="N194" s="96"/>
      <c r="O194" s="96"/>
    </row>
    <row r="195" spans="1:15" hidden="1" x14ac:dyDescent="0.25">
      <c r="A195" s="95"/>
      <c r="B195" s="99" t="str">
        <f>IF(A195&lt;&gt;"",INDEX('Base de données'!A$4:L$990,MATCH(A195,'Base de données'!A$4:A$990,0),2),"")</f>
        <v/>
      </c>
      <c r="C195" s="100" t="str">
        <f>IF(A195&lt;&gt;"",INDEX('Base de données'!A$4:L$990,MATCH(A195,'Base de données'!A$4:A$990,0),12),"")</f>
        <v/>
      </c>
      <c r="D195" s="96"/>
      <c r="E195" s="97"/>
      <c r="F195" s="96"/>
      <c r="G195" s="96"/>
      <c r="H195" s="96"/>
      <c r="I195" s="96"/>
      <c r="J195" s="96"/>
      <c r="K195" s="96"/>
      <c r="L195" s="96"/>
      <c r="M195" s="96"/>
      <c r="N195" s="96"/>
      <c r="O195" s="96"/>
    </row>
    <row r="196" spans="1:15" hidden="1" x14ac:dyDescent="0.25">
      <c r="A196" s="95"/>
      <c r="B196" s="99" t="str">
        <f>IF(A196&lt;&gt;"",INDEX('Base de données'!A$4:L$990,MATCH(A196,'Base de données'!A$4:A$990,0),2),"")</f>
        <v/>
      </c>
      <c r="C196" s="100" t="str">
        <f>IF(A196&lt;&gt;"",INDEX('Base de données'!A$4:L$990,MATCH(A196,'Base de données'!A$4:A$990,0),12),"")</f>
        <v/>
      </c>
      <c r="D196" s="96"/>
      <c r="E196" s="97"/>
      <c r="F196" s="96"/>
      <c r="G196" s="96"/>
      <c r="H196" s="96"/>
      <c r="I196" s="96"/>
      <c r="J196" s="96"/>
      <c r="K196" s="96"/>
      <c r="L196" s="96"/>
      <c r="M196" s="96"/>
      <c r="N196" s="96"/>
      <c r="O196" s="96"/>
    </row>
    <row r="197" spans="1:15" hidden="1" x14ac:dyDescent="0.25">
      <c r="A197" s="95"/>
      <c r="B197" s="99" t="str">
        <f>IF(A197&lt;&gt;"",INDEX('Base de données'!A$4:L$990,MATCH(A197,'Base de données'!A$4:A$990,0),2),"")</f>
        <v/>
      </c>
      <c r="C197" s="100" t="str">
        <f>IF(A197&lt;&gt;"",INDEX('Base de données'!A$4:L$990,MATCH(A197,'Base de données'!A$4:A$990,0),12),"")</f>
        <v/>
      </c>
      <c r="D197" s="96"/>
      <c r="E197" s="97"/>
      <c r="F197" s="96"/>
      <c r="G197" s="96"/>
      <c r="H197" s="96"/>
      <c r="I197" s="96"/>
      <c r="J197" s="96"/>
      <c r="K197" s="96"/>
      <c r="L197" s="96"/>
      <c r="M197" s="96"/>
      <c r="N197" s="96"/>
      <c r="O197" s="96"/>
    </row>
    <row r="198" spans="1:15" hidden="1" x14ac:dyDescent="0.25">
      <c r="A198" s="95"/>
      <c r="B198" s="99" t="str">
        <f>IF(A198&lt;&gt;"",INDEX('Base de données'!A$4:L$990,MATCH(A198,'Base de données'!A$4:A$990,0),2),"")</f>
        <v/>
      </c>
      <c r="C198" s="100" t="str">
        <f>IF(A198&lt;&gt;"",INDEX('Base de données'!A$4:L$990,MATCH(A198,'Base de données'!A$4:A$990,0),12),"")</f>
        <v/>
      </c>
      <c r="D198" s="96"/>
      <c r="E198" s="97"/>
      <c r="F198" s="96"/>
      <c r="G198" s="96"/>
      <c r="H198" s="96"/>
      <c r="I198" s="96"/>
      <c r="J198" s="96"/>
      <c r="K198" s="96"/>
      <c r="L198" s="96"/>
      <c r="M198" s="96"/>
      <c r="N198" s="96"/>
      <c r="O198" s="96"/>
    </row>
    <row r="199" spans="1:15" hidden="1" x14ac:dyDescent="0.25">
      <c r="A199" s="95"/>
      <c r="B199" s="99" t="str">
        <f>IF(A199&lt;&gt;"",INDEX('Base de données'!A$4:L$990,MATCH(A199,'Base de données'!A$4:A$990,0),2),"")</f>
        <v/>
      </c>
      <c r="C199" s="100" t="str">
        <f>IF(A199&lt;&gt;"",INDEX('Base de données'!A$4:L$990,MATCH(A199,'Base de données'!A$4:A$990,0),12),"")</f>
        <v/>
      </c>
      <c r="D199" s="96"/>
      <c r="E199" s="97"/>
      <c r="F199" s="96"/>
      <c r="G199" s="96"/>
      <c r="H199" s="96"/>
      <c r="I199" s="96"/>
      <c r="J199" s="96"/>
      <c r="K199" s="96"/>
      <c r="L199" s="96"/>
      <c r="M199" s="96"/>
      <c r="N199" s="96"/>
      <c r="O199" s="96"/>
    </row>
    <row r="200" spans="1:15" hidden="1" x14ac:dyDescent="0.25">
      <c r="A200" s="95"/>
      <c r="B200" s="99" t="str">
        <f>IF(A200&lt;&gt;"",INDEX('Base de données'!A$4:L$990,MATCH(A200,'Base de données'!A$4:A$990,0),2),"")</f>
        <v/>
      </c>
      <c r="C200" s="100" t="str">
        <f>IF(A200&lt;&gt;"",INDEX('Base de données'!A$4:L$990,MATCH(A200,'Base de données'!A$4:A$990,0),12),"")</f>
        <v/>
      </c>
      <c r="D200" s="96"/>
      <c r="E200" s="97"/>
      <c r="F200" s="96"/>
      <c r="G200" s="96"/>
      <c r="H200" s="96"/>
      <c r="I200" s="96"/>
      <c r="J200" s="96"/>
      <c r="K200" s="96"/>
      <c r="L200" s="96"/>
      <c r="M200" s="96"/>
      <c r="N200" s="96"/>
      <c r="O200" s="96"/>
    </row>
    <row r="201" spans="1:15" hidden="1" x14ac:dyDescent="0.25">
      <c r="A201" s="95"/>
      <c r="B201" s="99" t="str">
        <f>IF(A201&lt;&gt;"",INDEX('Base de données'!A$4:L$990,MATCH(A201,'Base de données'!A$4:A$990,0),2),"")</f>
        <v/>
      </c>
      <c r="C201" s="100" t="str">
        <f>IF(A201&lt;&gt;"",INDEX('Base de données'!A$4:L$990,MATCH(A201,'Base de données'!A$4:A$990,0),12),"")</f>
        <v/>
      </c>
      <c r="D201" s="96"/>
      <c r="E201" s="97"/>
      <c r="F201" s="96"/>
      <c r="G201" s="96"/>
      <c r="H201" s="96"/>
      <c r="I201" s="96"/>
      <c r="J201" s="96"/>
      <c r="K201" s="96"/>
      <c r="L201" s="96"/>
      <c r="M201" s="96"/>
      <c r="N201" s="96"/>
      <c r="O201" s="96"/>
    </row>
    <row r="202" spans="1:15" hidden="1" x14ac:dyDescent="0.25">
      <c r="A202" s="95"/>
      <c r="B202" s="99" t="str">
        <f>IF(A202&lt;&gt;"",INDEX('Base de données'!A$4:L$990,MATCH(A202,'Base de données'!A$4:A$990,0),2),"")</f>
        <v/>
      </c>
      <c r="C202" s="100" t="str">
        <f>IF(A202&lt;&gt;"",INDEX('Base de données'!A$4:L$990,MATCH(A202,'Base de données'!A$4:A$990,0),12),"")</f>
        <v/>
      </c>
      <c r="D202" s="96"/>
      <c r="E202" s="97"/>
      <c r="F202" s="96"/>
      <c r="G202" s="96"/>
      <c r="H202" s="96"/>
      <c r="I202" s="96"/>
      <c r="J202" s="96"/>
      <c r="K202" s="96"/>
      <c r="L202" s="96"/>
      <c r="M202" s="96"/>
      <c r="N202" s="96"/>
      <c r="O202" s="96"/>
    </row>
    <row r="203" spans="1:15" hidden="1" x14ac:dyDescent="0.25">
      <c r="A203" s="95"/>
      <c r="B203" s="99" t="str">
        <f>IF(A203&lt;&gt;"",INDEX('Base de données'!A$4:L$990,MATCH(A203,'Base de données'!A$4:A$990,0),2),"")</f>
        <v/>
      </c>
      <c r="C203" s="100" t="str">
        <f>IF(A203&lt;&gt;"",INDEX('Base de données'!A$4:L$990,MATCH(A203,'Base de données'!A$4:A$990,0),12),"")</f>
        <v/>
      </c>
      <c r="D203" s="96"/>
      <c r="E203" s="97"/>
      <c r="F203" s="96"/>
      <c r="G203" s="96"/>
      <c r="H203" s="96"/>
      <c r="I203" s="96"/>
      <c r="J203" s="96"/>
      <c r="K203" s="96"/>
      <c r="L203" s="96"/>
      <c r="M203" s="96"/>
      <c r="N203" s="96"/>
      <c r="O203" s="96"/>
    </row>
    <row r="204" spans="1:15" hidden="1" x14ac:dyDescent="0.25">
      <c r="A204" s="95"/>
      <c r="B204" s="99" t="str">
        <f>IF(A204&lt;&gt;"",INDEX('Base de données'!A$4:L$990,MATCH(A204,'Base de données'!A$4:A$990,0),2),"")</f>
        <v/>
      </c>
      <c r="C204" s="100" t="str">
        <f>IF(A204&lt;&gt;"",INDEX('Base de données'!A$4:L$990,MATCH(A204,'Base de données'!A$4:A$990,0),12),"")</f>
        <v/>
      </c>
      <c r="D204" s="96"/>
      <c r="E204" s="97"/>
      <c r="F204" s="96"/>
      <c r="G204" s="96"/>
      <c r="H204" s="96"/>
      <c r="I204" s="96"/>
      <c r="J204" s="96"/>
      <c r="K204" s="96"/>
      <c r="L204" s="96"/>
      <c r="M204" s="96"/>
      <c r="N204" s="96"/>
      <c r="O204" s="96"/>
    </row>
    <row r="205" spans="1:15" hidden="1" x14ac:dyDescent="0.25">
      <c r="A205" s="95"/>
      <c r="B205" s="99" t="str">
        <f>IF(A205&lt;&gt;"",INDEX('Base de données'!A$4:L$990,MATCH(A205,'Base de données'!A$4:A$990,0),2),"")</f>
        <v/>
      </c>
      <c r="C205" s="100" t="str">
        <f>IF(A205&lt;&gt;"",INDEX('Base de données'!A$4:L$990,MATCH(A205,'Base de données'!A$4:A$990,0),12),"")</f>
        <v/>
      </c>
      <c r="D205" s="96"/>
      <c r="E205" s="97"/>
      <c r="F205" s="96"/>
      <c r="G205" s="96"/>
      <c r="H205" s="96"/>
      <c r="I205" s="96"/>
      <c r="J205" s="96"/>
      <c r="K205" s="96"/>
      <c r="L205" s="96"/>
      <c r="M205" s="96"/>
      <c r="N205" s="96"/>
      <c r="O205" s="96"/>
    </row>
    <row r="206" spans="1:15" hidden="1" x14ac:dyDescent="0.25">
      <c r="A206" s="95"/>
      <c r="B206" s="99" t="str">
        <f>IF(A206&lt;&gt;"",INDEX('Base de données'!A$4:L$990,MATCH(A206,'Base de données'!A$4:A$990,0),2),"")</f>
        <v/>
      </c>
      <c r="C206" s="100" t="str">
        <f>IF(A206&lt;&gt;"",INDEX('Base de données'!A$4:L$990,MATCH(A206,'Base de données'!A$4:A$990,0),12),"")</f>
        <v/>
      </c>
      <c r="D206" s="96"/>
      <c r="E206" s="97"/>
      <c r="F206" s="96"/>
      <c r="G206" s="96"/>
      <c r="H206" s="96"/>
      <c r="I206" s="96"/>
      <c r="J206" s="96"/>
      <c r="K206" s="96"/>
      <c r="L206" s="96"/>
      <c r="M206" s="96"/>
      <c r="N206" s="96"/>
      <c r="O206" s="96"/>
    </row>
    <row r="207" spans="1:15" hidden="1" x14ac:dyDescent="0.25">
      <c r="A207" s="95"/>
      <c r="B207" s="99" t="str">
        <f>IF(A207&lt;&gt;"",INDEX('Base de données'!A$4:L$990,MATCH(A207,'Base de données'!A$4:A$990,0),2),"")</f>
        <v/>
      </c>
      <c r="C207" s="100" t="str">
        <f>IF(A207&lt;&gt;"",INDEX('Base de données'!A$4:L$990,MATCH(A207,'Base de données'!A$4:A$990,0),12),"")</f>
        <v/>
      </c>
      <c r="D207" s="96"/>
      <c r="E207" s="97"/>
      <c r="F207" s="96"/>
      <c r="G207" s="96"/>
      <c r="H207" s="96"/>
      <c r="I207" s="96"/>
      <c r="J207" s="96"/>
      <c r="K207" s="96"/>
      <c r="L207" s="96"/>
      <c r="M207" s="96"/>
      <c r="N207" s="96"/>
      <c r="O207" s="96"/>
    </row>
    <row r="208" spans="1:15" hidden="1" x14ac:dyDescent="0.25">
      <c r="A208" s="95"/>
      <c r="B208" s="99" t="str">
        <f>IF(A208&lt;&gt;"",INDEX('Base de données'!A$4:L$990,MATCH(A208,'Base de données'!A$4:A$990,0),2),"")</f>
        <v/>
      </c>
      <c r="C208" s="100" t="str">
        <f>IF(A208&lt;&gt;"",INDEX('Base de données'!A$4:L$990,MATCH(A208,'Base de données'!A$4:A$990,0),12),"")</f>
        <v/>
      </c>
      <c r="D208" s="96"/>
      <c r="E208" s="97"/>
      <c r="F208" s="96"/>
      <c r="G208" s="96"/>
      <c r="H208" s="96"/>
      <c r="I208" s="96"/>
      <c r="J208" s="96"/>
      <c r="K208" s="96"/>
      <c r="L208" s="96"/>
      <c r="M208" s="96"/>
      <c r="N208" s="96"/>
      <c r="O208" s="96"/>
    </row>
    <row r="209" spans="1:15" hidden="1" x14ac:dyDescent="0.25">
      <c r="A209" s="95"/>
      <c r="B209" s="99" t="str">
        <f>IF(A209&lt;&gt;"",INDEX('Base de données'!A$4:L$990,MATCH(A209,'Base de données'!A$4:A$990,0),2),"")</f>
        <v/>
      </c>
      <c r="C209" s="100" t="str">
        <f>IF(A209&lt;&gt;"",INDEX('Base de données'!A$4:L$990,MATCH(A209,'Base de données'!A$4:A$990,0),12),"")</f>
        <v/>
      </c>
      <c r="D209" s="96"/>
      <c r="E209" s="97"/>
      <c r="F209" s="96"/>
      <c r="G209" s="96"/>
      <c r="H209" s="96"/>
      <c r="I209" s="96"/>
      <c r="J209" s="96"/>
      <c r="K209" s="96"/>
      <c r="L209" s="96"/>
      <c r="M209" s="96"/>
      <c r="N209" s="96"/>
      <c r="O209" s="96"/>
    </row>
    <row r="210" spans="1:15" hidden="1" x14ac:dyDescent="0.25">
      <c r="A210" s="95"/>
      <c r="B210" s="99" t="str">
        <f>IF(A210&lt;&gt;"",INDEX('Base de données'!A$4:L$990,MATCH(A210,'Base de données'!A$4:A$990,0),2),"")</f>
        <v/>
      </c>
      <c r="C210" s="100" t="str">
        <f>IF(A210&lt;&gt;"",INDEX('Base de données'!A$4:L$990,MATCH(A210,'Base de données'!A$4:A$990,0),12),"")</f>
        <v/>
      </c>
      <c r="D210" s="96"/>
      <c r="E210" s="97"/>
      <c r="F210" s="96"/>
      <c r="G210" s="96"/>
      <c r="H210" s="96"/>
      <c r="I210" s="96"/>
      <c r="J210" s="96"/>
      <c r="K210" s="96"/>
      <c r="L210" s="96"/>
      <c r="M210" s="96"/>
      <c r="N210" s="96"/>
      <c r="O210" s="96"/>
    </row>
    <row r="211" spans="1:15" hidden="1" x14ac:dyDescent="0.25">
      <c r="A211" s="95"/>
      <c r="B211" s="99" t="str">
        <f>IF(A211&lt;&gt;"",INDEX('Base de données'!A$4:L$990,MATCH(A211,'Base de données'!A$4:A$990,0),2),"")</f>
        <v/>
      </c>
      <c r="C211" s="100" t="str">
        <f>IF(A211&lt;&gt;"",INDEX('Base de données'!A$4:L$990,MATCH(A211,'Base de données'!A$4:A$990,0),12),"")</f>
        <v/>
      </c>
      <c r="D211" s="96"/>
      <c r="E211" s="97"/>
      <c r="F211" s="96"/>
      <c r="G211" s="96"/>
      <c r="H211" s="96"/>
      <c r="I211" s="96"/>
      <c r="J211" s="96"/>
      <c r="K211" s="96"/>
      <c r="L211" s="96"/>
      <c r="M211" s="96"/>
      <c r="N211" s="96"/>
      <c r="O211" s="96"/>
    </row>
    <row r="212" spans="1:15" hidden="1" x14ac:dyDescent="0.25">
      <c r="A212" s="95"/>
      <c r="B212" s="99" t="str">
        <f>IF(A212&lt;&gt;"",INDEX('Base de données'!A$4:L$990,MATCH(A212,'Base de données'!A$4:A$990,0),2),"")</f>
        <v/>
      </c>
      <c r="C212" s="100" t="str">
        <f>IF(A212&lt;&gt;"",INDEX('Base de données'!A$4:L$990,MATCH(A212,'Base de données'!A$4:A$990,0),12),"")</f>
        <v/>
      </c>
      <c r="D212" s="96"/>
      <c r="E212" s="97"/>
      <c r="F212" s="96"/>
      <c r="G212" s="96"/>
      <c r="H212" s="96"/>
      <c r="I212" s="96"/>
      <c r="J212" s="96"/>
      <c r="K212" s="96"/>
      <c r="L212" s="96"/>
      <c r="M212" s="96"/>
      <c r="N212" s="96"/>
      <c r="O212" s="96"/>
    </row>
    <row r="213" spans="1:15" hidden="1" x14ac:dyDescent="0.25">
      <c r="A213" s="95"/>
      <c r="B213" s="99" t="str">
        <f>IF(A213&lt;&gt;"",INDEX('Base de données'!A$4:L$990,MATCH(A213,'Base de données'!A$4:A$990,0),2),"")</f>
        <v/>
      </c>
      <c r="C213" s="100" t="str">
        <f>IF(A213&lt;&gt;"",INDEX('Base de données'!A$4:L$990,MATCH(A213,'Base de données'!A$4:A$990,0),12),"")</f>
        <v/>
      </c>
      <c r="D213" s="96"/>
      <c r="E213" s="97"/>
      <c r="F213" s="96"/>
      <c r="G213" s="96"/>
      <c r="H213" s="96"/>
      <c r="I213" s="96"/>
      <c r="J213" s="96"/>
      <c r="K213" s="96"/>
      <c r="L213" s="96"/>
      <c r="M213" s="96"/>
      <c r="N213" s="96"/>
      <c r="O213" s="96"/>
    </row>
    <row r="214" spans="1:15" hidden="1" x14ac:dyDescent="0.25">
      <c r="A214" s="95"/>
      <c r="B214" s="99" t="str">
        <f>IF(A214&lt;&gt;"",INDEX('Base de données'!A$4:L$990,MATCH(A214,'Base de données'!A$4:A$990,0),2),"")</f>
        <v/>
      </c>
      <c r="C214" s="100" t="str">
        <f>IF(A214&lt;&gt;"",INDEX('Base de données'!A$4:L$990,MATCH(A214,'Base de données'!A$4:A$990,0),12),"")</f>
        <v/>
      </c>
      <c r="D214" s="96"/>
      <c r="E214" s="97"/>
      <c r="F214" s="96"/>
      <c r="G214" s="96"/>
      <c r="H214" s="96"/>
      <c r="I214" s="96"/>
      <c r="J214" s="96"/>
      <c r="K214" s="96"/>
      <c r="L214" s="96"/>
      <c r="M214" s="96"/>
      <c r="N214" s="96"/>
      <c r="O214" s="96"/>
    </row>
    <row r="215" spans="1:15" hidden="1" x14ac:dyDescent="0.25">
      <c r="A215" s="95"/>
      <c r="B215" s="99" t="str">
        <f>IF(A215&lt;&gt;"",INDEX('Base de données'!A$4:L$990,MATCH(A215,'Base de données'!A$4:A$990,0),2),"")</f>
        <v/>
      </c>
      <c r="C215" s="100" t="str">
        <f>IF(A215&lt;&gt;"",INDEX('Base de données'!A$4:L$990,MATCH(A215,'Base de données'!A$4:A$990,0),12),"")</f>
        <v/>
      </c>
      <c r="D215" s="96"/>
      <c r="E215" s="97"/>
      <c r="F215" s="96"/>
      <c r="G215" s="96"/>
      <c r="H215" s="96"/>
      <c r="I215" s="96"/>
      <c r="J215" s="96"/>
      <c r="K215" s="96"/>
      <c r="L215" s="96"/>
      <c r="M215" s="96"/>
      <c r="N215" s="96"/>
      <c r="O215" s="96"/>
    </row>
    <row r="216" spans="1:15" hidden="1" x14ac:dyDescent="0.25">
      <c r="A216" s="95"/>
      <c r="B216" s="99" t="str">
        <f>IF(A216&lt;&gt;"",INDEX('Base de données'!A$4:L$990,MATCH(A216,'Base de données'!A$4:A$990,0),2),"")</f>
        <v/>
      </c>
      <c r="C216" s="100" t="str">
        <f>IF(A216&lt;&gt;"",INDEX('Base de données'!A$4:L$990,MATCH(A216,'Base de données'!A$4:A$990,0),12),"")</f>
        <v/>
      </c>
      <c r="D216" s="96"/>
      <c r="E216" s="97"/>
      <c r="F216" s="96"/>
      <c r="G216" s="96"/>
      <c r="H216" s="96"/>
      <c r="I216" s="96"/>
      <c r="J216" s="96"/>
      <c r="K216" s="96"/>
      <c r="L216" s="96"/>
      <c r="M216" s="96"/>
      <c r="N216" s="96"/>
      <c r="O216" s="96"/>
    </row>
    <row r="217" spans="1:15" hidden="1" x14ac:dyDescent="0.25">
      <c r="A217" s="95"/>
      <c r="B217" s="99" t="str">
        <f>IF(A217&lt;&gt;"",INDEX('Base de données'!A$4:L$990,MATCH(A217,'Base de données'!A$4:A$990,0),2),"")</f>
        <v/>
      </c>
      <c r="C217" s="100" t="str">
        <f>IF(A217&lt;&gt;"",INDEX('Base de données'!A$4:L$990,MATCH(A217,'Base de données'!A$4:A$990,0),12),"")</f>
        <v/>
      </c>
      <c r="D217" s="96"/>
      <c r="E217" s="97"/>
      <c r="F217" s="96"/>
      <c r="G217" s="96"/>
      <c r="H217" s="96"/>
      <c r="I217" s="96"/>
      <c r="J217" s="96"/>
      <c r="K217" s="96"/>
      <c r="L217" s="96"/>
      <c r="M217" s="96"/>
      <c r="N217" s="96"/>
      <c r="O217" s="96"/>
    </row>
    <row r="218" spans="1:15" hidden="1" x14ac:dyDescent="0.25">
      <c r="A218" s="95"/>
      <c r="B218" s="99" t="str">
        <f>IF(A218&lt;&gt;"",INDEX('Base de données'!A$4:L$990,MATCH(A218,'Base de données'!A$4:A$990,0),2),"")</f>
        <v/>
      </c>
      <c r="C218" s="100" t="str">
        <f>IF(A218&lt;&gt;"",INDEX('Base de données'!A$4:L$990,MATCH(A218,'Base de données'!A$4:A$990,0),12),"")</f>
        <v/>
      </c>
      <c r="D218" s="96"/>
      <c r="E218" s="97"/>
      <c r="F218" s="96"/>
      <c r="G218" s="96"/>
      <c r="H218" s="96"/>
      <c r="I218" s="96"/>
      <c r="J218" s="96"/>
      <c r="K218" s="96"/>
      <c r="L218" s="96"/>
      <c r="M218" s="96"/>
      <c r="N218" s="96"/>
      <c r="O218" s="96"/>
    </row>
    <row r="219" spans="1:15" hidden="1" x14ac:dyDescent="0.25">
      <c r="A219" s="95"/>
      <c r="B219" s="99" t="str">
        <f>IF(A219&lt;&gt;"",INDEX('Base de données'!A$4:L$990,MATCH(A219,'Base de données'!A$4:A$990,0),2),"")</f>
        <v/>
      </c>
      <c r="C219" s="100" t="str">
        <f>IF(A219&lt;&gt;"",INDEX('Base de données'!A$4:L$990,MATCH(A219,'Base de données'!A$4:A$990,0),12),"")</f>
        <v/>
      </c>
      <c r="D219" s="96"/>
      <c r="E219" s="97"/>
      <c r="F219" s="96"/>
      <c r="G219" s="96"/>
      <c r="H219" s="96"/>
      <c r="I219" s="96"/>
      <c r="J219" s="96"/>
      <c r="K219" s="96"/>
      <c r="L219" s="96"/>
      <c r="M219" s="96"/>
      <c r="N219" s="96"/>
      <c r="O219" s="96"/>
    </row>
    <row r="220" spans="1:15" hidden="1" x14ac:dyDescent="0.25">
      <c r="A220" s="95"/>
      <c r="B220" s="99" t="str">
        <f>IF(A220&lt;&gt;"",INDEX('Base de données'!A$4:L$990,MATCH(A220,'Base de données'!A$4:A$990,0),2),"")</f>
        <v/>
      </c>
      <c r="C220" s="100" t="str">
        <f>IF(A220&lt;&gt;"",INDEX('Base de données'!A$4:L$990,MATCH(A220,'Base de données'!A$4:A$990,0),12),"")</f>
        <v/>
      </c>
      <c r="D220" s="96"/>
      <c r="E220" s="97"/>
      <c r="F220" s="96"/>
      <c r="G220" s="96"/>
      <c r="H220" s="96"/>
      <c r="I220" s="96"/>
      <c r="J220" s="96"/>
      <c r="K220" s="96"/>
      <c r="L220" s="96"/>
      <c r="M220" s="96"/>
      <c r="N220" s="96"/>
      <c r="O220" s="96"/>
    </row>
    <row r="221" spans="1:15" hidden="1" x14ac:dyDescent="0.25">
      <c r="A221" s="95"/>
      <c r="B221" s="99" t="str">
        <f>IF(A221&lt;&gt;"",INDEX('Base de données'!A$4:L$990,MATCH(A221,'Base de données'!A$4:A$990,0),2),"")</f>
        <v/>
      </c>
      <c r="C221" s="100" t="str">
        <f>IF(A221&lt;&gt;"",INDEX('Base de données'!A$4:L$990,MATCH(A221,'Base de données'!A$4:A$990,0),12),"")</f>
        <v/>
      </c>
      <c r="D221" s="96"/>
      <c r="E221" s="97"/>
      <c r="F221" s="96"/>
      <c r="G221" s="96"/>
      <c r="H221" s="96"/>
      <c r="I221" s="96"/>
      <c r="J221" s="96"/>
      <c r="K221" s="96"/>
      <c r="L221" s="96"/>
      <c r="M221" s="96"/>
      <c r="N221" s="96"/>
      <c r="O221" s="96"/>
    </row>
    <row r="222" spans="1:15" hidden="1" x14ac:dyDescent="0.25">
      <c r="A222" s="95"/>
      <c r="B222" s="99" t="str">
        <f>IF(A222&lt;&gt;"",INDEX('Base de données'!A$4:L$990,MATCH(A222,'Base de données'!A$4:A$990,0),2),"")</f>
        <v/>
      </c>
      <c r="C222" s="100" t="str">
        <f>IF(A222&lt;&gt;"",INDEX('Base de données'!A$4:L$990,MATCH(A222,'Base de données'!A$4:A$990,0),12),"")</f>
        <v/>
      </c>
      <c r="D222" s="96"/>
      <c r="E222" s="97"/>
      <c r="F222" s="96"/>
      <c r="G222" s="96"/>
      <c r="H222" s="96"/>
      <c r="I222" s="96"/>
      <c r="J222" s="96"/>
      <c r="K222" s="96"/>
      <c r="L222" s="96"/>
      <c r="M222" s="96"/>
      <c r="N222" s="96"/>
      <c r="O222" s="96"/>
    </row>
    <row r="223" spans="1:15" hidden="1" x14ac:dyDescent="0.25">
      <c r="A223" s="95"/>
      <c r="B223" s="99" t="str">
        <f>IF(A223&lt;&gt;"",INDEX('Base de données'!A$4:L$990,MATCH(A223,'Base de données'!A$4:A$990,0),2),"")</f>
        <v/>
      </c>
      <c r="C223" s="100" t="str">
        <f>IF(A223&lt;&gt;"",INDEX('Base de données'!A$4:L$990,MATCH(A223,'Base de données'!A$4:A$990,0),12),"")</f>
        <v/>
      </c>
      <c r="D223" s="96"/>
      <c r="E223" s="97"/>
      <c r="F223" s="96"/>
      <c r="G223" s="96"/>
      <c r="H223" s="96"/>
      <c r="I223" s="96"/>
      <c r="J223" s="96"/>
      <c r="K223" s="96"/>
      <c r="L223" s="96"/>
      <c r="M223" s="96"/>
      <c r="N223" s="96"/>
      <c r="O223" s="96"/>
    </row>
    <row r="224" spans="1:15" hidden="1" x14ac:dyDescent="0.25">
      <c r="A224" s="95"/>
      <c r="B224" s="99" t="str">
        <f>IF(A224&lt;&gt;"",INDEX('Base de données'!A$4:L$990,MATCH(A224,'Base de données'!A$4:A$990,0),2),"")</f>
        <v/>
      </c>
      <c r="C224" s="100" t="str">
        <f>IF(A224&lt;&gt;"",INDEX('Base de données'!A$4:L$990,MATCH(A224,'Base de données'!A$4:A$990,0),12),"")</f>
        <v/>
      </c>
      <c r="D224" s="96"/>
      <c r="E224" s="97"/>
      <c r="F224" s="96"/>
      <c r="G224" s="96"/>
      <c r="H224" s="96"/>
      <c r="I224" s="96"/>
      <c r="J224" s="96"/>
      <c r="K224" s="96"/>
      <c r="L224" s="96"/>
      <c r="M224" s="96"/>
      <c r="N224" s="96"/>
      <c r="O224" s="96"/>
    </row>
    <row r="225" spans="1:15" hidden="1" x14ac:dyDescent="0.25">
      <c r="A225" s="95"/>
      <c r="B225" s="99" t="str">
        <f>IF(A225&lt;&gt;"",INDEX('Base de données'!A$4:L$990,MATCH(A225,'Base de données'!A$4:A$990,0),2),"")</f>
        <v/>
      </c>
      <c r="C225" s="100" t="str">
        <f>IF(A225&lt;&gt;"",INDEX('Base de données'!A$4:L$990,MATCH(A225,'Base de données'!A$4:A$990,0),12),"")</f>
        <v/>
      </c>
      <c r="D225" s="96"/>
      <c r="E225" s="97"/>
      <c r="F225" s="96"/>
      <c r="G225" s="96"/>
      <c r="H225" s="96"/>
      <c r="I225" s="96"/>
      <c r="J225" s="96"/>
      <c r="K225" s="96"/>
      <c r="L225" s="96"/>
      <c r="M225" s="96"/>
      <c r="N225" s="96"/>
      <c r="O225" s="96"/>
    </row>
    <row r="226" spans="1:15" hidden="1" x14ac:dyDescent="0.25">
      <c r="A226" s="95"/>
      <c r="B226" s="99" t="str">
        <f>IF(A226&lt;&gt;"",INDEX('Base de données'!A$4:L$990,MATCH(A226,'Base de données'!A$4:A$990,0),2),"")</f>
        <v/>
      </c>
      <c r="C226" s="100" t="str">
        <f>IF(A226&lt;&gt;"",INDEX('Base de données'!A$4:L$990,MATCH(A226,'Base de données'!A$4:A$990,0),12),"")</f>
        <v/>
      </c>
      <c r="D226" s="96"/>
      <c r="E226" s="97"/>
      <c r="F226" s="96"/>
      <c r="G226" s="96"/>
      <c r="H226" s="96"/>
      <c r="I226" s="96"/>
      <c r="J226" s="96"/>
      <c r="K226" s="96"/>
      <c r="L226" s="96"/>
      <c r="M226" s="96"/>
      <c r="N226" s="96"/>
      <c r="O226" s="96"/>
    </row>
    <row r="227" spans="1:15" hidden="1" x14ac:dyDescent="0.25">
      <c r="A227" s="95"/>
      <c r="B227" s="99" t="str">
        <f>IF(A227&lt;&gt;"",INDEX('Base de données'!A$4:L$990,MATCH(A227,'Base de données'!A$4:A$990,0),2),"")</f>
        <v/>
      </c>
      <c r="C227" s="100" t="str">
        <f>IF(A227&lt;&gt;"",INDEX('Base de données'!A$4:L$990,MATCH(A227,'Base de données'!A$4:A$990,0),12),"")</f>
        <v/>
      </c>
      <c r="D227" s="96"/>
      <c r="E227" s="97"/>
      <c r="F227" s="96"/>
      <c r="G227" s="96"/>
      <c r="H227" s="96"/>
      <c r="I227" s="96"/>
      <c r="J227" s="96"/>
      <c r="K227" s="96"/>
      <c r="L227" s="96"/>
      <c r="M227" s="96"/>
      <c r="N227" s="96"/>
      <c r="O227" s="96"/>
    </row>
    <row r="228" spans="1:15" hidden="1" x14ac:dyDescent="0.25">
      <c r="A228" s="95"/>
      <c r="B228" s="99" t="str">
        <f>IF(A228&lt;&gt;"",INDEX('Base de données'!A$4:L$990,MATCH(A228,'Base de données'!A$4:A$990,0),2),"")</f>
        <v/>
      </c>
      <c r="C228" s="100" t="str">
        <f>IF(A228&lt;&gt;"",INDEX('Base de données'!A$4:L$990,MATCH(A228,'Base de données'!A$4:A$990,0),12),"")</f>
        <v/>
      </c>
      <c r="D228" s="96"/>
      <c r="E228" s="97"/>
      <c r="F228" s="96"/>
      <c r="G228" s="96"/>
      <c r="H228" s="96"/>
      <c r="I228" s="96"/>
      <c r="J228" s="96"/>
      <c r="K228" s="96"/>
      <c r="L228" s="96"/>
      <c r="M228" s="96"/>
      <c r="N228" s="96"/>
      <c r="O228" s="96"/>
    </row>
    <row r="229" spans="1:15" hidden="1" x14ac:dyDescent="0.25">
      <c r="A229" s="95"/>
      <c r="B229" s="99" t="str">
        <f>IF(A229&lt;&gt;"",INDEX('Base de données'!A$4:L$990,MATCH(A229,'Base de données'!A$4:A$990,0),2),"")</f>
        <v/>
      </c>
      <c r="C229" s="100" t="str">
        <f>IF(A229&lt;&gt;"",INDEX('Base de données'!A$4:L$990,MATCH(A229,'Base de données'!A$4:A$990,0),12),"")</f>
        <v/>
      </c>
      <c r="D229" s="96"/>
      <c r="E229" s="97"/>
      <c r="F229" s="96"/>
      <c r="G229" s="96"/>
      <c r="H229" s="96"/>
      <c r="I229" s="96"/>
      <c r="J229" s="96"/>
      <c r="K229" s="96"/>
      <c r="L229" s="96"/>
      <c r="M229" s="96"/>
      <c r="N229" s="96"/>
      <c r="O229" s="96"/>
    </row>
    <row r="230" spans="1:15" hidden="1" x14ac:dyDescent="0.25">
      <c r="A230" s="95"/>
      <c r="B230" s="99" t="str">
        <f>IF(A230&lt;&gt;"",INDEX('Base de données'!A$4:L$990,MATCH(A230,'Base de données'!A$4:A$990,0),2),"")</f>
        <v/>
      </c>
      <c r="C230" s="100" t="str">
        <f>IF(A230&lt;&gt;"",INDEX('Base de données'!A$4:L$990,MATCH(A230,'Base de données'!A$4:A$990,0),12),"")</f>
        <v/>
      </c>
      <c r="D230" s="96"/>
      <c r="E230" s="97"/>
      <c r="F230" s="96"/>
      <c r="G230" s="96"/>
      <c r="H230" s="96"/>
      <c r="I230" s="96"/>
      <c r="J230" s="96"/>
      <c r="K230" s="96"/>
      <c r="L230" s="96"/>
      <c r="M230" s="96"/>
      <c r="N230" s="96"/>
      <c r="O230" s="96"/>
    </row>
    <row r="231" spans="1:15" hidden="1" x14ac:dyDescent="0.25">
      <c r="A231" s="95"/>
      <c r="B231" s="99" t="str">
        <f>IF(A231&lt;&gt;"",INDEX('Base de données'!A$4:L$990,MATCH(A231,'Base de données'!A$4:A$990,0),2),"")</f>
        <v/>
      </c>
      <c r="C231" s="100" t="str">
        <f>IF(A231&lt;&gt;"",INDEX('Base de données'!A$4:L$990,MATCH(A231,'Base de données'!A$4:A$990,0),12),"")</f>
        <v/>
      </c>
      <c r="D231" s="96"/>
      <c r="E231" s="97"/>
      <c r="F231" s="96"/>
      <c r="G231" s="96"/>
      <c r="H231" s="96"/>
      <c r="I231" s="96"/>
      <c r="J231" s="96"/>
      <c r="K231" s="96"/>
      <c r="L231" s="96"/>
      <c r="M231" s="96"/>
      <c r="N231" s="96"/>
      <c r="O231" s="96"/>
    </row>
    <row r="232" spans="1:15" hidden="1" x14ac:dyDescent="0.25">
      <c r="A232" s="95"/>
      <c r="B232" s="99" t="str">
        <f>IF(A232&lt;&gt;"",INDEX('Base de données'!A$4:L$990,MATCH(A232,'Base de données'!A$4:A$990,0),2),"")</f>
        <v/>
      </c>
      <c r="C232" s="100" t="str">
        <f>IF(A232&lt;&gt;"",INDEX('Base de données'!A$4:L$990,MATCH(A232,'Base de données'!A$4:A$990,0),12),"")</f>
        <v/>
      </c>
      <c r="D232" s="96"/>
      <c r="E232" s="97"/>
      <c r="F232" s="96"/>
      <c r="G232" s="96"/>
      <c r="H232" s="96"/>
      <c r="I232" s="96"/>
      <c r="J232" s="96"/>
      <c r="K232" s="96"/>
      <c r="L232" s="96"/>
      <c r="M232" s="96"/>
      <c r="N232" s="96"/>
      <c r="O232" s="96"/>
    </row>
    <row r="233" spans="1:15" hidden="1" x14ac:dyDescent="0.25">
      <c r="A233" s="95"/>
      <c r="B233" s="99" t="str">
        <f>IF(A233&lt;&gt;"",INDEX('Base de données'!A$4:L$990,MATCH(A233,'Base de données'!A$4:A$990,0),2),"")</f>
        <v/>
      </c>
      <c r="C233" s="100" t="str">
        <f>IF(A233&lt;&gt;"",INDEX('Base de données'!A$4:L$990,MATCH(A233,'Base de données'!A$4:A$990,0),12),"")</f>
        <v/>
      </c>
      <c r="D233" s="96"/>
      <c r="E233" s="97"/>
      <c r="F233" s="96"/>
      <c r="G233" s="96"/>
      <c r="H233" s="96"/>
      <c r="I233" s="96"/>
      <c r="J233" s="96"/>
      <c r="K233" s="96"/>
      <c r="L233" s="96"/>
      <c r="M233" s="96"/>
      <c r="N233" s="96"/>
      <c r="O233" s="96"/>
    </row>
    <row r="234" spans="1:15" hidden="1" x14ac:dyDescent="0.25">
      <c r="A234" s="95"/>
      <c r="B234" s="99" t="str">
        <f>IF(A234&lt;&gt;"",INDEX('Base de données'!A$4:L$990,MATCH(A234,'Base de données'!A$4:A$990,0),2),"")</f>
        <v/>
      </c>
      <c r="C234" s="100" t="str">
        <f>IF(A234&lt;&gt;"",INDEX('Base de données'!A$4:L$990,MATCH(A234,'Base de données'!A$4:A$990,0),12),"")</f>
        <v/>
      </c>
      <c r="D234" s="96"/>
      <c r="E234" s="97"/>
      <c r="F234" s="96"/>
      <c r="G234" s="96"/>
      <c r="H234" s="96"/>
      <c r="I234" s="96"/>
      <c r="J234" s="96"/>
      <c r="K234" s="96"/>
      <c r="L234" s="96"/>
      <c r="M234" s="96"/>
      <c r="N234" s="96"/>
      <c r="O234" s="96"/>
    </row>
    <row r="235" spans="1:15" hidden="1" x14ac:dyDescent="0.25">
      <c r="A235" s="95"/>
      <c r="B235" s="99" t="str">
        <f>IF(A235&lt;&gt;"",INDEX('Base de données'!A$4:L$990,MATCH(A235,'Base de données'!A$4:A$990,0),2),"")</f>
        <v/>
      </c>
      <c r="C235" s="100" t="str">
        <f>IF(A235&lt;&gt;"",INDEX('Base de données'!A$4:L$990,MATCH(A235,'Base de données'!A$4:A$990,0),12),"")</f>
        <v/>
      </c>
      <c r="D235" s="96"/>
      <c r="E235" s="97"/>
      <c r="F235" s="96"/>
      <c r="G235" s="96"/>
      <c r="H235" s="96"/>
      <c r="I235" s="96"/>
      <c r="J235" s="96"/>
      <c r="K235" s="96"/>
      <c r="L235" s="96"/>
      <c r="M235" s="96"/>
      <c r="N235" s="96"/>
      <c r="O235" s="96"/>
    </row>
    <row r="236" spans="1:15" hidden="1" x14ac:dyDescent="0.25">
      <c r="A236" s="95"/>
      <c r="B236" s="99" t="str">
        <f>IF(A236&lt;&gt;"",INDEX('Base de données'!A$4:L$990,MATCH(A236,'Base de données'!A$4:A$990,0),2),"")</f>
        <v/>
      </c>
      <c r="C236" s="100" t="str">
        <f>IF(A236&lt;&gt;"",INDEX('Base de données'!A$4:L$990,MATCH(A236,'Base de données'!A$4:A$990,0),12),"")</f>
        <v/>
      </c>
      <c r="D236" s="96"/>
      <c r="E236" s="97"/>
      <c r="F236" s="96"/>
      <c r="G236" s="96"/>
      <c r="H236" s="96"/>
      <c r="I236" s="96"/>
      <c r="J236" s="96"/>
      <c r="K236" s="96"/>
      <c r="L236" s="96"/>
      <c r="M236" s="96"/>
      <c r="N236" s="96"/>
      <c r="O236" s="96"/>
    </row>
    <row r="237" spans="1:15" hidden="1" x14ac:dyDescent="0.25">
      <c r="A237" s="95"/>
      <c r="B237" s="99" t="str">
        <f>IF(A237&lt;&gt;"",INDEX('Base de données'!A$4:L$990,MATCH(A237,'Base de données'!A$4:A$990,0),2),"")</f>
        <v/>
      </c>
      <c r="C237" s="100" t="str">
        <f>IF(A237&lt;&gt;"",INDEX('Base de données'!A$4:L$990,MATCH(A237,'Base de données'!A$4:A$990,0),12),"")</f>
        <v/>
      </c>
      <c r="D237" s="96"/>
      <c r="E237" s="97"/>
      <c r="F237" s="96"/>
      <c r="G237" s="96"/>
      <c r="H237" s="96"/>
      <c r="I237" s="96"/>
      <c r="J237" s="96"/>
      <c r="K237" s="96"/>
      <c r="L237" s="96"/>
      <c r="M237" s="96"/>
      <c r="N237" s="96"/>
      <c r="O237" s="96"/>
    </row>
    <row r="238" spans="1:15" hidden="1" x14ac:dyDescent="0.25">
      <c r="A238" s="95"/>
      <c r="B238" s="99" t="str">
        <f>IF(A238&lt;&gt;"",INDEX('Base de données'!A$4:L$990,MATCH(A238,'Base de données'!A$4:A$990,0),2),"")</f>
        <v/>
      </c>
      <c r="C238" s="100" t="str">
        <f>IF(A238&lt;&gt;"",INDEX('Base de données'!A$4:L$990,MATCH(A238,'Base de données'!A$4:A$990,0),12),"")</f>
        <v/>
      </c>
      <c r="D238" s="96"/>
      <c r="E238" s="97"/>
      <c r="F238" s="96"/>
      <c r="G238" s="96"/>
      <c r="H238" s="96"/>
      <c r="I238" s="96"/>
      <c r="J238" s="96"/>
      <c r="K238" s="96"/>
      <c r="L238" s="96"/>
      <c r="M238" s="96"/>
      <c r="N238" s="96"/>
      <c r="O238" s="96"/>
    </row>
    <row r="239" spans="1:15" hidden="1" x14ac:dyDescent="0.25">
      <c r="A239" s="95"/>
      <c r="B239" s="99" t="str">
        <f>IF(A239&lt;&gt;"",INDEX('Base de données'!A$4:L$990,MATCH(A239,'Base de données'!A$4:A$990,0),2),"")</f>
        <v/>
      </c>
      <c r="C239" s="100" t="str">
        <f>IF(A239&lt;&gt;"",INDEX('Base de données'!A$4:L$990,MATCH(A239,'Base de données'!A$4:A$990,0),12),"")</f>
        <v/>
      </c>
      <c r="D239" s="96"/>
      <c r="E239" s="97"/>
      <c r="F239" s="96"/>
      <c r="G239" s="96"/>
      <c r="H239" s="96"/>
      <c r="I239" s="96"/>
      <c r="J239" s="96"/>
      <c r="K239" s="96"/>
      <c r="L239" s="96"/>
      <c r="M239" s="96"/>
      <c r="N239" s="96"/>
      <c r="O239" s="96"/>
    </row>
    <row r="240" spans="1:15" hidden="1" x14ac:dyDescent="0.25">
      <c r="A240" s="95"/>
      <c r="B240" s="99" t="str">
        <f>IF(A240&lt;&gt;"",INDEX('Base de données'!A$4:L$990,MATCH(A240,'Base de données'!A$4:A$990,0),2),"")</f>
        <v/>
      </c>
      <c r="C240" s="100" t="str">
        <f>IF(A240&lt;&gt;"",INDEX('Base de données'!A$4:L$990,MATCH(A240,'Base de données'!A$4:A$990,0),12),"")</f>
        <v/>
      </c>
      <c r="D240" s="96"/>
      <c r="E240" s="97"/>
      <c r="F240" s="96"/>
      <c r="G240" s="96"/>
      <c r="H240" s="96"/>
      <c r="I240" s="96"/>
      <c r="J240" s="96"/>
      <c r="K240" s="96"/>
      <c r="L240" s="96"/>
      <c r="M240" s="96"/>
      <c r="N240" s="96"/>
      <c r="O240" s="96"/>
    </row>
    <row r="241" spans="1:15" hidden="1" x14ac:dyDescent="0.25">
      <c r="A241" s="95"/>
      <c r="B241" s="99" t="str">
        <f>IF(A241&lt;&gt;"",INDEX('Base de données'!A$4:L$990,MATCH(A241,'Base de données'!A$4:A$990,0),2),"")</f>
        <v/>
      </c>
      <c r="C241" s="100" t="str">
        <f>IF(A241&lt;&gt;"",INDEX('Base de données'!A$4:L$990,MATCH(A241,'Base de données'!A$4:A$990,0),12),"")</f>
        <v/>
      </c>
      <c r="D241" s="96"/>
      <c r="E241" s="97"/>
      <c r="F241" s="96"/>
      <c r="G241" s="96"/>
      <c r="H241" s="96"/>
      <c r="I241" s="96"/>
      <c r="J241" s="96"/>
      <c r="K241" s="96"/>
      <c r="L241" s="96"/>
      <c r="M241" s="96"/>
      <c r="N241" s="96"/>
      <c r="O241" s="96"/>
    </row>
    <row r="242" spans="1:15" hidden="1" x14ac:dyDescent="0.25">
      <c r="A242" s="95"/>
      <c r="B242" s="99" t="str">
        <f>IF(A242&lt;&gt;"",INDEX('Base de données'!A$4:L$990,MATCH(A242,'Base de données'!A$4:A$990,0),2),"")</f>
        <v/>
      </c>
      <c r="C242" s="100" t="str">
        <f>IF(A242&lt;&gt;"",INDEX('Base de données'!A$4:L$990,MATCH(A242,'Base de données'!A$4:A$990,0),12),"")</f>
        <v/>
      </c>
      <c r="D242" s="96"/>
      <c r="E242" s="97"/>
      <c r="F242" s="96"/>
      <c r="G242" s="96"/>
      <c r="H242" s="96"/>
      <c r="I242" s="96"/>
      <c r="J242" s="96"/>
      <c r="K242" s="96"/>
      <c r="L242" s="96"/>
      <c r="M242" s="96"/>
      <c r="N242" s="96"/>
      <c r="O242" s="96"/>
    </row>
    <row r="243" spans="1:15" hidden="1" x14ac:dyDescent="0.25">
      <c r="A243" s="95"/>
      <c r="B243" s="99" t="str">
        <f>IF(A243&lt;&gt;"",INDEX('Base de données'!A$4:L$990,MATCH(A243,'Base de données'!A$4:A$990,0),2),"")</f>
        <v/>
      </c>
      <c r="C243" s="100" t="str">
        <f>IF(A243&lt;&gt;"",INDEX('Base de données'!A$4:L$990,MATCH(A243,'Base de données'!A$4:A$990,0),12),"")</f>
        <v/>
      </c>
      <c r="D243" s="96"/>
      <c r="E243" s="97"/>
      <c r="F243" s="96"/>
      <c r="G243" s="96"/>
      <c r="H243" s="96"/>
      <c r="I243" s="96"/>
      <c r="J243" s="96"/>
      <c r="K243" s="96"/>
      <c r="L243" s="96"/>
      <c r="M243" s="96"/>
      <c r="N243" s="96"/>
      <c r="O243" s="96"/>
    </row>
    <row r="244" spans="1:15" hidden="1" x14ac:dyDescent="0.25">
      <c r="A244" s="95"/>
      <c r="B244" s="99" t="str">
        <f>IF(A244&lt;&gt;"",INDEX('Base de données'!A$4:L$990,MATCH(A244,'Base de données'!A$4:A$990,0),2),"")</f>
        <v/>
      </c>
      <c r="C244" s="100" t="str">
        <f>IF(A244&lt;&gt;"",INDEX('Base de données'!A$4:L$990,MATCH(A244,'Base de données'!A$4:A$990,0),12),"")</f>
        <v/>
      </c>
      <c r="D244" s="96"/>
      <c r="E244" s="97"/>
      <c r="F244" s="96"/>
      <c r="G244" s="96"/>
      <c r="H244" s="96"/>
      <c r="I244" s="96"/>
      <c r="J244" s="96"/>
      <c r="K244" s="96"/>
      <c r="L244" s="96"/>
      <c r="M244" s="96"/>
      <c r="N244" s="96"/>
      <c r="O244" s="96"/>
    </row>
    <row r="245" spans="1:15" hidden="1" x14ac:dyDescent="0.25">
      <c r="A245" s="95"/>
      <c r="B245" s="99" t="str">
        <f>IF(A245&lt;&gt;"",INDEX('Base de données'!A$4:L$990,MATCH(A245,'Base de données'!A$4:A$990,0),2),"")</f>
        <v/>
      </c>
      <c r="C245" s="100" t="str">
        <f>IF(A245&lt;&gt;"",INDEX('Base de données'!A$4:L$990,MATCH(A245,'Base de données'!A$4:A$990,0),12),"")</f>
        <v/>
      </c>
      <c r="D245" s="96"/>
      <c r="E245" s="97"/>
      <c r="F245" s="96"/>
      <c r="G245" s="96"/>
      <c r="H245" s="96"/>
      <c r="I245" s="96"/>
      <c r="J245" s="96"/>
      <c r="K245" s="96"/>
      <c r="L245" s="96"/>
      <c r="M245" s="96"/>
      <c r="N245" s="96"/>
      <c r="O245" s="96"/>
    </row>
    <row r="246" spans="1:15" hidden="1" x14ac:dyDescent="0.25">
      <c r="A246" s="95"/>
      <c r="B246" s="99" t="str">
        <f>IF(A246&lt;&gt;"",INDEX('Base de données'!A$4:L$990,MATCH(A246,'Base de données'!A$4:A$990,0),2),"")</f>
        <v/>
      </c>
      <c r="C246" s="100" t="str">
        <f>IF(A246&lt;&gt;"",INDEX('Base de données'!A$4:L$990,MATCH(A246,'Base de données'!A$4:A$990,0),12),"")</f>
        <v/>
      </c>
      <c r="D246" s="96"/>
      <c r="E246" s="97"/>
      <c r="F246" s="96"/>
      <c r="G246" s="96"/>
      <c r="H246" s="96"/>
      <c r="I246" s="96"/>
      <c r="J246" s="96"/>
      <c r="K246" s="96"/>
      <c r="L246" s="96"/>
      <c r="M246" s="96"/>
      <c r="N246" s="96"/>
      <c r="O246" s="96"/>
    </row>
    <row r="247" spans="1:15" hidden="1" x14ac:dyDescent="0.25">
      <c r="A247" s="95"/>
      <c r="B247" s="99" t="str">
        <f>IF(A247&lt;&gt;"",INDEX('Base de données'!A$4:L$990,MATCH(A247,'Base de données'!A$4:A$990,0),2),"")</f>
        <v/>
      </c>
      <c r="C247" s="100" t="str">
        <f>IF(A247&lt;&gt;"",INDEX('Base de données'!A$4:L$990,MATCH(A247,'Base de données'!A$4:A$990,0),12),"")</f>
        <v/>
      </c>
      <c r="D247" s="96"/>
      <c r="E247" s="97"/>
      <c r="F247" s="96"/>
      <c r="G247" s="96"/>
      <c r="H247" s="96"/>
      <c r="I247" s="96"/>
      <c r="J247" s="96"/>
      <c r="K247" s="96"/>
      <c r="L247" s="96"/>
      <c r="M247" s="96"/>
      <c r="N247" s="96"/>
      <c r="O247" s="96"/>
    </row>
    <row r="248" spans="1:15" hidden="1" x14ac:dyDescent="0.25">
      <c r="A248" s="95"/>
      <c r="B248" s="99" t="str">
        <f>IF(A248&lt;&gt;"",INDEX('Base de données'!A$4:L$990,MATCH(A248,'Base de données'!A$4:A$990,0),2),"")</f>
        <v/>
      </c>
      <c r="C248" s="100" t="str">
        <f>IF(A248&lt;&gt;"",INDEX('Base de données'!A$4:L$990,MATCH(A248,'Base de données'!A$4:A$990,0),12),"")</f>
        <v/>
      </c>
      <c r="D248" s="96"/>
      <c r="E248" s="97"/>
      <c r="F248" s="96"/>
      <c r="G248" s="96"/>
      <c r="H248" s="96"/>
      <c r="I248" s="96"/>
      <c r="J248" s="96"/>
      <c r="K248" s="96"/>
      <c r="L248" s="96"/>
      <c r="M248" s="96"/>
      <c r="N248" s="96"/>
      <c r="O248" s="96"/>
    </row>
    <row r="249" spans="1:15" hidden="1" x14ac:dyDescent="0.25">
      <c r="A249" s="95"/>
      <c r="B249" s="99" t="str">
        <f>IF(A249&lt;&gt;"",INDEX('Base de données'!A$4:L$990,MATCH(A249,'Base de données'!A$4:A$990,0),2),"")</f>
        <v/>
      </c>
      <c r="C249" s="100" t="str">
        <f>IF(A249&lt;&gt;"",INDEX('Base de données'!A$4:L$990,MATCH(A249,'Base de données'!A$4:A$990,0),12),"")</f>
        <v/>
      </c>
      <c r="D249" s="96"/>
      <c r="E249" s="97"/>
      <c r="F249" s="96"/>
      <c r="G249" s="96"/>
      <c r="H249" s="96"/>
      <c r="I249" s="96"/>
      <c r="J249" s="96"/>
      <c r="K249" s="96"/>
      <c r="L249" s="96"/>
      <c r="M249" s="96"/>
      <c r="N249" s="96"/>
      <c r="O249" s="96"/>
    </row>
    <row r="250" spans="1:15" hidden="1" x14ac:dyDescent="0.25">
      <c r="A250" s="95"/>
      <c r="B250" s="99" t="str">
        <f>IF(A250&lt;&gt;"",INDEX('Base de données'!A$4:L$990,MATCH(A250,'Base de données'!A$4:A$990,0),2),"")</f>
        <v/>
      </c>
      <c r="C250" s="100" t="str">
        <f>IF(A250&lt;&gt;"",INDEX('Base de données'!A$4:L$990,MATCH(A250,'Base de données'!A$4:A$990,0),12),"")</f>
        <v/>
      </c>
      <c r="D250" s="96"/>
      <c r="E250" s="97"/>
      <c r="F250" s="96"/>
      <c r="G250" s="96"/>
      <c r="H250" s="96"/>
      <c r="I250" s="96"/>
      <c r="J250" s="96"/>
      <c r="K250" s="96"/>
      <c r="L250" s="96"/>
      <c r="M250" s="96"/>
      <c r="N250" s="96"/>
      <c r="O250" s="96"/>
    </row>
    <row r="251" spans="1:15" hidden="1" x14ac:dyDescent="0.25">
      <c r="A251" s="95"/>
      <c r="B251" s="99" t="str">
        <f>IF(A251&lt;&gt;"",INDEX('Base de données'!A$4:L$990,MATCH(A251,'Base de données'!A$4:A$990,0),2),"")</f>
        <v/>
      </c>
      <c r="C251" s="100" t="str">
        <f>IF(A251&lt;&gt;"",INDEX('Base de données'!A$4:L$990,MATCH(A251,'Base de données'!A$4:A$990,0),12),"")</f>
        <v/>
      </c>
      <c r="D251" s="96"/>
      <c r="E251" s="97"/>
      <c r="F251" s="96"/>
      <c r="G251" s="96"/>
      <c r="H251" s="96"/>
      <c r="I251" s="96"/>
      <c r="J251" s="96"/>
      <c r="K251" s="96"/>
      <c r="L251" s="96"/>
      <c r="M251" s="96"/>
      <c r="N251" s="96"/>
      <c r="O251" s="96"/>
    </row>
    <row r="252" spans="1:15" hidden="1" x14ac:dyDescent="0.25">
      <c r="A252" s="95"/>
      <c r="B252" s="99" t="str">
        <f>IF(A252&lt;&gt;"",INDEX('Base de données'!A$4:L$990,MATCH(A252,'Base de données'!A$4:A$990,0),2),"")</f>
        <v/>
      </c>
      <c r="C252" s="100" t="str">
        <f>IF(A252&lt;&gt;"",INDEX('Base de données'!A$4:L$990,MATCH(A252,'Base de données'!A$4:A$990,0),12),"")</f>
        <v/>
      </c>
      <c r="D252" s="96"/>
      <c r="E252" s="97"/>
      <c r="F252" s="96"/>
      <c r="G252" s="96"/>
      <c r="H252" s="96"/>
      <c r="I252" s="96"/>
      <c r="J252" s="96"/>
      <c r="K252" s="96"/>
      <c r="L252" s="96"/>
      <c r="M252" s="96"/>
      <c r="N252" s="96"/>
      <c r="O252" s="96"/>
    </row>
    <row r="253" spans="1:15" hidden="1" x14ac:dyDescent="0.25">
      <c r="A253" s="95"/>
      <c r="B253" s="99" t="str">
        <f>IF(A253&lt;&gt;"",INDEX('Base de données'!A$4:L$990,MATCH(A253,'Base de données'!A$4:A$990,0),2),"")</f>
        <v/>
      </c>
      <c r="C253" s="100" t="str">
        <f>IF(A253&lt;&gt;"",INDEX('Base de données'!A$4:L$990,MATCH(A253,'Base de données'!A$4:A$990,0),12),"")</f>
        <v/>
      </c>
      <c r="D253" s="96"/>
      <c r="E253" s="97"/>
      <c r="F253" s="96"/>
      <c r="G253" s="96"/>
      <c r="H253" s="96"/>
      <c r="I253" s="96"/>
      <c r="J253" s="96"/>
      <c r="K253" s="96"/>
      <c r="L253" s="96"/>
      <c r="M253" s="96"/>
      <c r="N253" s="96"/>
      <c r="O253" s="96"/>
    </row>
    <row r="254" spans="1:15" hidden="1" x14ac:dyDescent="0.25">
      <c r="A254" s="95"/>
      <c r="B254" s="99" t="str">
        <f>IF(A254&lt;&gt;"",INDEX('Base de données'!A$4:L$990,MATCH(A254,'Base de données'!A$4:A$990,0),2),"")</f>
        <v/>
      </c>
      <c r="C254" s="100" t="str">
        <f>IF(A254&lt;&gt;"",INDEX('Base de données'!A$4:L$990,MATCH(A254,'Base de données'!A$4:A$990,0),12),"")</f>
        <v/>
      </c>
      <c r="D254" s="96"/>
      <c r="E254" s="97"/>
      <c r="F254" s="96"/>
      <c r="G254" s="96"/>
      <c r="H254" s="96"/>
      <c r="I254" s="96"/>
      <c r="J254" s="96"/>
      <c r="K254" s="96"/>
      <c r="L254" s="96"/>
      <c r="M254" s="96"/>
      <c r="N254" s="96"/>
      <c r="O254" s="96"/>
    </row>
    <row r="255" spans="1:15" hidden="1" x14ac:dyDescent="0.25">
      <c r="A255" s="95"/>
      <c r="B255" s="99" t="str">
        <f>IF(A255&lt;&gt;"",INDEX('Base de données'!A$4:L$990,MATCH(A255,'Base de données'!A$4:A$990,0),2),"")</f>
        <v/>
      </c>
      <c r="C255" s="100" t="str">
        <f>IF(A255&lt;&gt;"",INDEX('Base de données'!A$4:L$990,MATCH(A255,'Base de données'!A$4:A$990,0),12),"")</f>
        <v/>
      </c>
      <c r="D255" s="96"/>
      <c r="E255" s="97"/>
      <c r="F255" s="96"/>
      <c r="G255" s="96"/>
      <c r="H255" s="96"/>
      <c r="I255" s="96"/>
      <c r="J255" s="96"/>
      <c r="K255" s="96"/>
      <c r="L255" s="96"/>
      <c r="M255" s="96"/>
      <c r="N255" s="96"/>
      <c r="O255" s="96"/>
    </row>
    <row r="256" spans="1:15" hidden="1" x14ac:dyDescent="0.25">
      <c r="A256" s="95"/>
      <c r="B256" s="99" t="str">
        <f>IF(A256&lt;&gt;"",INDEX('Base de données'!A$4:L$990,MATCH(A256,'Base de données'!A$4:A$990,0),2),"")</f>
        <v/>
      </c>
      <c r="C256" s="100" t="str">
        <f>IF(A256&lt;&gt;"",INDEX('Base de données'!A$4:L$990,MATCH(A256,'Base de données'!A$4:A$990,0),12),"")</f>
        <v/>
      </c>
      <c r="D256" s="96"/>
      <c r="E256" s="97"/>
      <c r="F256" s="96"/>
      <c r="G256" s="96"/>
      <c r="H256" s="96"/>
      <c r="I256" s="96"/>
      <c r="J256" s="96"/>
      <c r="K256" s="96"/>
      <c r="L256" s="96"/>
      <c r="M256" s="96"/>
      <c r="N256" s="96"/>
      <c r="O256" s="96"/>
    </row>
    <row r="257" spans="1:15" hidden="1" x14ac:dyDescent="0.25">
      <c r="A257" s="95"/>
      <c r="B257" s="99" t="str">
        <f>IF(A257&lt;&gt;"",INDEX('Base de données'!A$4:L$990,MATCH(A257,'Base de données'!A$4:A$990,0),2),"")</f>
        <v/>
      </c>
      <c r="C257" s="100" t="str">
        <f>IF(A257&lt;&gt;"",INDEX('Base de données'!A$4:L$990,MATCH(A257,'Base de données'!A$4:A$990,0),12),"")</f>
        <v/>
      </c>
      <c r="D257" s="96"/>
      <c r="E257" s="97"/>
      <c r="F257" s="96"/>
      <c r="G257" s="96"/>
      <c r="H257" s="96"/>
      <c r="I257" s="96"/>
      <c r="J257" s="96"/>
      <c r="K257" s="96"/>
      <c r="L257" s="96"/>
      <c r="M257" s="96"/>
      <c r="N257" s="96"/>
      <c r="O257" s="96"/>
    </row>
    <row r="258" spans="1:15" hidden="1" x14ac:dyDescent="0.25">
      <c r="A258" s="95"/>
      <c r="B258" s="99" t="str">
        <f>IF(A258&lt;&gt;"",INDEX('Base de données'!A$4:L$990,MATCH(A258,'Base de données'!A$4:A$990,0),2),"")</f>
        <v/>
      </c>
      <c r="C258" s="100" t="str">
        <f>IF(A258&lt;&gt;"",INDEX('Base de données'!A$4:L$990,MATCH(A258,'Base de données'!A$4:A$990,0),12),"")</f>
        <v/>
      </c>
      <c r="D258" s="96"/>
      <c r="E258" s="97"/>
      <c r="F258" s="96"/>
      <c r="G258" s="96"/>
      <c r="H258" s="96"/>
      <c r="I258" s="96"/>
      <c r="J258" s="96"/>
      <c r="K258" s="96"/>
      <c r="L258" s="96"/>
      <c r="M258" s="96"/>
      <c r="N258" s="96"/>
      <c r="O258" s="96"/>
    </row>
    <row r="259" spans="1:15" hidden="1" x14ac:dyDescent="0.25">
      <c r="A259" s="95"/>
      <c r="B259" s="99" t="str">
        <f>IF(A259&lt;&gt;"",INDEX('Base de données'!A$4:L$990,MATCH(A259,'Base de données'!A$4:A$990,0),2),"")</f>
        <v/>
      </c>
      <c r="C259" s="100" t="str">
        <f>IF(A259&lt;&gt;"",INDEX('Base de données'!A$4:L$990,MATCH(A259,'Base de données'!A$4:A$990,0),12),"")</f>
        <v/>
      </c>
      <c r="D259" s="96"/>
      <c r="E259" s="97"/>
      <c r="F259" s="96"/>
      <c r="G259" s="96"/>
      <c r="H259" s="96"/>
      <c r="I259" s="96"/>
      <c r="J259" s="96"/>
      <c r="K259" s="96"/>
      <c r="L259" s="96"/>
      <c r="M259" s="96"/>
      <c r="N259" s="96"/>
      <c r="O259" s="96"/>
    </row>
    <row r="260" spans="1:15" hidden="1" x14ac:dyDescent="0.25">
      <c r="A260" s="95"/>
      <c r="B260" s="99" t="str">
        <f>IF(A260&lt;&gt;"",INDEX('Base de données'!A$4:L$990,MATCH(A260,'Base de données'!A$4:A$990,0),2),"")</f>
        <v/>
      </c>
      <c r="C260" s="100" t="str">
        <f>IF(A260&lt;&gt;"",INDEX('Base de données'!A$4:L$990,MATCH(A260,'Base de données'!A$4:A$990,0),12),"")</f>
        <v/>
      </c>
      <c r="D260" s="96"/>
      <c r="E260" s="97"/>
      <c r="F260" s="96"/>
      <c r="G260" s="96"/>
      <c r="H260" s="96"/>
      <c r="I260" s="96"/>
      <c r="J260" s="96"/>
      <c r="K260" s="96"/>
      <c r="L260" s="96"/>
      <c r="M260" s="96"/>
      <c r="N260" s="96"/>
      <c r="O260" s="96"/>
    </row>
    <row r="261" spans="1:15" hidden="1" x14ac:dyDescent="0.25">
      <c r="A261" s="95"/>
      <c r="B261" s="99" t="str">
        <f>IF(A261&lt;&gt;"",INDEX('Base de données'!A$4:L$990,MATCH(A261,'Base de données'!A$4:A$990,0),2),"")</f>
        <v/>
      </c>
      <c r="C261" s="100" t="str">
        <f>IF(A261&lt;&gt;"",INDEX('Base de données'!A$4:L$990,MATCH(A261,'Base de données'!A$4:A$990,0),12),"")</f>
        <v/>
      </c>
      <c r="D261" s="96"/>
      <c r="E261" s="97"/>
      <c r="F261" s="96"/>
      <c r="G261" s="96"/>
      <c r="H261" s="96"/>
      <c r="I261" s="96"/>
      <c r="J261" s="96"/>
      <c r="K261" s="96"/>
      <c r="L261" s="96"/>
      <c r="M261" s="96"/>
      <c r="N261" s="96"/>
      <c r="O261" s="96"/>
    </row>
    <row r="262" spans="1:15" hidden="1" x14ac:dyDescent="0.25">
      <c r="A262" s="95"/>
      <c r="B262" s="99" t="str">
        <f>IF(A262&lt;&gt;"",INDEX('Base de données'!A$4:L$990,MATCH(A262,'Base de données'!A$4:A$990,0),2),"")</f>
        <v/>
      </c>
      <c r="C262" s="100" t="str">
        <f>IF(A262&lt;&gt;"",INDEX('Base de données'!A$4:L$990,MATCH(A262,'Base de données'!A$4:A$990,0),12),"")</f>
        <v/>
      </c>
      <c r="D262" s="96"/>
      <c r="E262" s="97"/>
      <c r="F262" s="96"/>
      <c r="G262" s="96"/>
      <c r="H262" s="96"/>
      <c r="I262" s="96"/>
      <c r="J262" s="96"/>
      <c r="K262" s="96"/>
      <c r="L262" s="96"/>
      <c r="M262" s="96"/>
      <c r="N262" s="96"/>
      <c r="O262" s="96"/>
    </row>
    <row r="263" spans="1:15" hidden="1" x14ac:dyDescent="0.25">
      <c r="A263" s="95"/>
      <c r="B263" s="99" t="str">
        <f>IF(A263&lt;&gt;"",INDEX('Base de données'!A$4:L$990,MATCH(A263,'Base de données'!A$4:A$990,0),2),"")</f>
        <v/>
      </c>
      <c r="C263" s="100" t="str">
        <f>IF(A263&lt;&gt;"",INDEX('Base de données'!A$4:L$990,MATCH(A263,'Base de données'!A$4:A$990,0),12),"")</f>
        <v/>
      </c>
      <c r="D263" s="96"/>
      <c r="E263" s="97"/>
      <c r="F263" s="96"/>
      <c r="G263" s="96"/>
      <c r="H263" s="96"/>
      <c r="I263" s="96"/>
      <c r="J263" s="96"/>
      <c r="K263" s="96"/>
      <c r="L263" s="96"/>
      <c r="M263" s="96"/>
      <c r="N263" s="96"/>
      <c r="O263" s="96"/>
    </row>
    <row r="264" spans="1:15" hidden="1" x14ac:dyDescent="0.25">
      <c r="A264" s="95"/>
      <c r="B264" s="99" t="str">
        <f>IF(A264&lt;&gt;"",INDEX('Base de données'!A$4:L$990,MATCH(A264,'Base de données'!A$4:A$990,0),2),"")</f>
        <v/>
      </c>
      <c r="C264" s="100" t="str">
        <f>IF(A264&lt;&gt;"",INDEX('Base de données'!A$4:L$990,MATCH(A264,'Base de données'!A$4:A$990,0),12),"")</f>
        <v/>
      </c>
      <c r="D264" s="96"/>
      <c r="E264" s="97"/>
      <c r="F264" s="96"/>
      <c r="G264" s="96"/>
      <c r="H264" s="96"/>
      <c r="I264" s="96"/>
      <c r="J264" s="96"/>
      <c r="K264" s="96"/>
      <c r="L264" s="96"/>
      <c r="M264" s="96"/>
      <c r="N264" s="96"/>
      <c r="O264" s="96"/>
    </row>
    <row r="265" spans="1:15" hidden="1" x14ac:dyDescent="0.25">
      <c r="A265" s="95"/>
      <c r="B265" s="99" t="str">
        <f>IF(A265&lt;&gt;"",INDEX('Base de données'!A$4:L$990,MATCH(A265,'Base de données'!A$4:A$990,0),2),"")</f>
        <v/>
      </c>
      <c r="C265" s="100" t="str">
        <f>IF(A265&lt;&gt;"",INDEX('Base de données'!A$4:L$990,MATCH(A265,'Base de données'!A$4:A$990,0),12),"")</f>
        <v/>
      </c>
      <c r="D265" s="96"/>
      <c r="E265" s="97"/>
      <c r="F265" s="96"/>
      <c r="G265" s="96"/>
      <c r="H265" s="96"/>
      <c r="I265" s="96"/>
      <c r="J265" s="96"/>
      <c r="K265" s="96"/>
      <c r="L265" s="96"/>
      <c r="M265" s="96"/>
      <c r="N265" s="96"/>
      <c r="O265" s="96"/>
    </row>
    <row r="266" spans="1:15" hidden="1" x14ac:dyDescent="0.25">
      <c r="A266" s="95"/>
      <c r="B266" s="99" t="str">
        <f>IF(A266&lt;&gt;"",INDEX('Base de données'!A$4:L$990,MATCH(A266,'Base de données'!A$4:A$990,0),2),"")</f>
        <v/>
      </c>
      <c r="C266" s="100" t="str">
        <f>IF(A266&lt;&gt;"",INDEX('Base de données'!A$4:L$990,MATCH(A266,'Base de données'!A$4:A$990,0),12),"")</f>
        <v/>
      </c>
      <c r="D266" s="96"/>
      <c r="E266" s="97"/>
      <c r="F266" s="96"/>
      <c r="G266" s="96"/>
      <c r="H266" s="96"/>
      <c r="I266" s="96"/>
      <c r="J266" s="96"/>
      <c r="K266" s="96"/>
      <c r="L266" s="96"/>
      <c r="M266" s="96"/>
      <c r="N266" s="96"/>
      <c r="O266" s="96"/>
    </row>
    <row r="267" spans="1:15" hidden="1" x14ac:dyDescent="0.25">
      <c r="A267" s="95"/>
      <c r="B267" s="99" t="str">
        <f>IF(A267&lt;&gt;"",INDEX('Base de données'!A$4:L$990,MATCH(A267,'Base de données'!A$4:A$990,0),2),"")</f>
        <v/>
      </c>
      <c r="C267" s="100" t="str">
        <f>IF(A267&lt;&gt;"",INDEX('Base de données'!A$4:L$990,MATCH(A267,'Base de données'!A$4:A$990,0),12),"")</f>
        <v/>
      </c>
      <c r="D267" s="96"/>
      <c r="E267" s="97"/>
      <c r="F267" s="96"/>
      <c r="G267" s="96"/>
      <c r="H267" s="96"/>
      <c r="I267" s="96"/>
      <c r="J267" s="96"/>
      <c r="K267" s="96"/>
      <c r="L267" s="96"/>
      <c r="M267" s="96"/>
      <c r="N267" s="96"/>
      <c r="O267" s="96"/>
    </row>
    <row r="268" spans="1:15" hidden="1" x14ac:dyDescent="0.25">
      <c r="A268" s="95"/>
      <c r="B268" s="99" t="str">
        <f>IF(A268&lt;&gt;"",INDEX('Base de données'!A$4:L$990,MATCH(A268,'Base de données'!A$4:A$990,0),2),"")</f>
        <v/>
      </c>
      <c r="C268" s="100" t="str">
        <f>IF(A268&lt;&gt;"",INDEX('Base de données'!A$4:L$990,MATCH(A268,'Base de données'!A$4:A$990,0),12),"")</f>
        <v/>
      </c>
      <c r="D268" s="96"/>
      <c r="E268" s="97"/>
      <c r="F268" s="96"/>
      <c r="G268" s="96"/>
      <c r="H268" s="96"/>
      <c r="I268" s="96"/>
      <c r="J268" s="96"/>
      <c r="K268" s="96"/>
      <c r="L268" s="96"/>
      <c r="M268" s="96"/>
      <c r="N268" s="96"/>
      <c r="O268" s="96"/>
    </row>
    <row r="269" spans="1:15" hidden="1" x14ac:dyDescent="0.25">
      <c r="A269" s="95"/>
      <c r="B269" s="99" t="str">
        <f>IF(A269&lt;&gt;"",INDEX('Base de données'!A$4:L$990,MATCH(A269,'Base de données'!A$4:A$990,0),2),"")</f>
        <v/>
      </c>
      <c r="C269" s="100" t="str">
        <f>IF(A269&lt;&gt;"",INDEX('Base de données'!A$4:L$990,MATCH(A269,'Base de données'!A$4:A$990,0),12),"")</f>
        <v/>
      </c>
      <c r="D269" s="96"/>
      <c r="E269" s="97"/>
      <c r="F269" s="96"/>
      <c r="G269" s="96"/>
      <c r="H269" s="96"/>
      <c r="I269" s="96"/>
      <c r="J269" s="96"/>
      <c r="K269" s="96"/>
      <c r="L269" s="96"/>
      <c r="M269" s="96"/>
      <c r="N269" s="96"/>
      <c r="O269" s="96"/>
    </row>
    <row r="270" spans="1:15" hidden="1" x14ac:dyDescent="0.25">
      <c r="A270" s="95"/>
      <c r="B270" s="99" t="str">
        <f>IF(A270&lt;&gt;"",INDEX('Base de données'!A$4:L$990,MATCH(A270,'Base de données'!A$4:A$990,0),2),"")</f>
        <v/>
      </c>
      <c r="C270" s="100" t="str">
        <f>IF(A270&lt;&gt;"",INDEX('Base de données'!A$4:L$990,MATCH(A270,'Base de données'!A$4:A$990,0),12),"")</f>
        <v/>
      </c>
      <c r="D270" s="96"/>
      <c r="E270" s="97"/>
      <c r="F270" s="96"/>
      <c r="G270" s="96"/>
      <c r="H270" s="96"/>
      <c r="I270" s="96"/>
      <c r="J270" s="96"/>
      <c r="K270" s="96"/>
      <c r="L270" s="96"/>
      <c r="M270" s="96"/>
      <c r="N270" s="96"/>
      <c r="O270" s="96"/>
    </row>
    <row r="271" spans="1:15" hidden="1" x14ac:dyDescent="0.25">
      <c r="A271" s="95"/>
      <c r="B271" s="99" t="str">
        <f>IF(A271&lt;&gt;"",INDEX('Base de données'!A$4:L$990,MATCH(A271,'Base de données'!A$4:A$990,0),2),"")</f>
        <v/>
      </c>
      <c r="C271" s="100" t="str">
        <f>IF(A271&lt;&gt;"",INDEX('Base de données'!A$4:L$990,MATCH(A271,'Base de données'!A$4:A$990,0),12),"")</f>
        <v/>
      </c>
      <c r="D271" s="96"/>
      <c r="E271" s="97"/>
      <c r="F271" s="96"/>
      <c r="G271" s="96"/>
      <c r="H271" s="96"/>
      <c r="I271" s="96"/>
      <c r="J271" s="96"/>
      <c r="K271" s="96"/>
      <c r="L271" s="96"/>
      <c r="M271" s="96"/>
      <c r="N271" s="96"/>
      <c r="O271" s="96"/>
    </row>
    <row r="272" spans="1:15" hidden="1" x14ac:dyDescent="0.25">
      <c r="A272" s="95"/>
      <c r="B272" s="99" t="str">
        <f>IF(A272&lt;&gt;"",INDEX('Base de données'!A$4:L$990,MATCH(A272,'Base de données'!A$4:A$990,0),2),"")</f>
        <v/>
      </c>
      <c r="C272" s="100" t="str">
        <f>IF(A272&lt;&gt;"",INDEX('Base de données'!A$4:L$990,MATCH(A272,'Base de données'!A$4:A$990,0),12),"")</f>
        <v/>
      </c>
      <c r="D272" s="96"/>
      <c r="E272" s="97"/>
      <c r="F272" s="96"/>
      <c r="G272" s="96"/>
      <c r="H272" s="96"/>
      <c r="I272" s="96"/>
      <c r="J272" s="96"/>
      <c r="K272" s="96"/>
      <c r="L272" s="96"/>
      <c r="M272" s="96"/>
      <c r="N272" s="96"/>
      <c r="O272" s="96"/>
    </row>
    <row r="273" spans="1:15" hidden="1" x14ac:dyDescent="0.25">
      <c r="A273" s="95"/>
      <c r="B273" s="99" t="str">
        <f>IF(A273&lt;&gt;"",INDEX('Base de données'!A$4:L$990,MATCH(A273,'Base de données'!A$4:A$990,0),2),"")</f>
        <v/>
      </c>
      <c r="C273" s="100" t="str">
        <f>IF(A273&lt;&gt;"",INDEX('Base de données'!A$4:L$990,MATCH(A273,'Base de données'!A$4:A$990,0),12),"")</f>
        <v/>
      </c>
      <c r="D273" s="96"/>
      <c r="E273" s="97"/>
      <c r="F273" s="96"/>
      <c r="G273" s="96"/>
      <c r="H273" s="96"/>
      <c r="I273" s="96"/>
      <c r="J273" s="96"/>
      <c r="K273" s="96"/>
      <c r="L273" s="96"/>
      <c r="M273" s="96"/>
      <c r="N273" s="96"/>
      <c r="O273" s="96"/>
    </row>
    <row r="274" spans="1:15" hidden="1" x14ac:dyDescent="0.25">
      <c r="A274" s="95"/>
      <c r="B274" s="99" t="str">
        <f>IF(A274&lt;&gt;"",INDEX('Base de données'!A$4:L$990,MATCH(A274,'Base de données'!A$4:A$990,0),2),"")</f>
        <v/>
      </c>
      <c r="C274" s="100" t="str">
        <f>IF(A274&lt;&gt;"",INDEX('Base de données'!A$4:L$990,MATCH(A274,'Base de données'!A$4:A$990,0),12),"")</f>
        <v/>
      </c>
      <c r="D274" s="96"/>
      <c r="E274" s="97"/>
      <c r="F274" s="96"/>
      <c r="G274" s="96"/>
      <c r="H274" s="96"/>
      <c r="I274" s="96"/>
      <c r="J274" s="96"/>
      <c r="K274" s="96"/>
      <c r="L274" s="96"/>
      <c r="M274" s="96"/>
      <c r="N274" s="96"/>
      <c r="O274" s="96"/>
    </row>
    <row r="275" spans="1:15" hidden="1" x14ac:dyDescent="0.25">
      <c r="A275" s="95"/>
      <c r="B275" s="99" t="str">
        <f>IF(A275&lt;&gt;"",INDEX('Base de données'!A$4:L$990,MATCH(A275,'Base de données'!A$4:A$990,0),2),"")</f>
        <v/>
      </c>
      <c r="C275" s="100" t="str">
        <f>IF(A275&lt;&gt;"",INDEX('Base de données'!A$4:L$990,MATCH(A275,'Base de données'!A$4:A$990,0),12),"")</f>
        <v/>
      </c>
      <c r="D275" s="96"/>
      <c r="E275" s="97"/>
      <c r="F275" s="96"/>
      <c r="G275" s="96"/>
      <c r="H275" s="96"/>
      <c r="I275" s="96"/>
      <c r="J275" s="96"/>
      <c r="K275" s="96"/>
      <c r="L275" s="96"/>
      <c r="M275" s="96"/>
      <c r="N275" s="96"/>
      <c r="O275" s="96"/>
    </row>
    <row r="276" spans="1:15" hidden="1" x14ac:dyDescent="0.25">
      <c r="A276" s="95"/>
      <c r="B276" s="99" t="str">
        <f>IF(A276&lt;&gt;"",INDEX('Base de données'!A$4:L$990,MATCH(A276,'Base de données'!A$4:A$990,0),2),"")</f>
        <v/>
      </c>
      <c r="C276" s="100" t="str">
        <f>IF(A276&lt;&gt;"",INDEX('Base de données'!A$4:L$990,MATCH(A276,'Base de données'!A$4:A$990,0),12),"")</f>
        <v/>
      </c>
      <c r="D276" s="96"/>
      <c r="E276" s="97"/>
      <c r="F276" s="96"/>
      <c r="G276" s="96"/>
      <c r="H276" s="96"/>
      <c r="I276" s="96"/>
      <c r="J276" s="96"/>
      <c r="K276" s="96"/>
      <c r="L276" s="96"/>
      <c r="M276" s="96"/>
      <c r="N276" s="96"/>
      <c r="O276" s="96"/>
    </row>
    <row r="277" spans="1:15" hidden="1" x14ac:dyDescent="0.25">
      <c r="A277" s="95"/>
      <c r="B277" s="99" t="str">
        <f>IF(A277&lt;&gt;"",INDEX('Base de données'!A$4:L$990,MATCH(A277,'Base de données'!A$4:A$990,0),2),"")</f>
        <v/>
      </c>
      <c r="C277" s="100" t="str">
        <f>IF(A277&lt;&gt;"",INDEX('Base de données'!A$4:L$990,MATCH(A277,'Base de données'!A$4:A$990,0),12),"")</f>
        <v/>
      </c>
      <c r="D277" s="96"/>
      <c r="E277" s="97"/>
      <c r="F277" s="96"/>
      <c r="G277" s="96"/>
      <c r="H277" s="96"/>
      <c r="I277" s="96"/>
      <c r="J277" s="96"/>
      <c r="K277" s="96"/>
      <c r="L277" s="96"/>
      <c r="M277" s="96"/>
      <c r="N277" s="96"/>
      <c r="O277" s="96"/>
    </row>
    <row r="278" spans="1:15" hidden="1" x14ac:dyDescent="0.25">
      <c r="A278" s="95"/>
      <c r="B278" s="99" t="str">
        <f>IF(A278&lt;&gt;"",INDEX('Base de données'!A$4:L$990,MATCH(A278,'Base de données'!A$4:A$990,0),2),"")</f>
        <v/>
      </c>
      <c r="C278" s="100" t="str">
        <f>IF(A278&lt;&gt;"",INDEX('Base de données'!A$4:L$990,MATCH(A278,'Base de données'!A$4:A$990,0),12),"")</f>
        <v/>
      </c>
      <c r="D278" s="96"/>
      <c r="E278" s="97"/>
      <c r="F278" s="96"/>
      <c r="G278" s="96"/>
      <c r="H278" s="96"/>
      <c r="I278" s="96"/>
      <c r="J278" s="96"/>
      <c r="K278" s="96"/>
      <c r="L278" s="96"/>
      <c r="M278" s="96"/>
      <c r="N278" s="96"/>
      <c r="O278" s="96"/>
    </row>
    <row r="279" spans="1:15" hidden="1" x14ac:dyDescent="0.25">
      <c r="A279" s="95"/>
      <c r="B279" s="99" t="str">
        <f>IF(A279&lt;&gt;"",INDEX('Base de données'!A$4:L$990,MATCH(A279,'Base de données'!A$4:A$990,0),2),"")</f>
        <v/>
      </c>
      <c r="C279" s="100" t="str">
        <f>IF(A279&lt;&gt;"",INDEX('Base de données'!A$4:L$990,MATCH(A279,'Base de données'!A$4:A$990,0),12),"")</f>
        <v/>
      </c>
      <c r="D279" s="96"/>
      <c r="E279" s="97"/>
      <c r="F279" s="96"/>
      <c r="G279" s="96"/>
      <c r="H279" s="96"/>
      <c r="I279" s="96"/>
      <c r="J279" s="96"/>
      <c r="K279" s="96"/>
      <c r="L279" s="96"/>
      <c r="M279" s="96"/>
      <c r="N279" s="96"/>
      <c r="O279" s="96"/>
    </row>
    <row r="280" spans="1:15" hidden="1" x14ac:dyDescent="0.25">
      <c r="A280" s="95"/>
      <c r="B280" s="99" t="str">
        <f>IF(A280&lt;&gt;"",INDEX('Base de données'!A$4:L$990,MATCH(A280,'Base de données'!A$4:A$990,0),2),"")</f>
        <v/>
      </c>
      <c r="C280" s="100" t="str">
        <f>IF(A280&lt;&gt;"",INDEX('Base de données'!A$4:L$990,MATCH(A280,'Base de données'!A$4:A$990,0),12),"")</f>
        <v/>
      </c>
      <c r="D280" s="96"/>
      <c r="E280" s="97"/>
      <c r="F280" s="96"/>
      <c r="G280" s="96"/>
      <c r="H280" s="96"/>
      <c r="I280" s="96"/>
      <c r="J280" s="96"/>
      <c r="K280" s="96"/>
      <c r="L280" s="96"/>
      <c r="M280" s="96"/>
      <c r="N280" s="96"/>
      <c r="O280" s="96"/>
    </row>
    <row r="281" spans="1:15" hidden="1" x14ac:dyDescent="0.25">
      <c r="A281" s="95"/>
      <c r="B281" s="99" t="str">
        <f>IF(A281&lt;&gt;"",INDEX('Base de données'!A$4:L$990,MATCH(A281,'Base de données'!A$4:A$990,0),2),"")</f>
        <v/>
      </c>
      <c r="C281" s="100" t="str">
        <f>IF(A281&lt;&gt;"",INDEX('Base de données'!A$4:L$990,MATCH(A281,'Base de données'!A$4:A$990,0),12),"")</f>
        <v/>
      </c>
      <c r="D281" s="96"/>
      <c r="E281" s="97"/>
      <c r="F281" s="96"/>
      <c r="G281" s="96"/>
      <c r="H281" s="96"/>
      <c r="I281" s="96"/>
      <c r="J281" s="96"/>
      <c r="K281" s="96"/>
      <c r="L281" s="96"/>
      <c r="M281" s="96"/>
      <c r="N281" s="96"/>
      <c r="O281" s="96"/>
    </row>
  </sheetData>
  <sheetProtection sheet="1" objects="1" scenarios="1" deleteColumns="0" deleteRows="0" selectLockedCells="1" autoFilter="0"/>
  <autoFilter ref="A11:C281">
    <filterColumn colId="2">
      <filters>
        <filter val="NAJAT SAOUD"/>
      </filters>
    </filterColumn>
  </autoFilter>
  <mergeCells count="1">
    <mergeCell ref="W6:X6"/>
  </mergeCells>
  <conditionalFormatting sqref="A12:A281">
    <cfRule type="duplicateValues" dxfId="103" priority="3"/>
  </conditionalFormatting>
  <dataValidations count="1">
    <dataValidation type="list" allowBlank="1" showInputMessage="1" sqref="S9">
      <formula1>"KHAMISSA HDIMANE,DAOUD ISSKELA,RACHID NAAIMI ,FATIMA EZZAHRA JAIZI,NAJAT SAOUD,MOHAMED ESSAID,Med EGHIZ,HALIMA OUIJANE,FATIMA EZZAHRA AIT AHMED,ZINEB ELKHOUDARI,"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5" operator="greaterThanOrEqual" id="{73A59BD1-3DC1-452D-A5C8-AF302755A8CE}">
            <xm:f>'Calendrier fiscal'!$F$9</xm:f>
            <x14:dxf>
              <fill>
                <patternFill>
                  <bgColor rgb="FFFF0000"/>
                </patternFill>
              </fill>
            </x14:dxf>
          </x14:cfRule>
          <xm:sqref>E124:E281 E12:E106</xm:sqref>
        </x14:conditionalFormatting>
        <x14:conditionalFormatting xmlns:xm="http://schemas.microsoft.com/office/excel/2006/main">
          <x14:cfRule type="cellIs" priority="14" operator="greaterThanOrEqual" id="{D5CC90A5-1BE6-4190-81F7-83A8D0457A3C}">
            <xm:f>'Calendrier fiscal'!$F$8</xm:f>
            <x14:dxf>
              <fill>
                <patternFill>
                  <bgColor rgb="FFFF0000"/>
                </patternFill>
              </fill>
            </x14:dxf>
          </x14:cfRule>
          <xm:sqref>D124:D281 D12:D106</xm:sqref>
        </x14:conditionalFormatting>
        <x14:conditionalFormatting xmlns:xm="http://schemas.microsoft.com/office/excel/2006/main">
          <x14:cfRule type="cellIs" priority="13" operator="greaterThanOrEqual" id="{8263434D-E0E3-41F8-953F-76E0B1EBB555}">
            <xm:f>'Calendrier fiscal'!$F$10</xm:f>
            <x14:dxf>
              <fill>
                <patternFill>
                  <bgColor rgb="FFFF0000"/>
                </patternFill>
              </fill>
            </x14:dxf>
          </x14:cfRule>
          <xm:sqref>F124:F281 F12:F106</xm:sqref>
        </x14:conditionalFormatting>
        <x14:conditionalFormatting xmlns:xm="http://schemas.microsoft.com/office/excel/2006/main">
          <x14:cfRule type="cellIs" priority="12" operator="greaterThanOrEqual" id="{5A2C39EB-A554-489A-B435-C66C8C40B30F}">
            <xm:f>'Calendrier fiscal'!$F$11</xm:f>
            <x14:dxf>
              <font>
                <color auto="1"/>
              </font>
              <fill>
                <patternFill>
                  <bgColor rgb="FFFF0000"/>
                </patternFill>
              </fill>
            </x14:dxf>
          </x14:cfRule>
          <xm:sqref>G124:G281 G15:G106</xm:sqref>
        </x14:conditionalFormatting>
        <x14:conditionalFormatting xmlns:xm="http://schemas.microsoft.com/office/excel/2006/main">
          <x14:cfRule type="cellIs" priority="11" operator="greaterThanOrEqual" id="{9E0976D5-D5BE-43D9-B65D-6626CC6E760F}">
            <xm:f>'Calendrier fiscal'!$F$13</xm:f>
            <x14:dxf>
              <fill>
                <patternFill>
                  <bgColor rgb="FFFF0000"/>
                </patternFill>
              </fill>
            </x14:dxf>
          </x14:cfRule>
          <xm:sqref>I124:I281 I12:I106</xm:sqref>
        </x14:conditionalFormatting>
        <x14:conditionalFormatting xmlns:xm="http://schemas.microsoft.com/office/excel/2006/main">
          <x14:cfRule type="cellIs" priority="10" operator="greaterThanOrEqual" id="{3F3764E1-7D7C-4B6A-8963-FE1E285F526D}">
            <xm:f>'Calendrier fiscal'!$F$12</xm:f>
            <x14:dxf>
              <fill>
                <patternFill>
                  <bgColor rgb="FFFF0000"/>
                </patternFill>
              </fill>
            </x14:dxf>
          </x14:cfRule>
          <xm:sqref>H124:H281 H12:H106</xm:sqref>
        </x14:conditionalFormatting>
        <x14:conditionalFormatting xmlns:xm="http://schemas.microsoft.com/office/excel/2006/main">
          <x14:cfRule type="cellIs" priority="9" operator="greaterThanOrEqual" id="{D1224957-ECFD-4555-AAE7-3ACFA28D4539}">
            <xm:f>'Calendrier fiscal'!$F$14</xm:f>
            <x14:dxf>
              <font>
                <color auto="1"/>
              </font>
              <fill>
                <patternFill>
                  <bgColor rgb="FFFF0000"/>
                </patternFill>
              </fill>
            </x14:dxf>
          </x14:cfRule>
          <xm:sqref>J108:J114 J122:J281 J12:J106</xm:sqref>
        </x14:conditionalFormatting>
        <x14:conditionalFormatting xmlns:xm="http://schemas.microsoft.com/office/excel/2006/main">
          <x14:cfRule type="cellIs" priority="8" operator="greaterThanOrEqual" id="{EEEC526E-E4FE-471F-BBD1-EF087CF0D27B}">
            <xm:f>'Calendrier fiscal'!$F$15</xm:f>
            <x14:dxf>
              <fill>
                <patternFill>
                  <bgColor rgb="FFFF0000"/>
                </patternFill>
              </fill>
            </x14:dxf>
          </x14:cfRule>
          <xm:sqref>K12:K281</xm:sqref>
        </x14:conditionalFormatting>
        <x14:conditionalFormatting xmlns:xm="http://schemas.microsoft.com/office/excel/2006/main">
          <x14:cfRule type="cellIs" priority="7" operator="greaterThanOrEqual" id="{4305A9E0-C7A5-4DCA-B280-90EA37340A2F}">
            <xm:f>'Calendrier fiscal'!$F$16</xm:f>
            <x14:dxf>
              <fill>
                <patternFill>
                  <bgColor rgb="FFFF0000"/>
                </patternFill>
              </fill>
            </x14:dxf>
          </x14:cfRule>
          <xm:sqref>L12:L281</xm:sqref>
        </x14:conditionalFormatting>
        <x14:conditionalFormatting xmlns:xm="http://schemas.microsoft.com/office/excel/2006/main">
          <x14:cfRule type="cellIs" priority="6" operator="greaterThanOrEqual" id="{15310DBD-A73C-47F3-8927-EA605241F0D7}">
            <xm:f>'Calendrier fiscal'!$F$17</xm:f>
            <x14:dxf>
              <fill>
                <patternFill>
                  <bgColor rgb="FFFF0000"/>
                </patternFill>
              </fill>
            </x14:dxf>
          </x14:cfRule>
          <xm:sqref>M12:M281</xm:sqref>
        </x14:conditionalFormatting>
        <x14:conditionalFormatting xmlns:xm="http://schemas.microsoft.com/office/excel/2006/main">
          <x14:cfRule type="cellIs" priority="5" operator="greaterThanOrEqual" id="{0BCBC5DF-CCCB-4765-99CA-CB95FE108A19}">
            <xm:f>'Calendrier fiscal'!$F$18</xm:f>
            <x14:dxf>
              <fill>
                <patternFill>
                  <bgColor rgb="FFFF0000"/>
                </patternFill>
              </fill>
            </x14:dxf>
          </x14:cfRule>
          <xm:sqref>N12:N281</xm:sqref>
        </x14:conditionalFormatting>
        <x14:conditionalFormatting xmlns:xm="http://schemas.microsoft.com/office/excel/2006/main">
          <x14:cfRule type="cellIs" priority="4" operator="greaterThanOrEqual" id="{9D747A8B-11A5-4EF7-B593-4B2D364311BF}">
            <xm:f>'Calendrier fiscal'!$F$19</xm:f>
            <x14:dxf>
              <fill>
                <patternFill>
                  <bgColor rgb="FFFF0000"/>
                </patternFill>
              </fill>
            </x14:dxf>
          </x14:cfRule>
          <xm:sqref>O12:O281</xm:sqref>
        </x14:conditionalFormatting>
        <x14:conditionalFormatting xmlns:xm="http://schemas.microsoft.com/office/excel/2006/main">
          <x14:cfRule type="cellIs" priority="2" operator="greaterThanOrEqual" id="{875449F0-7E36-4297-BC1A-D0F3D7ECC611}">
            <xm:f>'Calendrier fiscal'!$F$8</xm:f>
            <x14:dxf>
              <fill>
                <patternFill>
                  <bgColor rgb="FFFF0000"/>
                </patternFill>
              </fill>
            </x14:dxf>
          </x14:cfRule>
          <xm:sqref>E20</xm:sqref>
        </x14:conditionalFormatting>
        <x14:conditionalFormatting xmlns:xm="http://schemas.microsoft.com/office/excel/2006/main">
          <x14:cfRule type="cellIs" priority="1" operator="greaterThanOrEqual" id="{24EE81A4-F2E5-4F9A-9D4F-A48E015EFD4D}">
            <xm:f>'Calendrier fiscal'!$F$17</xm:f>
            <x14:dxf>
              <fill>
                <patternFill>
                  <bgColor rgb="FFFF0000"/>
                </patternFill>
              </fill>
            </x14:dxf>
          </x14:cfRule>
          <xm:sqref>D107:I123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 filterMode="1">
    <tabColor rgb="FF7030A0"/>
  </sheetPr>
  <dimension ref="A1:AQ1551"/>
  <sheetViews>
    <sheetView showGridLines="0" showRowColHeaders="0" zoomScale="80" zoomScaleNormal="8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AA11" sqref="AA11"/>
    </sheetView>
  </sheetViews>
  <sheetFormatPr baseColWidth="10" defaultColWidth="11.42578125" defaultRowHeight="15" x14ac:dyDescent="0.25"/>
  <cols>
    <col min="1" max="1" width="11.42578125" style="55"/>
    <col min="2" max="2" width="25" style="55" customWidth="1"/>
    <col min="3" max="3" width="20.7109375" style="55" customWidth="1"/>
    <col min="4" max="4" width="13.28515625" style="55" customWidth="1"/>
    <col min="5" max="5" width="17" style="55" bestFit="1" customWidth="1"/>
    <col min="6" max="6" width="13.5703125" style="55" bestFit="1" customWidth="1"/>
    <col min="7" max="7" width="17" style="55" bestFit="1" customWidth="1"/>
    <col min="8" max="8" width="14.5703125" style="55" customWidth="1"/>
    <col min="9" max="9" width="18.140625" style="55" customWidth="1"/>
    <col min="10" max="10" width="13.5703125" style="55" bestFit="1" customWidth="1"/>
    <col min="11" max="11" width="17" style="55" bestFit="1" customWidth="1"/>
    <col min="12" max="12" width="13.5703125" style="55" bestFit="1" customWidth="1"/>
    <col min="13" max="13" width="17" style="55" bestFit="1" customWidth="1"/>
    <col min="14" max="14" width="13.5703125" style="55" bestFit="1" customWidth="1"/>
    <col min="15" max="15" width="17" style="55" bestFit="1" customWidth="1"/>
    <col min="16" max="16" width="13.5703125" style="55" bestFit="1" customWidth="1"/>
    <col min="17" max="17" width="17" style="55" bestFit="1" customWidth="1"/>
    <col min="18" max="18" width="13.5703125" style="55" bestFit="1" customWidth="1"/>
    <col min="19" max="19" width="17" style="55" bestFit="1" customWidth="1"/>
    <col min="20" max="20" width="13.5703125" style="55" bestFit="1" customWidth="1"/>
    <col min="21" max="21" width="17" style="55" bestFit="1" customWidth="1"/>
    <col min="22" max="22" width="13.5703125" style="55" bestFit="1" customWidth="1"/>
    <col min="23" max="23" width="17" style="55" bestFit="1" customWidth="1"/>
    <col min="24" max="24" width="13.5703125" style="55" bestFit="1" customWidth="1"/>
    <col min="25" max="25" width="17" style="55" bestFit="1" customWidth="1"/>
    <col min="26" max="26" width="13.5703125" style="55" bestFit="1" customWidth="1"/>
    <col min="27" max="27" width="17" style="55" bestFit="1" customWidth="1"/>
    <col min="28" max="28" width="5.42578125" style="55" customWidth="1"/>
    <col min="29" max="29" width="13.140625" style="55" bestFit="1" customWidth="1"/>
    <col min="30" max="30" width="13.42578125" style="55" customWidth="1"/>
    <col min="31" max="31" width="15.7109375" style="55" customWidth="1"/>
    <col min="32" max="32" width="11.42578125" style="55" customWidth="1"/>
    <col min="33" max="33" width="7.85546875" style="55" customWidth="1"/>
    <col min="34" max="34" width="12.28515625" style="55" customWidth="1"/>
    <col min="35" max="16384" width="11.42578125" style="55"/>
  </cols>
  <sheetData>
    <row r="1" spans="1:43" x14ac:dyDescent="0.25">
      <c r="D1" s="472">
        <f>COUNTA(D9:D356)</f>
        <v>12</v>
      </c>
      <c r="E1" s="473">
        <f>D2/D1</f>
        <v>0.41666666666666669</v>
      </c>
      <c r="F1" s="474">
        <f>COUNTA(F9:F356)</f>
        <v>11</v>
      </c>
      <c r="G1" s="475">
        <f>F2/F1</f>
        <v>0.36363636363636365</v>
      </c>
      <c r="H1" s="472">
        <f>COUNTA(H9:H356)</f>
        <v>9</v>
      </c>
      <c r="I1" s="476">
        <f>H2/H1</f>
        <v>0.22222222222222221</v>
      </c>
      <c r="J1" s="477">
        <f>COUNTA(J9:J356)</f>
        <v>9</v>
      </c>
      <c r="K1" s="478">
        <f>J2/J1</f>
        <v>0.55555555555555558</v>
      </c>
      <c r="L1" s="472">
        <f>COUNTA(L9:L356)</f>
        <v>5</v>
      </c>
      <c r="M1" s="473">
        <f>L2/L1</f>
        <v>0.8</v>
      </c>
      <c r="N1" s="472">
        <f>COUNTA(N9:N356)</f>
        <v>6</v>
      </c>
      <c r="O1" s="473">
        <f>N2/N1</f>
        <v>0.83333333333333337</v>
      </c>
      <c r="P1" s="472">
        <f>COUNTA(P9:P356)</f>
        <v>7</v>
      </c>
      <c r="Q1" s="473">
        <f>P2/P1</f>
        <v>0.8571428571428571</v>
      </c>
      <c r="R1" s="56">
        <f>COUNTA(R9:R356)</f>
        <v>6</v>
      </c>
      <c r="S1" s="57">
        <f>R2/R1</f>
        <v>0.66666666666666663</v>
      </c>
      <c r="T1" s="472">
        <f>COUNTA(T9:T356)</f>
        <v>2</v>
      </c>
      <c r="U1" s="473">
        <f>T2/T1</f>
        <v>0.5</v>
      </c>
      <c r="V1" s="56">
        <f>COUNTA(V9:V356)</f>
        <v>2</v>
      </c>
      <c r="W1" s="57">
        <f>V2/V1</f>
        <v>0</v>
      </c>
      <c r="X1" s="56">
        <f>COUNTA(X9:X56)</f>
        <v>1</v>
      </c>
      <c r="Y1" s="57">
        <f>X2/X1</f>
        <v>1</v>
      </c>
      <c r="Z1" s="56">
        <f>COUNTA(Z9:Z56)</f>
        <v>1</v>
      </c>
      <c r="AA1" s="57">
        <f>Z2/Z1</f>
        <v>0</v>
      </c>
    </row>
    <row r="2" spans="1:43" x14ac:dyDescent="0.25">
      <c r="D2" s="472">
        <f>COUNTIF(D9:D356,"&lt;="&amp;'Calendrier fiscal'!E8)</f>
        <v>5</v>
      </c>
      <c r="E2" s="473">
        <f>D3/D1</f>
        <v>0.83333333333333337</v>
      </c>
      <c r="F2" s="474">
        <f>COUNTIF(F9:F356,"&lt;="&amp;'Calendrier fiscal'!E9)</f>
        <v>4</v>
      </c>
      <c r="G2" s="475">
        <f>F3/F1</f>
        <v>0.90909090909090906</v>
      </c>
      <c r="H2" s="472">
        <f>COUNTIF(H9:H356,"&lt;="&amp;'Calendrier fiscal'!E10)</f>
        <v>2</v>
      </c>
      <c r="I2" s="476">
        <f>H3/H1</f>
        <v>0.77777777777777779</v>
      </c>
      <c r="J2" s="477">
        <f>COUNTIF(J9:J356,"&lt;="&amp;'Calendrier fiscal'!E11)</f>
        <v>5</v>
      </c>
      <c r="K2" s="478">
        <f>J3/J1</f>
        <v>0.66666666666666663</v>
      </c>
      <c r="L2" s="472">
        <f>COUNTIF(L9:L356,"&lt;="&amp;'Calendrier fiscal'!E12)</f>
        <v>4</v>
      </c>
      <c r="M2" s="473">
        <f>L3/L1</f>
        <v>0.8</v>
      </c>
      <c r="N2" s="472">
        <f>COUNTIF(N9:N356,"&lt;="&amp;'Calendrier fiscal'!E13)</f>
        <v>5</v>
      </c>
      <c r="O2" s="473">
        <f>N3/N1</f>
        <v>0.83333333333333337</v>
      </c>
      <c r="P2" s="472">
        <f>COUNTIF(P9:P356,"&lt;="&amp;'Calendrier fiscal'!E14)</f>
        <v>6</v>
      </c>
      <c r="Q2" s="473">
        <f>P3/P1</f>
        <v>0.8571428571428571</v>
      </c>
      <c r="R2" s="56">
        <f>COUNTIF(R9:R356,"&lt;="&amp;'Calendrier fiscal'!E15)</f>
        <v>4</v>
      </c>
      <c r="S2" s="57">
        <f>R3/R1</f>
        <v>0.83333333333333337</v>
      </c>
      <c r="T2" s="472">
        <f>COUNTIF(T9:T356,"&lt;="&amp;'Calendrier fiscal'!E16)</f>
        <v>1</v>
      </c>
      <c r="U2" s="473">
        <f>T3/T1</f>
        <v>0.5</v>
      </c>
      <c r="V2" s="56">
        <f>COUNTIF(V9:V356,"&lt;="&amp;'Calendrier fiscal'!E17)</f>
        <v>0</v>
      </c>
      <c r="W2" s="57">
        <f>V3/V1</f>
        <v>0</v>
      </c>
      <c r="X2" s="56">
        <f>COUNTIF(X9:X356,"&lt;="&amp;'Calendrier fiscal'!E18)</f>
        <v>1</v>
      </c>
      <c r="Y2" s="57">
        <f>X3/X1</f>
        <v>1</v>
      </c>
      <c r="Z2" s="56">
        <f>COUNTIF(Z9:Z356,"&lt;="&amp;'Calendrier fiscal'!C19)</f>
        <v>0</v>
      </c>
      <c r="AA2" s="57">
        <f>Z3/Z1</f>
        <v>0</v>
      </c>
    </row>
    <row r="3" spans="1:43" x14ac:dyDescent="0.25">
      <c r="A3" s="54">
        <v>70</v>
      </c>
      <c r="D3" s="472">
        <f>COUNTIF(D9:D356,"&lt;="&amp;'Calendrier fiscal'!D8)</f>
        <v>10</v>
      </c>
      <c r="E3" s="473">
        <f>E1</f>
        <v>0.41666666666666669</v>
      </c>
      <c r="F3" s="474">
        <f>COUNTIF(F9:F356,"&lt;="&amp;'Calendrier fiscal'!D9)</f>
        <v>10</v>
      </c>
      <c r="G3" s="475">
        <f>G1</f>
        <v>0.36363636363636365</v>
      </c>
      <c r="H3" s="472">
        <f>COUNTIF(H9:H356,"&lt;="&amp;'Calendrier fiscal'!D10)</f>
        <v>7</v>
      </c>
      <c r="I3" s="476">
        <f>I1</f>
        <v>0.22222222222222221</v>
      </c>
      <c r="J3" s="477">
        <f>COUNTIF(J9:J356,"&lt;="&amp;'Calendrier fiscal'!D11)</f>
        <v>6</v>
      </c>
      <c r="K3" s="478">
        <f>K1</f>
        <v>0.55555555555555558</v>
      </c>
      <c r="L3" s="472">
        <f>COUNTIF(L9:L356,"&lt;="&amp;'Calendrier fiscal'!D12)</f>
        <v>4</v>
      </c>
      <c r="M3" s="473">
        <f>M1</f>
        <v>0.8</v>
      </c>
      <c r="N3" s="472">
        <f>COUNTIF(N9:N356,"&lt;="&amp;'Calendrier fiscal'!D13)</f>
        <v>5</v>
      </c>
      <c r="O3" s="473">
        <f>O1</f>
        <v>0.83333333333333337</v>
      </c>
      <c r="P3" s="472">
        <f>COUNTIF(P9:P356,"&lt;="&amp;'Calendrier fiscal'!D14)</f>
        <v>6</v>
      </c>
      <c r="Q3" s="473">
        <f>Q1</f>
        <v>0.8571428571428571</v>
      </c>
      <c r="R3" s="56">
        <f>COUNTIF(R9:R356,"&lt;="&amp;'Calendrier fiscal'!D15)</f>
        <v>5</v>
      </c>
      <c r="S3" s="57">
        <f>S1</f>
        <v>0.66666666666666663</v>
      </c>
      <c r="T3" s="472">
        <f>COUNTIF(T9:T356,"&lt;="&amp;'Calendrier fiscal'!B16)</f>
        <v>1</v>
      </c>
      <c r="U3" s="473">
        <f>U1</f>
        <v>0.5</v>
      </c>
      <c r="V3" s="56">
        <f>COUNTIF(V9:V356,"&lt;="&amp;'Calendrier fiscal'!E17)</f>
        <v>0</v>
      </c>
      <c r="W3" s="57">
        <f>W1</f>
        <v>0</v>
      </c>
      <c r="X3" s="56">
        <f>COUNTIF(X9:X356,"&lt;="&amp;'Calendrier fiscal'!D18)</f>
        <v>1</v>
      </c>
      <c r="Y3" s="57">
        <f>Y1</f>
        <v>1</v>
      </c>
      <c r="Z3" s="56">
        <f>COUNTIF(Z9:Z356,"&lt;="&amp;'Calendrier fiscal'!D19)</f>
        <v>0</v>
      </c>
      <c r="AA3" s="57">
        <f>AA1</f>
        <v>0</v>
      </c>
    </row>
    <row r="4" spans="1:43" x14ac:dyDescent="0.25">
      <c r="A4" s="54">
        <v>20</v>
      </c>
      <c r="D4" s="472"/>
      <c r="E4" s="479">
        <v>0.02</v>
      </c>
      <c r="F4" s="480"/>
      <c r="G4" s="481">
        <v>0.02</v>
      </c>
      <c r="H4" s="482"/>
      <c r="I4" s="479">
        <v>0.02</v>
      </c>
      <c r="J4" s="483"/>
      <c r="K4" s="484">
        <v>0.02</v>
      </c>
      <c r="L4" s="482"/>
      <c r="M4" s="479">
        <v>0.01</v>
      </c>
      <c r="N4" s="482"/>
      <c r="O4" s="485">
        <v>0.01</v>
      </c>
      <c r="P4" s="482"/>
      <c r="Q4" s="479">
        <v>0.01</v>
      </c>
      <c r="R4" s="58"/>
      <c r="S4" s="59">
        <v>0.01</v>
      </c>
      <c r="T4" s="482"/>
      <c r="U4" s="479">
        <v>0.01</v>
      </c>
      <c r="V4" s="58"/>
      <c r="W4" s="59">
        <v>0.02</v>
      </c>
      <c r="X4" s="58"/>
      <c r="Y4" s="59">
        <v>0.01</v>
      </c>
      <c r="Z4" s="58"/>
      <c r="AA4" s="59">
        <v>0.01</v>
      </c>
    </row>
    <row r="5" spans="1:43" ht="16.5" customHeight="1" x14ac:dyDescent="0.25">
      <c r="A5" s="54">
        <v>10</v>
      </c>
      <c r="D5" s="472"/>
      <c r="E5" s="479">
        <f>102%-SUM(E3:E4)</f>
        <v>0.58333333333333326</v>
      </c>
      <c r="F5" s="480"/>
      <c r="G5" s="481">
        <f>G6-SUM(G3:G4)</f>
        <v>0.63636363636363635</v>
      </c>
      <c r="H5" s="482"/>
      <c r="I5" s="479">
        <f>1.02-SUM(I3:I4)</f>
        <v>0.77777777777777779</v>
      </c>
      <c r="J5" s="483"/>
      <c r="K5" s="484">
        <f>1.02-SUM(K3:K4)</f>
        <v>0.44444444444444442</v>
      </c>
      <c r="L5" s="482"/>
      <c r="M5" s="479">
        <f>M6-SUM(M3:M4)</f>
        <v>0.20999999999999996</v>
      </c>
      <c r="N5" s="482"/>
      <c r="O5" s="479">
        <f>1.02-SUM(O3:O4)</f>
        <v>0.17666666666666664</v>
      </c>
      <c r="P5" s="482"/>
      <c r="Q5" s="479">
        <f>1.02-SUM(Q3:Q4)</f>
        <v>0.15285714285714291</v>
      </c>
      <c r="R5" s="58"/>
      <c r="S5" s="59">
        <f>1.02-SUM(S3:S4)</f>
        <v>0.34333333333333338</v>
      </c>
      <c r="T5" s="482"/>
      <c r="U5" s="479">
        <f>1.02-SUM(U3:U4)</f>
        <v>0.51</v>
      </c>
      <c r="V5" s="58"/>
      <c r="W5" s="59">
        <f>W6-SUM(W3:W4)</f>
        <v>1</v>
      </c>
      <c r="X5" s="58"/>
      <c r="Y5" s="59">
        <f>Y6-SUM(Y3:Y4)</f>
        <v>0</v>
      </c>
      <c r="Z5" s="58"/>
      <c r="AA5" s="59">
        <f>AA6-SUM(AA3:AA4)</f>
        <v>1.01</v>
      </c>
    </row>
    <row r="6" spans="1:43" ht="15.75" thickBot="1" x14ac:dyDescent="0.3">
      <c r="A6" s="54">
        <f>SUM(A3:A5)</f>
        <v>100</v>
      </c>
      <c r="D6" s="472"/>
      <c r="E6" s="479">
        <f>SUM(E3:E5)</f>
        <v>1.02</v>
      </c>
      <c r="F6" s="480"/>
      <c r="G6" s="481">
        <v>1.02</v>
      </c>
      <c r="H6" s="482"/>
      <c r="I6" s="479">
        <v>1.02</v>
      </c>
      <c r="J6" s="483"/>
      <c r="K6" s="484">
        <v>1.02</v>
      </c>
      <c r="L6" s="482"/>
      <c r="M6" s="479">
        <v>1.02</v>
      </c>
      <c r="N6" s="482"/>
      <c r="O6" s="479">
        <v>1.02</v>
      </c>
      <c r="P6" s="482"/>
      <c r="Q6" s="479">
        <v>1.02</v>
      </c>
      <c r="R6" s="58"/>
      <c r="S6" s="59">
        <v>1.02</v>
      </c>
      <c r="T6" s="482"/>
      <c r="U6" s="479">
        <v>1.02</v>
      </c>
      <c r="V6" s="58"/>
      <c r="W6" s="59">
        <v>1.02</v>
      </c>
      <c r="X6" s="58"/>
      <c r="Y6" s="59">
        <v>1.01</v>
      </c>
      <c r="Z6" s="58"/>
      <c r="AA6" s="59">
        <v>1.02</v>
      </c>
    </row>
    <row r="7" spans="1:43" ht="16.5" thickTop="1" thickBot="1" x14ac:dyDescent="0.3">
      <c r="D7" s="650" t="s">
        <v>481</v>
      </c>
      <c r="E7" s="651"/>
      <c r="F7" s="652" t="s">
        <v>484</v>
      </c>
      <c r="G7" s="653"/>
      <c r="H7" s="654" t="s">
        <v>485</v>
      </c>
      <c r="I7" s="655"/>
      <c r="J7" s="655" t="s">
        <v>486</v>
      </c>
      <c r="K7" s="655"/>
      <c r="L7" s="655" t="s">
        <v>487</v>
      </c>
      <c r="M7" s="655"/>
      <c r="N7" s="655" t="s">
        <v>488</v>
      </c>
      <c r="O7" s="655"/>
      <c r="P7" s="648" t="s">
        <v>489</v>
      </c>
      <c r="Q7" s="648"/>
      <c r="R7" s="648" t="s">
        <v>490</v>
      </c>
      <c r="S7" s="648"/>
      <c r="T7" s="648" t="s">
        <v>491</v>
      </c>
      <c r="U7" s="648"/>
      <c r="V7" s="648" t="s">
        <v>492</v>
      </c>
      <c r="W7" s="648"/>
      <c r="X7" s="648" t="s">
        <v>493</v>
      </c>
      <c r="Y7" s="648"/>
      <c r="Z7" s="648" t="s">
        <v>494</v>
      </c>
      <c r="AA7" s="649"/>
      <c r="AB7" s="68"/>
      <c r="AG7" s="68"/>
      <c r="AH7" s="627"/>
      <c r="AI7" s="627"/>
      <c r="AJ7" s="627"/>
      <c r="AK7" s="627"/>
      <c r="AL7" s="627"/>
      <c r="AM7" s="627"/>
      <c r="AN7" s="627"/>
      <c r="AO7" s="627"/>
      <c r="AP7" s="627"/>
      <c r="AQ7" s="627"/>
    </row>
    <row r="8" spans="1:43" ht="29.25" customHeight="1" thickBot="1" x14ac:dyDescent="0.3">
      <c r="A8" s="101" t="s">
        <v>478</v>
      </c>
      <c r="B8" s="101" t="s">
        <v>479</v>
      </c>
      <c r="C8" s="103" t="s">
        <v>480</v>
      </c>
      <c r="D8" s="104" t="s">
        <v>482</v>
      </c>
      <c r="E8" s="108" t="s">
        <v>483</v>
      </c>
      <c r="F8" s="110" t="s">
        <v>482</v>
      </c>
      <c r="G8" s="111" t="s">
        <v>483</v>
      </c>
      <c r="H8" s="109" t="s">
        <v>482</v>
      </c>
      <c r="I8" s="105" t="s">
        <v>483</v>
      </c>
      <c r="J8" s="105" t="s">
        <v>482</v>
      </c>
      <c r="K8" s="105" t="s">
        <v>483</v>
      </c>
      <c r="L8" s="105" t="s">
        <v>482</v>
      </c>
      <c r="M8" s="105" t="s">
        <v>483</v>
      </c>
      <c r="N8" s="105" t="s">
        <v>482</v>
      </c>
      <c r="O8" s="105" t="s">
        <v>483</v>
      </c>
      <c r="P8" s="106" t="s">
        <v>482</v>
      </c>
      <c r="Q8" s="106" t="s">
        <v>483</v>
      </c>
      <c r="R8" s="106" t="s">
        <v>482</v>
      </c>
      <c r="S8" s="106" t="s">
        <v>483</v>
      </c>
      <c r="T8" s="106" t="s">
        <v>482</v>
      </c>
      <c r="U8" s="106" t="s">
        <v>483</v>
      </c>
      <c r="V8" s="106" t="s">
        <v>482</v>
      </c>
      <c r="W8" s="106" t="s">
        <v>483</v>
      </c>
      <c r="X8" s="106" t="s">
        <v>482</v>
      </c>
      <c r="Y8" s="106" t="s">
        <v>483</v>
      </c>
      <c r="Z8" s="106" t="s">
        <v>482</v>
      </c>
      <c r="AA8" s="107" t="s">
        <v>483</v>
      </c>
      <c r="AD8" s="75" t="s">
        <v>608</v>
      </c>
      <c r="AE8" s="134" t="s">
        <v>586</v>
      </c>
    </row>
    <row r="9" spans="1:43" ht="15.75" thickTop="1" x14ac:dyDescent="0.25">
      <c r="A9" s="486">
        <v>189</v>
      </c>
      <c r="B9" s="102" t="str">
        <f>IF(A9&lt;&gt;"",INDEX('Base de données'!A$4:L$990,MATCH(A9,'Base de données'!A$4:A$990,0),2),"")</f>
        <v xml:space="preserve">BE MARRAKECH </v>
      </c>
      <c r="C9" s="112" t="str">
        <f>IF(A9&lt;&gt;"",INDEX('Base de données'!A$4:L$990,MATCH(A9,'Base de données'!A$4:A$990,0),12),"")</f>
        <v>NAJAT SAOUD</v>
      </c>
      <c r="D9" s="487">
        <v>43889</v>
      </c>
      <c r="E9" s="488" t="s">
        <v>1248</v>
      </c>
      <c r="F9" s="489">
        <v>43919</v>
      </c>
      <c r="G9" s="490" t="s">
        <v>1408</v>
      </c>
      <c r="H9" s="491"/>
      <c r="I9" s="492"/>
      <c r="J9" s="493"/>
      <c r="K9" s="494"/>
      <c r="L9" s="495"/>
      <c r="M9" s="496"/>
      <c r="N9" s="497"/>
      <c r="O9" s="498"/>
      <c r="P9" s="499"/>
      <c r="Q9" s="500"/>
      <c r="R9" s="501"/>
      <c r="S9" s="502"/>
      <c r="T9" s="503"/>
      <c r="U9" s="504"/>
      <c r="V9" s="505"/>
      <c r="W9" s="506"/>
      <c r="X9" s="505"/>
      <c r="Y9" s="507"/>
      <c r="Z9" s="508"/>
      <c r="AA9" s="509"/>
      <c r="AC9" s="113" t="s">
        <v>486</v>
      </c>
      <c r="AD9" s="113">
        <f>COUNTIFS(C9:C356,AE8,J9:J356,"&lt;&gt;"&amp;"")</f>
        <v>1</v>
      </c>
      <c r="AE9" s="113">
        <f>COUNTIFS(C9:C356,AE8,J9:J356,"&lt;="&amp;'Calendrier fiscal'!E11)</f>
        <v>0</v>
      </c>
      <c r="AF9" s="113">
        <f>COUNTIFS(C9:C356,AE8,J9:J356,"&lt;="&amp;'Calendrier fiscal'!D11)</f>
        <v>0</v>
      </c>
      <c r="AG9" s="113">
        <f t="shared" ref="AG9:AG17" si="0">AD9-AF9</f>
        <v>1</v>
      </c>
      <c r="AH9" s="296">
        <f t="shared" ref="AH9:AH17" si="1">IF(AD9&lt;&gt;0,AF9/AD9,"")</f>
        <v>0</v>
      </c>
      <c r="AI9" s="137">
        <f t="shared" ref="AI9:AI16" si="2">IF(AD9=0,"",AE9/AD9)</f>
        <v>0</v>
      </c>
    </row>
    <row r="10" spans="1:43" x14ac:dyDescent="0.25">
      <c r="A10" s="486">
        <v>160</v>
      </c>
      <c r="B10" s="102" t="str">
        <f>IF(A10&lt;&gt;"",INDEX('Base de données'!A$4:L$990,MATCH(A10,'Base de données'!A$4:A$990,0),2),"")</f>
        <v>ECOLE AL ITQANE 2</v>
      </c>
      <c r="C10" s="112" t="str">
        <f>IF(A10&lt;&gt;"",INDEX('Base de données'!A$4:L$990,MATCH(A10,'Base de données'!A$4:A$990,0),12),"")</f>
        <v>NAJAT SAOUD</v>
      </c>
      <c r="D10" s="487">
        <v>43888</v>
      </c>
      <c r="E10" s="488" t="s">
        <v>1249</v>
      </c>
      <c r="F10" s="489">
        <v>43919</v>
      </c>
      <c r="G10" s="490" t="s">
        <v>1409</v>
      </c>
      <c r="H10" s="491">
        <v>44112</v>
      </c>
      <c r="I10" s="492" t="s">
        <v>1406</v>
      </c>
      <c r="J10" s="493">
        <v>44112</v>
      </c>
      <c r="K10" s="494" t="s">
        <v>1407</v>
      </c>
      <c r="L10" s="495"/>
      <c r="M10" s="496"/>
      <c r="N10" s="497"/>
      <c r="O10" s="498"/>
      <c r="P10" s="499"/>
      <c r="Q10" s="500"/>
      <c r="R10" s="513"/>
      <c r="S10" s="502"/>
      <c r="T10" s="503"/>
      <c r="U10" s="504"/>
      <c r="V10" s="516"/>
      <c r="W10" s="506"/>
      <c r="X10" s="505"/>
      <c r="Y10" s="507"/>
      <c r="Z10" s="508"/>
      <c r="AA10" s="509"/>
      <c r="AC10" s="113" t="s">
        <v>487</v>
      </c>
      <c r="AD10" s="113">
        <f>COUNTIFS(C9:C356,AE8,L9:L356,"&lt;&gt;"&amp;"")</f>
        <v>1</v>
      </c>
      <c r="AE10" s="113">
        <f>COUNTIFS(C9:C356,AE8,L9:L356,"&lt;="&amp;'Calendrier fiscal'!E12)</f>
        <v>1</v>
      </c>
      <c r="AF10" s="113">
        <f>COUNTIFS(C9:C356,AE8,L9:L356,"&lt;="&amp;'Calendrier fiscal'!D12)</f>
        <v>1</v>
      </c>
      <c r="AG10" s="113">
        <f t="shared" si="0"/>
        <v>0</v>
      </c>
      <c r="AH10" s="296">
        <f t="shared" si="1"/>
        <v>1</v>
      </c>
      <c r="AI10" s="137">
        <f t="shared" si="2"/>
        <v>1</v>
      </c>
    </row>
    <row r="11" spans="1:43" x14ac:dyDescent="0.25">
      <c r="A11" s="486">
        <v>224</v>
      </c>
      <c r="B11" s="102" t="str">
        <f>IF(A11&lt;&gt;"",INDEX('Base de données'!A$4:L$990,MATCH(A11,'Base de données'!A$4:A$990,0),2),"")</f>
        <v>JINANE CARS</v>
      </c>
      <c r="C11" s="112" t="str">
        <f>IF(A11&lt;&gt;"",INDEX('Base de données'!A$4:L$990,MATCH(A11,'Base de données'!A$4:A$990,0),12),"")</f>
        <v>NAJAT SAOUD</v>
      </c>
      <c r="D11" s="487">
        <v>43889</v>
      </c>
      <c r="E11" s="488" t="s">
        <v>1250</v>
      </c>
      <c r="F11" s="489">
        <v>43919</v>
      </c>
      <c r="G11" s="490" t="s">
        <v>1440</v>
      </c>
      <c r="H11" s="491"/>
      <c r="I11" s="492"/>
      <c r="J11" s="493"/>
      <c r="K11" s="494"/>
      <c r="L11" s="495"/>
      <c r="M11" s="496"/>
      <c r="N11" s="497"/>
      <c r="O11" s="498"/>
      <c r="P11" s="499"/>
      <c r="Q11" s="500"/>
      <c r="R11" s="501"/>
      <c r="S11" s="502"/>
      <c r="T11" s="503"/>
      <c r="U11" s="504"/>
      <c r="V11" s="505"/>
      <c r="W11" s="506"/>
      <c r="X11" s="505"/>
      <c r="Y11" s="507"/>
      <c r="Z11" s="618"/>
      <c r="AA11" s="509"/>
      <c r="AC11" s="113" t="s">
        <v>488</v>
      </c>
      <c r="AD11" s="113">
        <f>COUNTIFS(C9:C356,AE8,N9:N356,"&lt;&gt;"&amp;"")</f>
        <v>1</v>
      </c>
      <c r="AE11" s="113">
        <f>COUNTIFS(C9:C356,AE8,N9:N356,"&lt;="&amp;'Calendrier fiscal'!E13)</f>
        <v>1</v>
      </c>
      <c r="AF11" s="113">
        <f>COUNTIFS(C9:C356,AE8,N9:N356,"&lt;="&amp;'Calendrier fiscal'!D13)</f>
        <v>1</v>
      </c>
      <c r="AG11" s="113">
        <f t="shared" si="0"/>
        <v>0</v>
      </c>
      <c r="AH11" s="296">
        <f t="shared" si="1"/>
        <v>1</v>
      </c>
      <c r="AI11" s="137">
        <f t="shared" si="2"/>
        <v>1</v>
      </c>
    </row>
    <row r="12" spans="1:43" hidden="1" x14ac:dyDescent="0.25">
      <c r="A12" s="486">
        <v>279</v>
      </c>
      <c r="B12" s="102" t="str">
        <f>IF(A12&lt;&gt;"",INDEX('Base de données'!A$4:L$990,MATCH(A12,'Base de données'!A$4:A$990,0),2),"")</f>
        <v>SANICLAIR</v>
      </c>
      <c r="C12" s="112" t="str">
        <f>IF(A12&lt;&gt;"",INDEX('Base de données'!A$4:L$990,MATCH(A12,'Base de données'!A$4:A$990,0),12),"")</f>
        <v>FATIMA EZZAHRA JAIZI</v>
      </c>
      <c r="D12" s="487">
        <v>43882</v>
      </c>
      <c r="E12" s="488" t="s">
        <v>1265</v>
      </c>
      <c r="F12" s="489">
        <v>43910</v>
      </c>
      <c r="G12" s="490" t="s">
        <v>1264</v>
      </c>
      <c r="H12" s="491">
        <v>43943</v>
      </c>
      <c r="I12" s="492" t="s">
        <v>1266</v>
      </c>
      <c r="J12" s="493">
        <v>43973</v>
      </c>
      <c r="K12" s="494" t="s">
        <v>1256</v>
      </c>
      <c r="L12" s="495">
        <v>44007</v>
      </c>
      <c r="M12" s="496" t="s">
        <v>1311</v>
      </c>
      <c r="N12" s="497">
        <v>44035</v>
      </c>
      <c r="O12" s="498" t="s">
        <v>1327</v>
      </c>
      <c r="P12" s="499">
        <v>44055</v>
      </c>
      <c r="Q12" s="500" t="s">
        <v>1339</v>
      </c>
      <c r="R12" s="501">
        <v>44098</v>
      </c>
      <c r="S12" s="502" t="s">
        <v>1395</v>
      </c>
      <c r="T12" s="503"/>
      <c r="U12" s="504"/>
      <c r="V12" s="505" t="s">
        <v>1438</v>
      </c>
      <c r="W12" s="506" t="s">
        <v>1439</v>
      </c>
      <c r="X12" s="505"/>
      <c r="Y12" s="507"/>
      <c r="Z12" s="618"/>
      <c r="AA12" s="509"/>
      <c r="AC12" s="113" t="s">
        <v>489</v>
      </c>
      <c r="AD12" s="113">
        <f>COUNTIFS(C9:C356,AE8,P9:P356,"&lt;&gt;"&amp;"")</f>
        <v>0</v>
      </c>
      <c r="AE12" s="113">
        <f>COUNTIFS(C9:C356,AE8,P9:P356,"&lt;="&amp;'Calendrier fiscal'!E14)</f>
        <v>0</v>
      </c>
      <c r="AF12" s="113">
        <f>COUNTIFS(C9:C356,AE8,P9:P356,"&lt;="&amp;'Calendrier fiscal'!D14)</f>
        <v>0</v>
      </c>
      <c r="AG12" s="113">
        <f t="shared" si="0"/>
        <v>0</v>
      </c>
      <c r="AH12" s="296" t="str">
        <f t="shared" si="1"/>
        <v/>
      </c>
      <c r="AI12" s="137" t="str">
        <f t="shared" si="2"/>
        <v/>
      </c>
    </row>
    <row r="13" spans="1:43" hidden="1" x14ac:dyDescent="0.25">
      <c r="A13" s="486">
        <v>244</v>
      </c>
      <c r="B13" s="102" t="str">
        <f>IF(A13&lt;&gt;"",INDEX('Base de données'!A$4:L$990,MATCH(A13,'Base de données'!A$4:A$990,0),2),"")</f>
        <v xml:space="preserve">AKB </v>
      </c>
      <c r="C13" s="112" t="str">
        <f>IF(A13&lt;&gt;"",INDEX('Base de données'!A$4:L$990,MATCH(A13,'Base de données'!A$4:A$990,0),12),"")</f>
        <v>FATIMA EZZAHRA JAIZI</v>
      </c>
      <c r="D13" s="487">
        <v>43886</v>
      </c>
      <c r="E13" s="488" t="s">
        <v>1273</v>
      </c>
      <c r="F13" s="489">
        <v>43910</v>
      </c>
      <c r="G13" s="490" t="s">
        <v>1274</v>
      </c>
      <c r="H13" s="491">
        <v>43951</v>
      </c>
      <c r="I13" s="492" t="s">
        <v>1275</v>
      </c>
      <c r="J13" s="493">
        <v>43978</v>
      </c>
      <c r="K13" s="494" t="s">
        <v>1257</v>
      </c>
      <c r="L13" s="495"/>
      <c r="M13" s="496"/>
      <c r="N13" s="497">
        <v>44036</v>
      </c>
      <c r="O13" s="498" t="s">
        <v>1332</v>
      </c>
      <c r="P13" s="499">
        <v>44050</v>
      </c>
      <c r="Q13" s="500" t="s">
        <v>1335</v>
      </c>
      <c r="R13" s="501"/>
      <c r="S13" s="502"/>
      <c r="T13" s="503"/>
      <c r="U13" s="504"/>
      <c r="V13" s="505"/>
      <c r="W13" s="506"/>
      <c r="X13" s="505"/>
      <c r="Y13" s="507"/>
      <c r="Z13" s="508"/>
      <c r="AA13" s="509"/>
      <c r="AC13" s="113" t="s">
        <v>490</v>
      </c>
      <c r="AD13" s="113">
        <f>COUNTIFS(C9:C356,AE8,R9:R356,"&lt;&gt;"&amp;"")</f>
        <v>0</v>
      </c>
      <c r="AE13" s="113">
        <f>COUNTIFS(C9:C356,AE8,R9:R356,"&lt;="&amp;'Calendrier fiscal'!E15)</f>
        <v>0</v>
      </c>
      <c r="AF13" s="113">
        <f>COUNTIFS(C9:C356,AE8,R9:R356,"&lt;="&amp;'Calendrier fiscal'!D15)</f>
        <v>0</v>
      </c>
      <c r="AG13" s="113">
        <f t="shared" si="0"/>
        <v>0</v>
      </c>
      <c r="AH13" s="296" t="str">
        <f t="shared" si="1"/>
        <v/>
      </c>
      <c r="AI13" s="137" t="str">
        <f t="shared" si="2"/>
        <v/>
      </c>
    </row>
    <row r="14" spans="1:43" hidden="1" x14ac:dyDescent="0.25">
      <c r="A14" s="486">
        <v>110</v>
      </c>
      <c r="B14" s="102" t="str">
        <f>IF(A14&lt;&gt;"",INDEX('Base de données'!A$4:L$990,MATCH(A14,'Base de données'!A$4:A$990,0),2),"")</f>
        <v>CMVAS</v>
      </c>
      <c r="C14" s="112" t="str">
        <f>IF(A14&lt;&gt;"",INDEX('Base de données'!A$4:L$990,MATCH(A14,'Base de données'!A$4:A$990,0),12),"")</f>
        <v>FATIMA EZZAHRA JAIZI</v>
      </c>
      <c r="D14" s="487">
        <v>43889</v>
      </c>
      <c r="E14" s="488" t="s">
        <v>1261</v>
      </c>
      <c r="F14" s="489">
        <v>43910</v>
      </c>
      <c r="G14" s="490" t="s">
        <v>1263</v>
      </c>
      <c r="H14" s="491">
        <v>43950</v>
      </c>
      <c r="I14" s="492" t="s">
        <v>1272</v>
      </c>
      <c r="J14" s="493">
        <v>43978</v>
      </c>
      <c r="K14" s="494" t="s">
        <v>1258</v>
      </c>
      <c r="L14" s="495">
        <v>44009</v>
      </c>
      <c r="M14" s="496" t="s">
        <v>1310</v>
      </c>
      <c r="N14" s="497">
        <v>44036</v>
      </c>
      <c r="O14" s="498" t="s">
        <v>1330</v>
      </c>
      <c r="P14" s="499">
        <v>44050</v>
      </c>
      <c r="Q14" s="500" t="s">
        <v>1336</v>
      </c>
      <c r="R14" s="501">
        <v>44099</v>
      </c>
      <c r="S14" s="502" t="s">
        <v>1399</v>
      </c>
      <c r="T14" s="503">
        <v>44132</v>
      </c>
      <c r="U14" s="504" t="s">
        <v>1421</v>
      </c>
      <c r="V14" s="505"/>
      <c r="W14" s="506"/>
      <c r="X14" s="505"/>
      <c r="Y14" s="507"/>
      <c r="Z14" s="508"/>
      <c r="AA14" s="509"/>
      <c r="AC14" s="113" t="s">
        <v>491</v>
      </c>
      <c r="AD14" s="113">
        <f>COUNTIFS(C9:C356,AE8,T9:T356,"&lt;&gt;"&amp;"")</f>
        <v>0</v>
      </c>
      <c r="AE14" s="113">
        <f>COUNTIFS(C9:C356,AE8,T9:T356,"&lt;="&amp;'Calendrier fiscal'!E16)</f>
        <v>0</v>
      </c>
      <c r="AF14" s="113">
        <f>COUNTIFS(C9:C356,AE8,T9:T356,"&lt;="&amp;'Calendrier fiscal'!D16)</f>
        <v>0</v>
      </c>
      <c r="AG14" s="113">
        <f t="shared" si="0"/>
        <v>0</v>
      </c>
      <c r="AH14" s="296" t="str">
        <f t="shared" si="1"/>
        <v/>
      </c>
      <c r="AI14" s="137" t="str">
        <f t="shared" si="2"/>
        <v/>
      </c>
    </row>
    <row r="15" spans="1:43" hidden="1" x14ac:dyDescent="0.25">
      <c r="A15" s="486">
        <v>222</v>
      </c>
      <c r="B15" s="102" t="str">
        <f>IF(A15&lt;&gt;"",INDEX('Base de données'!A$4:L$990,MATCH(A15,'Base de données'!A$4:A$990,0),2),"")</f>
        <v>PRO-NATURA</v>
      </c>
      <c r="C15" s="112" t="str">
        <f>IF(A15&lt;&gt;"",INDEX('Base de données'!A$4:L$990,MATCH(A15,'Base de données'!A$4:A$990,0),12),"")</f>
        <v>FATIMA EZZAHRA JAIZI</v>
      </c>
      <c r="D15" s="487"/>
      <c r="E15" s="488"/>
      <c r="F15" s="489"/>
      <c r="G15" s="490"/>
      <c r="H15" s="491"/>
      <c r="I15" s="492"/>
      <c r="J15" s="493">
        <v>43978</v>
      </c>
      <c r="K15" s="494" t="s">
        <v>1259</v>
      </c>
      <c r="L15" s="495">
        <v>44007</v>
      </c>
      <c r="M15" s="496" t="s">
        <v>1422</v>
      </c>
      <c r="N15" s="497">
        <v>44036</v>
      </c>
      <c r="O15" s="498" t="s">
        <v>1331</v>
      </c>
      <c r="P15" s="499">
        <v>44050</v>
      </c>
      <c r="Q15" s="500" t="s">
        <v>1333</v>
      </c>
      <c r="R15" s="501">
        <v>44099</v>
      </c>
      <c r="S15" s="502" t="s">
        <v>1397</v>
      </c>
      <c r="T15" s="503"/>
      <c r="U15" s="504"/>
      <c r="V15" s="505"/>
      <c r="W15" s="506"/>
      <c r="X15" s="505"/>
      <c r="Y15" s="507"/>
      <c r="Z15" s="618"/>
      <c r="AA15" s="509"/>
      <c r="AC15" s="113" t="s">
        <v>492</v>
      </c>
      <c r="AD15" s="113">
        <f>COUNTIFS(C9:C356,AE8,V9:V356,"&lt;&gt;"&amp;"")</f>
        <v>0</v>
      </c>
      <c r="AE15" s="113">
        <f>COUNTIFS(C9:C356,AE8,V9:V356,"&lt;="&amp;'Calendrier fiscal'!E17)</f>
        <v>0</v>
      </c>
      <c r="AF15" s="113">
        <f>COUNTIFS(C9:C356,AE8,V9:V356,"&lt;="&amp;'Calendrier fiscal'!D17)</f>
        <v>0</v>
      </c>
      <c r="AG15" s="113">
        <f t="shared" si="0"/>
        <v>0</v>
      </c>
      <c r="AH15" s="296" t="str">
        <f t="shared" si="1"/>
        <v/>
      </c>
      <c r="AI15" s="137" t="str">
        <f t="shared" si="2"/>
        <v/>
      </c>
    </row>
    <row r="16" spans="1:43" hidden="1" x14ac:dyDescent="0.25">
      <c r="A16" s="486">
        <v>29</v>
      </c>
      <c r="B16" s="102" t="str">
        <f>IF(A16&lt;&gt;"",INDEX('Base de données'!A$4:L$990,MATCH(A16,'Base de données'!A$4:A$990,0),2),"")</f>
        <v>HYDROLEADER</v>
      </c>
      <c r="C16" s="112" t="str">
        <f>IF(A16&lt;&gt;"",INDEX('Base de données'!A$4:L$990,MATCH(A16,'Base de données'!A$4:A$990,0),12),"")</f>
        <v>FATIMA EZZAHRA JAIZI</v>
      </c>
      <c r="D16" s="487">
        <v>43889</v>
      </c>
      <c r="E16" s="488" t="s">
        <v>1260</v>
      </c>
      <c r="F16" s="489">
        <v>43921</v>
      </c>
      <c r="G16" s="490" t="s">
        <v>1270</v>
      </c>
      <c r="H16" s="491">
        <v>43949</v>
      </c>
      <c r="I16" s="492" t="s">
        <v>1271</v>
      </c>
      <c r="J16" s="493">
        <v>43978</v>
      </c>
      <c r="K16" s="494" t="s">
        <v>1259</v>
      </c>
      <c r="L16" s="495"/>
      <c r="M16" s="496"/>
      <c r="N16" s="497"/>
      <c r="O16" s="498"/>
      <c r="P16" s="499">
        <v>44050</v>
      </c>
      <c r="Q16" s="500" t="s">
        <v>1334</v>
      </c>
      <c r="R16" s="501">
        <v>44099</v>
      </c>
      <c r="S16" s="502" t="s">
        <v>1396</v>
      </c>
      <c r="T16" s="503"/>
      <c r="U16" s="504"/>
      <c r="V16" s="505"/>
      <c r="W16" s="506"/>
      <c r="X16" s="505"/>
      <c r="Y16" s="507"/>
      <c r="Z16" s="618"/>
      <c r="AA16" s="509"/>
      <c r="AC16" s="113" t="s">
        <v>493</v>
      </c>
      <c r="AD16" s="113">
        <f>COUNTIFS(C9:C356,AE8,X9:X356,"&lt;&gt;"&amp;"")</f>
        <v>0</v>
      </c>
      <c r="AE16" s="113">
        <f>COUNTIFS(C9:C356,AE8,X9:X356,"&lt;="&amp;'Calendrier fiscal'!E18)</f>
        <v>0</v>
      </c>
      <c r="AF16" s="113">
        <f>COUNTIFS(C9:C356,AE8,X9:X356,"&lt;="&amp;'Calendrier fiscal'!D18)</f>
        <v>0</v>
      </c>
      <c r="AG16" s="113">
        <f t="shared" si="0"/>
        <v>0</v>
      </c>
      <c r="AH16" s="296" t="str">
        <f t="shared" si="1"/>
        <v/>
      </c>
      <c r="AI16" s="137" t="str">
        <f t="shared" si="2"/>
        <v/>
      </c>
    </row>
    <row r="17" spans="1:35" hidden="1" x14ac:dyDescent="0.25">
      <c r="A17" s="486">
        <v>278</v>
      </c>
      <c r="B17" s="102" t="str">
        <f>IF(A17&lt;&gt;"",INDEX('Base de données'!A$4:L$990,MATCH(A17,'Base de données'!A$4:A$990,0),2),"")</f>
        <v>GMARK GROUPE</v>
      </c>
      <c r="C17" s="112" t="str">
        <f>IF(A17&lt;&gt;"",INDEX('Base de données'!A$4:L$990,MATCH(A17,'Base de données'!A$4:A$990,0),12),"")</f>
        <v>FATIMA EZZAHRA JAIZI</v>
      </c>
      <c r="D17" s="487">
        <v>43892</v>
      </c>
      <c r="E17" s="488" t="s">
        <v>1262</v>
      </c>
      <c r="F17" s="489">
        <v>43921</v>
      </c>
      <c r="G17" s="490" t="s">
        <v>1267</v>
      </c>
      <c r="H17" s="491">
        <v>43950</v>
      </c>
      <c r="I17" s="492" t="s">
        <v>1268</v>
      </c>
      <c r="J17" s="493">
        <v>43980</v>
      </c>
      <c r="K17" s="494" t="s">
        <v>1269</v>
      </c>
      <c r="L17" s="495"/>
      <c r="M17" s="496"/>
      <c r="N17" s="497"/>
      <c r="O17" s="498"/>
      <c r="P17" s="499">
        <v>44051</v>
      </c>
      <c r="Q17" s="500" t="s">
        <v>1433</v>
      </c>
      <c r="R17" s="501">
        <v>44102</v>
      </c>
      <c r="S17" s="502" t="s">
        <v>1398</v>
      </c>
      <c r="T17" s="503"/>
      <c r="U17" s="504"/>
      <c r="V17" s="505"/>
      <c r="W17" s="506"/>
      <c r="X17" s="505"/>
      <c r="Y17" s="507"/>
      <c r="Z17" s="618"/>
      <c r="AA17" s="509"/>
      <c r="AC17" s="113" t="s">
        <v>494</v>
      </c>
      <c r="AD17" s="113">
        <f>COUNTIFS(C9:C356,AE8,Z9:Z356,"&lt;&gt;"&amp;"")</f>
        <v>0</v>
      </c>
      <c r="AE17" s="113">
        <f>COUNTIFS(C9:C356,AE8,Z9:Z356,"&lt;="&amp;'Calendrier fiscal'!E19)</f>
        <v>0</v>
      </c>
      <c r="AF17" s="113">
        <f>COUNTIFS(C9:C356,AE8,Z9:Z356,"&lt;="&amp;'Calendrier fiscal'!D19)</f>
        <v>0</v>
      </c>
      <c r="AG17" s="113">
        <f t="shared" si="0"/>
        <v>0</v>
      </c>
      <c r="AH17" s="296" t="str">
        <f t="shared" si="1"/>
        <v/>
      </c>
      <c r="AI17" s="137" t="str">
        <f>IF(AD17=0,"",AE17/AD17)</f>
        <v/>
      </c>
    </row>
    <row r="18" spans="1:35" hidden="1" x14ac:dyDescent="0.25">
      <c r="A18" s="486">
        <v>202</v>
      </c>
      <c r="B18" s="102" t="str">
        <f>IF(A18&lt;&gt;"",INDEX('Base de données'!A$4:L$990,MATCH(A18,'Base de données'!A$4:A$990,0),2),"")</f>
        <v xml:space="preserve">LE COMPTOIR ORIENTAL </v>
      </c>
      <c r="C18" s="112" t="str">
        <f>IF(A18&lt;&gt;"",INDEX('Base de données'!A$4:L$990,MATCH(A18,'Base de données'!A$4:A$990,0),12),"")</f>
        <v>FATIMA EZZAHRA JAIZI</v>
      </c>
      <c r="D18" s="487">
        <v>43885</v>
      </c>
      <c r="E18" s="488" t="s">
        <v>1276</v>
      </c>
      <c r="F18" s="489">
        <v>43910</v>
      </c>
      <c r="G18" s="490" t="s">
        <v>1263</v>
      </c>
      <c r="H18" s="491">
        <v>43950</v>
      </c>
      <c r="I18" s="492" t="s">
        <v>1277</v>
      </c>
      <c r="J18" s="493"/>
      <c r="K18" s="494"/>
      <c r="L18" s="495"/>
      <c r="M18" s="496"/>
      <c r="N18" s="497"/>
      <c r="O18" s="498"/>
      <c r="P18" s="499"/>
      <c r="Q18" s="500"/>
      <c r="R18" s="501"/>
      <c r="S18" s="502"/>
      <c r="T18" s="503"/>
      <c r="U18" s="504"/>
      <c r="V18" s="505"/>
      <c r="W18" s="506"/>
      <c r="X18" s="505"/>
      <c r="Y18" s="507"/>
      <c r="Z18" s="618"/>
      <c r="AA18" s="509"/>
    </row>
    <row r="19" spans="1:35" x14ac:dyDescent="0.25">
      <c r="A19" s="486">
        <v>353</v>
      </c>
      <c r="B19" s="102" t="str">
        <f>IF(A19&lt;&gt;"",INDEX('Base de données'!A$4:L$990,MATCH(A19,'Base de données'!A$4:A$990,0),2),"")</f>
        <v xml:space="preserve">K.M.N SARL </v>
      </c>
      <c r="C19" s="112" t="str">
        <f>IF(A19&lt;&gt;"",INDEX('Base de données'!A$4:L$990,MATCH(A19,'Base de données'!A$4:A$990,0),12),"")</f>
        <v>NAJAT SAOUD</v>
      </c>
      <c r="D19" s="487">
        <v>44238</v>
      </c>
      <c r="E19" s="488" t="s">
        <v>1450</v>
      </c>
      <c r="F19" s="489">
        <v>44238</v>
      </c>
      <c r="G19" s="490" t="s">
        <v>1451</v>
      </c>
      <c r="H19" s="491">
        <v>44238</v>
      </c>
      <c r="I19" s="492" t="s">
        <v>1452</v>
      </c>
      <c r="J19" s="493" t="s">
        <v>163</v>
      </c>
      <c r="K19" s="494" t="s">
        <v>163</v>
      </c>
      <c r="L19" s="495" t="s">
        <v>163</v>
      </c>
      <c r="M19" s="496" t="s">
        <v>163</v>
      </c>
      <c r="N19" s="497" t="s">
        <v>163</v>
      </c>
      <c r="O19" s="498" t="s">
        <v>163</v>
      </c>
      <c r="P19" s="499">
        <v>44238</v>
      </c>
      <c r="Q19" s="500" t="s">
        <v>1453</v>
      </c>
      <c r="R19" s="501" t="s">
        <v>1454</v>
      </c>
      <c r="S19" s="502" t="s">
        <v>1455</v>
      </c>
      <c r="T19" s="503">
        <v>44238</v>
      </c>
      <c r="U19" s="504" t="s">
        <v>1456</v>
      </c>
      <c r="V19" s="505">
        <v>44238</v>
      </c>
      <c r="W19" s="506" t="s">
        <v>1457</v>
      </c>
      <c r="X19" s="505">
        <v>44179</v>
      </c>
      <c r="Y19" s="507" t="s">
        <v>1458</v>
      </c>
      <c r="Z19" s="618">
        <v>44238</v>
      </c>
      <c r="AA19" s="509" t="s">
        <v>1459</v>
      </c>
    </row>
    <row r="20" spans="1:35" hidden="1" x14ac:dyDescent="0.25">
      <c r="A20" s="486">
        <v>306</v>
      </c>
      <c r="B20" s="102" t="str">
        <f>IF(A20&lt;&gt;"",INDEX('Base de données'!A$4:L$990,MATCH(A20,'Base de données'!A$4:A$990,0),2),"")</f>
        <v xml:space="preserve">IN STYLE TRAVEL &amp; EVENTS </v>
      </c>
      <c r="C20" s="112" t="str">
        <f>IF(A20&lt;&gt;"",INDEX('Base de données'!A$4:L$990,MATCH(A20,'Base de données'!A$4:A$990,0),12),"")</f>
        <v>FATIMA EZZAHRA AIT AHMED</v>
      </c>
      <c r="D20" s="487">
        <v>43886</v>
      </c>
      <c r="E20" s="488" t="s">
        <v>1352</v>
      </c>
      <c r="F20" s="489">
        <v>43920</v>
      </c>
      <c r="G20" s="490" t="s">
        <v>1353</v>
      </c>
      <c r="H20" s="491">
        <v>43948</v>
      </c>
      <c r="I20" s="492" t="s">
        <v>1354</v>
      </c>
      <c r="J20" s="493">
        <v>43983</v>
      </c>
      <c r="K20" s="494" t="s">
        <v>1355</v>
      </c>
      <c r="L20" s="495">
        <v>44009</v>
      </c>
      <c r="M20" s="496" t="s">
        <v>1356</v>
      </c>
      <c r="N20" s="497">
        <v>44036</v>
      </c>
      <c r="O20" s="498" t="s">
        <v>1357</v>
      </c>
      <c r="P20" s="499"/>
      <c r="Q20" s="500"/>
      <c r="R20" s="501"/>
      <c r="S20" s="502"/>
      <c r="T20" s="503"/>
      <c r="U20" s="504"/>
      <c r="V20" s="505"/>
      <c r="W20" s="506"/>
      <c r="X20" s="505"/>
      <c r="Y20" s="507"/>
      <c r="Z20" s="508"/>
      <c r="AA20" s="509"/>
    </row>
    <row r="21" spans="1:35" hidden="1" x14ac:dyDescent="0.25">
      <c r="A21" s="486">
        <v>205</v>
      </c>
      <c r="B21" s="102" t="str">
        <f>IF(A21&lt;&gt;"",INDEX('Base de données'!A$4:L$990,MATCH(A21,'Base de données'!A$4:A$990,0),2),"")</f>
        <v xml:space="preserve">INTERNATIOANL MARIMA SERVICE </v>
      </c>
      <c r="C21" s="112" t="str">
        <f>IF(A21&lt;&gt;"",INDEX('Base de données'!A$4:L$990,MATCH(A21,'Base de données'!A$4:A$990,0),12),"")</f>
        <v>FATIMA EZZAHRA AIT AHMED</v>
      </c>
      <c r="D21" s="487">
        <v>43886</v>
      </c>
      <c r="E21" s="488" t="s">
        <v>1364</v>
      </c>
      <c r="F21" s="489"/>
      <c r="G21" s="490"/>
      <c r="H21" s="491"/>
      <c r="I21" s="492"/>
      <c r="J21" s="493"/>
      <c r="K21" s="494"/>
      <c r="L21" s="495"/>
      <c r="M21" s="496"/>
      <c r="N21" s="497"/>
      <c r="O21" s="498"/>
      <c r="P21" s="499"/>
      <c r="Q21" s="500"/>
      <c r="R21" s="501"/>
      <c r="S21" s="502"/>
      <c r="T21" s="503"/>
      <c r="U21" s="504"/>
      <c r="V21" s="505"/>
      <c r="W21" s="506"/>
      <c r="X21" s="505"/>
      <c r="Y21" s="507"/>
      <c r="Z21" s="508"/>
      <c r="AA21" s="509"/>
    </row>
    <row r="22" spans="1:35" hidden="1" x14ac:dyDescent="0.25">
      <c r="A22" s="486"/>
      <c r="B22" s="102" t="str">
        <f>IF(A22&lt;&gt;"",INDEX('Base de données'!A$4:L$990,MATCH(A22,'Base de données'!A$4:A$990,0),2),"")</f>
        <v/>
      </c>
      <c r="C22" s="112" t="str">
        <f>IF(A22&lt;&gt;"",INDEX('Base de données'!A$4:L$990,MATCH(A22,'Base de données'!A$4:A$990,0),12),"")</f>
        <v/>
      </c>
      <c r="D22" s="487"/>
      <c r="E22" s="488"/>
      <c r="F22" s="489"/>
      <c r="G22" s="490"/>
      <c r="H22" s="491"/>
      <c r="I22" s="492"/>
      <c r="J22" s="493"/>
      <c r="K22" s="494"/>
      <c r="L22" s="495"/>
      <c r="M22" s="496"/>
      <c r="N22" s="497"/>
      <c r="O22" s="498"/>
      <c r="P22" s="499"/>
      <c r="Q22" s="500"/>
      <c r="R22" s="501"/>
      <c r="S22" s="502"/>
      <c r="T22" s="503"/>
      <c r="U22" s="504"/>
      <c r="V22" s="505"/>
      <c r="W22" s="506"/>
      <c r="X22" s="505"/>
      <c r="Y22" s="507"/>
      <c r="Z22" s="618"/>
      <c r="AA22" s="509"/>
    </row>
    <row r="23" spans="1:35" hidden="1" x14ac:dyDescent="0.25">
      <c r="A23" s="486"/>
      <c r="B23" s="102" t="str">
        <f>IF(A23&lt;&gt;"",INDEX('Base de données'!A$4:L$990,MATCH(A23,'Base de données'!A$4:A$990,0),2),"")</f>
        <v/>
      </c>
      <c r="C23" s="112" t="str">
        <f>IF(A23&lt;&gt;"",INDEX('Base de données'!A$4:L$990,MATCH(A23,'Base de données'!A$4:A$990,0),12),"")</f>
        <v/>
      </c>
      <c r="D23" s="487"/>
      <c r="E23" s="488"/>
      <c r="F23" s="489"/>
      <c r="G23" s="490"/>
      <c r="H23" s="491"/>
      <c r="I23" s="492"/>
      <c r="J23" s="493"/>
      <c r="K23" s="494"/>
      <c r="L23" s="495"/>
      <c r="M23" s="496"/>
      <c r="N23" s="497"/>
      <c r="O23" s="498"/>
      <c r="P23" s="499"/>
      <c r="Q23" s="500"/>
      <c r="R23" s="501"/>
      <c r="S23" s="502"/>
      <c r="T23" s="503"/>
      <c r="U23" s="504"/>
      <c r="V23" s="516"/>
      <c r="W23" s="506"/>
      <c r="X23" s="505"/>
      <c r="Y23" s="507"/>
      <c r="Z23" s="508"/>
      <c r="AA23" s="509"/>
    </row>
    <row r="24" spans="1:35" hidden="1" x14ac:dyDescent="0.25">
      <c r="A24" s="486"/>
      <c r="B24" s="102" t="str">
        <f>IF(A24&lt;&gt;"",INDEX('Base de données'!A$4:L$990,MATCH(A24,'Base de données'!A$4:A$990,0),2),"")</f>
        <v/>
      </c>
      <c r="C24" s="112" t="str">
        <f>IF(A24&lt;&gt;"",INDEX('Base de données'!A$4:L$990,MATCH(A24,'Base de données'!A$4:A$990,0),12),"")</f>
        <v/>
      </c>
      <c r="D24" s="487"/>
      <c r="E24" s="488"/>
      <c r="F24" s="489"/>
      <c r="G24" s="490"/>
      <c r="H24" s="491"/>
      <c r="I24" s="611"/>
      <c r="J24" s="493"/>
      <c r="K24" s="612"/>
      <c r="L24" s="495"/>
      <c r="M24" s="496"/>
      <c r="N24" s="497"/>
      <c r="O24" s="498"/>
      <c r="P24" s="499"/>
      <c r="Q24" s="500"/>
      <c r="R24" s="501"/>
      <c r="S24" s="502"/>
      <c r="T24" s="503"/>
      <c r="U24" s="504"/>
      <c r="V24" s="516"/>
      <c r="W24" s="506"/>
      <c r="X24" s="505"/>
      <c r="Y24" s="507"/>
      <c r="Z24" s="508"/>
      <c r="AA24" s="509"/>
    </row>
    <row r="25" spans="1:35" hidden="1" x14ac:dyDescent="0.25">
      <c r="A25" s="486"/>
      <c r="B25" s="102" t="str">
        <f>IF(A25&lt;&gt;"",INDEX('Base de données'!A$4:L$990,MATCH(A25,'Base de données'!A$4:A$990,0),2),"")</f>
        <v/>
      </c>
      <c r="C25" s="112" t="str">
        <f>IF(A25&lt;&gt;"",INDEX('Base de données'!A$4:L$990,MATCH(A25,'Base de données'!A$4:A$990,0),12),"")</f>
        <v/>
      </c>
      <c r="D25" s="487"/>
      <c r="E25" s="488"/>
      <c r="F25" s="489"/>
      <c r="G25" s="490"/>
      <c r="H25" s="491"/>
      <c r="I25" s="492"/>
      <c r="J25" s="493"/>
      <c r="K25" s="494"/>
      <c r="L25" s="495"/>
      <c r="M25" s="496"/>
      <c r="N25" s="497"/>
      <c r="O25" s="498"/>
      <c r="P25" s="499"/>
      <c r="Q25" s="500"/>
      <c r="R25" s="501"/>
      <c r="S25" s="502"/>
      <c r="T25" s="503"/>
      <c r="U25" s="504"/>
      <c r="V25" s="516"/>
      <c r="W25" s="506"/>
      <c r="X25" s="505"/>
      <c r="Y25" s="507"/>
      <c r="Z25" s="508"/>
      <c r="AA25" s="509"/>
    </row>
    <row r="26" spans="1:35" hidden="1" x14ac:dyDescent="0.25">
      <c r="A26" s="486"/>
      <c r="B26" s="102" t="str">
        <f>IF(A26&lt;&gt;"",INDEX('Base de données'!A$4:L$990,MATCH(A26,'Base de données'!A$4:A$990,0),2),"")</f>
        <v/>
      </c>
      <c r="C26" s="112" t="str">
        <f>IF(A26&lt;&gt;"",INDEX('Base de données'!A$4:L$990,MATCH(A26,'Base de données'!A$4:A$990,0),12),"")</f>
        <v/>
      </c>
      <c r="D26" s="487"/>
      <c r="E26" s="488"/>
      <c r="F26" s="489"/>
      <c r="G26" s="490"/>
      <c r="H26" s="491"/>
      <c r="I26" s="492"/>
      <c r="J26" s="493"/>
      <c r="K26" s="494"/>
      <c r="L26" s="495"/>
      <c r="M26" s="496"/>
      <c r="N26" s="497"/>
      <c r="O26" s="498"/>
      <c r="P26" s="499"/>
      <c r="Q26" s="500"/>
      <c r="R26" s="501"/>
      <c r="S26" s="502"/>
      <c r="T26" s="514"/>
      <c r="U26" s="504"/>
      <c r="V26" s="516"/>
      <c r="W26" s="506"/>
      <c r="X26" s="505"/>
      <c r="Y26" s="507"/>
      <c r="Z26" s="508"/>
      <c r="AA26" s="509"/>
    </row>
    <row r="27" spans="1:35" hidden="1" x14ac:dyDescent="0.25">
      <c r="A27" s="486"/>
      <c r="B27" s="102" t="str">
        <f>IF(A27&lt;&gt;"",INDEX('Base de données'!A$4:L$990,MATCH(A27,'Base de données'!A$4:A$990,0),2),"")</f>
        <v/>
      </c>
      <c r="C27" s="112" t="str">
        <f>IF(A27&lt;&gt;"",INDEX('Base de données'!A$4:L$990,MATCH(A27,'Base de données'!A$4:A$990,0),12),"")</f>
        <v/>
      </c>
      <c r="D27" s="487"/>
      <c r="E27" s="488"/>
      <c r="F27" s="489"/>
      <c r="G27" s="490"/>
      <c r="H27" s="491"/>
      <c r="I27" s="492"/>
      <c r="J27" s="493"/>
      <c r="K27" s="494"/>
      <c r="L27" s="495"/>
      <c r="M27" s="496"/>
      <c r="N27" s="497"/>
      <c r="O27" s="498"/>
      <c r="P27" s="499"/>
      <c r="Q27" s="500"/>
      <c r="R27" s="501"/>
      <c r="S27" s="502"/>
      <c r="T27" s="503"/>
      <c r="U27" s="504"/>
      <c r="V27" s="516"/>
      <c r="W27" s="506"/>
      <c r="X27" s="505"/>
      <c r="Y27" s="507"/>
      <c r="Z27" s="508"/>
      <c r="AA27" s="509"/>
    </row>
    <row r="28" spans="1:35" hidden="1" x14ac:dyDescent="0.25">
      <c r="A28" s="486"/>
      <c r="B28" s="102" t="str">
        <f>IF(A28&lt;&gt;"",INDEX('Base de données'!A$4:L$990,MATCH(A28,'Base de données'!A$4:A$990,0),2),"")</f>
        <v/>
      </c>
      <c r="C28" s="112" t="str">
        <f>IF(A28&lt;&gt;"",INDEX('Base de données'!A$4:L$990,MATCH(A28,'Base de données'!A$4:A$990,0),12),"")</f>
        <v/>
      </c>
      <c r="D28" s="487"/>
      <c r="E28" s="488"/>
      <c r="F28" s="489"/>
      <c r="G28" s="490"/>
      <c r="H28" s="491"/>
      <c r="I28" s="492"/>
      <c r="J28" s="493"/>
      <c r="K28" s="494"/>
      <c r="L28" s="495"/>
      <c r="M28" s="496"/>
      <c r="N28" s="511"/>
      <c r="O28" s="498"/>
      <c r="P28" s="499"/>
      <c r="Q28" s="500"/>
      <c r="R28" s="513"/>
      <c r="S28" s="502"/>
      <c r="T28" s="503"/>
      <c r="U28" s="504"/>
      <c r="V28" s="516"/>
      <c r="W28" s="506"/>
      <c r="X28" s="505"/>
      <c r="Y28" s="507"/>
      <c r="Z28" s="508"/>
      <c r="AA28" s="509"/>
    </row>
    <row r="29" spans="1:35" hidden="1" x14ac:dyDescent="0.25">
      <c r="A29" s="486"/>
      <c r="B29" s="102" t="str">
        <f>IF(A29&lt;&gt;"",INDEX('Base de données'!A$4:L$990,MATCH(A29,'Base de données'!A$4:A$990,0),2),"")</f>
        <v/>
      </c>
      <c r="C29" s="112" t="str">
        <f>IF(A29&lt;&gt;"",INDEX('Base de données'!A$4:L$990,MATCH(A29,'Base de données'!A$4:A$990,0),12),"")</f>
        <v/>
      </c>
      <c r="D29" s="487"/>
      <c r="E29" s="488"/>
      <c r="F29" s="489"/>
      <c r="G29" s="490"/>
      <c r="H29" s="491"/>
      <c r="I29" s="492"/>
      <c r="J29" s="493"/>
      <c r="K29" s="494"/>
      <c r="L29" s="495"/>
      <c r="M29" s="496"/>
      <c r="N29" s="497"/>
      <c r="O29" s="498"/>
      <c r="P29" s="499"/>
      <c r="Q29" s="500"/>
      <c r="R29" s="501"/>
      <c r="S29" s="502"/>
      <c r="T29" s="503"/>
      <c r="U29" s="504"/>
      <c r="V29" s="516"/>
      <c r="W29" s="506"/>
      <c r="X29" s="505"/>
      <c r="Y29" s="507"/>
      <c r="Z29" s="508"/>
      <c r="AA29" s="509"/>
    </row>
    <row r="30" spans="1:35" hidden="1" x14ac:dyDescent="0.25">
      <c r="A30" s="486"/>
      <c r="B30" s="102" t="str">
        <f>IF(A30&lt;&gt;"",INDEX('Base de données'!A$4:L$990,MATCH(A30,'Base de données'!A$4:A$990,0),2),"")</f>
        <v/>
      </c>
      <c r="C30" s="112" t="str">
        <f>IF(A30&lt;&gt;"",INDEX('Base de données'!A$4:L$990,MATCH(A30,'Base de données'!A$4:A$990,0),12),"")</f>
        <v/>
      </c>
      <c r="D30" s="487"/>
      <c r="E30" s="488"/>
      <c r="F30" s="489"/>
      <c r="G30" s="490"/>
      <c r="H30" s="491"/>
      <c r="I30" s="492"/>
      <c r="J30" s="493"/>
      <c r="K30" s="494"/>
      <c r="L30" s="495"/>
      <c r="M30" s="496"/>
      <c r="N30" s="511"/>
      <c r="O30" s="498"/>
      <c r="P30" s="512"/>
      <c r="Q30" s="500"/>
      <c r="R30" s="501"/>
      <c r="S30" s="502"/>
      <c r="T30" s="514"/>
      <c r="U30" s="504"/>
      <c r="V30" s="516"/>
      <c r="W30" s="506"/>
      <c r="X30" s="505"/>
      <c r="Y30" s="507"/>
      <c r="Z30" s="508"/>
      <c r="AA30" s="509"/>
    </row>
    <row r="31" spans="1:35" hidden="1" x14ac:dyDescent="0.25">
      <c r="A31" s="486"/>
      <c r="B31" s="102" t="str">
        <f>IF(A31&lt;&gt;"",INDEX('Base de données'!A$4:L$990,MATCH(A31,'Base de données'!A$4:A$990,0),2),"")</f>
        <v/>
      </c>
      <c r="C31" s="112" t="str">
        <f>IF(A31&lt;&gt;"",INDEX('Base de données'!A$4:L$990,MATCH(A31,'Base de données'!A$4:A$990,0),12),"")</f>
        <v/>
      </c>
      <c r="D31" s="487"/>
      <c r="E31" s="488"/>
      <c r="F31" s="489"/>
      <c r="G31" s="490"/>
      <c r="H31" s="491"/>
      <c r="I31" s="492"/>
      <c r="J31" s="493"/>
      <c r="K31" s="494"/>
      <c r="L31" s="495"/>
      <c r="M31" s="496"/>
      <c r="N31" s="497"/>
      <c r="O31" s="498"/>
      <c r="P31" s="499"/>
      <c r="Q31" s="500"/>
      <c r="R31" s="501"/>
      <c r="S31" s="502"/>
      <c r="T31" s="503"/>
      <c r="U31" s="504"/>
      <c r="V31" s="516"/>
      <c r="W31" s="506"/>
      <c r="X31" s="505"/>
      <c r="Y31" s="507"/>
      <c r="Z31" s="508"/>
      <c r="AA31" s="509"/>
    </row>
    <row r="32" spans="1:35" hidden="1" x14ac:dyDescent="0.25">
      <c r="A32" s="486"/>
      <c r="B32" s="102" t="str">
        <f>IF(A32&lt;&gt;"",INDEX('Base de données'!A$4:L$990,MATCH(A32,'Base de données'!A$4:A$990,0),2),"")</f>
        <v/>
      </c>
      <c r="C32" s="112" t="str">
        <f>IF(A32&lt;&gt;"",INDEX('Base de données'!A$4:L$990,MATCH(A32,'Base de données'!A$4:A$990,0),12),"")</f>
        <v/>
      </c>
      <c r="D32" s="487"/>
      <c r="E32" s="488"/>
      <c r="F32" s="489"/>
      <c r="G32" s="490"/>
      <c r="H32" s="491"/>
      <c r="I32" s="492"/>
      <c r="J32" s="493"/>
      <c r="K32" s="494"/>
      <c r="L32" s="495"/>
      <c r="M32" s="496"/>
      <c r="N32" s="497"/>
      <c r="O32" s="498"/>
      <c r="P32" s="499"/>
      <c r="Q32" s="500"/>
      <c r="R32" s="501"/>
      <c r="S32" s="502"/>
      <c r="T32" s="503"/>
      <c r="U32" s="504"/>
      <c r="V32" s="505"/>
      <c r="W32" s="506"/>
      <c r="X32" s="505"/>
      <c r="Y32" s="507"/>
      <c r="Z32" s="508"/>
      <c r="AA32" s="509"/>
    </row>
    <row r="33" spans="1:27" hidden="1" x14ac:dyDescent="0.25">
      <c r="A33" s="486"/>
      <c r="B33" s="102" t="str">
        <f>IF(A33&lt;&gt;"",INDEX('Base de données'!A$4:L$990,MATCH(A33,'Base de données'!A$4:A$990,0),2),"")</f>
        <v/>
      </c>
      <c r="C33" s="112" t="str">
        <f>IF(A33&lt;&gt;"",INDEX('Base de données'!A$4:L$990,MATCH(A33,'Base de données'!A$4:A$990,0),12),"")</f>
        <v/>
      </c>
      <c r="D33" s="487"/>
      <c r="E33" s="488"/>
      <c r="F33" s="489"/>
      <c r="G33" s="490"/>
      <c r="H33" s="491"/>
      <c r="I33" s="492"/>
      <c r="J33" s="493"/>
      <c r="K33" s="494"/>
      <c r="L33" s="495"/>
      <c r="M33" s="496"/>
      <c r="N33" s="497"/>
      <c r="O33" s="498"/>
      <c r="P33" s="499"/>
      <c r="Q33" s="500"/>
      <c r="R33" s="501"/>
      <c r="S33" s="502"/>
      <c r="T33" s="503"/>
      <c r="U33" s="504"/>
      <c r="V33" s="505"/>
      <c r="W33" s="506"/>
      <c r="X33" s="505"/>
      <c r="Y33" s="507"/>
      <c r="Z33" s="508"/>
      <c r="AA33" s="509"/>
    </row>
    <row r="34" spans="1:27" hidden="1" x14ac:dyDescent="0.25">
      <c r="A34" s="486"/>
      <c r="B34" s="102" t="str">
        <f>IF(A34&lt;&gt;"",INDEX('Base de données'!A$4:L$990,MATCH(A34,'Base de données'!A$4:A$990,0),2),"")</f>
        <v/>
      </c>
      <c r="C34" s="112" t="str">
        <f>IF(A34&lt;&gt;"",INDEX('Base de données'!A$4:L$990,MATCH(A34,'Base de données'!A$4:A$990,0),12),"")</f>
        <v/>
      </c>
      <c r="D34" s="487"/>
      <c r="E34" s="488"/>
      <c r="F34" s="489"/>
      <c r="G34" s="490"/>
      <c r="H34" s="491"/>
      <c r="I34" s="492"/>
      <c r="J34" s="493"/>
      <c r="K34" s="494"/>
      <c r="L34" s="495"/>
      <c r="M34" s="496"/>
      <c r="N34" s="497"/>
      <c r="O34" s="498"/>
      <c r="P34" s="499"/>
      <c r="Q34" s="500"/>
      <c r="R34" s="501"/>
      <c r="S34" s="502"/>
      <c r="T34" s="503"/>
      <c r="U34" s="504"/>
      <c r="V34" s="505"/>
      <c r="W34" s="506"/>
      <c r="X34" s="505"/>
      <c r="Y34" s="507"/>
      <c r="Z34" s="508"/>
      <c r="AA34" s="509"/>
    </row>
    <row r="35" spans="1:27" hidden="1" x14ac:dyDescent="0.25">
      <c r="A35" s="486"/>
      <c r="B35" s="102" t="str">
        <f>IF(A35&lt;&gt;"",INDEX('Base de données'!A$4:L$990,MATCH(A35,'Base de données'!A$4:A$990,0),2),"")</f>
        <v/>
      </c>
      <c r="C35" s="112" t="str">
        <f>IF(A35&lt;&gt;"",INDEX('Base de données'!A$4:L$990,MATCH(A35,'Base de données'!A$4:A$990,0),12),"")</f>
        <v/>
      </c>
      <c r="D35" s="487"/>
      <c r="E35" s="488"/>
      <c r="F35" s="489"/>
      <c r="G35" s="490"/>
      <c r="H35" s="491"/>
      <c r="I35" s="492"/>
      <c r="J35" s="493"/>
      <c r="K35" s="494"/>
      <c r="L35" s="495"/>
      <c r="M35" s="496"/>
      <c r="N35" s="497"/>
      <c r="O35" s="498"/>
      <c r="P35" s="499"/>
      <c r="Q35" s="500"/>
      <c r="R35" s="501"/>
      <c r="S35" s="502"/>
      <c r="T35" s="503"/>
      <c r="U35" s="504"/>
      <c r="V35" s="505"/>
      <c r="W35" s="506"/>
      <c r="X35" s="505"/>
      <c r="Y35" s="507"/>
      <c r="Z35" s="618"/>
      <c r="AA35" s="509"/>
    </row>
    <row r="36" spans="1:27" hidden="1" x14ac:dyDescent="0.25">
      <c r="A36" s="486"/>
      <c r="B36" s="102" t="str">
        <f>IF(A36&lt;&gt;"",INDEX('Base de données'!A$4:L$990,MATCH(A36,'Base de données'!A$4:A$990,0),2),"")</f>
        <v/>
      </c>
      <c r="C36" s="112" t="str">
        <f>IF(A36&lt;&gt;"",INDEX('Base de données'!A$4:L$990,MATCH(A36,'Base de données'!A$4:A$990,0),12),"")</f>
        <v/>
      </c>
      <c r="D36" s="487"/>
      <c r="E36" s="488"/>
      <c r="F36" s="489"/>
      <c r="G36" s="490"/>
      <c r="H36" s="491"/>
      <c r="I36" s="492"/>
      <c r="J36" s="493"/>
      <c r="K36" s="494"/>
      <c r="L36" s="495"/>
      <c r="M36" s="496"/>
      <c r="N36" s="497"/>
      <c r="O36" s="498"/>
      <c r="P36" s="499"/>
      <c r="Q36" s="500"/>
      <c r="R36" s="501"/>
      <c r="S36" s="502"/>
      <c r="T36" s="503"/>
      <c r="U36" s="504"/>
      <c r="V36" s="505"/>
      <c r="W36" s="506"/>
      <c r="X36" s="505"/>
      <c r="Y36" s="507"/>
      <c r="Z36" s="508"/>
      <c r="AA36" s="509"/>
    </row>
    <row r="37" spans="1:27" hidden="1" x14ac:dyDescent="0.25">
      <c r="A37" s="486"/>
      <c r="B37" s="102" t="str">
        <f>IF(A37&lt;&gt;"",INDEX('Base de données'!A$4:L$990,MATCH(A37,'Base de données'!A$4:A$990,0),2),"")</f>
        <v/>
      </c>
      <c r="C37" s="112" t="str">
        <f>IF(A37&lt;&gt;"",INDEX('Base de données'!A$4:L$990,MATCH(A37,'Base de données'!A$4:A$990,0),12),"")</f>
        <v/>
      </c>
      <c r="D37" s="487"/>
      <c r="E37" s="488"/>
      <c r="F37" s="489"/>
      <c r="G37" s="490"/>
      <c r="H37" s="491"/>
      <c r="I37" s="492"/>
      <c r="J37" s="493"/>
      <c r="K37" s="494"/>
      <c r="L37" s="495"/>
      <c r="M37" s="496"/>
      <c r="N37" s="497"/>
      <c r="O37" s="498"/>
      <c r="P37" s="499"/>
      <c r="Q37" s="500"/>
      <c r="R37" s="501"/>
      <c r="S37" s="502"/>
      <c r="T37" s="503"/>
      <c r="U37" s="504"/>
      <c r="V37" s="516"/>
      <c r="W37" s="506"/>
      <c r="X37" s="505"/>
      <c r="Y37" s="507"/>
      <c r="Z37" s="508"/>
      <c r="AA37" s="509"/>
    </row>
    <row r="38" spans="1:27" hidden="1" x14ac:dyDescent="0.25">
      <c r="A38" s="486"/>
      <c r="B38" s="102" t="str">
        <f>IF(A38&lt;&gt;"",INDEX('Base de données'!A$4:L$990,MATCH(A38,'Base de données'!A$4:A$990,0),2),"")</f>
        <v/>
      </c>
      <c r="C38" s="112" t="str">
        <f>IF(A38&lt;&gt;"",INDEX('Base de données'!A$4:L$990,MATCH(A38,'Base de données'!A$4:A$990,0),12),"")</f>
        <v/>
      </c>
      <c r="D38" s="487"/>
      <c r="E38" s="488"/>
      <c r="F38" s="489"/>
      <c r="G38" s="490"/>
      <c r="H38" s="491"/>
      <c r="I38" s="492"/>
      <c r="J38" s="493"/>
      <c r="K38" s="494"/>
      <c r="L38" s="510"/>
      <c r="M38" s="496"/>
      <c r="N38" s="511"/>
      <c r="O38" s="498"/>
      <c r="P38" s="512"/>
      <c r="Q38" s="500"/>
      <c r="R38" s="513"/>
      <c r="S38" s="502"/>
      <c r="T38" s="514"/>
      <c r="U38" s="504"/>
      <c r="V38" s="516"/>
      <c r="W38" s="506"/>
      <c r="X38" s="505"/>
      <c r="Y38" s="507"/>
      <c r="Z38" s="508"/>
      <c r="AA38" s="509"/>
    </row>
    <row r="39" spans="1:27" hidden="1" x14ac:dyDescent="0.25">
      <c r="A39" s="486"/>
      <c r="B39" s="102" t="str">
        <f>IF(A39&lt;&gt;"",INDEX('Base de données'!A$4:L$990,MATCH(A39,'Base de données'!A$4:A$990,0),2),"")</f>
        <v/>
      </c>
      <c r="C39" s="112" t="str">
        <f>IF(A39&lt;&gt;"",INDEX('Base de données'!A$4:L$990,MATCH(A39,'Base de données'!A$4:A$990,0),12),"")</f>
        <v/>
      </c>
      <c r="D39" s="487"/>
      <c r="E39" s="488"/>
      <c r="F39" s="489"/>
      <c r="G39" s="490"/>
      <c r="H39" s="491"/>
      <c r="I39" s="492"/>
      <c r="J39" s="493"/>
      <c r="K39" s="494"/>
      <c r="L39" s="495"/>
      <c r="M39" s="496"/>
      <c r="N39" s="497"/>
      <c r="O39" s="498"/>
      <c r="P39" s="499"/>
      <c r="Q39" s="500"/>
      <c r="R39" s="501"/>
      <c r="S39" s="502"/>
      <c r="T39" s="503"/>
      <c r="U39" s="504"/>
      <c r="V39" s="516"/>
      <c r="W39" s="506"/>
      <c r="X39" s="505"/>
      <c r="Y39" s="507"/>
      <c r="Z39" s="618"/>
      <c r="AA39" s="509"/>
    </row>
    <row r="40" spans="1:27" hidden="1" x14ac:dyDescent="0.25">
      <c r="A40" s="486"/>
      <c r="B40" s="102" t="str">
        <f>IF(A40&lt;&gt;"",INDEX('Base de données'!A$4:L$990,MATCH(A40,'Base de données'!A$4:A$990,0),2),"")</f>
        <v/>
      </c>
      <c r="C40" s="112" t="str">
        <f>IF(A40&lt;&gt;"",INDEX('Base de données'!A$4:L$990,MATCH(A40,'Base de données'!A$4:A$990,0),12),"")</f>
        <v/>
      </c>
      <c r="D40" s="487"/>
      <c r="E40" s="488"/>
      <c r="F40" s="489"/>
      <c r="G40" s="490"/>
      <c r="H40" s="491"/>
      <c r="I40" s="492"/>
      <c r="J40" s="493"/>
      <c r="K40" s="494"/>
      <c r="L40" s="495"/>
      <c r="M40" s="496"/>
      <c r="N40" s="497"/>
      <c r="O40" s="498"/>
      <c r="P40" s="499"/>
      <c r="Q40" s="500"/>
      <c r="R40" s="501"/>
      <c r="S40" s="502"/>
      <c r="T40" s="503"/>
      <c r="U40" s="504"/>
      <c r="V40" s="516"/>
      <c r="W40" s="506"/>
      <c r="X40" s="505"/>
      <c r="Y40" s="507"/>
      <c r="Z40" s="508"/>
      <c r="AA40" s="509"/>
    </row>
    <row r="41" spans="1:27" hidden="1" x14ac:dyDescent="0.25">
      <c r="A41" s="486"/>
      <c r="B41" s="102" t="str">
        <f>IF(A41&lt;&gt;"",INDEX('Base de données'!A$4:L$990,MATCH(A41,'Base de données'!A$4:A$990,0),2),"")</f>
        <v/>
      </c>
      <c r="C41" s="112" t="str">
        <f>IF(A41&lt;&gt;"",INDEX('Base de données'!A$4:L$990,MATCH(A41,'Base de données'!A$4:A$990,0),12),"")</f>
        <v/>
      </c>
      <c r="D41" s="487"/>
      <c r="E41" s="488"/>
      <c r="F41" s="489"/>
      <c r="G41" s="490"/>
      <c r="H41" s="491"/>
      <c r="I41" s="492"/>
      <c r="J41" s="493"/>
      <c r="K41" s="494"/>
      <c r="L41" s="495"/>
      <c r="M41" s="496"/>
      <c r="N41" s="497"/>
      <c r="O41" s="498"/>
      <c r="P41" s="499"/>
      <c r="Q41" s="500"/>
      <c r="R41" s="501"/>
      <c r="S41" s="502"/>
      <c r="T41" s="503"/>
      <c r="U41" s="504"/>
      <c r="V41" s="516"/>
      <c r="W41" s="506"/>
      <c r="X41" s="505"/>
      <c r="Y41" s="507"/>
      <c r="Z41" s="508"/>
      <c r="AA41" s="509"/>
    </row>
    <row r="42" spans="1:27" hidden="1" x14ac:dyDescent="0.25">
      <c r="A42" s="486"/>
      <c r="B42" s="102" t="str">
        <f>IF(A42&lt;&gt;"",INDEX('Base de données'!A$4:L$990,MATCH(A42,'Base de données'!A$4:A$990,0),2),"")</f>
        <v/>
      </c>
      <c r="C42" s="112" t="str">
        <f>IF(A42&lt;&gt;"",INDEX('Base de données'!A$4:L$990,MATCH(A42,'Base de données'!A$4:A$990,0),12),"")</f>
        <v/>
      </c>
      <c r="D42" s="487"/>
      <c r="E42" s="488"/>
      <c r="F42" s="489"/>
      <c r="G42" s="490"/>
      <c r="H42" s="491"/>
      <c r="I42" s="492"/>
      <c r="J42" s="493"/>
      <c r="K42" s="494"/>
      <c r="L42" s="495"/>
      <c r="M42" s="496"/>
      <c r="N42" s="497"/>
      <c r="O42" s="498"/>
      <c r="P42" s="499"/>
      <c r="Q42" s="500"/>
      <c r="R42" s="501"/>
      <c r="S42" s="502"/>
      <c r="T42" s="503"/>
      <c r="U42" s="504"/>
      <c r="V42" s="516"/>
      <c r="W42" s="506"/>
      <c r="X42" s="505"/>
      <c r="Y42" s="507"/>
      <c r="Z42" s="508"/>
      <c r="AA42" s="509"/>
    </row>
    <row r="43" spans="1:27" hidden="1" x14ac:dyDescent="0.25">
      <c r="A43" s="486"/>
      <c r="B43" s="102" t="str">
        <f>IF(A43&lt;&gt;"",INDEX('Base de données'!A$4:L$990,MATCH(A43,'Base de données'!A$4:A$990,0),2),"")</f>
        <v/>
      </c>
      <c r="C43" s="112" t="str">
        <f>IF(A43&lt;&gt;"",INDEX('Base de données'!A$4:L$990,MATCH(A43,'Base de données'!A$4:A$990,0),12),"")</f>
        <v/>
      </c>
      <c r="D43" s="487"/>
      <c r="E43" s="488"/>
      <c r="F43" s="489"/>
      <c r="G43" s="490"/>
      <c r="H43" s="491"/>
      <c r="I43" s="492"/>
      <c r="J43" s="493"/>
      <c r="K43" s="494"/>
      <c r="L43" s="495"/>
      <c r="M43" s="496"/>
      <c r="N43" s="497"/>
      <c r="O43" s="498"/>
      <c r="P43" s="499"/>
      <c r="Q43" s="500"/>
      <c r="R43" s="501"/>
      <c r="S43" s="502"/>
      <c r="T43" s="503"/>
      <c r="U43" s="504"/>
      <c r="V43" s="516"/>
      <c r="W43" s="506"/>
      <c r="X43" s="505"/>
      <c r="Y43" s="507"/>
      <c r="Z43" s="508"/>
      <c r="AA43" s="509"/>
    </row>
    <row r="44" spans="1:27" hidden="1" x14ac:dyDescent="0.25">
      <c r="A44" s="486"/>
      <c r="B44" s="102" t="str">
        <f>IF(A44&lt;&gt;"",INDEX('Base de données'!A$4:L$990,MATCH(A44,'Base de données'!A$4:A$990,0),2),"")</f>
        <v/>
      </c>
      <c r="C44" s="112" t="str">
        <f>IF(A44&lt;&gt;"",INDEX('Base de données'!A$4:L$990,MATCH(A44,'Base de données'!A$4:A$990,0),12),"")</f>
        <v/>
      </c>
      <c r="D44" s="487"/>
      <c r="E44" s="488"/>
      <c r="F44" s="489"/>
      <c r="G44" s="490"/>
      <c r="H44" s="491"/>
      <c r="I44" s="492"/>
      <c r="J44" s="493"/>
      <c r="K44" s="494"/>
      <c r="L44" s="495"/>
      <c r="M44" s="496"/>
      <c r="N44" s="497"/>
      <c r="O44" s="498"/>
      <c r="P44" s="499"/>
      <c r="Q44" s="500"/>
      <c r="R44" s="501"/>
      <c r="S44" s="502"/>
      <c r="T44" s="503"/>
      <c r="U44" s="504"/>
      <c r="V44" s="516"/>
      <c r="W44" s="506"/>
      <c r="X44" s="505"/>
      <c r="Y44" s="507"/>
      <c r="Z44" s="508"/>
      <c r="AA44" s="509"/>
    </row>
    <row r="45" spans="1:27" hidden="1" x14ac:dyDescent="0.25">
      <c r="A45" s="486"/>
      <c r="B45" s="102" t="str">
        <f>IF(A45&lt;&gt;"",INDEX('Base de données'!A$4:L$990,MATCH(A45,'Base de données'!A$4:A$990,0),2),"")</f>
        <v/>
      </c>
      <c r="C45" s="112" t="str">
        <f>IF(A45&lt;&gt;"",INDEX('Base de données'!A$4:L$990,MATCH(A45,'Base de données'!A$4:A$990,0),12),"")</f>
        <v/>
      </c>
      <c r="D45" s="487"/>
      <c r="E45" s="488"/>
      <c r="F45" s="489"/>
      <c r="G45" s="490"/>
      <c r="H45" s="491"/>
      <c r="I45" s="492"/>
      <c r="J45" s="493"/>
      <c r="K45" s="494"/>
      <c r="L45" s="495"/>
      <c r="M45" s="496"/>
      <c r="N45" s="497"/>
      <c r="O45" s="498"/>
      <c r="P45" s="499"/>
      <c r="Q45" s="500"/>
      <c r="R45" s="501"/>
      <c r="S45" s="502"/>
      <c r="T45" s="503"/>
      <c r="U45" s="504"/>
      <c r="V45" s="505"/>
      <c r="W45" s="506"/>
      <c r="X45" s="505"/>
      <c r="Y45" s="507"/>
      <c r="Z45" s="508"/>
      <c r="AA45" s="509"/>
    </row>
    <row r="46" spans="1:27" hidden="1" x14ac:dyDescent="0.25">
      <c r="A46" s="486"/>
      <c r="B46" s="102" t="str">
        <f>IF(A46&lt;&gt;"",INDEX('Base de données'!A$4:L$990,MATCH(A46,'Base de données'!A$4:A$990,0),2),"")</f>
        <v/>
      </c>
      <c r="C46" s="112" t="str">
        <f>IF(A46&lt;&gt;"",INDEX('Base de données'!A$4:L$990,MATCH(A46,'Base de données'!A$4:A$990,0),12),"")</f>
        <v/>
      </c>
      <c r="D46" s="487"/>
      <c r="E46" s="488"/>
      <c r="F46" s="489"/>
      <c r="G46" s="490"/>
      <c r="H46" s="491"/>
      <c r="I46" s="492"/>
      <c r="J46" s="493"/>
      <c r="K46" s="494"/>
      <c r="L46" s="495"/>
      <c r="M46" s="496"/>
      <c r="N46" s="497"/>
      <c r="O46" s="412"/>
      <c r="P46" s="499"/>
      <c r="Q46" s="498"/>
      <c r="R46" s="501"/>
      <c r="S46" s="502"/>
      <c r="T46" s="503"/>
      <c r="U46" s="504"/>
      <c r="V46" s="505"/>
      <c r="W46" s="506"/>
      <c r="X46" s="505"/>
      <c r="Y46" s="507"/>
      <c r="Z46" s="508"/>
      <c r="AA46" s="509"/>
    </row>
    <row r="47" spans="1:27" hidden="1" x14ac:dyDescent="0.25">
      <c r="A47" s="486"/>
      <c r="B47" s="102" t="str">
        <f>IF(A47&lt;&gt;"",INDEX('Base de données'!A$4:L$990,MATCH(A47,'Base de données'!A$4:A$990,0),2),"")</f>
        <v/>
      </c>
      <c r="C47" s="112" t="str">
        <f>IF(A47&lt;&gt;"",INDEX('Base de données'!A$4:L$990,MATCH(A47,'Base de données'!A$4:A$990,0),12),"")</f>
        <v/>
      </c>
      <c r="D47" s="487"/>
      <c r="E47" s="488"/>
      <c r="F47" s="489"/>
      <c r="G47" s="490"/>
      <c r="H47" s="491"/>
      <c r="I47" s="492"/>
      <c r="J47" s="493"/>
      <c r="K47" s="494"/>
      <c r="L47" s="495"/>
      <c r="M47" s="496"/>
      <c r="N47" s="497"/>
      <c r="O47" s="498"/>
      <c r="P47" s="499"/>
      <c r="Q47" s="500"/>
      <c r="R47" s="501"/>
      <c r="S47" s="502"/>
      <c r="T47" s="503"/>
      <c r="U47" s="504"/>
      <c r="V47" s="505"/>
      <c r="W47" s="506"/>
      <c r="X47" s="505"/>
      <c r="Y47" s="507"/>
      <c r="Z47" s="508"/>
      <c r="AA47" s="509"/>
    </row>
    <row r="48" spans="1:27" hidden="1" x14ac:dyDescent="0.25">
      <c r="A48" s="486"/>
      <c r="B48" s="102" t="str">
        <f>IF(A48&lt;&gt;"",INDEX('Base de données'!A$4:L$990,MATCH(A48,'Base de données'!A$4:A$990,0),2),"")</f>
        <v/>
      </c>
      <c r="C48" s="112" t="str">
        <f>IF(A48&lt;&gt;"",INDEX('Base de données'!A$4:L$990,MATCH(A48,'Base de données'!A$4:A$990,0),12),"")</f>
        <v/>
      </c>
      <c r="D48" s="487"/>
      <c r="E48" s="488"/>
      <c r="F48" s="489"/>
      <c r="G48" s="490"/>
      <c r="H48" s="491"/>
      <c r="I48" s="492"/>
      <c r="J48" s="493"/>
      <c r="K48" s="494"/>
      <c r="L48" s="495"/>
      <c r="M48" s="496"/>
      <c r="N48" s="497"/>
      <c r="O48" s="498"/>
      <c r="P48" s="499"/>
      <c r="Q48" s="500"/>
      <c r="R48" s="501"/>
      <c r="S48" s="502"/>
      <c r="T48" s="503"/>
      <c r="U48" s="504"/>
      <c r="V48" s="505"/>
      <c r="W48" s="506"/>
      <c r="X48" s="505"/>
      <c r="Y48" s="507"/>
      <c r="Z48" s="508"/>
      <c r="AA48" s="509"/>
    </row>
    <row r="49" spans="1:27" hidden="1" x14ac:dyDescent="0.25">
      <c r="A49" s="486"/>
      <c r="B49" s="102" t="str">
        <f>IF(A49&lt;&gt;"",INDEX('Base de données'!A$4:L$990,MATCH(A49,'Base de données'!A$4:A$990,0),2),"")</f>
        <v/>
      </c>
      <c r="C49" s="112" t="str">
        <f>IF(A49&lt;&gt;"",INDEX('Base de données'!A$4:L$990,MATCH(A49,'Base de données'!A$4:A$990,0),12),"")</f>
        <v/>
      </c>
      <c r="D49" s="487"/>
      <c r="E49" s="488"/>
      <c r="F49" s="489"/>
      <c r="G49" s="490"/>
      <c r="H49" s="491"/>
      <c r="I49" s="492"/>
      <c r="J49" s="493"/>
      <c r="K49" s="494"/>
      <c r="L49" s="495"/>
      <c r="M49" s="496"/>
      <c r="N49" s="497"/>
      <c r="O49" s="498"/>
      <c r="P49" s="499"/>
      <c r="Q49" s="500"/>
      <c r="R49" s="513"/>
      <c r="S49" s="502"/>
      <c r="T49" s="503"/>
      <c r="U49" s="504"/>
      <c r="V49" s="505"/>
      <c r="W49" s="506"/>
      <c r="X49" s="505"/>
      <c r="Y49" s="507"/>
      <c r="Z49" s="508"/>
      <c r="AA49" s="509"/>
    </row>
    <row r="50" spans="1:27" hidden="1" x14ac:dyDescent="0.25">
      <c r="A50" s="486"/>
      <c r="B50" s="102" t="str">
        <f>IF(A50&lt;&gt;"",INDEX('Base de données'!A$4:L$990,MATCH(A50,'Base de données'!A$4:A$990,0),2),"")</f>
        <v/>
      </c>
      <c r="C50" s="112" t="str">
        <f>IF(A50&lt;&gt;"",INDEX('Base de données'!A$4:L$990,MATCH(A50,'Base de données'!A$4:A$990,0),12),"")</f>
        <v/>
      </c>
      <c r="D50" s="487"/>
      <c r="E50" s="488"/>
      <c r="F50" s="489"/>
      <c r="G50" s="490"/>
      <c r="H50" s="491"/>
      <c r="I50" s="492"/>
      <c r="J50" s="519"/>
      <c r="K50" s="494"/>
      <c r="L50" s="510"/>
      <c r="M50" s="496"/>
      <c r="N50" s="497"/>
      <c r="O50" s="498"/>
      <c r="P50" s="499"/>
      <c r="Q50" s="500"/>
      <c r="R50" s="513"/>
      <c r="S50" s="502"/>
      <c r="T50" s="514"/>
      <c r="U50" s="504"/>
      <c r="V50" s="516"/>
      <c r="W50" s="506"/>
      <c r="X50" s="515"/>
      <c r="Y50" s="507"/>
      <c r="Z50" s="618"/>
      <c r="AA50" s="509"/>
    </row>
    <row r="51" spans="1:27" hidden="1" x14ac:dyDescent="0.25">
      <c r="A51" s="486"/>
      <c r="B51" s="102" t="str">
        <f>IF(A51&lt;&gt;"",INDEX('Base de données'!A$4:L$990,MATCH(A51,'Base de données'!A$4:A$990,0),2),"")</f>
        <v/>
      </c>
      <c r="C51" s="112" t="str">
        <f>IF(A51&lt;&gt;"",INDEX('Base de données'!A$4:L$990,MATCH(A51,'Base de données'!A$4:A$990,0),12),"")</f>
        <v/>
      </c>
      <c r="D51" s="487"/>
      <c r="E51" s="488"/>
      <c r="F51" s="489"/>
      <c r="G51" s="490"/>
      <c r="H51" s="491"/>
      <c r="I51" s="492"/>
      <c r="J51" s="519"/>
      <c r="K51" s="494"/>
      <c r="L51" s="510"/>
      <c r="M51" s="496"/>
      <c r="N51" s="497"/>
      <c r="O51" s="498"/>
      <c r="P51" s="499"/>
      <c r="Q51" s="500"/>
      <c r="R51" s="513"/>
      <c r="S51" s="502"/>
      <c r="T51" s="514"/>
      <c r="U51" s="504"/>
      <c r="V51" s="516"/>
      <c r="W51" s="506"/>
      <c r="X51" s="515"/>
      <c r="Y51" s="507"/>
      <c r="Z51" s="508"/>
      <c r="AA51" s="509"/>
    </row>
    <row r="52" spans="1:27" hidden="1" x14ac:dyDescent="0.25">
      <c r="A52" s="486"/>
      <c r="B52" s="102" t="str">
        <f>IF(A52&lt;&gt;"",INDEX('Base de données'!A$4:L$990,MATCH(A52,'Base de données'!A$4:A$990,0),2),"")</f>
        <v/>
      </c>
      <c r="C52" s="112" t="str">
        <f>IF(A52&lt;&gt;"",INDEX('Base de données'!A$4:L$990,MATCH(A52,'Base de données'!A$4:A$990,0),12),"")</f>
        <v/>
      </c>
      <c r="D52" s="520"/>
      <c r="E52" s="488"/>
      <c r="F52" s="517"/>
      <c r="G52" s="490"/>
      <c r="H52" s="518"/>
      <c r="I52" s="492"/>
      <c r="J52" s="519"/>
      <c r="K52" s="494"/>
      <c r="L52" s="510"/>
      <c r="M52" s="496"/>
      <c r="N52" s="511"/>
      <c r="O52" s="498"/>
      <c r="P52" s="512"/>
      <c r="Q52" s="500"/>
      <c r="R52" s="513"/>
      <c r="S52" s="502"/>
      <c r="T52" s="514"/>
      <c r="U52" s="504"/>
      <c r="V52" s="516"/>
      <c r="W52" s="506"/>
      <c r="X52" s="515"/>
      <c r="Y52" s="507"/>
      <c r="Z52" s="508"/>
      <c r="AA52" s="509"/>
    </row>
    <row r="53" spans="1:27" hidden="1" x14ac:dyDescent="0.25">
      <c r="A53" s="486"/>
      <c r="B53" s="102" t="str">
        <f>IF(A53&lt;&gt;"",INDEX('Base de données'!A$4:L$990,MATCH(A53,'Base de données'!A$4:A$990,0),2),"")</f>
        <v/>
      </c>
      <c r="C53" s="112" t="str">
        <f>IF(A53&lt;&gt;"",INDEX('Base de données'!A$4:L$990,MATCH(A53,'Base de données'!A$4:A$990,0),12),"")</f>
        <v/>
      </c>
      <c r="D53" s="520"/>
      <c r="E53" s="488"/>
      <c r="F53" s="517"/>
      <c r="G53" s="490"/>
      <c r="H53" s="518"/>
      <c r="I53" s="492"/>
      <c r="J53" s="519"/>
      <c r="K53" s="494"/>
      <c r="L53" s="510"/>
      <c r="M53" s="496"/>
      <c r="N53" s="511"/>
      <c r="O53" s="498"/>
      <c r="P53" s="512"/>
      <c r="Q53" s="500"/>
      <c r="R53" s="513"/>
      <c r="S53" s="502"/>
      <c r="T53" s="514"/>
      <c r="U53" s="504"/>
      <c r="V53" s="516"/>
      <c r="W53" s="506"/>
      <c r="X53" s="515"/>
      <c r="Y53" s="507"/>
      <c r="Z53" s="508"/>
      <c r="AA53" s="509"/>
    </row>
    <row r="54" spans="1:27" hidden="1" x14ac:dyDescent="0.25">
      <c r="A54" s="486"/>
      <c r="B54" s="102" t="str">
        <f>IF(A54&lt;&gt;"",INDEX('Base de données'!A$4:L$990,MATCH(A54,'Base de données'!A$4:A$990,0),2),"")</f>
        <v/>
      </c>
      <c r="C54" s="112" t="str">
        <f>IF(A54&lt;&gt;"",INDEX('Base de données'!A$4:L$990,MATCH(A54,'Base de données'!A$4:A$990,0),12),"")</f>
        <v/>
      </c>
      <c r="D54" s="520"/>
      <c r="E54" s="488"/>
      <c r="F54" s="517"/>
      <c r="G54" s="490"/>
      <c r="H54" s="518"/>
      <c r="I54" s="492"/>
      <c r="J54" s="519"/>
      <c r="K54" s="494"/>
      <c r="L54" s="510"/>
      <c r="M54" s="496"/>
      <c r="N54" s="511"/>
      <c r="O54" s="498"/>
      <c r="P54" s="512"/>
      <c r="Q54" s="500"/>
      <c r="R54" s="513"/>
      <c r="S54" s="502"/>
      <c r="T54" s="514"/>
      <c r="U54" s="504"/>
      <c r="V54" s="516"/>
      <c r="W54" s="506"/>
      <c r="X54" s="515"/>
      <c r="Y54" s="507"/>
      <c r="Z54" s="508"/>
      <c r="AA54" s="509"/>
    </row>
    <row r="55" spans="1:27" hidden="1" x14ac:dyDescent="0.25">
      <c r="A55" s="486"/>
      <c r="B55" s="102" t="str">
        <f>IF(A55&lt;&gt;"",INDEX('Base de données'!A$4:L$990,MATCH(A55,'Base de données'!A$4:A$990,0),2),"")</f>
        <v/>
      </c>
      <c r="C55" s="112" t="str">
        <f>IF(A55&lt;&gt;"",INDEX('Base de données'!A$4:L$990,MATCH(A55,'Base de données'!A$4:A$990,0),12),"")</f>
        <v/>
      </c>
      <c r="D55" s="520"/>
      <c r="E55" s="488"/>
      <c r="F55" s="517"/>
      <c r="G55" s="490"/>
      <c r="H55" s="518"/>
      <c r="I55" s="492"/>
      <c r="J55" s="519"/>
      <c r="K55" s="494"/>
      <c r="L55" s="510"/>
      <c r="M55" s="496"/>
      <c r="N55" s="511"/>
      <c r="O55" s="498"/>
      <c r="P55" s="512"/>
      <c r="Q55" s="500"/>
      <c r="R55" s="513"/>
      <c r="S55" s="502"/>
      <c r="T55" s="514"/>
      <c r="U55" s="504"/>
      <c r="V55" s="516"/>
      <c r="W55" s="506"/>
      <c r="X55" s="515"/>
      <c r="Y55" s="507"/>
      <c r="Z55" s="508"/>
      <c r="AA55" s="509"/>
    </row>
    <row r="56" spans="1:27" hidden="1" x14ac:dyDescent="0.25">
      <c r="A56" s="486"/>
      <c r="B56" s="102" t="str">
        <f>IF(A56&lt;&gt;"",INDEX('Base de données'!A$4:L$990,MATCH(A56,'Base de données'!A$4:A$990,0),2),"")</f>
        <v/>
      </c>
      <c r="C56" s="112" t="str">
        <f>IF(A56&lt;&gt;"",INDEX('Base de données'!A$4:L$990,MATCH(A56,'Base de données'!A$4:A$990,0),12),"")</f>
        <v/>
      </c>
      <c r="D56" s="520"/>
      <c r="E56" s="488"/>
      <c r="F56" s="517"/>
      <c r="G56" s="490"/>
      <c r="H56" s="518"/>
      <c r="I56" s="492"/>
      <c r="J56" s="519"/>
      <c r="K56" s="494"/>
      <c r="L56" s="510"/>
      <c r="M56" s="496"/>
      <c r="N56" s="511"/>
      <c r="O56" s="498"/>
      <c r="P56" s="512"/>
      <c r="Q56" s="500"/>
      <c r="R56" s="513"/>
      <c r="S56" s="502"/>
      <c r="T56" s="514"/>
      <c r="U56" s="504"/>
      <c r="V56" s="516"/>
      <c r="W56" s="506"/>
      <c r="X56" s="515"/>
      <c r="Y56" s="507"/>
      <c r="Z56" s="508"/>
      <c r="AA56" s="509"/>
    </row>
    <row r="57" spans="1:27" hidden="1" x14ac:dyDescent="0.25">
      <c r="A57" s="486"/>
      <c r="B57" s="102" t="str">
        <f>IF(A57&lt;&gt;"",INDEX('Base de données'!A$4:L$990,MATCH(A57,'Base de données'!A$4:A$990,0),2),"")</f>
        <v/>
      </c>
      <c r="C57" s="112" t="str">
        <f>IF(A57&lt;&gt;"",INDEX('Base de données'!A$4:L$990,MATCH(A57,'Base de données'!A$4:A$990,0),12),"")</f>
        <v/>
      </c>
      <c r="D57" s="520"/>
      <c r="E57" s="488"/>
      <c r="F57" s="517"/>
      <c r="G57" s="490"/>
      <c r="H57" s="518"/>
      <c r="I57" s="492"/>
      <c r="J57" s="519"/>
      <c r="K57" s="494"/>
      <c r="L57" s="510"/>
      <c r="M57" s="496"/>
      <c r="N57" s="511"/>
      <c r="O57" s="498"/>
      <c r="P57" s="512"/>
      <c r="Q57" s="500"/>
      <c r="R57" s="513"/>
      <c r="S57" s="502"/>
      <c r="T57" s="514"/>
      <c r="U57" s="504"/>
      <c r="V57" s="516"/>
      <c r="W57" s="506"/>
      <c r="X57" s="515"/>
      <c r="Y57" s="507"/>
      <c r="Z57" s="508"/>
      <c r="AA57" s="509"/>
    </row>
    <row r="58" spans="1:27" hidden="1" x14ac:dyDescent="0.25">
      <c r="A58" s="486"/>
      <c r="B58" s="102" t="str">
        <f>IF(A58&lt;&gt;"",INDEX('Base de données'!A$4:L$990,MATCH(A58,'Base de données'!A$4:A$990,0),2),"")</f>
        <v/>
      </c>
      <c r="C58" s="112" t="str">
        <f>IF(A58&lt;&gt;"",INDEX('Base de données'!A$4:L$990,MATCH(A58,'Base de données'!A$4:A$990,0),12),"")</f>
        <v/>
      </c>
      <c r="D58" s="520"/>
      <c r="E58" s="488"/>
      <c r="F58" s="517"/>
      <c r="G58" s="490"/>
      <c r="H58" s="518"/>
      <c r="I58" s="492"/>
      <c r="J58" s="519"/>
      <c r="K58" s="494"/>
      <c r="L58" s="510"/>
      <c r="M58" s="496"/>
      <c r="N58" s="511"/>
      <c r="O58" s="498"/>
      <c r="P58" s="512"/>
      <c r="Q58" s="500"/>
      <c r="R58" s="513"/>
      <c r="S58" s="502"/>
      <c r="T58" s="514"/>
      <c r="U58" s="504"/>
      <c r="V58" s="516"/>
      <c r="W58" s="506"/>
      <c r="X58" s="515"/>
      <c r="Y58" s="507"/>
      <c r="Z58" s="508"/>
      <c r="AA58" s="509"/>
    </row>
    <row r="59" spans="1:27" hidden="1" x14ac:dyDescent="0.25">
      <c r="A59" s="486"/>
      <c r="B59" s="102" t="str">
        <f>IF(A59&lt;&gt;"",INDEX('Base de données'!A$4:L$990,MATCH(A59,'Base de données'!A$4:A$990,0),2),"")</f>
        <v/>
      </c>
      <c r="C59" s="112" t="str">
        <f>IF(A59&lt;&gt;"",INDEX('Base de données'!A$4:L$990,MATCH(A59,'Base de données'!A$4:A$990,0),12),"")</f>
        <v/>
      </c>
      <c r="D59" s="520"/>
      <c r="E59" s="488"/>
      <c r="F59" s="517"/>
      <c r="G59" s="490"/>
      <c r="H59" s="518"/>
      <c r="I59" s="492"/>
      <c r="J59" s="519"/>
      <c r="K59" s="494"/>
      <c r="L59" s="510"/>
      <c r="M59" s="496"/>
      <c r="N59" s="511"/>
      <c r="O59" s="498"/>
      <c r="P59" s="512"/>
      <c r="Q59" s="500"/>
      <c r="R59" s="513"/>
      <c r="S59" s="502"/>
      <c r="T59" s="514"/>
      <c r="U59" s="504"/>
      <c r="V59" s="516"/>
      <c r="W59" s="506"/>
      <c r="X59" s="515"/>
      <c r="Y59" s="507"/>
      <c r="Z59" s="508"/>
      <c r="AA59" s="509"/>
    </row>
    <row r="60" spans="1:27" hidden="1" x14ac:dyDescent="0.25">
      <c r="A60" s="486"/>
      <c r="B60" s="102" t="str">
        <f>IF(A60&lt;&gt;"",INDEX('Base de données'!A$4:L$990,MATCH(A60,'Base de données'!A$4:A$990,0),2),"")</f>
        <v/>
      </c>
      <c r="C60" s="112" t="str">
        <f>IF(A60&lt;&gt;"",INDEX('Base de données'!A$4:L$990,MATCH(A60,'Base de données'!A$4:A$990,0),12),"")</f>
        <v/>
      </c>
      <c r="D60" s="520"/>
      <c r="E60" s="488"/>
      <c r="F60" s="517"/>
      <c r="G60" s="490"/>
      <c r="H60" s="518"/>
      <c r="I60" s="492"/>
      <c r="J60" s="519"/>
      <c r="K60" s="494"/>
      <c r="L60" s="510"/>
      <c r="M60" s="496"/>
      <c r="N60" s="511"/>
      <c r="O60" s="498"/>
      <c r="P60" s="512"/>
      <c r="Q60" s="500"/>
      <c r="R60" s="513"/>
      <c r="S60" s="502"/>
      <c r="T60" s="514"/>
      <c r="U60" s="504"/>
      <c r="V60" s="516"/>
      <c r="W60" s="506"/>
      <c r="X60" s="515"/>
      <c r="Y60" s="507"/>
      <c r="Z60" s="508"/>
      <c r="AA60" s="509"/>
    </row>
    <row r="61" spans="1:27" hidden="1" x14ac:dyDescent="0.25">
      <c r="A61" s="486"/>
      <c r="B61" s="102" t="str">
        <f>IF(A61&lt;&gt;"",INDEX('Base de données'!A$4:L$990,MATCH(A61,'Base de données'!A$4:A$990,0),2),"")</f>
        <v/>
      </c>
      <c r="C61" s="112" t="str">
        <f>IF(A61&lt;&gt;"",INDEX('Base de données'!A$4:L$990,MATCH(A61,'Base de données'!A$4:A$990,0),12),"")</f>
        <v/>
      </c>
      <c r="D61" s="520"/>
      <c r="E61" s="488"/>
      <c r="F61" s="517"/>
      <c r="G61" s="490"/>
      <c r="H61" s="518"/>
      <c r="I61" s="492"/>
      <c r="J61" s="519"/>
      <c r="K61" s="494"/>
      <c r="L61" s="510"/>
      <c r="M61" s="496"/>
      <c r="N61" s="511"/>
      <c r="O61" s="498"/>
      <c r="P61" s="512"/>
      <c r="Q61" s="500"/>
      <c r="R61" s="513"/>
      <c r="S61" s="502"/>
      <c r="T61" s="514"/>
      <c r="U61" s="504"/>
      <c r="V61" s="516"/>
      <c r="W61" s="506"/>
      <c r="X61" s="515"/>
      <c r="Y61" s="507"/>
      <c r="Z61" s="508"/>
      <c r="AA61" s="509"/>
    </row>
    <row r="62" spans="1:27" hidden="1" x14ac:dyDescent="0.25">
      <c r="A62" s="486"/>
      <c r="B62" s="102" t="str">
        <f>IF(A62&lt;&gt;"",INDEX('Base de données'!A$4:L$990,MATCH(A62,'Base de données'!A$4:A$990,0),2),"")</f>
        <v/>
      </c>
      <c r="C62" s="112" t="str">
        <f>IF(A62&lt;&gt;"",INDEX('Base de données'!A$4:L$990,MATCH(A62,'Base de données'!A$4:A$990,0),12),"")</f>
        <v/>
      </c>
      <c r="D62" s="520"/>
      <c r="E62" s="488"/>
      <c r="F62" s="517"/>
      <c r="G62" s="490"/>
      <c r="H62" s="518"/>
      <c r="I62" s="492"/>
      <c r="J62" s="519"/>
      <c r="K62" s="494"/>
      <c r="L62" s="510"/>
      <c r="M62" s="496"/>
      <c r="N62" s="511"/>
      <c r="O62" s="498"/>
      <c r="P62" s="512"/>
      <c r="Q62" s="500"/>
      <c r="R62" s="513"/>
      <c r="S62" s="502"/>
      <c r="T62" s="514"/>
      <c r="U62" s="504"/>
      <c r="V62" s="516"/>
      <c r="W62" s="506"/>
      <c r="X62" s="515"/>
      <c r="Y62" s="507"/>
      <c r="Z62" s="508"/>
      <c r="AA62" s="509"/>
    </row>
    <row r="63" spans="1:27" hidden="1" x14ac:dyDescent="0.25">
      <c r="A63" s="486"/>
      <c r="B63" s="102" t="str">
        <f>IF(A63&lt;&gt;"",INDEX('Base de données'!A$4:L$990,MATCH(A63,'Base de données'!A$4:A$990,0),2),"")</f>
        <v/>
      </c>
      <c r="C63" s="112" t="str">
        <f>IF(A63&lt;&gt;"",INDEX('Base de données'!A$4:L$990,MATCH(A63,'Base de données'!A$4:A$990,0),12),"")</f>
        <v/>
      </c>
      <c r="D63" s="520"/>
      <c r="E63" s="488"/>
      <c r="F63" s="517"/>
      <c r="G63" s="490"/>
      <c r="H63" s="518"/>
      <c r="I63" s="492"/>
      <c r="J63" s="519"/>
      <c r="K63" s="494"/>
      <c r="L63" s="510"/>
      <c r="M63" s="496"/>
      <c r="N63" s="511"/>
      <c r="O63" s="498"/>
      <c r="P63" s="512"/>
      <c r="Q63" s="500"/>
      <c r="R63" s="513"/>
      <c r="S63" s="502"/>
      <c r="T63" s="514"/>
      <c r="U63" s="504"/>
      <c r="V63" s="516"/>
      <c r="W63" s="506"/>
      <c r="X63" s="515"/>
      <c r="Y63" s="507"/>
      <c r="Z63" s="508"/>
      <c r="AA63" s="509"/>
    </row>
    <row r="64" spans="1:27" hidden="1" x14ac:dyDescent="0.25">
      <c r="A64" s="486"/>
      <c r="B64" s="102" t="str">
        <f>IF(A64&lt;&gt;"",INDEX('Base de données'!A$4:L$990,MATCH(A64,'Base de données'!A$4:A$990,0),2),"")</f>
        <v/>
      </c>
      <c r="C64" s="112" t="str">
        <f>IF(A64&lt;&gt;"",INDEX('Base de données'!A$4:L$990,MATCH(A64,'Base de données'!A$4:A$990,0),12),"")</f>
        <v/>
      </c>
      <c r="D64" s="520"/>
      <c r="E64" s="488"/>
      <c r="F64" s="517"/>
      <c r="G64" s="490"/>
      <c r="H64" s="518"/>
      <c r="I64" s="492"/>
      <c r="J64" s="519"/>
      <c r="K64" s="494"/>
      <c r="L64" s="510"/>
      <c r="M64" s="496"/>
      <c r="N64" s="511"/>
      <c r="O64" s="498"/>
      <c r="P64" s="512"/>
      <c r="Q64" s="500"/>
      <c r="R64" s="513"/>
      <c r="S64" s="502"/>
      <c r="T64" s="514"/>
      <c r="U64" s="504"/>
      <c r="V64" s="516"/>
      <c r="W64" s="506"/>
      <c r="X64" s="515"/>
      <c r="Y64" s="507"/>
      <c r="Z64" s="508"/>
      <c r="AA64" s="509"/>
    </row>
    <row r="65" spans="1:27" hidden="1" x14ac:dyDescent="0.25">
      <c r="A65" s="486"/>
      <c r="B65" s="102" t="str">
        <f>IF(A65&lt;&gt;"",INDEX('Base de données'!A$4:L$990,MATCH(A65,'Base de données'!A$4:A$990,0),2),"")</f>
        <v/>
      </c>
      <c r="C65" s="112" t="str">
        <f>IF(A65&lt;&gt;"",INDEX('Base de données'!A$4:L$990,MATCH(A65,'Base de données'!A$4:A$990,0),12),"")</f>
        <v/>
      </c>
      <c r="D65" s="520"/>
      <c r="E65" s="488"/>
      <c r="F65" s="517"/>
      <c r="G65" s="490"/>
      <c r="H65" s="518"/>
      <c r="I65" s="492"/>
      <c r="J65" s="519"/>
      <c r="K65" s="494"/>
      <c r="L65" s="510"/>
      <c r="M65" s="496"/>
      <c r="N65" s="511"/>
      <c r="O65" s="498"/>
      <c r="P65" s="512"/>
      <c r="Q65" s="500"/>
      <c r="R65" s="513"/>
      <c r="S65" s="502"/>
      <c r="T65" s="514"/>
      <c r="U65" s="504"/>
      <c r="V65" s="516"/>
      <c r="W65" s="506"/>
      <c r="X65" s="515"/>
      <c r="Y65" s="507"/>
      <c r="Z65" s="508"/>
      <c r="AA65" s="509"/>
    </row>
    <row r="66" spans="1:27" hidden="1" x14ac:dyDescent="0.25">
      <c r="A66" s="486"/>
      <c r="B66" s="102" t="str">
        <f>IF(A66&lt;&gt;"",INDEX('Base de données'!A$4:L$990,MATCH(A66,'Base de données'!A$4:A$990,0),2),"")</f>
        <v/>
      </c>
      <c r="C66" s="112" t="str">
        <f>IF(A66&lt;&gt;"",INDEX('Base de données'!A$4:L$990,MATCH(A66,'Base de données'!A$4:A$990,0),12),"")</f>
        <v/>
      </c>
      <c r="D66" s="520"/>
      <c r="E66" s="488"/>
      <c r="F66" s="517"/>
      <c r="G66" s="490"/>
      <c r="H66" s="518"/>
      <c r="I66" s="492"/>
      <c r="J66" s="519"/>
      <c r="K66" s="494"/>
      <c r="L66" s="510"/>
      <c r="M66" s="496"/>
      <c r="N66" s="511"/>
      <c r="O66" s="498"/>
      <c r="P66" s="512"/>
      <c r="Q66" s="500"/>
      <c r="R66" s="513"/>
      <c r="S66" s="502"/>
      <c r="T66" s="514"/>
      <c r="U66" s="504"/>
      <c r="V66" s="516"/>
      <c r="W66" s="506"/>
      <c r="X66" s="515"/>
      <c r="Y66" s="507"/>
      <c r="Z66" s="508"/>
      <c r="AA66" s="509"/>
    </row>
    <row r="67" spans="1:27" hidden="1" x14ac:dyDescent="0.25">
      <c r="A67" s="486"/>
      <c r="B67" s="102" t="str">
        <f>IF(A67&lt;&gt;"",INDEX('Base de données'!A$4:L$990,MATCH(A67,'Base de données'!A$4:A$990,0),2),"")</f>
        <v/>
      </c>
      <c r="C67" s="112" t="str">
        <f>IF(A67&lt;&gt;"",INDEX('Base de données'!A$4:L$990,MATCH(A67,'Base de données'!A$4:A$990,0),12),"")</f>
        <v/>
      </c>
      <c r="D67" s="520"/>
      <c r="E67" s="488"/>
      <c r="F67" s="517"/>
      <c r="G67" s="490"/>
      <c r="H67" s="518"/>
      <c r="I67" s="492"/>
      <c r="J67" s="519"/>
      <c r="K67" s="494"/>
      <c r="L67" s="510"/>
      <c r="M67" s="496"/>
      <c r="N67" s="511"/>
      <c r="O67" s="498"/>
      <c r="P67" s="512"/>
      <c r="Q67" s="500"/>
      <c r="R67" s="513"/>
      <c r="S67" s="502"/>
      <c r="T67" s="514"/>
      <c r="U67" s="504"/>
      <c r="V67" s="516"/>
      <c r="W67" s="506"/>
      <c r="X67" s="515"/>
      <c r="Y67" s="507"/>
      <c r="Z67" s="508"/>
      <c r="AA67" s="509"/>
    </row>
    <row r="68" spans="1:27" hidden="1" x14ac:dyDescent="0.25">
      <c r="A68" s="486"/>
      <c r="B68" s="102" t="str">
        <f>IF(A68&lt;&gt;"",INDEX('Base de données'!A$4:L$990,MATCH(A68,'Base de données'!A$4:A$990,0),2),"")</f>
        <v/>
      </c>
      <c r="C68" s="112" t="str">
        <f>IF(A68&lt;&gt;"",INDEX('Base de données'!A$4:L$990,MATCH(A68,'Base de données'!A$4:A$990,0),12),"")</f>
        <v/>
      </c>
      <c r="D68" s="520"/>
      <c r="E68" s="488"/>
      <c r="F68" s="517"/>
      <c r="G68" s="490"/>
      <c r="H68" s="518"/>
      <c r="I68" s="492"/>
      <c r="J68" s="519"/>
      <c r="K68" s="494"/>
      <c r="L68" s="510"/>
      <c r="M68" s="496"/>
      <c r="N68" s="511"/>
      <c r="O68" s="498"/>
      <c r="P68" s="512"/>
      <c r="Q68" s="500"/>
      <c r="R68" s="513"/>
      <c r="S68" s="502"/>
      <c r="T68" s="514"/>
      <c r="U68" s="504"/>
      <c r="V68" s="516"/>
      <c r="W68" s="506"/>
      <c r="X68" s="515"/>
      <c r="Y68" s="507"/>
      <c r="Z68" s="508"/>
      <c r="AA68" s="509"/>
    </row>
    <row r="69" spans="1:27" hidden="1" x14ac:dyDescent="0.25">
      <c r="A69" s="486"/>
      <c r="B69" s="102" t="str">
        <f>IF(A69&lt;&gt;"",INDEX('Base de données'!A$4:L$990,MATCH(A69,'Base de données'!A$4:A$990,0),2),"")</f>
        <v/>
      </c>
      <c r="C69" s="112" t="str">
        <f>IF(A69&lt;&gt;"",INDEX('Base de données'!A$4:L$990,MATCH(A69,'Base de données'!A$4:A$990,0),12),"")</f>
        <v/>
      </c>
      <c r="D69" s="520"/>
      <c r="E69" s="488"/>
      <c r="F69" s="517"/>
      <c r="G69" s="490"/>
      <c r="H69" s="518"/>
      <c r="I69" s="492"/>
      <c r="J69" s="519"/>
      <c r="K69" s="494"/>
      <c r="L69" s="510"/>
      <c r="M69" s="496"/>
      <c r="N69" s="511"/>
      <c r="O69" s="498"/>
      <c r="P69" s="512"/>
      <c r="Q69" s="500"/>
      <c r="R69" s="513"/>
      <c r="S69" s="502"/>
      <c r="T69" s="514"/>
      <c r="U69" s="504"/>
      <c r="V69" s="516"/>
      <c r="W69" s="506"/>
      <c r="X69" s="515"/>
      <c r="Y69" s="507"/>
      <c r="Z69" s="508"/>
      <c r="AA69" s="509"/>
    </row>
    <row r="70" spans="1:27" hidden="1" x14ac:dyDescent="0.25">
      <c r="A70" s="486"/>
      <c r="B70" s="102" t="str">
        <f>IF(A70&lt;&gt;"",INDEX('Base de données'!A$4:L$990,MATCH(A70,'Base de données'!A$4:A$990,0),2),"")</f>
        <v/>
      </c>
      <c r="C70" s="112" t="str">
        <f>IF(A70&lt;&gt;"",INDEX('Base de données'!A$4:L$990,MATCH(A70,'Base de données'!A$4:A$990,0),12),"")</f>
        <v/>
      </c>
      <c r="D70" s="520"/>
      <c r="E70" s="488"/>
      <c r="F70" s="517"/>
      <c r="G70" s="490"/>
      <c r="H70" s="518"/>
      <c r="I70" s="492"/>
      <c r="J70" s="519"/>
      <c r="K70" s="494"/>
      <c r="L70" s="510"/>
      <c r="M70" s="496"/>
      <c r="N70" s="511"/>
      <c r="O70" s="498"/>
      <c r="P70" s="512"/>
      <c r="Q70" s="500"/>
      <c r="R70" s="513"/>
      <c r="S70" s="502"/>
      <c r="T70" s="514"/>
      <c r="U70" s="504"/>
      <c r="V70" s="516"/>
      <c r="W70" s="506"/>
      <c r="X70" s="515"/>
      <c r="Y70" s="507"/>
      <c r="Z70" s="508"/>
      <c r="AA70" s="509"/>
    </row>
    <row r="71" spans="1:27" hidden="1" x14ac:dyDescent="0.25">
      <c r="A71" s="486"/>
      <c r="B71" s="102" t="str">
        <f>IF(A71&lt;&gt;"",INDEX('Base de données'!A$4:L$990,MATCH(A71,'Base de données'!A$4:A$990,0),2),"")</f>
        <v/>
      </c>
      <c r="C71" s="112" t="str">
        <f>IF(A71&lt;&gt;"",INDEX('Base de données'!A$4:L$990,MATCH(A71,'Base de données'!A$4:A$990,0),12),"")</f>
        <v/>
      </c>
      <c r="D71" s="520"/>
      <c r="E71" s="488"/>
      <c r="F71" s="517"/>
      <c r="G71" s="490"/>
      <c r="H71" s="518"/>
      <c r="I71" s="492"/>
      <c r="J71" s="519"/>
      <c r="K71" s="494"/>
      <c r="L71" s="510"/>
      <c r="M71" s="496"/>
      <c r="N71" s="511"/>
      <c r="O71" s="498"/>
      <c r="P71" s="512"/>
      <c r="Q71" s="500"/>
      <c r="R71" s="513"/>
      <c r="S71" s="502"/>
      <c r="T71" s="514"/>
      <c r="U71" s="504"/>
      <c r="V71" s="516"/>
      <c r="W71" s="506"/>
      <c r="X71" s="515"/>
      <c r="Y71" s="507"/>
      <c r="Z71" s="508"/>
      <c r="AA71" s="509"/>
    </row>
    <row r="72" spans="1:27" hidden="1" x14ac:dyDescent="0.25">
      <c r="A72" s="486"/>
      <c r="B72" s="102" t="str">
        <f>IF(A72&lt;&gt;"",INDEX('Base de données'!A$4:L$990,MATCH(A72,'Base de données'!A$4:A$990,0),2),"")</f>
        <v/>
      </c>
      <c r="C72" s="112" t="str">
        <f>IF(A72&lt;&gt;"",INDEX('Base de données'!A$4:L$990,MATCH(A72,'Base de données'!A$4:A$990,0),12),"")</f>
        <v/>
      </c>
      <c r="D72" s="520"/>
      <c r="E72" s="488"/>
      <c r="F72" s="517"/>
      <c r="G72" s="490"/>
      <c r="H72" s="518"/>
      <c r="I72" s="492"/>
      <c r="J72" s="519"/>
      <c r="K72" s="494"/>
      <c r="L72" s="510"/>
      <c r="M72" s="496"/>
      <c r="N72" s="511"/>
      <c r="O72" s="498"/>
      <c r="P72" s="512"/>
      <c r="Q72" s="500"/>
      <c r="R72" s="513"/>
      <c r="S72" s="502"/>
      <c r="T72" s="514"/>
      <c r="U72" s="504"/>
      <c r="V72" s="516"/>
      <c r="W72" s="506"/>
      <c r="X72" s="515"/>
      <c r="Y72" s="507"/>
      <c r="Z72" s="508"/>
      <c r="AA72" s="509"/>
    </row>
    <row r="73" spans="1:27" hidden="1" x14ac:dyDescent="0.25">
      <c r="A73" s="486"/>
      <c r="B73" s="102" t="str">
        <f>IF(A73&lt;&gt;"",INDEX('Base de données'!A$4:L$990,MATCH(A73,'Base de données'!A$4:A$990,0),2),"")</f>
        <v/>
      </c>
      <c r="C73" s="112" t="str">
        <f>IF(A73&lt;&gt;"",INDEX('Base de données'!A$4:L$990,MATCH(A73,'Base de données'!A$4:A$990,0),12),"")</f>
        <v/>
      </c>
      <c r="D73" s="520"/>
      <c r="E73" s="488"/>
      <c r="F73" s="517"/>
      <c r="G73" s="490"/>
      <c r="H73" s="518"/>
      <c r="I73" s="492"/>
      <c r="J73" s="519"/>
      <c r="K73" s="494"/>
      <c r="L73" s="510"/>
      <c r="M73" s="496"/>
      <c r="N73" s="511"/>
      <c r="O73" s="498"/>
      <c r="P73" s="512"/>
      <c r="Q73" s="500"/>
      <c r="R73" s="513"/>
      <c r="S73" s="502"/>
      <c r="T73" s="514"/>
      <c r="U73" s="504"/>
      <c r="V73" s="516"/>
      <c r="W73" s="506"/>
      <c r="X73" s="515"/>
      <c r="Y73" s="507"/>
      <c r="Z73" s="508"/>
      <c r="AA73" s="509"/>
    </row>
    <row r="74" spans="1:27" hidden="1" x14ac:dyDescent="0.25">
      <c r="A74" s="486"/>
      <c r="B74" s="102" t="str">
        <f>IF(A74&lt;&gt;"",INDEX('Base de données'!A$4:L$990,MATCH(A74,'Base de données'!A$4:A$990,0),2),"")</f>
        <v/>
      </c>
      <c r="C74" s="112" t="str">
        <f>IF(A74&lt;&gt;"",INDEX('Base de données'!A$4:L$990,MATCH(A74,'Base de données'!A$4:A$990,0),12),"")</f>
        <v/>
      </c>
      <c r="D74" s="520"/>
      <c r="E74" s="488"/>
      <c r="F74" s="517"/>
      <c r="G74" s="490"/>
      <c r="H74" s="518"/>
      <c r="I74" s="492"/>
      <c r="J74" s="519"/>
      <c r="K74" s="494"/>
      <c r="L74" s="510"/>
      <c r="M74" s="496"/>
      <c r="N74" s="511"/>
      <c r="O74" s="498"/>
      <c r="P74" s="512"/>
      <c r="Q74" s="500"/>
      <c r="R74" s="513"/>
      <c r="S74" s="502"/>
      <c r="T74" s="514"/>
      <c r="U74" s="504"/>
      <c r="V74" s="516"/>
      <c r="W74" s="506"/>
      <c r="X74" s="515"/>
      <c r="Y74" s="507"/>
      <c r="Z74" s="508"/>
      <c r="AA74" s="509"/>
    </row>
    <row r="75" spans="1:27" hidden="1" x14ac:dyDescent="0.25">
      <c r="A75" s="486"/>
      <c r="B75" s="102" t="str">
        <f>IF(A75&lt;&gt;"",INDEX('Base de données'!A$4:L$990,MATCH(A75,'Base de données'!A$4:A$990,0),2),"")</f>
        <v/>
      </c>
      <c r="C75" s="112" t="str">
        <f>IF(A75&lt;&gt;"",INDEX('Base de données'!A$4:L$990,MATCH(A75,'Base de données'!A$4:A$990,0),12),"")</f>
        <v/>
      </c>
      <c r="D75" s="520"/>
      <c r="E75" s="488"/>
      <c r="F75" s="517"/>
      <c r="G75" s="490"/>
      <c r="H75" s="518"/>
      <c r="I75" s="492"/>
      <c r="J75" s="519"/>
      <c r="K75" s="494"/>
      <c r="L75" s="510"/>
      <c r="M75" s="496"/>
      <c r="N75" s="511"/>
      <c r="O75" s="498"/>
      <c r="P75" s="512"/>
      <c r="Q75" s="500"/>
      <c r="R75" s="513"/>
      <c r="S75" s="502"/>
      <c r="T75" s="514"/>
      <c r="U75" s="504"/>
      <c r="V75" s="516"/>
      <c r="W75" s="506"/>
      <c r="X75" s="515"/>
      <c r="Y75" s="507"/>
      <c r="Z75" s="508"/>
      <c r="AA75" s="509"/>
    </row>
    <row r="76" spans="1:27" hidden="1" x14ac:dyDescent="0.25">
      <c r="A76" s="486"/>
      <c r="B76" s="102" t="str">
        <f>IF(A76&lt;&gt;"",INDEX('Base de données'!A$4:L$990,MATCH(A76,'Base de données'!A$4:A$990,0),2),"")</f>
        <v/>
      </c>
      <c r="C76" s="112" t="str">
        <f>IF(A76&lt;&gt;"",INDEX('Base de données'!A$4:L$990,MATCH(A76,'Base de données'!A$4:A$990,0),12),"")</f>
        <v/>
      </c>
      <c r="D76" s="520"/>
      <c r="E76" s="488"/>
      <c r="F76" s="517"/>
      <c r="G76" s="490"/>
      <c r="H76" s="518"/>
      <c r="I76" s="492"/>
      <c r="J76" s="519"/>
      <c r="K76" s="494"/>
      <c r="L76" s="510"/>
      <c r="M76" s="496"/>
      <c r="N76" s="511"/>
      <c r="O76" s="498"/>
      <c r="P76" s="512"/>
      <c r="Q76" s="500"/>
      <c r="R76" s="513"/>
      <c r="S76" s="502"/>
      <c r="T76" s="514"/>
      <c r="U76" s="504"/>
      <c r="V76" s="516"/>
      <c r="W76" s="506"/>
      <c r="X76" s="515"/>
      <c r="Y76" s="507"/>
      <c r="Z76" s="508"/>
      <c r="AA76" s="509"/>
    </row>
    <row r="77" spans="1:27" hidden="1" x14ac:dyDescent="0.25">
      <c r="A77" s="486"/>
      <c r="B77" s="102" t="str">
        <f>IF(A77&lt;&gt;"",INDEX('Base de données'!A$4:L$990,MATCH(A77,'Base de données'!A$4:A$990,0),2),"")</f>
        <v/>
      </c>
      <c r="C77" s="112" t="str">
        <f>IF(A77&lt;&gt;"",INDEX('Base de données'!A$4:L$990,MATCH(A77,'Base de données'!A$4:A$990,0),12),"")</f>
        <v/>
      </c>
      <c r="D77" s="520"/>
      <c r="E77" s="488"/>
      <c r="F77" s="517"/>
      <c r="G77" s="490"/>
      <c r="H77" s="518"/>
      <c r="I77" s="492"/>
      <c r="J77" s="519"/>
      <c r="K77" s="494"/>
      <c r="L77" s="510"/>
      <c r="M77" s="496"/>
      <c r="N77" s="511"/>
      <c r="O77" s="498"/>
      <c r="P77" s="512"/>
      <c r="Q77" s="500"/>
      <c r="R77" s="513"/>
      <c r="S77" s="502"/>
      <c r="T77" s="514"/>
      <c r="U77" s="504"/>
      <c r="V77" s="516"/>
      <c r="W77" s="506"/>
      <c r="X77" s="515"/>
      <c r="Y77" s="507"/>
      <c r="Z77" s="508"/>
      <c r="AA77" s="509"/>
    </row>
    <row r="78" spans="1:27" hidden="1" x14ac:dyDescent="0.25">
      <c r="A78" s="486"/>
      <c r="B78" s="102" t="str">
        <f>IF(A78&lt;&gt;"",INDEX('Base de données'!A$4:L$990,MATCH(A78,'Base de données'!A$4:A$990,0),2),"")</f>
        <v/>
      </c>
      <c r="C78" s="112" t="str">
        <f>IF(A78&lt;&gt;"",INDEX('Base de données'!A$4:L$990,MATCH(A78,'Base de données'!A$4:A$990,0),12),"")</f>
        <v/>
      </c>
      <c r="D78" s="520"/>
      <c r="E78" s="488"/>
      <c r="F78" s="517"/>
      <c r="G78" s="490"/>
      <c r="H78" s="518"/>
      <c r="I78" s="492"/>
      <c r="J78" s="519"/>
      <c r="K78" s="494"/>
      <c r="L78" s="510"/>
      <c r="M78" s="496"/>
      <c r="N78" s="511"/>
      <c r="O78" s="498"/>
      <c r="P78" s="512"/>
      <c r="Q78" s="500"/>
      <c r="R78" s="513"/>
      <c r="S78" s="502"/>
      <c r="T78" s="514"/>
      <c r="U78" s="504"/>
      <c r="V78" s="516"/>
      <c r="W78" s="506"/>
      <c r="X78" s="515"/>
      <c r="Y78" s="507"/>
      <c r="Z78" s="508"/>
      <c r="AA78" s="509"/>
    </row>
    <row r="79" spans="1:27" hidden="1" x14ac:dyDescent="0.25">
      <c r="A79" s="486"/>
      <c r="B79" s="102" t="str">
        <f>IF(A79&lt;&gt;"",INDEX('Base de données'!A$4:L$990,MATCH(A79,'Base de données'!A$4:A$990,0),2),"")</f>
        <v/>
      </c>
      <c r="C79" s="112" t="str">
        <f>IF(A79&lt;&gt;"",INDEX('Base de données'!A$4:L$990,MATCH(A79,'Base de données'!A$4:A$990,0),12),"")</f>
        <v/>
      </c>
      <c r="D79" s="520"/>
      <c r="E79" s="488"/>
      <c r="F79" s="517"/>
      <c r="G79" s="490"/>
      <c r="H79" s="518"/>
      <c r="I79" s="492"/>
      <c r="J79" s="519"/>
      <c r="K79" s="494"/>
      <c r="L79" s="510"/>
      <c r="M79" s="496"/>
      <c r="N79" s="511"/>
      <c r="O79" s="498"/>
      <c r="P79" s="512"/>
      <c r="Q79" s="500"/>
      <c r="R79" s="513"/>
      <c r="S79" s="502"/>
      <c r="T79" s="514"/>
      <c r="U79" s="504"/>
      <c r="V79" s="516"/>
      <c r="W79" s="506"/>
      <c r="X79" s="515"/>
      <c r="Y79" s="507"/>
      <c r="Z79" s="508"/>
      <c r="AA79" s="509"/>
    </row>
    <row r="80" spans="1:27" hidden="1" x14ac:dyDescent="0.25">
      <c r="A80" s="486"/>
      <c r="B80" s="102" t="str">
        <f>IF(A80&lt;&gt;"",INDEX('Base de données'!A$4:L$990,MATCH(A80,'Base de données'!A$4:A$990,0),2),"")</f>
        <v/>
      </c>
      <c r="C80" s="112" t="str">
        <f>IF(A80&lt;&gt;"",INDEX('Base de données'!A$4:L$990,MATCH(A80,'Base de données'!A$4:A$990,0),12),"")</f>
        <v/>
      </c>
      <c r="D80" s="520"/>
      <c r="E80" s="488"/>
      <c r="F80" s="517"/>
      <c r="G80" s="490"/>
      <c r="H80" s="518"/>
      <c r="I80" s="492"/>
      <c r="J80" s="519"/>
      <c r="K80" s="494"/>
      <c r="L80" s="510"/>
      <c r="M80" s="496"/>
      <c r="N80" s="511"/>
      <c r="O80" s="498"/>
      <c r="P80" s="512"/>
      <c r="Q80" s="500"/>
      <c r="R80" s="513"/>
      <c r="S80" s="502"/>
      <c r="T80" s="514"/>
      <c r="U80" s="504"/>
      <c r="V80" s="516"/>
      <c r="W80" s="506"/>
      <c r="X80" s="515"/>
      <c r="Y80" s="507"/>
      <c r="Z80" s="508"/>
      <c r="AA80" s="509"/>
    </row>
    <row r="81" spans="1:27" hidden="1" x14ac:dyDescent="0.25">
      <c r="A81" s="486"/>
      <c r="B81" s="102" t="str">
        <f>IF(A81&lt;&gt;"",INDEX('Base de données'!A$4:L$990,MATCH(A81,'Base de données'!A$4:A$990,0),2),"")</f>
        <v/>
      </c>
      <c r="C81" s="112" t="str">
        <f>IF(A81&lt;&gt;"",INDEX('Base de données'!A$4:L$990,MATCH(A81,'Base de données'!A$4:A$990,0),12),"")</f>
        <v/>
      </c>
      <c r="D81" s="520"/>
      <c r="E81" s="488"/>
      <c r="F81" s="517"/>
      <c r="G81" s="490"/>
      <c r="H81" s="518"/>
      <c r="I81" s="492"/>
      <c r="J81" s="519"/>
      <c r="K81" s="494"/>
      <c r="L81" s="510"/>
      <c r="M81" s="496"/>
      <c r="N81" s="511"/>
      <c r="O81" s="498"/>
      <c r="P81" s="512"/>
      <c r="Q81" s="500"/>
      <c r="R81" s="513"/>
      <c r="S81" s="502"/>
      <c r="T81" s="514"/>
      <c r="U81" s="504"/>
      <c r="V81" s="516"/>
      <c r="W81" s="506"/>
      <c r="X81" s="515"/>
      <c r="Y81" s="507"/>
      <c r="Z81" s="508"/>
      <c r="AA81" s="509"/>
    </row>
    <row r="82" spans="1:27" hidden="1" x14ac:dyDescent="0.25">
      <c r="A82" s="486"/>
      <c r="B82" s="102" t="str">
        <f>IF(A82&lt;&gt;"",INDEX('Base de données'!A$4:L$990,MATCH(A82,'Base de données'!A$4:A$990,0),2),"")</f>
        <v/>
      </c>
      <c r="C82" s="112" t="str">
        <f>IF(A82&lt;&gt;"",INDEX('Base de données'!A$4:L$990,MATCH(A82,'Base de données'!A$4:A$990,0),12),"")</f>
        <v/>
      </c>
      <c r="D82" s="520"/>
      <c r="E82" s="488"/>
      <c r="F82" s="517"/>
      <c r="G82" s="490"/>
      <c r="H82" s="518"/>
      <c r="I82" s="492"/>
      <c r="J82" s="519"/>
      <c r="K82" s="494"/>
      <c r="L82" s="510"/>
      <c r="M82" s="496"/>
      <c r="N82" s="511"/>
      <c r="O82" s="498"/>
      <c r="P82" s="512"/>
      <c r="Q82" s="500"/>
      <c r="R82" s="513"/>
      <c r="S82" s="502"/>
      <c r="T82" s="514"/>
      <c r="U82" s="504"/>
      <c r="V82" s="516"/>
      <c r="W82" s="506"/>
      <c r="X82" s="515"/>
      <c r="Y82" s="507"/>
      <c r="Z82" s="508"/>
      <c r="AA82" s="509"/>
    </row>
    <row r="83" spans="1:27" hidden="1" x14ac:dyDescent="0.25">
      <c r="A83" s="486"/>
      <c r="B83" s="102" t="str">
        <f>IF(A83&lt;&gt;"",INDEX('Base de données'!A$4:L$990,MATCH(A83,'Base de données'!A$4:A$990,0),2),"")</f>
        <v/>
      </c>
      <c r="C83" s="112" t="str">
        <f>IF(A83&lt;&gt;"",INDEX('Base de données'!A$4:L$990,MATCH(A83,'Base de données'!A$4:A$990,0),12),"")</f>
        <v/>
      </c>
      <c r="D83" s="520"/>
      <c r="E83" s="488"/>
      <c r="F83" s="517"/>
      <c r="G83" s="490"/>
      <c r="H83" s="518"/>
      <c r="I83" s="492"/>
      <c r="J83" s="519"/>
      <c r="K83" s="494"/>
      <c r="L83" s="510"/>
      <c r="M83" s="496"/>
      <c r="N83" s="511"/>
      <c r="O83" s="498"/>
      <c r="P83" s="512"/>
      <c r="Q83" s="500"/>
      <c r="R83" s="513"/>
      <c r="S83" s="502"/>
      <c r="T83" s="514"/>
      <c r="U83" s="504"/>
      <c r="V83" s="516"/>
      <c r="W83" s="506"/>
      <c r="X83" s="515"/>
      <c r="Y83" s="507"/>
      <c r="Z83" s="508"/>
      <c r="AA83" s="509"/>
    </row>
    <row r="84" spans="1:27" hidden="1" x14ac:dyDescent="0.25">
      <c r="A84" s="486"/>
      <c r="B84" s="102" t="str">
        <f>IF(A84&lt;&gt;"",INDEX('Base de données'!A$4:L$990,MATCH(A84,'Base de données'!A$4:A$990,0),2),"")</f>
        <v/>
      </c>
      <c r="C84" s="112" t="str">
        <f>IF(A84&lt;&gt;"",INDEX('Base de données'!A$4:L$990,MATCH(A84,'Base de données'!A$4:A$990,0),12),"")</f>
        <v/>
      </c>
      <c r="D84" s="520"/>
      <c r="E84" s="488"/>
      <c r="F84" s="517"/>
      <c r="G84" s="490"/>
      <c r="H84" s="518"/>
      <c r="I84" s="492"/>
      <c r="J84" s="519"/>
      <c r="K84" s="494"/>
      <c r="L84" s="510"/>
      <c r="M84" s="496"/>
      <c r="N84" s="511"/>
      <c r="O84" s="498"/>
      <c r="P84" s="512"/>
      <c r="Q84" s="500"/>
      <c r="R84" s="513"/>
      <c r="S84" s="502"/>
      <c r="T84" s="514"/>
      <c r="U84" s="504"/>
      <c r="V84" s="516"/>
      <c r="W84" s="506"/>
      <c r="X84" s="515"/>
      <c r="Y84" s="507"/>
      <c r="Z84" s="508"/>
      <c r="AA84" s="509"/>
    </row>
    <row r="85" spans="1:27" hidden="1" x14ac:dyDescent="0.25">
      <c r="A85" s="486"/>
      <c r="B85" s="102" t="str">
        <f>IF(A85&lt;&gt;"",INDEX('Base de données'!A$4:L$990,MATCH(A85,'Base de données'!A$4:A$990,0),2),"")</f>
        <v/>
      </c>
      <c r="C85" s="112" t="str">
        <f>IF(A85&lt;&gt;"",INDEX('Base de données'!A$4:L$990,MATCH(A85,'Base de données'!A$4:A$990,0),12),"")</f>
        <v/>
      </c>
      <c r="D85" s="520"/>
      <c r="E85" s="488"/>
      <c r="F85" s="517"/>
      <c r="G85" s="490"/>
      <c r="H85" s="518"/>
      <c r="I85" s="492"/>
      <c r="J85" s="519"/>
      <c r="K85" s="494"/>
      <c r="L85" s="510"/>
      <c r="M85" s="496"/>
      <c r="N85" s="511"/>
      <c r="O85" s="498"/>
      <c r="P85" s="512"/>
      <c r="Q85" s="500"/>
      <c r="R85" s="513"/>
      <c r="S85" s="502"/>
      <c r="T85" s="514"/>
      <c r="U85" s="504"/>
      <c r="V85" s="516"/>
      <c r="W85" s="506"/>
      <c r="X85" s="515"/>
      <c r="Y85" s="507"/>
      <c r="Z85" s="508"/>
      <c r="AA85" s="509"/>
    </row>
    <row r="86" spans="1:27" hidden="1" x14ac:dyDescent="0.25">
      <c r="A86" s="486"/>
      <c r="B86" s="102" t="str">
        <f>IF(A86&lt;&gt;"",INDEX('Base de données'!A$4:L$990,MATCH(A86,'Base de données'!A$4:A$990,0),2),"")</f>
        <v/>
      </c>
      <c r="C86" s="112" t="str">
        <f>IF(A86&lt;&gt;"",INDEX('Base de données'!A$4:L$990,MATCH(A86,'Base de données'!A$4:A$990,0),12),"")</f>
        <v/>
      </c>
      <c r="D86" s="520"/>
      <c r="E86" s="488"/>
      <c r="F86" s="517"/>
      <c r="G86" s="490"/>
      <c r="H86" s="518"/>
      <c r="I86" s="492"/>
      <c r="J86" s="519"/>
      <c r="K86" s="494"/>
      <c r="L86" s="510"/>
      <c r="M86" s="496"/>
      <c r="N86" s="511"/>
      <c r="O86" s="498"/>
      <c r="P86" s="512"/>
      <c r="Q86" s="500"/>
      <c r="R86" s="513"/>
      <c r="S86" s="502"/>
      <c r="T86" s="514"/>
      <c r="U86" s="504"/>
      <c r="V86" s="516"/>
      <c r="W86" s="506"/>
      <c r="X86" s="515"/>
      <c r="Y86" s="507"/>
      <c r="Z86" s="508"/>
      <c r="AA86" s="509"/>
    </row>
    <row r="87" spans="1:27" hidden="1" x14ac:dyDescent="0.25">
      <c r="A87" s="486"/>
      <c r="B87" s="102" t="str">
        <f>IF(A87&lt;&gt;"",INDEX('Base de données'!A$4:L$990,MATCH(A87,'Base de données'!A$4:A$990,0),2),"")</f>
        <v/>
      </c>
      <c r="C87" s="112" t="str">
        <f>IF(A87&lt;&gt;"",INDEX('Base de données'!A$4:L$990,MATCH(A87,'Base de données'!A$4:A$990,0),12),"")</f>
        <v/>
      </c>
      <c r="D87" s="520"/>
      <c r="E87" s="488"/>
      <c r="F87" s="517"/>
      <c r="G87" s="490"/>
      <c r="H87" s="518"/>
      <c r="I87" s="492"/>
      <c r="J87" s="519"/>
      <c r="K87" s="494"/>
      <c r="L87" s="510"/>
      <c r="M87" s="496"/>
      <c r="N87" s="511"/>
      <c r="O87" s="498"/>
      <c r="P87" s="512"/>
      <c r="Q87" s="500"/>
      <c r="R87" s="513"/>
      <c r="S87" s="502"/>
      <c r="T87" s="514"/>
      <c r="U87" s="504"/>
      <c r="V87" s="516"/>
      <c r="W87" s="506"/>
      <c r="X87" s="515"/>
      <c r="Y87" s="507"/>
      <c r="Z87" s="508"/>
      <c r="AA87" s="509"/>
    </row>
    <row r="88" spans="1:27" hidden="1" x14ac:dyDescent="0.25">
      <c r="A88" s="486"/>
      <c r="B88" s="102" t="str">
        <f>IF(A88&lt;&gt;"",INDEX('Base de données'!A$4:L$990,MATCH(A88,'Base de données'!A$4:A$990,0),2),"")</f>
        <v/>
      </c>
      <c r="C88" s="112" t="str">
        <f>IF(A88&lt;&gt;"",INDEX('Base de données'!A$4:L$990,MATCH(A88,'Base de données'!A$4:A$990,0),12),"")</f>
        <v/>
      </c>
      <c r="D88" s="520"/>
      <c r="E88" s="488"/>
      <c r="F88" s="517"/>
      <c r="G88" s="490"/>
      <c r="H88" s="518"/>
      <c r="I88" s="492"/>
      <c r="J88" s="519"/>
      <c r="K88" s="494"/>
      <c r="L88" s="510"/>
      <c r="M88" s="496"/>
      <c r="N88" s="511"/>
      <c r="O88" s="498"/>
      <c r="P88" s="512"/>
      <c r="Q88" s="500"/>
      <c r="R88" s="513"/>
      <c r="S88" s="502"/>
      <c r="T88" s="514"/>
      <c r="U88" s="504"/>
      <c r="V88" s="516"/>
      <c r="W88" s="506"/>
      <c r="X88" s="515"/>
      <c r="Y88" s="507"/>
      <c r="Z88" s="508"/>
      <c r="AA88" s="509"/>
    </row>
    <row r="89" spans="1:27" hidden="1" x14ac:dyDescent="0.25">
      <c r="A89" s="486"/>
      <c r="B89" s="102" t="str">
        <f>IF(A89&lt;&gt;"",INDEX('Base de données'!A$4:L$990,MATCH(A89,'Base de données'!A$4:A$990,0),2),"")</f>
        <v/>
      </c>
      <c r="C89" s="112" t="str">
        <f>IF(A89&lt;&gt;"",INDEX('Base de données'!A$4:L$990,MATCH(A89,'Base de données'!A$4:A$990,0),12),"")</f>
        <v/>
      </c>
      <c r="D89" s="520"/>
      <c r="E89" s="488"/>
      <c r="F89" s="517"/>
      <c r="G89" s="490"/>
      <c r="H89" s="518"/>
      <c r="I89" s="492"/>
      <c r="J89" s="519"/>
      <c r="K89" s="494"/>
      <c r="L89" s="510"/>
      <c r="M89" s="496"/>
      <c r="N89" s="511"/>
      <c r="O89" s="498"/>
      <c r="P89" s="512"/>
      <c r="Q89" s="500"/>
      <c r="R89" s="513"/>
      <c r="S89" s="502"/>
      <c r="T89" s="514"/>
      <c r="U89" s="504"/>
      <c r="V89" s="516"/>
      <c r="W89" s="506"/>
      <c r="X89" s="515"/>
      <c r="Y89" s="507"/>
      <c r="Z89" s="508"/>
      <c r="AA89" s="509"/>
    </row>
    <row r="90" spans="1:27" hidden="1" x14ac:dyDescent="0.25">
      <c r="A90" s="486"/>
      <c r="B90" s="102" t="str">
        <f>IF(A90&lt;&gt;"",INDEX('Base de données'!A$4:L$990,MATCH(A90,'Base de données'!A$4:A$990,0),2),"")</f>
        <v/>
      </c>
      <c r="C90" s="112" t="str">
        <f>IF(A90&lt;&gt;"",INDEX('Base de données'!A$4:L$990,MATCH(A90,'Base de données'!A$4:A$990,0),12),"")</f>
        <v/>
      </c>
      <c r="D90" s="520"/>
      <c r="E90" s="488"/>
      <c r="F90" s="517"/>
      <c r="G90" s="490"/>
      <c r="H90" s="518"/>
      <c r="I90" s="492"/>
      <c r="J90" s="519"/>
      <c r="K90" s="494"/>
      <c r="L90" s="510"/>
      <c r="M90" s="496"/>
      <c r="N90" s="511"/>
      <c r="O90" s="498"/>
      <c r="P90" s="512"/>
      <c r="Q90" s="500"/>
      <c r="R90" s="513"/>
      <c r="S90" s="502"/>
      <c r="T90" s="514"/>
      <c r="U90" s="504"/>
      <c r="V90" s="516"/>
      <c r="W90" s="506"/>
      <c r="X90" s="515"/>
      <c r="Y90" s="507"/>
      <c r="Z90" s="508"/>
      <c r="AA90" s="509"/>
    </row>
    <row r="91" spans="1:27" hidden="1" x14ac:dyDescent="0.25">
      <c r="A91" s="486"/>
      <c r="B91" s="102" t="str">
        <f>IF(A91&lt;&gt;"",INDEX('Base de données'!A$4:L$990,MATCH(A91,'Base de données'!A$4:A$990,0),2),"")</f>
        <v/>
      </c>
      <c r="C91" s="112" t="str">
        <f>IF(A91&lt;&gt;"",INDEX('Base de données'!A$4:L$990,MATCH(A91,'Base de données'!A$4:A$990,0),12),"")</f>
        <v/>
      </c>
      <c r="D91" s="520"/>
      <c r="E91" s="488"/>
      <c r="F91" s="517"/>
      <c r="G91" s="490"/>
      <c r="H91" s="518"/>
      <c r="I91" s="492"/>
      <c r="J91" s="519"/>
      <c r="K91" s="494"/>
      <c r="L91" s="510"/>
      <c r="M91" s="496"/>
      <c r="N91" s="511"/>
      <c r="O91" s="498"/>
      <c r="P91" s="512"/>
      <c r="Q91" s="500"/>
      <c r="R91" s="513"/>
      <c r="S91" s="502"/>
      <c r="T91" s="514"/>
      <c r="U91" s="504"/>
      <c r="V91" s="516"/>
      <c r="W91" s="506"/>
      <c r="X91" s="515"/>
      <c r="Y91" s="507"/>
      <c r="Z91" s="508"/>
      <c r="AA91" s="509"/>
    </row>
    <row r="92" spans="1:27" hidden="1" x14ac:dyDescent="0.25">
      <c r="A92" s="486"/>
      <c r="B92" s="102" t="str">
        <f>IF(A92&lt;&gt;"",INDEX('Base de données'!A$4:L$990,MATCH(A92,'Base de données'!A$4:A$990,0),2),"")</f>
        <v/>
      </c>
      <c r="C92" s="112" t="str">
        <f>IF(A92&lt;&gt;"",INDEX('Base de données'!A$4:L$990,MATCH(A92,'Base de données'!A$4:A$990,0),12),"")</f>
        <v/>
      </c>
      <c r="D92" s="520"/>
      <c r="E92" s="488"/>
      <c r="F92" s="517"/>
      <c r="G92" s="490"/>
      <c r="H92" s="518"/>
      <c r="I92" s="492"/>
      <c r="J92" s="519"/>
      <c r="K92" s="494"/>
      <c r="L92" s="510"/>
      <c r="M92" s="496"/>
      <c r="N92" s="511"/>
      <c r="O92" s="498"/>
      <c r="P92" s="512"/>
      <c r="Q92" s="500"/>
      <c r="R92" s="513"/>
      <c r="S92" s="502"/>
      <c r="T92" s="514"/>
      <c r="U92" s="504"/>
      <c r="V92" s="516"/>
      <c r="W92" s="506"/>
      <c r="X92" s="515"/>
      <c r="Y92" s="507"/>
      <c r="Z92" s="508"/>
      <c r="AA92" s="509"/>
    </row>
    <row r="93" spans="1:27" hidden="1" x14ac:dyDescent="0.25">
      <c r="A93" s="486"/>
      <c r="B93" s="102" t="str">
        <f>IF(A93&lt;&gt;"",INDEX('Base de données'!A$4:L$990,MATCH(A93,'Base de données'!A$4:A$990,0),2),"")</f>
        <v/>
      </c>
      <c r="C93" s="112" t="str">
        <f>IF(A93&lt;&gt;"",INDEX('Base de données'!A$4:L$990,MATCH(A93,'Base de données'!A$4:A$990,0),12),"")</f>
        <v/>
      </c>
      <c r="D93" s="520"/>
      <c r="E93" s="488"/>
      <c r="F93" s="517"/>
      <c r="G93" s="490"/>
      <c r="H93" s="518"/>
      <c r="I93" s="492"/>
      <c r="J93" s="519"/>
      <c r="K93" s="494"/>
      <c r="L93" s="510"/>
      <c r="M93" s="496"/>
      <c r="N93" s="511"/>
      <c r="O93" s="498"/>
      <c r="P93" s="512"/>
      <c r="Q93" s="500"/>
      <c r="R93" s="513"/>
      <c r="S93" s="502"/>
      <c r="T93" s="514"/>
      <c r="U93" s="504"/>
      <c r="V93" s="516"/>
      <c r="W93" s="506"/>
      <c r="X93" s="515"/>
      <c r="Y93" s="507"/>
      <c r="Z93" s="508"/>
      <c r="AA93" s="509"/>
    </row>
    <row r="94" spans="1:27" hidden="1" x14ac:dyDescent="0.25">
      <c r="A94" s="486"/>
      <c r="B94" s="102" t="str">
        <f>IF(A94&lt;&gt;"",INDEX('Base de données'!A$4:L$990,MATCH(A94,'Base de données'!A$4:A$990,0),2),"")</f>
        <v/>
      </c>
      <c r="C94" s="112" t="str">
        <f>IF(A94&lt;&gt;"",INDEX('Base de données'!A$4:L$990,MATCH(A94,'Base de données'!A$4:A$990,0),12),"")</f>
        <v/>
      </c>
      <c r="D94" s="520"/>
      <c r="E94" s="488"/>
      <c r="F94" s="517"/>
      <c r="G94" s="490"/>
      <c r="H94" s="518"/>
      <c r="I94" s="492"/>
      <c r="J94" s="519"/>
      <c r="K94" s="494"/>
      <c r="L94" s="510"/>
      <c r="M94" s="496"/>
      <c r="N94" s="511"/>
      <c r="O94" s="498"/>
      <c r="P94" s="512"/>
      <c r="Q94" s="500"/>
      <c r="R94" s="513"/>
      <c r="S94" s="502"/>
      <c r="T94" s="514"/>
      <c r="U94" s="504"/>
      <c r="V94" s="516"/>
      <c r="W94" s="506"/>
      <c r="X94" s="515"/>
      <c r="Y94" s="507"/>
      <c r="Z94" s="508"/>
      <c r="AA94" s="509"/>
    </row>
    <row r="95" spans="1:27" hidden="1" x14ac:dyDescent="0.25">
      <c r="A95" s="486"/>
      <c r="B95" s="102" t="str">
        <f>IF(A95&lt;&gt;"",INDEX('Base de données'!A$4:L$990,MATCH(A95,'Base de données'!A$4:A$990,0),2),"")</f>
        <v/>
      </c>
      <c r="C95" s="112" t="str">
        <f>IF(A95&lt;&gt;"",INDEX('Base de données'!A$4:L$990,MATCH(A95,'Base de données'!A$4:A$990,0),12),"")</f>
        <v/>
      </c>
      <c r="D95" s="520"/>
      <c r="E95" s="488"/>
      <c r="F95" s="517"/>
      <c r="G95" s="490"/>
      <c r="H95" s="518"/>
      <c r="I95" s="492"/>
      <c r="J95" s="519"/>
      <c r="K95" s="494"/>
      <c r="L95" s="510"/>
      <c r="M95" s="496"/>
      <c r="N95" s="511"/>
      <c r="O95" s="498"/>
      <c r="P95" s="512"/>
      <c r="Q95" s="500"/>
      <c r="R95" s="513"/>
      <c r="S95" s="502"/>
      <c r="T95" s="514"/>
      <c r="U95" s="504"/>
      <c r="V95" s="516"/>
      <c r="W95" s="506"/>
      <c r="X95" s="515"/>
      <c r="Y95" s="507"/>
      <c r="Z95" s="508"/>
      <c r="AA95" s="509"/>
    </row>
    <row r="96" spans="1:27" hidden="1" x14ac:dyDescent="0.25">
      <c r="A96" s="486"/>
      <c r="B96" s="102" t="str">
        <f>IF(A96&lt;&gt;"",INDEX('Base de données'!A$4:L$990,MATCH(A96,'Base de données'!A$4:A$990,0),2),"")</f>
        <v/>
      </c>
      <c r="C96" s="112" t="str">
        <f>IF(A96&lt;&gt;"",INDEX('Base de données'!A$4:L$990,MATCH(A96,'Base de données'!A$4:A$990,0),12),"")</f>
        <v/>
      </c>
      <c r="D96" s="520"/>
      <c r="E96" s="488"/>
      <c r="F96" s="517"/>
      <c r="G96" s="490"/>
      <c r="H96" s="518"/>
      <c r="I96" s="492"/>
      <c r="J96" s="519"/>
      <c r="K96" s="494"/>
      <c r="L96" s="510"/>
      <c r="M96" s="496"/>
      <c r="N96" s="511"/>
      <c r="O96" s="498"/>
      <c r="P96" s="512"/>
      <c r="Q96" s="500"/>
      <c r="R96" s="513"/>
      <c r="S96" s="502"/>
      <c r="T96" s="514"/>
      <c r="U96" s="504"/>
      <c r="V96" s="516"/>
      <c r="W96" s="506"/>
      <c r="X96" s="515"/>
      <c r="Y96" s="507"/>
      <c r="Z96" s="508"/>
      <c r="AA96" s="509"/>
    </row>
    <row r="97" spans="1:27" hidden="1" x14ac:dyDescent="0.25">
      <c r="A97" s="486"/>
      <c r="B97" s="102" t="str">
        <f>IF(A97&lt;&gt;"",INDEX('Base de données'!A$4:L$990,MATCH(A97,'Base de données'!A$4:A$990,0),2),"")</f>
        <v/>
      </c>
      <c r="C97" s="112" t="str">
        <f>IF(A97&lt;&gt;"",INDEX('Base de données'!A$4:L$990,MATCH(A97,'Base de données'!A$4:A$990,0),12),"")</f>
        <v/>
      </c>
      <c r="D97" s="520"/>
      <c r="E97" s="488"/>
      <c r="F97" s="517"/>
      <c r="G97" s="490"/>
      <c r="H97" s="518"/>
      <c r="I97" s="492"/>
      <c r="J97" s="519"/>
      <c r="K97" s="494"/>
      <c r="L97" s="510"/>
      <c r="M97" s="496"/>
      <c r="N97" s="511"/>
      <c r="O97" s="498"/>
      <c r="P97" s="512"/>
      <c r="Q97" s="500"/>
      <c r="R97" s="513"/>
      <c r="S97" s="502"/>
      <c r="T97" s="514"/>
      <c r="U97" s="504"/>
      <c r="V97" s="516"/>
      <c r="W97" s="506"/>
      <c r="X97" s="515"/>
      <c r="Y97" s="507"/>
      <c r="Z97" s="508"/>
      <c r="AA97" s="509"/>
    </row>
    <row r="98" spans="1:27" hidden="1" x14ac:dyDescent="0.25">
      <c r="A98" s="486"/>
      <c r="B98" s="102" t="str">
        <f>IF(A98&lt;&gt;"",INDEX('Base de données'!A$4:L$990,MATCH(A98,'Base de données'!A$4:A$990,0),2),"")</f>
        <v/>
      </c>
      <c r="C98" s="112" t="str">
        <f>IF(A98&lt;&gt;"",INDEX('Base de données'!A$4:L$990,MATCH(A98,'Base de données'!A$4:A$990,0),12),"")</f>
        <v/>
      </c>
      <c r="D98" s="520"/>
      <c r="E98" s="488"/>
      <c r="F98" s="517"/>
      <c r="G98" s="490"/>
      <c r="H98" s="518"/>
      <c r="I98" s="492"/>
      <c r="J98" s="519"/>
      <c r="K98" s="494"/>
      <c r="L98" s="510"/>
      <c r="M98" s="496"/>
      <c r="N98" s="511"/>
      <c r="O98" s="498"/>
      <c r="P98" s="512"/>
      <c r="Q98" s="500"/>
      <c r="R98" s="513"/>
      <c r="S98" s="502"/>
      <c r="T98" s="514"/>
      <c r="U98" s="504"/>
      <c r="V98" s="516"/>
      <c r="W98" s="506"/>
      <c r="X98" s="515"/>
      <c r="Y98" s="507"/>
      <c r="Z98" s="508"/>
      <c r="AA98" s="509"/>
    </row>
    <row r="99" spans="1:27" hidden="1" x14ac:dyDescent="0.25">
      <c r="A99" s="486"/>
      <c r="B99" s="102" t="str">
        <f>IF(A99&lt;&gt;"",INDEX('Base de données'!A$4:L$990,MATCH(A99,'Base de données'!A$4:A$990,0),2),"")</f>
        <v/>
      </c>
      <c r="C99" s="112" t="str">
        <f>IF(A99&lt;&gt;"",INDEX('Base de données'!A$4:L$990,MATCH(A99,'Base de données'!A$4:A$990,0),12),"")</f>
        <v/>
      </c>
      <c r="D99" s="520"/>
      <c r="E99" s="488"/>
      <c r="F99" s="517"/>
      <c r="G99" s="490"/>
      <c r="H99" s="518"/>
      <c r="I99" s="492"/>
      <c r="J99" s="519"/>
      <c r="K99" s="494"/>
      <c r="L99" s="510"/>
      <c r="M99" s="496"/>
      <c r="N99" s="511"/>
      <c r="O99" s="498"/>
      <c r="P99" s="512"/>
      <c r="Q99" s="500"/>
      <c r="R99" s="513"/>
      <c r="S99" s="502"/>
      <c r="T99" s="514"/>
      <c r="U99" s="504"/>
      <c r="V99" s="516"/>
      <c r="W99" s="506"/>
      <c r="X99" s="515"/>
      <c r="Y99" s="507"/>
      <c r="Z99" s="508"/>
      <c r="AA99" s="509"/>
    </row>
    <row r="100" spans="1:27" hidden="1" x14ac:dyDescent="0.25">
      <c r="A100" s="486"/>
      <c r="B100" s="102" t="str">
        <f>IF(A100&lt;&gt;"",INDEX('Base de données'!A$4:L$990,MATCH(A100,'Base de données'!A$4:A$990,0),2),"")</f>
        <v/>
      </c>
      <c r="C100" s="112" t="str">
        <f>IF(A100&lt;&gt;"",INDEX('Base de données'!A$4:L$990,MATCH(A100,'Base de données'!A$4:A$990,0),12),"")</f>
        <v/>
      </c>
      <c r="D100" s="520"/>
      <c r="E100" s="488"/>
      <c r="F100" s="517"/>
      <c r="G100" s="490"/>
      <c r="H100" s="518"/>
      <c r="I100" s="492"/>
      <c r="J100" s="519"/>
      <c r="K100" s="494"/>
      <c r="L100" s="510"/>
      <c r="M100" s="496"/>
      <c r="N100" s="511"/>
      <c r="O100" s="498"/>
      <c r="P100" s="512"/>
      <c r="Q100" s="500"/>
      <c r="R100" s="513"/>
      <c r="S100" s="502"/>
      <c r="T100" s="514"/>
      <c r="U100" s="504"/>
      <c r="V100" s="516"/>
      <c r="W100" s="506"/>
      <c r="X100" s="515"/>
      <c r="Y100" s="507"/>
      <c r="Z100" s="508"/>
      <c r="AA100" s="509"/>
    </row>
    <row r="101" spans="1:27" hidden="1" x14ac:dyDescent="0.25">
      <c r="A101" s="486"/>
      <c r="B101" s="102" t="str">
        <f>IF(A101&lt;&gt;"",INDEX('Base de données'!A$4:L$990,MATCH(A101,'Base de données'!A$4:A$990,0),2),"")</f>
        <v/>
      </c>
      <c r="C101" s="112" t="str">
        <f>IF(A101&lt;&gt;"",INDEX('Base de données'!A$4:L$990,MATCH(A101,'Base de données'!A$4:A$990,0),12),"")</f>
        <v/>
      </c>
      <c r="D101" s="520"/>
      <c r="E101" s="488"/>
      <c r="F101" s="517"/>
      <c r="G101" s="490"/>
      <c r="H101" s="518"/>
      <c r="I101" s="492"/>
      <c r="J101" s="519"/>
      <c r="K101" s="494"/>
      <c r="L101" s="510"/>
      <c r="M101" s="496"/>
      <c r="N101" s="511"/>
      <c r="O101" s="498"/>
      <c r="P101" s="512"/>
      <c r="Q101" s="500"/>
      <c r="R101" s="513"/>
      <c r="S101" s="502"/>
      <c r="T101" s="514"/>
      <c r="U101" s="504"/>
      <c r="V101" s="516"/>
      <c r="W101" s="506"/>
      <c r="X101" s="515"/>
      <c r="Y101" s="507"/>
      <c r="Z101" s="508"/>
      <c r="AA101" s="509"/>
    </row>
    <row r="102" spans="1:27" hidden="1" x14ac:dyDescent="0.25">
      <c r="A102" s="486"/>
      <c r="B102" s="102" t="str">
        <f>IF(A102&lt;&gt;"",INDEX('Base de données'!A$4:L$990,MATCH(A102,'Base de données'!A$4:A$990,0),2),"")</f>
        <v/>
      </c>
      <c r="C102" s="112" t="str">
        <f>IF(A102&lt;&gt;"",INDEX('Base de données'!A$4:L$990,MATCH(A102,'Base de données'!A$4:A$990,0),12),"")</f>
        <v/>
      </c>
      <c r="D102" s="520"/>
      <c r="E102" s="488"/>
      <c r="F102" s="517"/>
      <c r="G102" s="490"/>
      <c r="H102" s="518"/>
      <c r="I102" s="492"/>
      <c r="J102" s="519"/>
      <c r="K102" s="494"/>
      <c r="L102" s="510"/>
      <c r="M102" s="496"/>
      <c r="N102" s="511"/>
      <c r="O102" s="498"/>
      <c r="P102" s="512"/>
      <c r="Q102" s="500"/>
      <c r="R102" s="513"/>
      <c r="S102" s="502"/>
      <c r="T102" s="514"/>
      <c r="U102" s="504"/>
      <c r="V102" s="516"/>
      <c r="W102" s="506"/>
      <c r="X102" s="515"/>
      <c r="Y102" s="507"/>
      <c r="Z102" s="508"/>
      <c r="AA102" s="509"/>
    </row>
    <row r="103" spans="1:27" hidden="1" x14ac:dyDescent="0.25">
      <c r="A103" s="486"/>
      <c r="B103" s="102" t="str">
        <f>IF(A103&lt;&gt;"",INDEX('Base de données'!A$4:L$990,MATCH(A103,'Base de données'!A$4:A$990,0),2),"")</f>
        <v/>
      </c>
      <c r="C103" s="112" t="str">
        <f>IF(A103&lt;&gt;"",INDEX('Base de données'!A$4:L$990,MATCH(A103,'Base de données'!A$4:A$990,0),12),"")</f>
        <v/>
      </c>
      <c r="D103" s="520"/>
      <c r="E103" s="488"/>
      <c r="F103" s="517"/>
      <c r="G103" s="490"/>
      <c r="H103" s="518"/>
      <c r="I103" s="492"/>
      <c r="J103" s="519"/>
      <c r="K103" s="494"/>
      <c r="L103" s="510"/>
      <c r="M103" s="496"/>
      <c r="N103" s="511"/>
      <c r="O103" s="498"/>
      <c r="P103" s="512"/>
      <c r="Q103" s="500"/>
      <c r="R103" s="513"/>
      <c r="S103" s="502"/>
      <c r="T103" s="514"/>
      <c r="U103" s="504"/>
      <c r="V103" s="516"/>
      <c r="W103" s="506"/>
      <c r="X103" s="515"/>
      <c r="Y103" s="507"/>
      <c r="Z103" s="508"/>
      <c r="AA103" s="509"/>
    </row>
    <row r="104" spans="1:27" hidden="1" x14ac:dyDescent="0.25">
      <c r="A104" s="486"/>
      <c r="B104" s="102" t="str">
        <f>IF(A104&lt;&gt;"",INDEX('Base de données'!A$4:L$990,MATCH(A104,'Base de données'!A$4:A$990,0),2),"")</f>
        <v/>
      </c>
      <c r="C104" s="112" t="str">
        <f>IF(A104&lt;&gt;"",INDEX('Base de données'!A$4:L$990,MATCH(A104,'Base de données'!A$4:A$990,0),12),"")</f>
        <v/>
      </c>
      <c r="D104" s="520"/>
      <c r="E104" s="488"/>
      <c r="F104" s="517"/>
      <c r="G104" s="490"/>
      <c r="H104" s="518"/>
      <c r="I104" s="492"/>
      <c r="J104" s="519"/>
      <c r="K104" s="494"/>
      <c r="L104" s="510"/>
      <c r="M104" s="496"/>
      <c r="N104" s="511"/>
      <c r="O104" s="498"/>
      <c r="P104" s="512"/>
      <c r="Q104" s="500"/>
      <c r="R104" s="513"/>
      <c r="S104" s="502"/>
      <c r="T104" s="514"/>
      <c r="U104" s="504"/>
      <c r="V104" s="516"/>
      <c r="W104" s="506"/>
      <c r="X104" s="515"/>
      <c r="Y104" s="507"/>
      <c r="Z104" s="508"/>
      <c r="AA104" s="509"/>
    </row>
    <row r="105" spans="1:27" hidden="1" x14ac:dyDescent="0.25">
      <c r="A105" s="486"/>
      <c r="B105" s="102" t="str">
        <f>IF(A105&lt;&gt;"",INDEX('Base de données'!A$4:L$990,MATCH(A105,'Base de données'!A$4:A$990,0),2),"")</f>
        <v/>
      </c>
      <c r="C105" s="112" t="str">
        <f>IF(A105&lt;&gt;"",INDEX('Base de données'!A$4:L$990,MATCH(A105,'Base de données'!A$4:A$990,0),12),"")</f>
        <v/>
      </c>
      <c r="D105" s="520"/>
      <c r="E105" s="488"/>
      <c r="F105" s="517"/>
      <c r="G105" s="490"/>
      <c r="H105" s="518"/>
      <c r="I105" s="492"/>
      <c r="J105" s="519"/>
      <c r="K105" s="494"/>
      <c r="L105" s="510"/>
      <c r="M105" s="496"/>
      <c r="N105" s="511"/>
      <c r="O105" s="498"/>
      <c r="P105" s="512"/>
      <c r="Q105" s="500"/>
      <c r="R105" s="513"/>
      <c r="S105" s="502"/>
      <c r="T105" s="514"/>
      <c r="U105" s="504"/>
      <c r="V105" s="516"/>
      <c r="W105" s="506"/>
      <c r="X105" s="515"/>
      <c r="Y105" s="507"/>
      <c r="Z105" s="508"/>
      <c r="AA105" s="509"/>
    </row>
    <row r="106" spans="1:27" hidden="1" x14ac:dyDescent="0.25">
      <c r="A106" s="486"/>
      <c r="B106" s="102" t="str">
        <f>IF(A106&lt;&gt;"",INDEX('Base de données'!A$4:L$990,MATCH(A106,'Base de données'!A$4:A$990,0),2),"")</f>
        <v/>
      </c>
      <c r="C106" s="112" t="str">
        <f>IF(A106&lt;&gt;"",INDEX('Base de données'!A$4:L$990,MATCH(A106,'Base de données'!A$4:A$990,0),12),"")</f>
        <v/>
      </c>
      <c r="D106" s="520"/>
      <c r="E106" s="488"/>
      <c r="F106" s="517"/>
      <c r="G106" s="490"/>
      <c r="H106" s="518"/>
      <c r="I106" s="492"/>
      <c r="J106" s="519"/>
      <c r="K106" s="494"/>
      <c r="L106" s="510"/>
      <c r="M106" s="496"/>
      <c r="N106" s="511"/>
      <c r="O106" s="498"/>
      <c r="P106" s="512"/>
      <c r="Q106" s="500"/>
      <c r="R106" s="513"/>
      <c r="S106" s="502"/>
      <c r="T106" s="514"/>
      <c r="U106" s="504"/>
      <c r="V106" s="516"/>
      <c r="W106" s="506"/>
      <c r="X106" s="515"/>
      <c r="Y106" s="507"/>
      <c r="Z106" s="508"/>
      <c r="AA106" s="509"/>
    </row>
    <row r="107" spans="1:27" hidden="1" x14ac:dyDescent="0.25">
      <c r="A107" s="486"/>
      <c r="B107" s="102" t="str">
        <f>IF(A107&lt;&gt;"",INDEX('Base de données'!A$4:L$990,MATCH(A107,'Base de données'!A$4:A$990,0),2),"")</f>
        <v/>
      </c>
      <c r="C107" s="112" t="str">
        <f>IF(A107&lt;&gt;"",INDEX('Base de données'!A$4:L$990,MATCH(A107,'Base de données'!A$4:A$990,0),12),"")</f>
        <v/>
      </c>
      <c r="D107" s="520"/>
      <c r="E107" s="488"/>
      <c r="F107" s="517"/>
      <c r="G107" s="490"/>
      <c r="H107" s="518"/>
      <c r="I107" s="492"/>
      <c r="J107" s="519"/>
      <c r="K107" s="494"/>
      <c r="L107" s="510"/>
      <c r="M107" s="496"/>
      <c r="N107" s="511"/>
      <c r="O107" s="498"/>
      <c r="P107" s="512"/>
      <c r="Q107" s="500"/>
      <c r="R107" s="513"/>
      <c r="S107" s="502"/>
      <c r="T107" s="514"/>
      <c r="U107" s="504"/>
      <c r="V107" s="516"/>
      <c r="W107" s="506"/>
      <c r="X107" s="515"/>
      <c r="Y107" s="507"/>
      <c r="Z107" s="508"/>
      <c r="AA107" s="509"/>
    </row>
    <row r="108" spans="1:27" hidden="1" x14ac:dyDescent="0.25">
      <c r="A108" s="486"/>
      <c r="B108" s="102" t="str">
        <f>IF(A108&lt;&gt;"",INDEX('Base de données'!A$4:L$990,MATCH(A108,'Base de données'!A$4:A$990,0),2),"")</f>
        <v/>
      </c>
      <c r="C108" s="112" t="str">
        <f>IF(A108&lt;&gt;"",INDEX('Base de données'!A$4:L$990,MATCH(A108,'Base de données'!A$4:A$990,0),12),"")</f>
        <v/>
      </c>
      <c r="D108" s="520"/>
      <c r="E108" s="488"/>
      <c r="F108" s="517"/>
      <c r="G108" s="490"/>
      <c r="H108" s="518"/>
      <c r="I108" s="492"/>
      <c r="J108" s="519"/>
      <c r="K108" s="494"/>
      <c r="L108" s="510"/>
      <c r="M108" s="496"/>
      <c r="N108" s="511"/>
      <c r="O108" s="498"/>
      <c r="P108" s="512"/>
      <c r="Q108" s="500"/>
      <c r="R108" s="513"/>
      <c r="S108" s="502"/>
      <c r="T108" s="514"/>
      <c r="U108" s="504"/>
      <c r="V108" s="516"/>
      <c r="W108" s="506"/>
      <c r="X108" s="515"/>
      <c r="Y108" s="507"/>
      <c r="Z108" s="508"/>
      <c r="AA108" s="509"/>
    </row>
    <row r="109" spans="1:27" hidden="1" x14ac:dyDescent="0.25">
      <c r="A109" s="486"/>
      <c r="B109" s="102" t="str">
        <f>IF(A109&lt;&gt;"",INDEX('Base de données'!A$4:L$990,MATCH(A109,'Base de données'!A$4:A$990,0),2),"")</f>
        <v/>
      </c>
      <c r="C109" s="112" t="str">
        <f>IF(A109&lt;&gt;"",INDEX('Base de données'!A$4:L$990,MATCH(A109,'Base de données'!A$4:A$990,0),12),"")</f>
        <v/>
      </c>
      <c r="D109" s="520"/>
      <c r="E109" s="488"/>
      <c r="F109" s="517"/>
      <c r="G109" s="490"/>
      <c r="H109" s="518"/>
      <c r="I109" s="492"/>
      <c r="J109" s="519"/>
      <c r="K109" s="494"/>
      <c r="L109" s="510"/>
      <c r="M109" s="496"/>
      <c r="N109" s="511"/>
      <c r="O109" s="498"/>
      <c r="P109" s="512"/>
      <c r="Q109" s="500"/>
      <c r="R109" s="513"/>
      <c r="S109" s="502"/>
      <c r="T109" s="514"/>
      <c r="U109" s="504"/>
      <c r="V109" s="516"/>
      <c r="W109" s="506"/>
      <c r="X109" s="515"/>
      <c r="Y109" s="507"/>
      <c r="Z109" s="508"/>
      <c r="AA109" s="509"/>
    </row>
    <row r="110" spans="1:27" hidden="1" x14ac:dyDescent="0.25">
      <c r="A110" s="486"/>
      <c r="B110" s="102" t="str">
        <f>IF(A110&lt;&gt;"",INDEX('Base de données'!A$4:L$990,MATCH(A110,'Base de données'!A$4:A$990,0),2),"")</f>
        <v/>
      </c>
      <c r="C110" s="112" t="str">
        <f>IF(A110&lt;&gt;"",INDEX('Base de données'!A$4:L$990,MATCH(A110,'Base de données'!A$4:A$990,0),12),"")</f>
        <v/>
      </c>
      <c r="D110" s="520"/>
      <c r="E110" s="488"/>
      <c r="F110" s="517"/>
      <c r="G110" s="490"/>
      <c r="H110" s="518"/>
      <c r="I110" s="492"/>
      <c r="J110" s="519"/>
      <c r="K110" s="494"/>
      <c r="L110" s="510"/>
      <c r="M110" s="496"/>
      <c r="N110" s="511"/>
      <c r="O110" s="498"/>
      <c r="P110" s="512"/>
      <c r="Q110" s="500"/>
      <c r="R110" s="513"/>
      <c r="S110" s="502"/>
      <c r="T110" s="514"/>
      <c r="U110" s="504"/>
      <c r="V110" s="516"/>
      <c r="W110" s="506"/>
      <c r="X110" s="515"/>
      <c r="Y110" s="507"/>
      <c r="Z110" s="508"/>
      <c r="AA110" s="509"/>
    </row>
    <row r="111" spans="1:27" hidden="1" x14ac:dyDescent="0.25">
      <c r="A111" s="486"/>
      <c r="B111" s="102" t="str">
        <f>IF(A111&lt;&gt;"",INDEX('Base de données'!A$4:L$990,MATCH(A111,'Base de données'!A$4:A$990,0),2),"")</f>
        <v/>
      </c>
      <c r="C111" s="112" t="str">
        <f>IF(A111&lt;&gt;"",INDEX('Base de données'!A$4:L$990,MATCH(A111,'Base de données'!A$4:A$990,0),12),"")</f>
        <v/>
      </c>
      <c r="D111" s="520"/>
      <c r="E111" s="488"/>
      <c r="F111" s="517"/>
      <c r="G111" s="490"/>
      <c r="H111" s="518"/>
      <c r="I111" s="492"/>
      <c r="J111" s="519"/>
      <c r="K111" s="494"/>
      <c r="L111" s="510"/>
      <c r="M111" s="496"/>
      <c r="N111" s="511"/>
      <c r="O111" s="498"/>
      <c r="P111" s="512"/>
      <c r="Q111" s="500"/>
      <c r="R111" s="513"/>
      <c r="S111" s="502"/>
      <c r="T111" s="514"/>
      <c r="U111" s="504"/>
      <c r="V111" s="516"/>
      <c r="W111" s="506"/>
      <c r="X111" s="515"/>
      <c r="Y111" s="507"/>
      <c r="Z111" s="508"/>
      <c r="AA111" s="509"/>
    </row>
    <row r="112" spans="1:27" hidden="1" x14ac:dyDescent="0.25">
      <c r="A112" s="486"/>
      <c r="B112" s="102" t="str">
        <f>IF(A112&lt;&gt;"",INDEX('Base de données'!A$4:L$990,MATCH(A112,'Base de données'!A$4:A$990,0),2),"")</f>
        <v/>
      </c>
      <c r="C112" s="112" t="str">
        <f>IF(A112&lt;&gt;"",INDEX('Base de données'!A$4:L$990,MATCH(A112,'Base de données'!A$4:A$990,0),12),"")</f>
        <v/>
      </c>
      <c r="D112" s="520"/>
      <c r="E112" s="488"/>
      <c r="F112" s="517"/>
      <c r="G112" s="490"/>
      <c r="H112" s="518"/>
      <c r="I112" s="492"/>
      <c r="J112" s="519"/>
      <c r="K112" s="494"/>
      <c r="L112" s="510"/>
      <c r="M112" s="496"/>
      <c r="N112" s="511"/>
      <c r="O112" s="498"/>
      <c r="P112" s="512"/>
      <c r="Q112" s="500"/>
      <c r="R112" s="513"/>
      <c r="S112" s="502"/>
      <c r="T112" s="514"/>
      <c r="U112" s="504"/>
      <c r="V112" s="516"/>
      <c r="W112" s="506"/>
      <c r="X112" s="515"/>
      <c r="Y112" s="507"/>
      <c r="Z112" s="508"/>
      <c r="AA112" s="509"/>
    </row>
    <row r="113" spans="1:27" hidden="1" x14ac:dyDescent="0.25">
      <c r="A113" s="486"/>
      <c r="B113" s="102" t="str">
        <f>IF(A113&lt;&gt;"",INDEX('Base de données'!A$4:L$990,MATCH(A113,'Base de données'!A$4:A$990,0),2),"")</f>
        <v/>
      </c>
      <c r="C113" s="112" t="str">
        <f>IF(A113&lt;&gt;"",INDEX('Base de données'!A$4:L$990,MATCH(A113,'Base de données'!A$4:A$990,0),12),"")</f>
        <v/>
      </c>
      <c r="D113" s="520"/>
      <c r="E113" s="488"/>
      <c r="F113" s="517"/>
      <c r="G113" s="490"/>
      <c r="H113" s="518"/>
      <c r="I113" s="492"/>
      <c r="J113" s="519"/>
      <c r="K113" s="494"/>
      <c r="L113" s="510"/>
      <c r="M113" s="496"/>
      <c r="N113" s="511"/>
      <c r="O113" s="498"/>
      <c r="P113" s="512"/>
      <c r="Q113" s="500"/>
      <c r="R113" s="513"/>
      <c r="S113" s="502"/>
      <c r="T113" s="514"/>
      <c r="U113" s="504"/>
      <c r="V113" s="516"/>
      <c r="W113" s="506"/>
      <c r="X113" s="515"/>
      <c r="Y113" s="507"/>
      <c r="Z113" s="508"/>
      <c r="AA113" s="509"/>
    </row>
    <row r="114" spans="1:27" hidden="1" x14ac:dyDescent="0.25">
      <c r="A114" s="486"/>
      <c r="B114" s="102" t="str">
        <f>IF(A114&lt;&gt;"",INDEX('Base de données'!A$4:L$990,MATCH(A114,'Base de données'!A$4:A$990,0),2),"")</f>
        <v/>
      </c>
      <c r="C114" s="112" t="str">
        <f>IF(A114&lt;&gt;"",INDEX('Base de données'!A$4:L$990,MATCH(A114,'Base de données'!A$4:A$990,0),12),"")</f>
        <v/>
      </c>
      <c r="D114" s="520"/>
      <c r="E114" s="488"/>
      <c r="F114" s="517"/>
      <c r="G114" s="490"/>
      <c r="H114" s="518"/>
      <c r="I114" s="492"/>
      <c r="J114" s="519"/>
      <c r="K114" s="494"/>
      <c r="L114" s="510"/>
      <c r="M114" s="496"/>
      <c r="N114" s="511"/>
      <c r="O114" s="498"/>
      <c r="P114" s="512"/>
      <c r="Q114" s="500"/>
      <c r="R114" s="513"/>
      <c r="S114" s="502"/>
      <c r="T114" s="514"/>
      <c r="U114" s="504"/>
      <c r="V114" s="516"/>
      <c r="W114" s="506"/>
      <c r="X114" s="515"/>
      <c r="Y114" s="507"/>
      <c r="Z114" s="508"/>
      <c r="AA114" s="509"/>
    </row>
    <row r="115" spans="1:27" hidden="1" x14ac:dyDescent="0.25">
      <c r="A115" s="486"/>
      <c r="B115" s="102" t="str">
        <f>IF(A115&lt;&gt;"",INDEX('Base de données'!A$4:L$990,MATCH(A115,'Base de données'!A$4:A$990,0),2),"")</f>
        <v/>
      </c>
      <c r="C115" s="112" t="str">
        <f>IF(A115&lt;&gt;"",INDEX('Base de données'!A$4:L$990,MATCH(A115,'Base de données'!A$4:A$990,0),12),"")</f>
        <v/>
      </c>
      <c r="D115" s="520"/>
      <c r="E115" s="488"/>
      <c r="F115" s="517"/>
      <c r="G115" s="490"/>
      <c r="H115" s="518"/>
      <c r="I115" s="492"/>
      <c r="J115" s="519"/>
      <c r="K115" s="494"/>
      <c r="L115" s="510"/>
      <c r="M115" s="496"/>
      <c r="N115" s="511"/>
      <c r="O115" s="498"/>
      <c r="P115" s="512"/>
      <c r="Q115" s="500"/>
      <c r="R115" s="513"/>
      <c r="S115" s="502"/>
      <c r="T115" s="514"/>
      <c r="U115" s="504"/>
      <c r="V115" s="516"/>
      <c r="W115" s="506"/>
      <c r="X115" s="515"/>
      <c r="Y115" s="507"/>
      <c r="Z115" s="508"/>
      <c r="AA115" s="509"/>
    </row>
    <row r="116" spans="1:27" hidden="1" x14ac:dyDescent="0.25">
      <c r="A116" s="486"/>
      <c r="B116" s="102" t="str">
        <f>IF(A116&lt;&gt;"",INDEX('Base de données'!A$4:L$990,MATCH(A116,'Base de données'!A$4:A$990,0),2),"")</f>
        <v/>
      </c>
      <c r="C116" s="112" t="str">
        <f>IF(A116&lt;&gt;"",INDEX('Base de données'!A$4:L$990,MATCH(A116,'Base de données'!A$4:A$990,0),12),"")</f>
        <v/>
      </c>
      <c r="D116" s="520"/>
      <c r="E116" s="488"/>
      <c r="F116" s="517"/>
      <c r="G116" s="490"/>
      <c r="H116" s="518"/>
      <c r="I116" s="492"/>
      <c r="J116" s="519"/>
      <c r="K116" s="494"/>
      <c r="L116" s="510"/>
      <c r="M116" s="496"/>
      <c r="N116" s="511"/>
      <c r="O116" s="498"/>
      <c r="P116" s="512"/>
      <c r="Q116" s="500"/>
      <c r="R116" s="513"/>
      <c r="S116" s="502"/>
      <c r="T116" s="514"/>
      <c r="U116" s="504"/>
      <c r="V116" s="516"/>
      <c r="W116" s="506"/>
      <c r="X116" s="515"/>
      <c r="Y116" s="507"/>
      <c r="Z116" s="508"/>
      <c r="AA116" s="509"/>
    </row>
    <row r="117" spans="1:27" hidden="1" x14ac:dyDescent="0.25">
      <c r="A117" s="486"/>
      <c r="B117" s="102" t="str">
        <f>IF(A117&lt;&gt;"",INDEX('Base de données'!A$4:L$990,MATCH(A117,'Base de données'!A$4:A$990,0),2),"")</f>
        <v/>
      </c>
      <c r="C117" s="112" t="str">
        <f>IF(A117&lt;&gt;"",INDEX('Base de données'!A$4:L$990,MATCH(A117,'Base de données'!A$4:A$990,0),12),"")</f>
        <v/>
      </c>
      <c r="D117" s="520"/>
      <c r="E117" s="488"/>
      <c r="F117" s="517"/>
      <c r="G117" s="490"/>
      <c r="H117" s="518"/>
      <c r="I117" s="492"/>
      <c r="J117" s="519"/>
      <c r="K117" s="494"/>
      <c r="L117" s="510"/>
      <c r="M117" s="496"/>
      <c r="N117" s="511"/>
      <c r="O117" s="498"/>
      <c r="P117" s="512"/>
      <c r="Q117" s="500"/>
      <c r="R117" s="513"/>
      <c r="S117" s="502"/>
      <c r="T117" s="514"/>
      <c r="U117" s="504"/>
      <c r="V117" s="516"/>
      <c r="W117" s="506"/>
      <c r="X117" s="515"/>
      <c r="Y117" s="507"/>
      <c r="Z117" s="508"/>
      <c r="AA117" s="509"/>
    </row>
    <row r="118" spans="1:27" hidden="1" x14ac:dyDescent="0.25">
      <c r="A118" s="486"/>
      <c r="B118" s="102" t="str">
        <f>IF(A118&lt;&gt;"",INDEX('Base de données'!A$4:L$990,MATCH(A118,'Base de données'!A$4:A$990,0),2),"")</f>
        <v/>
      </c>
      <c r="C118" s="112" t="str">
        <f>IF(A118&lt;&gt;"",INDEX('Base de données'!A$4:L$990,MATCH(A118,'Base de données'!A$4:A$990,0),12),"")</f>
        <v/>
      </c>
      <c r="D118" s="520"/>
      <c r="E118" s="488"/>
      <c r="F118" s="517"/>
      <c r="G118" s="490"/>
      <c r="H118" s="518"/>
      <c r="I118" s="492"/>
      <c r="J118" s="519"/>
      <c r="K118" s="494"/>
      <c r="L118" s="510"/>
      <c r="M118" s="496"/>
      <c r="N118" s="511"/>
      <c r="O118" s="498"/>
      <c r="P118" s="512"/>
      <c r="Q118" s="500"/>
      <c r="R118" s="513"/>
      <c r="S118" s="502"/>
      <c r="T118" s="514"/>
      <c r="U118" s="504"/>
      <c r="V118" s="516"/>
      <c r="W118" s="506"/>
      <c r="X118" s="515"/>
      <c r="Y118" s="507"/>
      <c r="Z118" s="508"/>
      <c r="AA118" s="509"/>
    </row>
    <row r="119" spans="1:27" hidden="1" x14ac:dyDescent="0.25">
      <c r="A119" s="486"/>
      <c r="B119" s="102" t="str">
        <f>IF(A119&lt;&gt;"",INDEX('Base de données'!A$4:L$990,MATCH(A119,'Base de données'!A$4:A$990,0),2),"")</f>
        <v/>
      </c>
      <c r="C119" s="112" t="str">
        <f>IF(A119&lt;&gt;"",INDEX('Base de données'!A$4:L$990,MATCH(A119,'Base de données'!A$4:A$990,0),12),"")</f>
        <v/>
      </c>
      <c r="D119" s="520"/>
      <c r="E119" s="488"/>
      <c r="F119" s="517"/>
      <c r="G119" s="490"/>
      <c r="H119" s="518"/>
      <c r="I119" s="492"/>
      <c r="J119" s="519"/>
      <c r="K119" s="494"/>
      <c r="L119" s="510"/>
      <c r="M119" s="496"/>
      <c r="N119" s="511"/>
      <c r="O119" s="498"/>
      <c r="P119" s="512"/>
      <c r="Q119" s="500"/>
      <c r="R119" s="513"/>
      <c r="S119" s="502"/>
      <c r="T119" s="514"/>
      <c r="U119" s="504"/>
      <c r="V119" s="516"/>
      <c r="W119" s="506"/>
      <c r="X119" s="515"/>
      <c r="Y119" s="507"/>
      <c r="Z119" s="508"/>
      <c r="AA119" s="509"/>
    </row>
    <row r="120" spans="1:27" hidden="1" x14ac:dyDescent="0.25">
      <c r="A120" s="486"/>
      <c r="B120" s="102" t="str">
        <f>IF(A120&lt;&gt;"",INDEX('Base de données'!A$4:L$990,MATCH(A120,'Base de données'!A$4:A$990,0),2),"")</f>
        <v/>
      </c>
      <c r="C120" s="112" t="str">
        <f>IF(A120&lt;&gt;"",INDEX('Base de données'!A$4:L$990,MATCH(A120,'Base de données'!A$4:A$990,0),12),"")</f>
        <v/>
      </c>
      <c r="D120" s="520"/>
      <c r="E120" s="488"/>
      <c r="F120" s="517"/>
      <c r="G120" s="490"/>
      <c r="H120" s="518"/>
      <c r="I120" s="492"/>
      <c r="J120" s="519"/>
      <c r="K120" s="494"/>
      <c r="L120" s="510"/>
      <c r="M120" s="496"/>
      <c r="N120" s="511"/>
      <c r="O120" s="498"/>
      <c r="P120" s="512"/>
      <c r="Q120" s="500"/>
      <c r="R120" s="513"/>
      <c r="S120" s="502"/>
      <c r="T120" s="514"/>
      <c r="U120" s="504"/>
      <c r="V120" s="516"/>
      <c r="W120" s="506"/>
      <c r="X120" s="515"/>
      <c r="Y120" s="507"/>
      <c r="Z120" s="508"/>
      <c r="AA120" s="509"/>
    </row>
    <row r="121" spans="1:27" hidden="1" x14ac:dyDescent="0.25">
      <c r="A121" s="486"/>
      <c r="B121" s="102" t="str">
        <f>IF(A121&lt;&gt;"",INDEX('Base de données'!A$4:L$990,MATCH(A121,'Base de données'!A$4:A$990,0),2),"")</f>
        <v/>
      </c>
      <c r="C121" s="112" t="str">
        <f>IF(A121&lt;&gt;"",INDEX('Base de données'!A$4:L$990,MATCH(A121,'Base de données'!A$4:A$990,0),12),"")</f>
        <v/>
      </c>
      <c r="D121" s="520"/>
      <c r="E121" s="488"/>
      <c r="F121" s="517"/>
      <c r="G121" s="490"/>
      <c r="H121" s="518"/>
      <c r="I121" s="492"/>
      <c r="J121" s="519"/>
      <c r="K121" s="494"/>
      <c r="L121" s="510"/>
      <c r="M121" s="496"/>
      <c r="N121" s="511"/>
      <c r="O121" s="498"/>
      <c r="P121" s="512"/>
      <c r="Q121" s="500"/>
      <c r="R121" s="513"/>
      <c r="S121" s="502"/>
      <c r="T121" s="514"/>
      <c r="U121" s="504"/>
      <c r="V121" s="516"/>
      <c r="W121" s="506"/>
      <c r="X121" s="515"/>
      <c r="Y121" s="507"/>
      <c r="Z121" s="508"/>
      <c r="AA121" s="509"/>
    </row>
    <row r="122" spans="1:27" hidden="1" x14ac:dyDescent="0.25">
      <c r="A122" s="486"/>
      <c r="B122" s="102" t="str">
        <f>IF(A122&lt;&gt;"",INDEX('Base de données'!A$4:L$990,MATCH(A122,'Base de données'!A$4:A$990,0),2),"")</f>
        <v/>
      </c>
      <c r="C122" s="112" t="str">
        <f>IF(A122&lt;&gt;"",INDEX('Base de données'!A$4:L$990,MATCH(A122,'Base de données'!A$4:A$990,0),12),"")</f>
        <v/>
      </c>
      <c r="D122" s="520"/>
      <c r="E122" s="488"/>
      <c r="F122" s="517"/>
      <c r="G122" s="490"/>
      <c r="H122" s="518"/>
      <c r="I122" s="492"/>
      <c r="J122" s="519"/>
      <c r="K122" s="494"/>
      <c r="L122" s="510"/>
      <c r="M122" s="496"/>
      <c r="N122" s="511"/>
      <c r="O122" s="498"/>
      <c r="P122" s="512"/>
      <c r="Q122" s="500"/>
      <c r="R122" s="513"/>
      <c r="S122" s="502"/>
      <c r="T122" s="514"/>
      <c r="U122" s="504"/>
      <c r="V122" s="516"/>
      <c r="W122" s="506"/>
      <c r="X122" s="515"/>
      <c r="Y122" s="507"/>
      <c r="Z122" s="508"/>
      <c r="AA122" s="509"/>
    </row>
    <row r="123" spans="1:27" hidden="1" x14ac:dyDescent="0.25">
      <c r="A123" s="486"/>
      <c r="B123" s="102" t="str">
        <f>IF(A123&lt;&gt;"",INDEX('Base de données'!A$4:L$990,MATCH(A123,'Base de données'!A$4:A$990,0),2),"")</f>
        <v/>
      </c>
      <c r="C123" s="112" t="str">
        <f>IF(A123&lt;&gt;"",INDEX('Base de données'!A$4:L$990,MATCH(A123,'Base de données'!A$4:A$990,0),12),"")</f>
        <v/>
      </c>
      <c r="D123" s="520"/>
      <c r="E123" s="488"/>
      <c r="F123" s="517"/>
      <c r="G123" s="490"/>
      <c r="H123" s="518"/>
      <c r="I123" s="492"/>
      <c r="J123" s="519"/>
      <c r="K123" s="494"/>
      <c r="L123" s="510"/>
      <c r="M123" s="496"/>
      <c r="N123" s="511"/>
      <c r="O123" s="498"/>
      <c r="P123" s="512"/>
      <c r="Q123" s="500"/>
      <c r="R123" s="513"/>
      <c r="S123" s="502"/>
      <c r="T123" s="514"/>
      <c r="U123" s="504"/>
      <c r="V123" s="516"/>
      <c r="W123" s="506"/>
      <c r="X123" s="515"/>
      <c r="Y123" s="507"/>
      <c r="Z123" s="508"/>
      <c r="AA123" s="509"/>
    </row>
    <row r="124" spans="1:27" hidden="1" x14ac:dyDescent="0.25">
      <c r="A124" s="486"/>
      <c r="B124" s="102" t="str">
        <f>IF(A124&lt;&gt;"",INDEX('Base de données'!A$4:L$990,MATCH(A124,'Base de données'!A$4:A$990,0),2),"")</f>
        <v/>
      </c>
      <c r="C124" s="112" t="str">
        <f>IF(A124&lt;&gt;"",INDEX('Base de données'!A$4:L$990,MATCH(A124,'Base de données'!A$4:A$990,0),12),"")</f>
        <v/>
      </c>
      <c r="D124" s="520"/>
      <c r="E124" s="488"/>
      <c r="F124" s="517"/>
      <c r="G124" s="490"/>
      <c r="H124" s="518"/>
      <c r="I124" s="492"/>
      <c r="J124" s="519"/>
      <c r="K124" s="494"/>
      <c r="L124" s="510"/>
      <c r="M124" s="496"/>
      <c r="N124" s="511"/>
      <c r="O124" s="498"/>
      <c r="P124" s="512"/>
      <c r="Q124" s="500"/>
      <c r="R124" s="513"/>
      <c r="S124" s="502"/>
      <c r="T124" s="514"/>
      <c r="U124" s="504"/>
      <c r="V124" s="516"/>
      <c r="W124" s="506"/>
      <c r="X124" s="515"/>
      <c r="Y124" s="507"/>
      <c r="Z124" s="508"/>
      <c r="AA124" s="509"/>
    </row>
    <row r="125" spans="1:27" hidden="1" x14ac:dyDescent="0.25">
      <c r="A125" s="486"/>
      <c r="B125" s="102" t="str">
        <f>IF(A125&lt;&gt;"",INDEX('Base de données'!A$4:L$990,MATCH(A125,'Base de données'!A$4:A$990,0),2),"")</f>
        <v/>
      </c>
      <c r="C125" s="112" t="str">
        <f>IF(A125&lt;&gt;"",INDEX('Base de données'!A$4:L$990,MATCH(A125,'Base de données'!A$4:A$990,0),12),"")</f>
        <v/>
      </c>
      <c r="D125" s="520"/>
      <c r="E125" s="488"/>
      <c r="F125" s="517"/>
      <c r="G125" s="490"/>
      <c r="H125" s="518"/>
      <c r="I125" s="492"/>
      <c r="J125" s="519"/>
      <c r="K125" s="494"/>
      <c r="L125" s="510"/>
      <c r="M125" s="496"/>
      <c r="N125" s="511"/>
      <c r="O125" s="498"/>
      <c r="P125" s="512"/>
      <c r="Q125" s="500"/>
      <c r="R125" s="513"/>
      <c r="S125" s="502"/>
      <c r="T125" s="514"/>
      <c r="U125" s="504"/>
      <c r="V125" s="516"/>
      <c r="W125" s="506"/>
      <c r="X125" s="515"/>
      <c r="Y125" s="507"/>
      <c r="Z125" s="508"/>
      <c r="AA125" s="509"/>
    </row>
    <row r="126" spans="1:27" hidden="1" x14ac:dyDescent="0.25">
      <c r="A126" s="486"/>
      <c r="B126" s="102" t="str">
        <f>IF(A126&lt;&gt;"",INDEX('Base de données'!A$4:L$990,MATCH(A126,'Base de données'!A$4:A$990,0),2),"")</f>
        <v/>
      </c>
      <c r="C126" s="112" t="str">
        <f>IF(A126&lt;&gt;"",INDEX('Base de données'!A$4:L$990,MATCH(A126,'Base de données'!A$4:A$990,0),12),"")</f>
        <v/>
      </c>
      <c r="D126" s="520"/>
      <c r="E126" s="488"/>
      <c r="F126" s="517"/>
      <c r="G126" s="490"/>
      <c r="H126" s="518"/>
      <c r="I126" s="492"/>
      <c r="J126" s="519"/>
      <c r="K126" s="494"/>
      <c r="L126" s="510"/>
      <c r="M126" s="496"/>
      <c r="N126" s="511"/>
      <c r="O126" s="498"/>
      <c r="P126" s="512"/>
      <c r="Q126" s="500"/>
      <c r="R126" s="513"/>
      <c r="S126" s="502"/>
      <c r="T126" s="514"/>
      <c r="U126" s="504"/>
      <c r="V126" s="516"/>
      <c r="W126" s="506"/>
      <c r="X126" s="515"/>
      <c r="Y126" s="507"/>
      <c r="Z126" s="508"/>
      <c r="AA126" s="509"/>
    </row>
    <row r="127" spans="1:27" hidden="1" x14ac:dyDescent="0.25">
      <c r="A127" s="486"/>
      <c r="B127" s="102" t="str">
        <f>IF(A127&lt;&gt;"",INDEX('Base de données'!A$4:L$990,MATCH(A127,'Base de données'!A$4:A$990,0),2),"")</f>
        <v/>
      </c>
      <c r="C127" s="112" t="str">
        <f>IF(A127&lt;&gt;"",INDEX('Base de données'!A$4:L$990,MATCH(A127,'Base de données'!A$4:A$990,0),12),"")</f>
        <v/>
      </c>
      <c r="D127" s="520"/>
      <c r="E127" s="488"/>
      <c r="F127" s="517"/>
      <c r="G127" s="490"/>
      <c r="H127" s="518"/>
      <c r="I127" s="492"/>
      <c r="J127" s="519"/>
      <c r="K127" s="494"/>
      <c r="L127" s="510"/>
      <c r="M127" s="496"/>
      <c r="N127" s="511"/>
      <c r="O127" s="498"/>
      <c r="P127" s="512"/>
      <c r="Q127" s="500"/>
      <c r="R127" s="513"/>
      <c r="S127" s="502"/>
      <c r="T127" s="514"/>
      <c r="U127" s="504"/>
      <c r="V127" s="516"/>
      <c r="W127" s="506"/>
      <c r="X127" s="515"/>
      <c r="Y127" s="507"/>
      <c r="Z127" s="508"/>
      <c r="AA127" s="509"/>
    </row>
    <row r="128" spans="1:27" hidden="1" x14ac:dyDescent="0.25">
      <c r="A128" s="486"/>
      <c r="B128" s="102" t="str">
        <f>IF(A128&lt;&gt;"",INDEX('Base de données'!A$4:L$990,MATCH(A128,'Base de données'!A$4:A$990,0),2),"")</f>
        <v/>
      </c>
      <c r="C128" s="112" t="str">
        <f>IF(A128&lt;&gt;"",INDEX('Base de données'!A$4:L$990,MATCH(A128,'Base de données'!A$4:A$990,0),12),"")</f>
        <v/>
      </c>
      <c r="D128" s="520"/>
      <c r="E128" s="488"/>
      <c r="F128" s="517"/>
      <c r="G128" s="490"/>
      <c r="H128" s="518"/>
      <c r="I128" s="492"/>
      <c r="J128" s="519"/>
      <c r="K128" s="494"/>
      <c r="L128" s="510"/>
      <c r="M128" s="496"/>
      <c r="N128" s="511"/>
      <c r="O128" s="498"/>
      <c r="P128" s="512"/>
      <c r="Q128" s="500"/>
      <c r="R128" s="513"/>
      <c r="S128" s="502"/>
      <c r="T128" s="514"/>
      <c r="U128" s="504"/>
      <c r="V128" s="516"/>
      <c r="W128" s="506"/>
      <c r="X128" s="515"/>
      <c r="Y128" s="507"/>
      <c r="Z128" s="508"/>
      <c r="AA128" s="509"/>
    </row>
    <row r="129" spans="1:27" hidden="1" x14ac:dyDescent="0.25">
      <c r="A129" s="486"/>
      <c r="B129" s="102" t="str">
        <f>IF(A129&lt;&gt;"",INDEX('Base de données'!A$4:L$990,MATCH(A129,'Base de données'!A$4:A$990,0),2),"")</f>
        <v/>
      </c>
      <c r="C129" s="112" t="str">
        <f>IF(A129&lt;&gt;"",INDEX('Base de données'!A$4:L$990,MATCH(A129,'Base de données'!A$4:A$990,0),12),"")</f>
        <v/>
      </c>
      <c r="D129" s="520"/>
      <c r="E129" s="488"/>
      <c r="F129" s="517"/>
      <c r="G129" s="490"/>
      <c r="H129" s="518"/>
      <c r="I129" s="492"/>
      <c r="J129" s="519"/>
      <c r="K129" s="494"/>
      <c r="L129" s="510"/>
      <c r="M129" s="496"/>
      <c r="N129" s="511"/>
      <c r="O129" s="498"/>
      <c r="P129" s="512"/>
      <c r="Q129" s="500"/>
      <c r="R129" s="513"/>
      <c r="S129" s="502"/>
      <c r="T129" s="514"/>
      <c r="U129" s="504"/>
      <c r="V129" s="516"/>
      <c r="W129" s="506"/>
      <c r="X129" s="515"/>
      <c r="Y129" s="507"/>
      <c r="Z129" s="508"/>
      <c r="AA129" s="509"/>
    </row>
    <row r="130" spans="1:27" hidden="1" x14ac:dyDescent="0.25">
      <c r="A130" s="486"/>
      <c r="B130" s="102" t="str">
        <f>IF(A130&lt;&gt;"",INDEX('Base de données'!A$4:L$990,MATCH(A130,'Base de données'!A$4:A$990,0),2),"")</f>
        <v/>
      </c>
      <c r="C130" s="112" t="str">
        <f>IF(A130&lt;&gt;"",INDEX('Base de données'!A$4:L$990,MATCH(A130,'Base de données'!A$4:A$990,0),12),"")</f>
        <v/>
      </c>
      <c r="D130" s="520"/>
      <c r="E130" s="488"/>
      <c r="F130" s="517"/>
      <c r="G130" s="490"/>
      <c r="H130" s="518"/>
      <c r="I130" s="492"/>
      <c r="J130" s="519"/>
      <c r="K130" s="494"/>
      <c r="L130" s="510"/>
      <c r="M130" s="496"/>
      <c r="N130" s="511"/>
      <c r="O130" s="498"/>
      <c r="P130" s="512"/>
      <c r="Q130" s="500"/>
      <c r="R130" s="513"/>
      <c r="S130" s="502"/>
      <c r="T130" s="514"/>
      <c r="U130" s="504"/>
      <c r="V130" s="516"/>
      <c r="W130" s="506"/>
      <c r="X130" s="515"/>
      <c r="Y130" s="507"/>
      <c r="Z130" s="508"/>
      <c r="AA130" s="509"/>
    </row>
    <row r="131" spans="1:27" hidden="1" x14ac:dyDescent="0.25">
      <c r="A131" s="486"/>
      <c r="B131" s="102" t="str">
        <f>IF(A131&lt;&gt;"",INDEX('Base de données'!A$4:L$990,MATCH(A131,'Base de données'!A$4:A$990,0),2),"")</f>
        <v/>
      </c>
      <c r="C131" s="112" t="str">
        <f>IF(A131&lt;&gt;"",INDEX('Base de données'!A$4:L$990,MATCH(A131,'Base de données'!A$4:A$990,0),12),"")</f>
        <v/>
      </c>
      <c r="D131" s="520"/>
      <c r="E131" s="488"/>
      <c r="F131" s="517"/>
      <c r="G131" s="490"/>
      <c r="H131" s="518"/>
      <c r="I131" s="492"/>
      <c r="J131" s="519"/>
      <c r="K131" s="494"/>
      <c r="L131" s="510"/>
      <c r="M131" s="496"/>
      <c r="N131" s="511"/>
      <c r="O131" s="498"/>
      <c r="P131" s="512"/>
      <c r="Q131" s="500"/>
      <c r="R131" s="513"/>
      <c r="S131" s="502"/>
      <c r="T131" s="514"/>
      <c r="U131" s="504"/>
      <c r="V131" s="516"/>
      <c r="W131" s="506"/>
      <c r="X131" s="515"/>
      <c r="Y131" s="507"/>
      <c r="Z131" s="508"/>
      <c r="AA131" s="509"/>
    </row>
    <row r="132" spans="1:27" hidden="1" x14ac:dyDescent="0.25">
      <c r="A132" s="486"/>
      <c r="B132" s="102" t="str">
        <f>IF(A132&lt;&gt;"",INDEX('Base de données'!A$4:L$990,MATCH(A132,'Base de données'!A$4:A$990,0),2),"")</f>
        <v/>
      </c>
      <c r="C132" s="112" t="str">
        <f>IF(A132&lt;&gt;"",INDEX('Base de données'!A$4:L$990,MATCH(A132,'Base de données'!A$4:A$990,0),12),"")</f>
        <v/>
      </c>
      <c r="D132" s="520"/>
      <c r="E132" s="488"/>
      <c r="F132" s="517"/>
      <c r="G132" s="490"/>
      <c r="H132" s="518"/>
      <c r="I132" s="492"/>
      <c r="J132" s="519"/>
      <c r="K132" s="494"/>
      <c r="L132" s="510"/>
      <c r="M132" s="496"/>
      <c r="N132" s="511"/>
      <c r="O132" s="498"/>
      <c r="P132" s="512"/>
      <c r="Q132" s="500"/>
      <c r="R132" s="513"/>
      <c r="S132" s="502"/>
      <c r="T132" s="514"/>
      <c r="U132" s="504"/>
      <c r="V132" s="516"/>
      <c r="W132" s="506"/>
      <c r="X132" s="515"/>
      <c r="Y132" s="507"/>
      <c r="Z132" s="508"/>
      <c r="AA132" s="509"/>
    </row>
    <row r="133" spans="1:27" hidden="1" x14ac:dyDescent="0.25">
      <c r="A133" s="486"/>
      <c r="B133" s="102" t="str">
        <f>IF(A133&lt;&gt;"",INDEX('Base de données'!A$4:L$990,MATCH(A133,'Base de données'!A$4:A$990,0),2),"")</f>
        <v/>
      </c>
      <c r="C133" s="112" t="str">
        <f>IF(A133&lt;&gt;"",INDEX('Base de données'!A$4:L$990,MATCH(A133,'Base de données'!A$4:A$990,0),12),"")</f>
        <v/>
      </c>
      <c r="D133" s="520"/>
      <c r="E133" s="488"/>
      <c r="F133" s="517"/>
      <c r="G133" s="490"/>
      <c r="H133" s="518"/>
      <c r="I133" s="492"/>
      <c r="J133" s="519"/>
      <c r="K133" s="494"/>
      <c r="L133" s="510"/>
      <c r="M133" s="496"/>
      <c r="N133" s="511"/>
      <c r="O133" s="498"/>
      <c r="P133" s="512"/>
      <c r="Q133" s="500"/>
      <c r="R133" s="513"/>
      <c r="S133" s="502"/>
      <c r="T133" s="514"/>
      <c r="U133" s="504"/>
      <c r="V133" s="516"/>
      <c r="W133" s="506"/>
      <c r="X133" s="515"/>
      <c r="Y133" s="507"/>
      <c r="Z133" s="508"/>
      <c r="AA133" s="509"/>
    </row>
    <row r="134" spans="1:27" hidden="1" x14ac:dyDescent="0.25">
      <c r="A134" s="486"/>
      <c r="B134" s="102" t="str">
        <f>IF(A134&lt;&gt;"",INDEX('Base de données'!A$4:L$990,MATCH(A134,'Base de données'!A$4:A$990,0),2),"")</f>
        <v/>
      </c>
      <c r="C134" s="112" t="str">
        <f>IF(A134&lt;&gt;"",INDEX('Base de données'!A$4:L$990,MATCH(A134,'Base de données'!A$4:A$990,0),12),"")</f>
        <v/>
      </c>
      <c r="D134" s="520"/>
      <c r="E134" s="488"/>
      <c r="F134" s="517"/>
      <c r="G134" s="490"/>
      <c r="H134" s="518"/>
      <c r="I134" s="492"/>
      <c r="J134" s="519"/>
      <c r="K134" s="494"/>
      <c r="L134" s="510"/>
      <c r="M134" s="496"/>
      <c r="N134" s="511"/>
      <c r="O134" s="498"/>
      <c r="P134" s="512"/>
      <c r="Q134" s="500"/>
      <c r="R134" s="513"/>
      <c r="S134" s="502"/>
      <c r="T134" s="514"/>
      <c r="U134" s="504"/>
      <c r="V134" s="516"/>
      <c r="W134" s="506"/>
      <c r="X134" s="515"/>
      <c r="Y134" s="507"/>
      <c r="Z134" s="508"/>
      <c r="AA134" s="509"/>
    </row>
    <row r="135" spans="1:27" hidden="1" x14ac:dyDescent="0.25">
      <c r="A135" s="486"/>
      <c r="B135" s="102" t="str">
        <f>IF(A135&lt;&gt;"",INDEX('Base de données'!A$4:L$990,MATCH(A135,'Base de données'!A$4:A$990,0),2),"")</f>
        <v/>
      </c>
      <c r="C135" s="112" t="str">
        <f>IF(A135&lt;&gt;"",INDEX('Base de données'!A$4:L$990,MATCH(A135,'Base de données'!A$4:A$990,0),12),"")</f>
        <v/>
      </c>
      <c r="D135" s="520"/>
      <c r="E135" s="488"/>
      <c r="F135" s="517"/>
      <c r="G135" s="490"/>
      <c r="H135" s="518"/>
      <c r="I135" s="492"/>
      <c r="J135" s="519"/>
      <c r="K135" s="494"/>
      <c r="L135" s="510"/>
      <c r="M135" s="496"/>
      <c r="N135" s="511"/>
      <c r="O135" s="498"/>
      <c r="P135" s="512"/>
      <c r="Q135" s="500"/>
      <c r="R135" s="513"/>
      <c r="S135" s="502"/>
      <c r="T135" s="514"/>
      <c r="U135" s="504"/>
      <c r="V135" s="516"/>
      <c r="W135" s="506"/>
      <c r="X135" s="515"/>
      <c r="Y135" s="507"/>
      <c r="Z135" s="508"/>
      <c r="AA135" s="509"/>
    </row>
    <row r="136" spans="1:27" hidden="1" x14ac:dyDescent="0.25">
      <c r="A136" s="486"/>
      <c r="B136" s="102" t="str">
        <f>IF(A136&lt;&gt;"",INDEX('Base de données'!A$4:L$990,MATCH(A136,'Base de données'!A$4:A$990,0),2),"")</f>
        <v/>
      </c>
      <c r="C136" s="112" t="str">
        <f>IF(A136&lt;&gt;"",INDEX('Base de données'!A$4:L$990,MATCH(A136,'Base de données'!A$4:A$990,0),12),"")</f>
        <v/>
      </c>
      <c r="D136" s="520"/>
      <c r="E136" s="488"/>
      <c r="F136" s="517"/>
      <c r="G136" s="490"/>
      <c r="H136" s="518"/>
      <c r="I136" s="492"/>
      <c r="J136" s="519"/>
      <c r="K136" s="494"/>
      <c r="L136" s="510"/>
      <c r="M136" s="496"/>
      <c r="N136" s="511"/>
      <c r="O136" s="498"/>
      <c r="P136" s="512"/>
      <c r="Q136" s="500"/>
      <c r="R136" s="513"/>
      <c r="S136" s="502"/>
      <c r="T136" s="514"/>
      <c r="U136" s="504"/>
      <c r="V136" s="516"/>
      <c r="W136" s="506"/>
      <c r="X136" s="515"/>
      <c r="Y136" s="507"/>
      <c r="Z136" s="508"/>
      <c r="AA136" s="509"/>
    </row>
    <row r="137" spans="1:27" hidden="1" x14ac:dyDescent="0.25">
      <c r="A137" s="486"/>
      <c r="B137" s="102" t="str">
        <f>IF(A137&lt;&gt;"",INDEX('Base de données'!A$4:L$990,MATCH(A137,'Base de données'!A$4:A$990,0),2),"")</f>
        <v/>
      </c>
      <c r="C137" s="112" t="str">
        <f>IF(A137&lt;&gt;"",INDEX('Base de données'!A$4:L$990,MATCH(A137,'Base de données'!A$4:A$990,0),12),"")</f>
        <v/>
      </c>
      <c r="D137" s="520"/>
      <c r="E137" s="488"/>
      <c r="F137" s="517"/>
      <c r="G137" s="490"/>
      <c r="H137" s="518"/>
      <c r="I137" s="492"/>
      <c r="J137" s="519"/>
      <c r="K137" s="494"/>
      <c r="L137" s="510"/>
      <c r="M137" s="496"/>
      <c r="N137" s="511"/>
      <c r="O137" s="498"/>
      <c r="P137" s="512"/>
      <c r="Q137" s="500"/>
      <c r="R137" s="513"/>
      <c r="S137" s="502"/>
      <c r="T137" s="514"/>
      <c r="U137" s="504"/>
      <c r="V137" s="516"/>
      <c r="W137" s="506"/>
      <c r="X137" s="515"/>
      <c r="Y137" s="507"/>
      <c r="Z137" s="508"/>
      <c r="AA137" s="509"/>
    </row>
    <row r="138" spans="1:27" hidden="1" x14ac:dyDescent="0.25">
      <c r="A138" s="486"/>
      <c r="B138" s="102" t="str">
        <f>IF(A138&lt;&gt;"",INDEX('Base de données'!A$4:L$990,MATCH(A138,'Base de données'!A$4:A$990,0),2),"")</f>
        <v/>
      </c>
      <c r="C138" s="112" t="str">
        <f>IF(A138&lt;&gt;"",INDEX('Base de données'!A$4:L$990,MATCH(A138,'Base de données'!A$4:A$990,0),12),"")</f>
        <v/>
      </c>
      <c r="D138" s="520"/>
      <c r="E138" s="488"/>
      <c r="F138" s="517"/>
      <c r="G138" s="490"/>
      <c r="H138" s="518"/>
      <c r="I138" s="492"/>
      <c r="J138" s="519"/>
      <c r="K138" s="494"/>
      <c r="L138" s="510"/>
      <c r="M138" s="496"/>
      <c r="N138" s="511"/>
      <c r="O138" s="498"/>
      <c r="P138" s="512"/>
      <c r="Q138" s="500"/>
      <c r="R138" s="513"/>
      <c r="S138" s="502"/>
      <c r="T138" s="514"/>
      <c r="U138" s="504"/>
      <c r="V138" s="516"/>
      <c r="W138" s="506"/>
      <c r="X138" s="515"/>
      <c r="Y138" s="507"/>
      <c r="Z138" s="508"/>
      <c r="AA138" s="509"/>
    </row>
    <row r="139" spans="1:27" hidden="1" x14ac:dyDescent="0.25">
      <c r="A139" s="486"/>
      <c r="B139" s="102" t="str">
        <f>IF(A139&lt;&gt;"",INDEX('Base de données'!A$4:L$990,MATCH(A139,'Base de données'!A$4:A$990,0),2),"")</f>
        <v/>
      </c>
      <c r="C139" s="112" t="str">
        <f>IF(A139&lt;&gt;"",INDEX('Base de données'!A$4:L$990,MATCH(A139,'Base de données'!A$4:A$990,0),12),"")</f>
        <v/>
      </c>
      <c r="D139" s="520"/>
      <c r="E139" s="488"/>
      <c r="F139" s="517"/>
      <c r="G139" s="490"/>
      <c r="H139" s="518"/>
      <c r="I139" s="492"/>
      <c r="J139" s="519"/>
      <c r="K139" s="494"/>
      <c r="L139" s="510"/>
      <c r="M139" s="496"/>
      <c r="N139" s="511"/>
      <c r="O139" s="498"/>
      <c r="P139" s="512"/>
      <c r="Q139" s="500"/>
      <c r="R139" s="513"/>
      <c r="S139" s="502"/>
      <c r="T139" s="514"/>
      <c r="U139" s="504"/>
      <c r="V139" s="516"/>
      <c r="W139" s="506"/>
      <c r="X139" s="515"/>
      <c r="Y139" s="507"/>
      <c r="Z139" s="508"/>
      <c r="AA139" s="509"/>
    </row>
    <row r="140" spans="1:27" hidden="1" x14ac:dyDescent="0.25">
      <c r="A140" s="486"/>
      <c r="B140" s="102" t="str">
        <f>IF(A140&lt;&gt;"",INDEX('Base de données'!A$4:L$990,MATCH(A140,'Base de données'!A$4:A$990,0),2),"")</f>
        <v/>
      </c>
      <c r="C140" s="112" t="str">
        <f>IF(A140&lt;&gt;"",INDEX('Base de données'!A$4:L$990,MATCH(A140,'Base de données'!A$4:A$990,0),12),"")</f>
        <v/>
      </c>
      <c r="D140" s="520"/>
      <c r="E140" s="488"/>
      <c r="F140" s="517"/>
      <c r="G140" s="490"/>
      <c r="H140" s="518"/>
      <c r="I140" s="492"/>
      <c r="J140" s="519"/>
      <c r="K140" s="494"/>
      <c r="L140" s="510"/>
      <c r="M140" s="496"/>
      <c r="N140" s="511"/>
      <c r="O140" s="498"/>
      <c r="P140" s="512"/>
      <c r="Q140" s="500"/>
      <c r="R140" s="513"/>
      <c r="S140" s="502"/>
      <c r="T140" s="514"/>
      <c r="U140" s="504"/>
      <c r="V140" s="516"/>
      <c r="W140" s="506"/>
      <c r="X140" s="515"/>
      <c r="Y140" s="507"/>
      <c r="Z140" s="508"/>
      <c r="AA140" s="509"/>
    </row>
    <row r="141" spans="1:27" hidden="1" x14ac:dyDescent="0.25">
      <c r="A141" s="486"/>
      <c r="B141" s="102" t="str">
        <f>IF(A141&lt;&gt;"",INDEX('Base de données'!A$4:L$990,MATCH(A141,'Base de données'!A$4:A$990,0),2),"")</f>
        <v/>
      </c>
      <c r="C141" s="112" t="str">
        <f>IF(A141&lt;&gt;"",INDEX('Base de données'!A$4:L$990,MATCH(A141,'Base de données'!A$4:A$990,0),12),"")</f>
        <v/>
      </c>
      <c r="D141" s="520"/>
      <c r="E141" s="488"/>
      <c r="F141" s="517"/>
      <c r="G141" s="490"/>
      <c r="H141" s="518"/>
      <c r="I141" s="492"/>
      <c r="J141" s="519"/>
      <c r="K141" s="494"/>
      <c r="L141" s="510"/>
      <c r="M141" s="496"/>
      <c r="N141" s="511"/>
      <c r="O141" s="498"/>
      <c r="P141" s="512"/>
      <c r="Q141" s="500"/>
      <c r="R141" s="513"/>
      <c r="S141" s="502"/>
      <c r="T141" s="514"/>
      <c r="U141" s="504"/>
      <c r="V141" s="516"/>
      <c r="W141" s="506"/>
      <c r="X141" s="515"/>
      <c r="Y141" s="507"/>
      <c r="Z141" s="508"/>
      <c r="AA141" s="509"/>
    </row>
    <row r="142" spans="1:27" hidden="1" x14ac:dyDescent="0.25">
      <c r="A142" s="486"/>
      <c r="B142" s="102" t="str">
        <f>IF(A142&lt;&gt;"",INDEX('Base de données'!A$4:L$990,MATCH(A142,'Base de données'!A$4:A$990,0),2),"")</f>
        <v/>
      </c>
      <c r="C142" s="112" t="str">
        <f>IF(A142&lt;&gt;"",INDEX('Base de données'!A$4:L$990,MATCH(A142,'Base de données'!A$4:A$990,0),12),"")</f>
        <v/>
      </c>
      <c r="D142" s="520"/>
      <c r="E142" s="488"/>
      <c r="F142" s="517"/>
      <c r="G142" s="490"/>
      <c r="H142" s="518"/>
      <c r="I142" s="492"/>
      <c r="J142" s="519"/>
      <c r="K142" s="494"/>
      <c r="L142" s="510"/>
      <c r="M142" s="496"/>
      <c r="N142" s="511"/>
      <c r="O142" s="498"/>
      <c r="P142" s="512"/>
      <c r="Q142" s="500"/>
      <c r="R142" s="513"/>
      <c r="S142" s="502"/>
      <c r="T142" s="514"/>
      <c r="U142" s="504"/>
      <c r="V142" s="516"/>
      <c r="W142" s="506"/>
      <c r="X142" s="515"/>
      <c r="Y142" s="507"/>
      <c r="Z142" s="508"/>
      <c r="AA142" s="509"/>
    </row>
    <row r="143" spans="1:27" hidden="1" x14ac:dyDescent="0.25">
      <c r="A143" s="486"/>
      <c r="B143" s="102" t="str">
        <f>IF(A143&lt;&gt;"",INDEX('Base de données'!A$4:L$990,MATCH(A143,'Base de données'!A$4:A$990,0),2),"")</f>
        <v/>
      </c>
      <c r="C143" s="112" t="str">
        <f>IF(A143&lt;&gt;"",INDEX('Base de données'!A$4:L$990,MATCH(A143,'Base de données'!A$4:A$990,0),12),"")</f>
        <v/>
      </c>
      <c r="D143" s="520"/>
      <c r="E143" s="488"/>
      <c r="F143" s="517"/>
      <c r="G143" s="490"/>
      <c r="H143" s="518"/>
      <c r="I143" s="492"/>
      <c r="J143" s="519"/>
      <c r="K143" s="494"/>
      <c r="L143" s="510"/>
      <c r="M143" s="496"/>
      <c r="N143" s="511"/>
      <c r="O143" s="498"/>
      <c r="P143" s="512"/>
      <c r="Q143" s="500"/>
      <c r="R143" s="513"/>
      <c r="S143" s="502"/>
      <c r="T143" s="514"/>
      <c r="U143" s="504"/>
      <c r="V143" s="516"/>
      <c r="W143" s="506"/>
      <c r="X143" s="515"/>
      <c r="Y143" s="507"/>
      <c r="Z143" s="508"/>
      <c r="AA143" s="509"/>
    </row>
    <row r="144" spans="1:27" hidden="1" x14ac:dyDescent="0.25">
      <c r="A144" s="486"/>
      <c r="B144" s="102" t="str">
        <f>IF(A144&lt;&gt;"",INDEX('Base de données'!A$4:L$990,MATCH(A144,'Base de données'!A$4:A$990,0),2),"")</f>
        <v/>
      </c>
      <c r="C144" s="112" t="str">
        <f>IF(A144&lt;&gt;"",INDEX('Base de données'!A$4:L$990,MATCH(A144,'Base de données'!A$4:A$990,0),12),"")</f>
        <v/>
      </c>
      <c r="D144" s="520"/>
      <c r="E144" s="488"/>
      <c r="F144" s="517"/>
      <c r="G144" s="490"/>
      <c r="H144" s="518"/>
      <c r="I144" s="492"/>
      <c r="J144" s="519"/>
      <c r="K144" s="494"/>
      <c r="L144" s="510"/>
      <c r="M144" s="496"/>
      <c r="N144" s="511"/>
      <c r="O144" s="498"/>
      <c r="P144" s="512"/>
      <c r="Q144" s="500"/>
      <c r="R144" s="513"/>
      <c r="S144" s="502"/>
      <c r="T144" s="514"/>
      <c r="U144" s="504"/>
      <c r="V144" s="516"/>
      <c r="W144" s="506"/>
      <c r="X144" s="515"/>
      <c r="Y144" s="507"/>
      <c r="Z144" s="508"/>
      <c r="AA144" s="509"/>
    </row>
    <row r="145" spans="1:27" hidden="1" x14ac:dyDescent="0.25">
      <c r="A145" s="486"/>
      <c r="B145" s="102" t="str">
        <f>IF(A145&lt;&gt;"",INDEX('Base de données'!A$4:L$990,MATCH(A145,'Base de données'!A$4:A$990,0),2),"")</f>
        <v/>
      </c>
      <c r="C145" s="112" t="str">
        <f>IF(A145&lt;&gt;"",INDEX('Base de données'!A$4:L$990,MATCH(A145,'Base de données'!A$4:A$990,0),12),"")</f>
        <v/>
      </c>
      <c r="D145" s="520"/>
      <c r="E145" s="488"/>
      <c r="F145" s="517"/>
      <c r="G145" s="490"/>
      <c r="H145" s="518"/>
      <c r="I145" s="492"/>
      <c r="J145" s="519"/>
      <c r="K145" s="494"/>
      <c r="L145" s="510"/>
      <c r="M145" s="496"/>
      <c r="N145" s="511"/>
      <c r="O145" s="498"/>
      <c r="P145" s="512"/>
      <c r="Q145" s="500"/>
      <c r="R145" s="513"/>
      <c r="S145" s="502"/>
      <c r="T145" s="514"/>
      <c r="U145" s="504"/>
      <c r="V145" s="516"/>
      <c r="W145" s="506"/>
      <c r="X145" s="515"/>
      <c r="Y145" s="507"/>
      <c r="Z145" s="508"/>
      <c r="AA145" s="509"/>
    </row>
    <row r="146" spans="1:27" hidden="1" x14ac:dyDescent="0.25">
      <c r="A146" s="486"/>
      <c r="B146" s="102" t="str">
        <f>IF(A146&lt;&gt;"",INDEX('Base de données'!A$4:L$990,MATCH(A146,'Base de données'!A$4:A$990,0),2),"")</f>
        <v/>
      </c>
      <c r="C146" s="112" t="str">
        <f>IF(A146&lt;&gt;"",INDEX('Base de données'!A$4:L$990,MATCH(A146,'Base de données'!A$4:A$990,0),12),"")</f>
        <v/>
      </c>
      <c r="D146" s="520"/>
      <c r="E146" s="488"/>
      <c r="F146" s="517"/>
      <c r="G146" s="490"/>
      <c r="H146" s="518"/>
      <c r="I146" s="492"/>
      <c r="J146" s="519"/>
      <c r="K146" s="494"/>
      <c r="L146" s="510"/>
      <c r="M146" s="496"/>
      <c r="N146" s="511"/>
      <c r="O146" s="498"/>
      <c r="P146" s="512"/>
      <c r="Q146" s="500"/>
      <c r="R146" s="513"/>
      <c r="S146" s="502"/>
      <c r="T146" s="514"/>
      <c r="U146" s="504"/>
      <c r="V146" s="516"/>
      <c r="W146" s="506"/>
      <c r="X146" s="515"/>
      <c r="Y146" s="507"/>
      <c r="Z146" s="508"/>
      <c r="AA146" s="509"/>
    </row>
    <row r="147" spans="1:27" hidden="1" x14ac:dyDescent="0.25">
      <c r="A147" s="486"/>
      <c r="B147" s="102" t="str">
        <f>IF(A147&lt;&gt;"",INDEX('Base de données'!A$4:L$990,MATCH(A147,'Base de données'!A$4:A$990,0),2),"")</f>
        <v/>
      </c>
      <c r="C147" s="112" t="str">
        <f>IF(A147&lt;&gt;"",INDEX('Base de données'!A$4:L$990,MATCH(A147,'Base de données'!A$4:A$990,0),12),"")</f>
        <v/>
      </c>
      <c r="D147" s="520"/>
      <c r="E147" s="488"/>
      <c r="F147" s="517"/>
      <c r="G147" s="490"/>
      <c r="H147" s="518"/>
      <c r="I147" s="492"/>
      <c r="J147" s="519"/>
      <c r="K147" s="494"/>
      <c r="L147" s="510"/>
      <c r="M147" s="496"/>
      <c r="N147" s="511"/>
      <c r="O147" s="498"/>
      <c r="P147" s="512"/>
      <c r="Q147" s="500"/>
      <c r="R147" s="513"/>
      <c r="S147" s="502"/>
      <c r="T147" s="514"/>
      <c r="U147" s="504"/>
      <c r="V147" s="516"/>
      <c r="W147" s="506"/>
      <c r="X147" s="515"/>
      <c r="Y147" s="507"/>
      <c r="Z147" s="508"/>
      <c r="AA147" s="509"/>
    </row>
    <row r="148" spans="1:27" hidden="1" x14ac:dyDescent="0.25">
      <c r="A148" s="486"/>
      <c r="B148" s="102" t="str">
        <f>IF(A148&lt;&gt;"",INDEX('Base de données'!A$4:L$990,MATCH(A148,'Base de données'!A$4:A$990,0),2),"")</f>
        <v/>
      </c>
      <c r="C148" s="112" t="str">
        <f>IF(A148&lt;&gt;"",INDEX('Base de données'!A$4:L$990,MATCH(A148,'Base de données'!A$4:A$990,0),12),"")</f>
        <v/>
      </c>
      <c r="D148" s="520"/>
      <c r="E148" s="488"/>
      <c r="F148" s="517"/>
      <c r="G148" s="490"/>
      <c r="H148" s="518"/>
      <c r="I148" s="492"/>
      <c r="J148" s="519"/>
      <c r="K148" s="494"/>
      <c r="L148" s="510"/>
      <c r="M148" s="496"/>
      <c r="N148" s="511"/>
      <c r="O148" s="498"/>
      <c r="P148" s="512"/>
      <c r="Q148" s="500"/>
      <c r="R148" s="513"/>
      <c r="S148" s="502"/>
      <c r="T148" s="514"/>
      <c r="U148" s="504"/>
      <c r="V148" s="516"/>
      <c r="W148" s="506"/>
      <c r="X148" s="515"/>
      <c r="Y148" s="507"/>
      <c r="Z148" s="508"/>
      <c r="AA148" s="509"/>
    </row>
    <row r="149" spans="1:27" hidden="1" x14ac:dyDescent="0.25">
      <c r="A149" s="486"/>
      <c r="B149" s="102" t="str">
        <f>IF(A149&lt;&gt;"",INDEX('Base de données'!A$4:L$990,MATCH(A149,'Base de données'!A$4:A$990,0),2),"")</f>
        <v/>
      </c>
      <c r="C149" s="112" t="str">
        <f>IF(A149&lt;&gt;"",INDEX('Base de données'!A$4:L$990,MATCH(A149,'Base de données'!A$4:A$990,0),12),"")</f>
        <v/>
      </c>
      <c r="D149" s="520"/>
      <c r="E149" s="488"/>
      <c r="F149" s="517"/>
      <c r="G149" s="490"/>
      <c r="H149" s="518"/>
      <c r="I149" s="492"/>
      <c r="J149" s="519"/>
      <c r="K149" s="494"/>
      <c r="L149" s="510"/>
      <c r="M149" s="496"/>
      <c r="N149" s="511"/>
      <c r="O149" s="498"/>
      <c r="P149" s="512"/>
      <c r="Q149" s="500"/>
      <c r="R149" s="513"/>
      <c r="S149" s="502"/>
      <c r="T149" s="514"/>
      <c r="U149" s="504"/>
      <c r="V149" s="516"/>
      <c r="W149" s="506"/>
      <c r="X149" s="515"/>
      <c r="Y149" s="507"/>
      <c r="Z149" s="508"/>
      <c r="AA149" s="509"/>
    </row>
    <row r="150" spans="1:27" hidden="1" x14ac:dyDescent="0.25">
      <c r="A150" s="486"/>
      <c r="B150" s="102" t="str">
        <f>IF(A150&lt;&gt;"",INDEX('Base de données'!A$4:L$990,MATCH(A150,'Base de données'!A$4:A$990,0),2),"")</f>
        <v/>
      </c>
      <c r="C150" s="112" t="str">
        <f>IF(A150&lt;&gt;"",INDEX('Base de données'!A$4:L$990,MATCH(A150,'Base de données'!A$4:A$990,0),12),"")</f>
        <v/>
      </c>
      <c r="D150" s="520"/>
      <c r="E150" s="488"/>
      <c r="F150" s="517"/>
      <c r="G150" s="490"/>
      <c r="H150" s="518"/>
      <c r="I150" s="492"/>
      <c r="J150" s="519"/>
      <c r="K150" s="494"/>
      <c r="L150" s="510"/>
      <c r="M150" s="496"/>
      <c r="N150" s="511"/>
      <c r="O150" s="498"/>
      <c r="P150" s="512"/>
      <c r="Q150" s="500"/>
      <c r="R150" s="513"/>
      <c r="S150" s="502"/>
      <c r="T150" s="514"/>
      <c r="U150" s="504"/>
      <c r="V150" s="516"/>
      <c r="W150" s="506"/>
      <c r="X150" s="515"/>
      <c r="Y150" s="507"/>
      <c r="Z150" s="508"/>
      <c r="AA150" s="509"/>
    </row>
    <row r="151" spans="1:27" hidden="1" x14ac:dyDescent="0.25">
      <c r="A151" s="486"/>
      <c r="B151" s="102" t="str">
        <f>IF(A151&lt;&gt;"",INDEX('Base de données'!A$4:L$990,MATCH(A151,'Base de données'!A$4:A$990,0),2),"")</f>
        <v/>
      </c>
      <c r="C151" s="112" t="str">
        <f>IF(A151&lt;&gt;"",INDEX('Base de données'!A$4:L$990,MATCH(A151,'Base de données'!A$4:A$990,0),12),"")</f>
        <v/>
      </c>
      <c r="D151" s="520"/>
      <c r="E151" s="488"/>
      <c r="F151" s="517"/>
      <c r="G151" s="490"/>
      <c r="H151" s="518"/>
      <c r="I151" s="492"/>
      <c r="J151" s="519"/>
      <c r="K151" s="494"/>
      <c r="L151" s="510"/>
      <c r="M151" s="496"/>
      <c r="N151" s="511"/>
      <c r="O151" s="498"/>
      <c r="P151" s="512"/>
      <c r="Q151" s="500"/>
      <c r="R151" s="513"/>
      <c r="S151" s="502"/>
      <c r="T151" s="514"/>
      <c r="U151" s="504"/>
      <c r="V151" s="516"/>
      <c r="W151" s="506"/>
      <c r="X151" s="515"/>
      <c r="Y151" s="507"/>
      <c r="Z151" s="508"/>
      <c r="AA151" s="509"/>
    </row>
    <row r="152" spans="1:27" hidden="1" x14ac:dyDescent="0.25">
      <c r="A152" s="486"/>
      <c r="B152" s="102" t="str">
        <f>IF(A152&lt;&gt;"",INDEX('Base de données'!A$4:L$990,MATCH(A152,'Base de données'!A$4:A$990,0),2),"")</f>
        <v/>
      </c>
      <c r="C152" s="112" t="str">
        <f>IF(A152&lt;&gt;"",INDEX('Base de données'!A$4:L$990,MATCH(A152,'Base de données'!A$4:A$990,0),12),"")</f>
        <v/>
      </c>
      <c r="D152" s="520"/>
      <c r="E152" s="488"/>
      <c r="F152" s="517"/>
      <c r="G152" s="490"/>
      <c r="H152" s="518"/>
      <c r="I152" s="492"/>
      <c r="J152" s="519"/>
      <c r="K152" s="494"/>
      <c r="L152" s="510"/>
      <c r="M152" s="496"/>
      <c r="N152" s="511"/>
      <c r="O152" s="498"/>
      <c r="P152" s="512"/>
      <c r="Q152" s="500"/>
      <c r="R152" s="513"/>
      <c r="S152" s="502"/>
      <c r="T152" s="514"/>
      <c r="U152" s="504"/>
      <c r="V152" s="516"/>
      <c r="W152" s="506"/>
      <c r="X152" s="515"/>
      <c r="Y152" s="507"/>
      <c r="Z152" s="508"/>
      <c r="AA152" s="509"/>
    </row>
    <row r="153" spans="1:27" hidden="1" x14ac:dyDescent="0.25">
      <c r="A153" s="486"/>
      <c r="B153" s="102" t="str">
        <f>IF(A153&lt;&gt;"",INDEX('Base de données'!A$4:L$990,MATCH(A153,'Base de données'!A$4:A$990,0),2),"")</f>
        <v/>
      </c>
      <c r="C153" s="112" t="str">
        <f>IF(A153&lt;&gt;"",INDEX('Base de données'!A$4:L$990,MATCH(A153,'Base de données'!A$4:A$990,0),12),"")</f>
        <v/>
      </c>
      <c r="D153" s="520"/>
      <c r="E153" s="488"/>
      <c r="F153" s="517"/>
      <c r="G153" s="490"/>
      <c r="H153" s="518"/>
      <c r="I153" s="492"/>
      <c r="J153" s="519"/>
      <c r="K153" s="494"/>
      <c r="L153" s="510"/>
      <c r="M153" s="496"/>
      <c r="N153" s="511"/>
      <c r="O153" s="498"/>
      <c r="P153" s="512"/>
      <c r="Q153" s="500"/>
      <c r="R153" s="513"/>
      <c r="S153" s="502"/>
      <c r="T153" s="514"/>
      <c r="U153" s="504"/>
      <c r="V153" s="516"/>
      <c r="W153" s="506"/>
      <c r="X153" s="515"/>
      <c r="Y153" s="507"/>
      <c r="Z153" s="508"/>
      <c r="AA153" s="509"/>
    </row>
    <row r="154" spans="1:27" hidden="1" x14ac:dyDescent="0.25">
      <c r="A154" s="486"/>
      <c r="B154" s="102" t="str">
        <f>IF(A154&lt;&gt;"",INDEX('Base de données'!A$4:L$990,MATCH(A154,'Base de données'!A$4:A$990,0),2),"")</f>
        <v/>
      </c>
      <c r="C154" s="112" t="str">
        <f>IF(A154&lt;&gt;"",INDEX('Base de données'!A$4:L$990,MATCH(A154,'Base de données'!A$4:A$990,0),12),"")</f>
        <v/>
      </c>
      <c r="D154" s="520"/>
      <c r="E154" s="488"/>
      <c r="F154" s="517"/>
      <c r="G154" s="490"/>
      <c r="H154" s="518"/>
      <c r="I154" s="492"/>
      <c r="J154" s="519"/>
      <c r="K154" s="494"/>
      <c r="L154" s="510"/>
      <c r="M154" s="496"/>
      <c r="N154" s="511"/>
      <c r="O154" s="498"/>
      <c r="P154" s="512"/>
      <c r="Q154" s="500"/>
      <c r="R154" s="513"/>
      <c r="S154" s="502"/>
      <c r="T154" s="514"/>
      <c r="U154" s="504"/>
      <c r="V154" s="516"/>
      <c r="W154" s="506"/>
      <c r="X154" s="515"/>
      <c r="Y154" s="507"/>
      <c r="Z154" s="508"/>
      <c r="AA154" s="509"/>
    </row>
    <row r="155" spans="1:27" hidden="1" x14ac:dyDescent="0.25">
      <c r="A155" s="486"/>
      <c r="B155" s="102" t="str">
        <f>IF(A155&lt;&gt;"",INDEX('Base de données'!A$4:L$990,MATCH(A155,'Base de données'!A$4:A$990,0),2),"")</f>
        <v/>
      </c>
      <c r="C155" s="112" t="str">
        <f>IF(A155&lt;&gt;"",INDEX('Base de données'!A$4:L$990,MATCH(A155,'Base de données'!A$4:A$990,0),12),"")</f>
        <v/>
      </c>
      <c r="D155" s="520"/>
      <c r="E155" s="488"/>
      <c r="F155" s="517"/>
      <c r="G155" s="490"/>
      <c r="H155" s="518"/>
      <c r="I155" s="492"/>
      <c r="J155" s="519"/>
      <c r="K155" s="494"/>
      <c r="L155" s="510"/>
      <c r="M155" s="496"/>
      <c r="N155" s="511"/>
      <c r="O155" s="498"/>
      <c r="P155" s="512"/>
      <c r="Q155" s="500"/>
      <c r="R155" s="513"/>
      <c r="S155" s="502"/>
      <c r="T155" s="514"/>
      <c r="U155" s="504"/>
      <c r="V155" s="516"/>
      <c r="W155" s="506"/>
      <c r="X155" s="515"/>
      <c r="Y155" s="507"/>
      <c r="Z155" s="508"/>
      <c r="AA155" s="509"/>
    </row>
    <row r="156" spans="1:27" hidden="1" x14ac:dyDescent="0.25">
      <c r="A156" s="486"/>
      <c r="B156" s="102" t="str">
        <f>IF(A156&lt;&gt;"",INDEX('Base de données'!A$4:L$990,MATCH(A156,'Base de données'!A$4:A$990,0),2),"")</f>
        <v/>
      </c>
      <c r="C156" s="112" t="str">
        <f>IF(A156&lt;&gt;"",INDEX('Base de données'!A$4:L$990,MATCH(A156,'Base de données'!A$4:A$990,0),12),"")</f>
        <v/>
      </c>
      <c r="D156" s="520"/>
      <c r="E156" s="488"/>
      <c r="F156" s="517"/>
      <c r="G156" s="490"/>
      <c r="H156" s="518"/>
      <c r="I156" s="492"/>
      <c r="J156" s="519"/>
      <c r="K156" s="494"/>
      <c r="L156" s="510"/>
      <c r="M156" s="496"/>
      <c r="N156" s="511"/>
      <c r="O156" s="498"/>
      <c r="P156" s="512"/>
      <c r="Q156" s="500"/>
      <c r="R156" s="513"/>
      <c r="S156" s="502"/>
      <c r="T156" s="514"/>
      <c r="U156" s="504"/>
      <c r="V156" s="516"/>
      <c r="W156" s="506"/>
      <c r="X156" s="515"/>
      <c r="Y156" s="507"/>
      <c r="Z156" s="508"/>
      <c r="AA156" s="509"/>
    </row>
    <row r="157" spans="1:27" hidden="1" x14ac:dyDescent="0.25">
      <c r="A157" s="486"/>
      <c r="B157" s="102" t="str">
        <f>IF(A157&lt;&gt;"",INDEX('Base de données'!A$4:L$990,MATCH(A157,'Base de données'!A$4:A$990,0),2),"")</f>
        <v/>
      </c>
      <c r="C157" s="112" t="str">
        <f>IF(A157&lt;&gt;"",INDEX('Base de données'!A$4:L$990,MATCH(A157,'Base de données'!A$4:A$990,0),12),"")</f>
        <v/>
      </c>
      <c r="D157" s="520"/>
      <c r="E157" s="488"/>
      <c r="F157" s="517"/>
      <c r="G157" s="490"/>
      <c r="H157" s="518"/>
      <c r="I157" s="492"/>
      <c r="J157" s="519"/>
      <c r="K157" s="494"/>
      <c r="L157" s="510"/>
      <c r="M157" s="496"/>
      <c r="N157" s="511"/>
      <c r="O157" s="498"/>
      <c r="P157" s="512"/>
      <c r="Q157" s="500"/>
      <c r="R157" s="513"/>
      <c r="S157" s="502"/>
      <c r="T157" s="514"/>
      <c r="U157" s="504"/>
      <c r="V157" s="516"/>
      <c r="W157" s="506"/>
      <c r="X157" s="515"/>
      <c r="Y157" s="507"/>
      <c r="Z157" s="508"/>
      <c r="AA157" s="509"/>
    </row>
    <row r="158" spans="1:27" hidden="1" x14ac:dyDescent="0.25">
      <c r="A158" s="486"/>
      <c r="B158" s="102" t="str">
        <f>IF(A158&lt;&gt;"",INDEX('Base de données'!A$4:L$990,MATCH(A158,'Base de données'!A$4:A$990,0),2),"")</f>
        <v/>
      </c>
      <c r="C158" s="112" t="str">
        <f>IF(A158&lt;&gt;"",INDEX('Base de données'!A$4:L$990,MATCH(A158,'Base de données'!A$4:A$990,0),12),"")</f>
        <v/>
      </c>
      <c r="D158" s="520"/>
      <c r="E158" s="488"/>
      <c r="F158" s="517"/>
      <c r="G158" s="490"/>
      <c r="H158" s="518"/>
      <c r="I158" s="492"/>
      <c r="J158" s="519"/>
      <c r="K158" s="494"/>
      <c r="L158" s="510"/>
      <c r="M158" s="496"/>
      <c r="N158" s="511"/>
      <c r="O158" s="498"/>
      <c r="P158" s="512"/>
      <c r="Q158" s="500"/>
      <c r="R158" s="513"/>
      <c r="S158" s="502"/>
      <c r="T158" s="514"/>
      <c r="U158" s="504"/>
      <c r="V158" s="516"/>
      <c r="W158" s="506"/>
      <c r="X158" s="515"/>
      <c r="Y158" s="507"/>
      <c r="Z158" s="508"/>
      <c r="AA158" s="509"/>
    </row>
    <row r="159" spans="1:27" hidden="1" x14ac:dyDescent="0.25">
      <c r="A159" s="486"/>
      <c r="B159" s="102" t="str">
        <f>IF(A159&lt;&gt;"",INDEX('Base de données'!A$4:L$990,MATCH(A159,'Base de données'!A$4:A$990,0),2),"")</f>
        <v/>
      </c>
      <c r="C159" s="112" t="str">
        <f>IF(A159&lt;&gt;"",INDEX('Base de données'!A$4:L$990,MATCH(A159,'Base de données'!A$4:A$990,0),12),"")</f>
        <v/>
      </c>
      <c r="D159" s="520"/>
      <c r="E159" s="488"/>
      <c r="F159" s="517"/>
      <c r="G159" s="490"/>
      <c r="H159" s="518"/>
      <c r="I159" s="492"/>
      <c r="J159" s="519"/>
      <c r="K159" s="494"/>
      <c r="L159" s="510"/>
      <c r="M159" s="496"/>
      <c r="N159" s="511"/>
      <c r="O159" s="498"/>
      <c r="P159" s="512"/>
      <c r="Q159" s="500"/>
      <c r="R159" s="513"/>
      <c r="S159" s="502"/>
      <c r="T159" s="514"/>
      <c r="U159" s="504"/>
      <c r="V159" s="516"/>
      <c r="W159" s="506"/>
      <c r="X159" s="515"/>
      <c r="Y159" s="507"/>
      <c r="Z159" s="508"/>
      <c r="AA159" s="509"/>
    </row>
    <row r="160" spans="1:27" hidden="1" x14ac:dyDescent="0.25">
      <c r="A160" s="486"/>
      <c r="B160" s="102" t="str">
        <f>IF(A160&lt;&gt;"",INDEX('Base de données'!A$4:L$990,MATCH(A160,'Base de données'!A$4:A$990,0),2),"")</f>
        <v/>
      </c>
      <c r="C160" s="112" t="str">
        <f>IF(A160&lt;&gt;"",INDEX('Base de données'!A$4:L$990,MATCH(A160,'Base de données'!A$4:A$990,0),12),"")</f>
        <v/>
      </c>
      <c r="D160" s="520"/>
      <c r="E160" s="488"/>
      <c r="F160" s="517"/>
      <c r="G160" s="490"/>
      <c r="H160" s="518"/>
      <c r="I160" s="492"/>
      <c r="J160" s="519"/>
      <c r="K160" s="494"/>
      <c r="L160" s="510"/>
      <c r="M160" s="496"/>
      <c r="N160" s="511"/>
      <c r="O160" s="498"/>
      <c r="P160" s="512"/>
      <c r="Q160" s="500"/>
      <c r="R160" s="513"/>
      <c r="S160" s="502"/>
      <c r="T160" s="514"/>
      <c r="U160" s="504"/>
      <c r="V160" s="516"/>
      <c r="W160" s="506"/>
      <c r="X160" s="515"/>
      <c r="Y160" s="507"/>
      <c r="Z160" s="508"/>
      <c r="AA160" s="509"/>
    </row>
    <row r="161" spans="1:27" hidden="1" x14ac:dyDescent="0.25">
      <c r="A161" s="486"/>
      <c r="B161" s="102" t="str">
        <f>IF(A161&lt;&gt;"",INDEX('Base de données'!A$4:L$990,MATCH(A161,'Base de données'!A$4:A$990,0),2),"")</f>
        <v/>
      </c>
      <c r="C161" s="112" t="str">
        <f>IF(A161&lt;&gt;"",INDEX('Base de données'!A$4:L$990,MATCH(A161,'Base de données'!A$4:A$990,0),12),"")</f>
        <v/>
      </c>
      <c r="D161" s="520"/>
      <c r="E161" s="488"/>
      <c r="F161" s="517"/>
      <c r="G161" s="490"/>
      <c r="H161" s="518"/>
      <c r="I161" s="492"/>
      <c r="J161" s="519"/>
      <c r="K161" s="494"/>
      <c r="L161" s="510"/>
      <c r="M161" s="496"/>
      <c r="N161" s="511"/>
      <c r="O161" s="498"/>
      <c r="P161" s="512"/>
      <c r="Q161" s="500"/>
      <c r="R161" s="513"/>
      <c r="S161" s="502"/>
      <c r="T161" s="514"/>
      <c r="U161" s="504"/>
      <c r="V161" s="516"/>
      <c r="W161" s="506"/>
      <c r="X161" s="515"/>
      <c r="Y161" s="507"/>
      <c r="Z161" s="508"/>
      <c r="AA161" s="509"/>
    </row>
    <row r="162" spans="1:27" hidden="1" x14ac:dyDescent="0.25">
      <c r="A162" s="486"/>
      <c r="B162" s="102" t="str">
        <f>IF(A162&lt;&gt;"",INDEX('Base de données'!A$4:L$990,MATCH(A162,'Base de données'!A$4:A$990,0),2),"")</f>
        <v/>
      </c>
      <c r="C162" s="112" t="str">
        <f>IF(A162&lt;&gt;"",INDEX('Base de données'!A$4:L$990,MATCH(A162,'Base de données'!A$4:A$990,0),12),"")</f>
        <v/>
      </c>
      <c r="D162" s="520"/>
      <c r="E162" s="488"/>
      <c r="F162" s="517"/>
      <c r="G162" s="490"/>
      <c r="H162" s="518"/>
      <c r="I162" s="492"/>
      <c r="J162" s="519"/>
      <c r="K162" s="494"/>
      <c r="L162" s="510"/>
      <c r="M162" s="496"/>
      <c r="N162" s="511"/>
      <c r="O162" s="498"/>
      <c r="P162" s="512"/>
      <c r="Q162" s="500"/>
      <c r="R162" s="513"/>
      <c r="S162" s="502"/>
      <c r="T162" s="514"/>
      <c r="U162" s="504"/>
      <c r="V162" s="516"/>
      <c r="W162" s="506"/>
      <c r="X162" s="515"/>
      <c r="Y162" s="507"/>
      <c r="Z162" s="508"/>
      <c r="AA162" s="509"/>
    </row>
    <row r="163" spans="1:27" hidden="1" x14ac:dyDescent="0.25">
      <c r="A163" s="486"/>
      <c r="B163" s="102" t="str">
        <f>IF(A163&lt;&gt;"",INDEX('Base de données'!A$4:L$990,MATCH(A163,'Base de données'!A$4:A$990,0),2),"")</f>
        <v/>
      </c>
      <c r="C163" s="112" t="str">
        <f>IF(A163&lt;&gt;"",INDEX('Base de données'!A$4:L$990,MATCH(A163,'Base de données'!A$4:A$990,0),12),"")</f>
        <v/>
      </c>
      <c r="D163" s="520"/>
      <c r="E163" s="488"/>
      <c r="F163" s="517"/>
      <c r="G163" s="490"/>
      <c r="H163" s="518"/>
      <c r="I163" s="492"/>
      <c r="J163" s="519"/>
      <c r="K163" s="494"/>
      <c r="L163" s="510"/>
      <c r="M163" s="496"/>
      <c r="N163" s="511"/>
      <c r="O163" s="498"/>
      <c r="P163" s="512"/>
      <c r="Q163" s="500"/>
      <c r="R163" s="513"/>
      <c r="S163" s="502"/>
      <c r="T163" s="514"/>
      <c r="U163" s="504"/>
      <c r="V163" s="516"/>
      <c r="W163" s="506"/>
      <c r="X163" s="515"/>
      <c r="Y163" s="507"/>
      <c r="Z163" s="508"/>
      <c r="AA163" s="509"/>
    </row>
    <row r="164" spans="1:27" hidden="1" x14ac:dyDescent="0.25">
      <c r="A164" s="486"/>
      <c r="B164" s="102" t="str">
        <f>IF(A164&lt;&gt;"",INDEX('Base de données'!A$4:L$990,MATCH(A164,'Base de données'!A$4:A$990,0),2),"")</f>
        <v/>
      </c>
      <c r="C164" s="112" t="str">
        <f>IF(A164&lt;&gt;"",INDEX('Base de données'!A$4:L$990,MATCH(A164,'Base de données'!A$4:A$990,0),12),"")</f>
        <v/>
      </c>
      <c r="D164" s="520"/>
      <c r="E164" s="488"/>
      <c r="F164" s="517"/>
      <c r="G164" s="490"/>
      <c r="H164" s="518"/>
      <c r="I164" s="492"/>
      <c r="J164" s="519"/>
      <c r="K164" s="494"/>
      <c r="L164" s="510"/>
      <c r="M164" s="496"/>
      <c r="N164" s="511"/>
      <c r="O164" s="498"/>
      <c r="P164" s="512"/>
      <c r="Q164" s="500"/>
      <c r="R164" s="513"/>
      <c r="S164" s="502"/>
      <c r="T164" s="514"/>
      <c r="U164" s="504"/>
      <c r="V164" s="516"/>
      <c r="W164" s="506"/>
      <c r="X164" s="515"/>
      <c r="Y164" s="507"/>
      <c r="Z164" s="508"/>
      <c r="AA164" s="509"/>
    </row>
    <row r="165" spans="1:27" hidden="1" x14ac:dyDescent="0.25">
      <c r="A165" s="486"/>
      <c r="B165" s="102" t="str">
        <f>IF(A165&lt;&gt;"",INDEX('Base de données'!A$4:L$990,MATCH(A165,'Base de données'!A$4:A$990,0),2),"")</f>
        <v/>
      </c>
      <c r="C165" s="112" t="str">
        <f>IF(A165&lt;&gt;"",INDEX('Base de données'!A$4:L$990,MATCH(A165,'Base de données'!A$4:A$990,0),12),"")</f>
        <v/>
      </c>
      <c r="D165" s="520"/>
      <c r="E165" s="488"/>
      <c r="F165" s="517"/>
      <c r="G165" s="490"/>
      <c r="H165" s="518"/>
      <c r="I165" s="492"/>
      <c r="J165" s="519"/>
      <c r="K165" s="494"/>
      <c r="L165" s="510"/>
      <c r="M165" s="496"/>
      <c r="N165" s="511"/>
      <c r="O165" s="498"/>
      <c r="P165" s="512"/>
      <c r="Q165" s="500"/>
      <c r="R165" s="513"/>
      <c r="S165" s="502"/>
      <c r="T165" s="514"/>
      <c r="U165" s="504"/>
      <c r="V165" s="516"/>
      <c r="W165" s="506"/>
      <c r="X165" s="515"/>
      <c r="Y165" s="507"/>
      <c r="Z165" s="508"/>
      <c r="AA165" s="509"/>
    </row>
    <row r="166" spans="1:27" hidden="1" x14ac:dyDescent="0.25">
      <c r="A166" s="486"/>
      <c r="B166" s="102" t="str">
        <f>IF(A166&lt;&gt;"",INDEX('Base de données'!A$4:L$990,MATCH(A166,'Base de données'!A$4:A$990,0),2),"")</f>
        <v/>
      </c>
      <c r="C166" s="112" t="str">
        <f>IF(A166&lt;&gt;"",INDEX('Base de données'!A$4:L$990,MATCH(A166,'Base de données'!A$4:A$990,0),12),"")</f>
        <v/>
      </c>
      <c r="D166" s="520"/>
      <c r="E166" s="488"/>
      <c r="F166" s="517"/>
      <c r="G166" s="490"/>
      <c r="H166" s="518"/>
      <c r="I166" s="492"/>
      <c r="J166" s="519"/>
      <c r="K166" s="494"/>
      <c r="L166" s="510"/>
      <c r="M166" s="496"/>
      <c r="N166" s="511"/>
      <c r="O166" s="498"/>
      <c r="P166" s="512"/>
      <c r="Q166" s="500"/>
      <c r="R166" s="513"/>
      <c r="S166" s="502"/>
      <c r="T166" s="514"/>
      <c r="U166" s="504"/>
      <c r="V166" s="516"/>
      <c r="W166" s="506"/>
      <c r="X166" s="515"/>
      <c r="Y166" s="507"/>
      <c r="Z166" s="508"/>
      <c r="AA166" s="509"/>
    </row>
    <row r="167" spans="1:27" hidden="1" x14ac:dyDescent="0.25">
      <c r="A167" s="486"/>
      <c r="B167" s="102" t="str">
        <f>IF(A167&lt;&gt;"",INDEX('Base de données'!A$4:L$990,MATCH(A167,'Base de données'!A$4:A$990,0),2),"")</f>
        <v/>
      </c>
      <c r="C167" s="112" t="str">
        <f>IF(A167&lt;&gt;"",INDEX('Base de données'!A$4:L$990,MATCH(A167,'Base de données'!A$4:A$990,0),12),"")</f>
        <v/>
      </c>
      <c r="D167" s="520"/>
      <c r="E167" s="488"/>
      <c r="F167" s="517"/>
      <c r="G167" s="490"/>
      <c r="H167" s="518"/>
      <c r="I167" s="492"/>
      <c r="J167" s="519"/>
      <c r="K167" s="494"/>
      <c r="L167" s="510"/>
      <c r="M167" s="496"/>
      <c r="N167" s="511"/>
      <c r="O167" s="498"/>
      <c r="P167" s="512"/>
      <c r="Q167" s="500"/>
      <c r="R167" s="513"/>
      <c r="S167" s="502"/>
      <c r="T167" s="514"/>
      <c r="U167" s="504"/>
      <c r="V167" s="516"/>
      <c r="W167" s="506"/>
      <c r="X167" s="515"/>
      <c r="Y167" s="507"/>
      <c r="Z167" s="508"/>
      <c r="AA167" s="509"/>
    </row>
    <row r="168" spans="1:27" hidden="1" x14ac:dyDescent="0.25">
      <c r="A168" s="486"/>
      <c r="B168" s="102" t="str">
        <f>IF(A168&lt;&gt;"",INDEX('Base de données'!A$4:L$990,MATCH(A168,'Base de données'!A$4:A$990,0),2),"")</f>
        <v/>
      </c>
      <c r="C168" s="112" t="str">
        <f>IF(A168&lt;&gt;"",INDEX('Base de données'!A$4:L$990,MATCH(A168,'Base de données'!A$4:A$990,0),12),"")</f>
        <v/>
      </c>
      <c r="D168" s="520"/>
      <c r="E168" s="488"/>
      <c r="F168" s="517"/>
      <c r="G168" s="490"/>
      <c r="H168" s="518"/>
      <c r="I168" s="492"/>
      <c r="J168" s="519"/>
      <c r="K168" s="494"/>
      <c r="L168" s="510"/>
      <c r="M168" s="496"/>
      <c r="N168" s="511"/>
      <c r="O168" s="498"/>
      <c r="P168" s="512"/>
      <c r="Q168" s="500"/>
      <c r="R168" s="513"/>
      <c r="S168" s="502"/>
      <c r="T168" s="514"/>
      <c r="U168" s="504"/>
      <c r="V168" s="516"/>
      <c r="W168" s="506"/>
      <c r="X168" s="515"/>
      <c r="Y168" s="507"/>
      <c r="Z168" s="508"/>
      <c r="AA168" s="509"/>
    </row>
    <row r="169" spans="1:27" hidden="1" x14ac:dyDescent="0.25">
      <c r="A169" s="486"/>
      <c r="B169" s="102" t="str">
        <f>IF(A169&lt;&gt;"",INDEX('Base de données'!A$4:L$990,MATCH(A169,'Base de données'!A$4:A$990,0),2),"")</f>
        <v/>
      </c>
      <c r="C169" s="112" t="str">
        <f>IF(A169&lt;&gt;"",INDEX('Base de données'!A$4:L$990,MATCH(A169,'Base de données'!A$4:A$990,0),12),"")</f>
        <v/>
      </c>
      <c r="D169" s="520"/>
      <c r="E169" s="488"/>
      <c r="F169" s="517"/>
      <c r="G169" s="490"/>
      <c r="H169" s="518"/>
      <c r="I169" s="492"/>
      <c r="J169" s="519"/>
      <c r="K169" s="494"/>
      <c r="L169" s="510"/>
      <c r="M169" s="496"/>
      <c r="N169" s="511"/>
      <c r="O169" s="498"/>
      <c r="P169" s="512"/>
      <c r="Q169" s="500"/>
      <c r="R169" s="513"/>
      <c r="S169" s="502"/>
      <c r="T169" s="514"/>
      <c r="U169" s="504"/>
      <c r="V169" s="516"/>
      <c r="W169" s="506"/>
      <c r="X169" s="515"/>
      <c r="Y169" s="507"/>
      <c r="Z169" s="508"/>
      <c r="AA169" s="509"/>
    </row>
    <row r="170" spans="1:27" hidden="1" x14ac:dyDescent="0.25">
      <c r="A170" s="486"/>
      <c r="B170" s="102" t="str">
        <f>IF(A170&lt;&gt;"",INDEX('Base de données'!A$4:L$990,MATCH(A170,'Base de données'!A$4:A$990,0),2),"")</f>
        <v/>
      </c>
      <c r="C170" s="112" t="str">
        <f>IF(A170&lt;&gt;"",INDEX('Base de données'!A$4:L$990,MATCH(A170,'Base de données'!A$4:A$990,0),12),"")</f>
        <v/>
      </c>
      <c r="D170" s="520"/>
      <c r="E170" s="488"/>
      <c r="F170" s="517"/>
      <c r="G170" s="490"/>
      <c r="H170" s="518"/>
      <c r="I170" s="492"/>
      <c r="J170" s="519"/>
      <c r="K170" s="494"/>
      <c r="L170" s="510"/>
      <c r="M170" s="496"/>
      <c r="N170" s="511"/>
      <c r="O170" s="498"/>
      <c r="P170" s="512"/>
      <c r="Q170" s="500"/>
      <c r="R170" s="513"/>
      <c r="S170" s="502"/>
      <c r="T170" s="514"/>
      <c r="U170" s="504"/>
      <c r="V170" s="516"/>
      <c r="W170" s="506"/>
      <c r="X170" s="515"/>
      <c r="Y170" s="507"/>
      <c r="Z170" s="508"/>
      <c r="AA170" s="509"/>
    </row>
    <row r="171" spans="1:27" hidden="1" x14ac:dyDescent="0.25">
      <c r="A171" s="486"/>
      <c r="B171" s="102" t="str">
        <f>IF(A171&lt;&gt;"",INDEX('Base de données'!A$4:L$990,MATCH(A171,'Base de données'!A$4:A$990,0),2),"")</f>
        <v/>
      </c>
      <c r="C171" s="112" t="str">
        <f>IF(A171&lt;&gt;"",INDEX('Base de données'!A$4:L$990,MATCH(A171,'Base de données'!A$4:A$990,0),12),"")</f>
        <v/>
      </c>
      <c r="D171" s="520"/>
      <c r="E171" s="488"/>
      <c r="F171" s="517"/>
      <c r="G171" s="490"/>
      <c r="H171" s="518"/>
      <c r="I171" s="492"/>
      <c r="J171" s="519"/>
      <c r="K171" s="494"/>
      <c r="L171" s="510"/>
      <c r="M171" s="496"/>
      <c r="N171" s="511"/>
      <c r="O171" s="498"/>
      <c r="P171" s="512"/>
      <c r="Q171" s="500"/>
      <c r="R171" s="513"/>
      <c r="S171" s="502"/>
      <c r="T171" s="514"/>
      <c r="U171" s="504"/>
      <c r="V171" s="516"/>
      <c r="W171" s="506"/>
      <c r="X171" s="515"/>
      <c r="Y171" s="507"/>
      <c r="Z171" s="508"/>
      <c r="AA171" s="509"/>
    </row>
    <row r="172" spans="1:27" hidden="1" x14ac:dyDescent="0.25">
      <c r="A172" s="486"/>
      <c r="B172" s="102" t="str">
        <f>IF(A172&lt;&gt;"",INDEX('Base de données'!A$4:L$990,MATCH(A172,'Base de données'!A$4:A$990,0),2),"")</f>
        <v/>
      </c>
      <c r="C172" s="112" t="str">
        <f>IF(A172&lt;&gt;"",INDEX('Base de données'!A$4:L$990,MATCH(A172,'Base de données'!A$4:A$990,0),12),"")</f>
        <v/>
      </c>
      <c r="D172" s="520"/>
      <c r="E172" s="488"/>
      <c r="F172" s="517"/>
      <c r="G172" s="490"/>
      <c r="H172" s="518"/>
      <c r="I172" s="492"/>
      <c r="J172" s="519"/>
      <c r="K172" s="494"/>
      <c r="L172" s="510"/>
      <c r="M172" s="496"/>
      <c r="N172" s="511"/>
      <c r="O172" s="498"/>
      <c r="P172" s="512"/>
      <c r="Q172" s="500"/>
      <c r="R172" s="513"/>
      <c r="S172" s="502"/>
      <c r="T172" s="514"/>
      <c r="U172" s="504"/>
      <c r="V172" s="516"/>
      <c r="W172" s="506"/>
      <c r="X172" s="515"/>
      <c r="Y172" s="507"/>
      <c r="Z172" s="508"/>
      <c r="AA172" s="509"/>
    </row>
    <row r="173" spans="1:27" hidden="1" x14ac:dyDescent="0.25">
      <c r="A173" s="486"/>
      <c r="B173" s="102" t="str">
        <f>IF(A173&lt;&gt;"",INDEX('Base de données'!A$4:L$990,MATCH(A173,'Base de données'!A$4:A$990,0),2),"")</f>
        <v/>
      </c>
      <c r="C173" s="112" t="str">
        <f>IF(A173&lt;&gt;"",INDEX('Base de données'!A$4:L$990,MATCH(A173,'Base de données'!A$4:A$990,0),12),"")</f>
        <v/>
      </c>
      <c r="D173" s="520"/>
      <c r="E173" s="488"/>
      <c r="F173" s="517"/>
      <c r="G173" s="490"/>
      <c r="H173" s="518"/>
      <c r="I173" s="492"/>
      <c r="J173" s="519"/>
      <c r="K173" s="494"/>
      <c r="L173" s="510"/>
      <c r="M173" s="496"/>
      <c r="N173" s="511"/>
      <c r="O173" s="498"/>
      <c r="P173" s="512"/>
      <c r="Q173" s="500"/>
      <c r="R173" s="513"/>
      <c r="S173" s="502"/>
      <c r="T173" s="514"/>
      <c r="U173" s="504"/>
      <c r="V173" s="516"/>
      <c r="W173" s="506"/>
      <c r="X173" s="515"/>
      <c r="Y173" s="507"/>
      <c r="Z173" s="508"/>
      <c r="AA173" s="509"/>
    </row>
    <row r="174" spans="1:27" hidden="1" x14ac:dyDescent="0.25">
      <c r="A174" s="486"/>
      <c r="B174" s="102" t="str">
        <f>IF(A174&lt;&gt;"",INDEX('Base de données'!A$4:L$990,MATCH(A174,'Base de données'!A$4:A$990,0),2),"")</f>
        <v/>
      </c>
      <c r="C174" s="112" t="str">
        <f>IF(A174&lt;&gt;"",INDEX('Base de données'!A$4:L$990,MATCH(A174,'Base de données'!A$4:A$990,0),12),"")</f>
        <v/>
      </c>
      <c r="D174" s="520"/>
      <c r="E174" s="488"/>
      <c r="F174" s="517"/>
      <c r="G174" s="490"/>
      <c r="H174" s="518"/>
      <c r="I174" s="492"/>
      <c r="J174" s="519"/>
      <c r="K174" s="494"/>
      <c r="L174" s="510"/>
      <c r="M174" s="496"/>
      <c r="N174" s="511"/>
      <c r="O174" s="498"/>
      <c r="P174" s="512"/>
      <c r="Q174" s="500"/>
      <c r="R174" s="513"/>
      <c r="S174" s="502"/>
      <c r="T174" s="514"/>
      <c r="U174" s="504"/>
      <c r="V174" s="516"/>
      <c r="W174" s="506"/>
      <c r="X174" s="515"/>
      <c r="Y174" s="507"/>
      <c r="Z174" s="508"/>
      <c r="AA174" s="509"/>
    </row>
    <row r="175" spans="1:27" hidden="1" x14ac:dyDescent="0.25">
      <c r="A175" s="486"/>
      <c r="B175" s="102" t="str">
        <f>IF(A175&lt;&gt;"",INDEX('Base de données'!A$4:L$990,MATCH(A175,'Base de données'!A$4:A$990,0),2),"")</f>
        <v/>
      </c>
      <c r="C175" s="112" t="str">
        <f>IF(A175&lt;&gt;"",INDEX('Base de données'!A$4:L$990,MATCH(A175,'Base de données'!A$4:A$990,0),12),"")</f>
        <v/>
      </c>
      <c r="D175" s="520"/>
      <c r="E175" s="488"/>
      <c r="F175" s="517"/>
      <c r="G175" s="490"/>
      <c r="H175" s="518"/>
      <c r="I175" s="492"/>
      <c r="J175" s="519"/>
      <c r="K175" s="494"/>
      <c r="L175" s="510"/>
      <c r="M175" s="496"/>
      <c r="N175" s="511"/>
      <c r="O175" s="498"/>
      <c r="P175" s="512"/>
      <c r="Q175" s="500"/>
      <c r="R175" s="513"/>
      <c r="S175" s="502"/>
      <c r="T175" s="514"/>
      <c r="U175" s="504"/>
      <c r="V175" s="516"/>
      <c r="W175" s="506"/>
      <c r="X175" s="515"/>
      <c r="Y175" s="507"/>
      <c r="Z175" s="508"/>
      <c r="AA175" s="509"/>
    </row>
    <row r="176" spans="1:27" hidden="1" x14ac:dyDescent="0.25">
      <c r="A176" s="486"/>
      <c r="B176" s="102" t="str">
        <f>IF(A176&lt;&gt;"",INDEX('Base de données'!A$4:L$990,MATCH(A176,'Base de données'!A$4:A$990,0),2),"")</f>
        <v/>
      </c>
      <c r="C176" s="112" t="str">
        <f>IF(A176&lt;&gt;"",INDEX('Base de données'!A$4:L$990,MATCH(A176,'Base de données'!A$4:A$990,0),12),"")</f>
        <v/>
      </c>
      <c r="D176" s="520"/>
      <c r="E176" s="488"/>
      <c r="F176" s="517"/>
      <c r="G176" s="490"/>
      <c r="H176" s="518"/>
      <c r="I176" s="492"/>
      <c r="J176" s="519"/>
      <c r="K176" s="494"/>
      <c r="L176" s="510"/>
      <c r="M176" s="496"/>
      <c r="N176" s="511"/>
      <c r="O176" s="498"/>
      <c r="P176" s="512"/>
      <c r="Q176" s="500"/>
      <c r="R176" s="513"/>
      <c r="S176" s="502"/>
      <c r="T176" s="514"/>
      <c r="U176" s="504"/>
      <c r="V176" s="516"/>
      <c r="W176" s="506"/>
      <c r="X176" s="515"/>
      <c r="Y176" s="507"/>
      <c r="Z176" s="508"/>
      <c r="AA176" s="509"/>
    </row>
    <row r="177" spans="1:27" hidden="1" x14ac:dyDescent="0.25">
      <c r="A177" s="486"/>
      <c r="B177" s="102" t="str">
        <f>IF(A177&lt;&gt;"",INDEX('Base de données'!A$4:L$990,MATCH(A177,'Base de données'!A$4:A$990,0),2),"")</f>
        <v/>
      </c>
      <c r="C177" s="112" t="str">
        <f>IF(A177&lt;&gt;"",INDEX('Base de données'!A$4:L$990,MATCH(A177,'Base de données'!A$4:A$990,0),12),"")</f>
        <v/>
      </c>
      <c r="D177" s="520"/>
      <c r="E177" s="488"/>
      <c r="F177" s="517"/>
      <c r="G177" s="490"/>
      <c r="H177" s="518"/>
      <c r="I177" s="492"/>
      <c r="J177" s="519"/>
      <c r="K177" s="494"/>
      <c r="L177" s="510"/>
      <c r="M177" s="496"/>
      <c r="N177" s="511"/>
      <c r="O177" s="498"/>
      <c r="P177" s="512"/>
      <c r="Q177" s="500"/>
      <c r="R177" s="513"/>
      <c r="S177" s="502"/>
      <c r="T177" s="514"/>
      <c r="U177" s="504"/>
      <c r="V177" s="516"/>
      <c r="W177" s="506"/>
      <c r="X177" s="515"/>
      <c r="Y177" s="507"/>
      <c r="Z177" s="508"/>
      <c r="AA177" s="509"/>
    </row>
    <row r="178" spans="1:27" hidden="1" x14ac:dyDescent="0.25">
      <c r="A178" s="486"/>
      <c r="B178" s="102" t="str">
        <f>IF(A178&lt;&gt;"",INDEX('Base de données'!A$4:L$990,MATCH(A178,'Base de données'!A$4:A$990,0),2),"")</f>
        <v/>
      </c>
      <c r="C178" s="112" t="str">
        <f>IF(A178&lt;&gt;"",INDEX('Base de données'!A$4:L$990,MATCH(A178,'Base de données'!A$4:A$990,0),12),"")</f>
        <v/>
      </c>
      <c r="D178" s="520"/>
      <c r="E178" s="488"/>
      <c r="F178" s="517"/>
      <c r="G178" s="490"/>
      <c r="H178" s="518"/>
      <c r="I178" s="492"/>
      <c r="J178" s="519"/>
      <c r="K178" s="494"/>
      <c r="L178" s="510"/>
      <c r="M178" s="496"/>
      <c r="N178" s="511"/>
      <c r="O178" s="498"/>
      <c r="P178" s="512"/>
      <c r="Q178" s="500"/>
      <c r="R178" s="513"/>
      <c r="S178" s="502"/>
      <c r="T178" s="514"/>
      <c r="U178" s="504"/>
      <c r="V178" s="516"/>
      <c r="W178" s="506"/>
      <c r="X178" s="515"/>
      <c r="Y178" s="507"/>
      <c r="Z178" s="508"/>
      <c r="AA178" s="509"/>
    </row>
    <row r="179" spans="1:27" hidden="1" x14ac:dyDescent="0.25">
      <c r="A179" s="486"/>
      <c r="B179" s="102" t="str">
        <f>IF(A179&lt;&gt;"",INDEX('Base de données'!A$4:L$990,MATCH(A179,'Base de données'!A$4:A$990,0),2),"")</f>
        <v/>
      </c>
      <c r="C179" s="112" t="str">
        <f>IF(A179&lt;&gt;"",INDEX('Base de données'!A$4:L$990,MATCH(A179,'Base de données'!A$4:A$990,0),12),"")</f>
        <v/>
      </c>
      <c r="D179" s="520"/>
      <c r="E179" s="488"/>
      <c r="F179" s="517"/>
      <c r="G179" s="490"/>
      <c r="H179" s="518"/>
      <c r="I179" s="492"/>
      <c r="J179" s="519"/>
      <c r="K179" s="494"/>
      <c r="L179" s="510"/>
      <c r="M179" s="496"/>
      <c r="N179" s="511"/>
      <c r="O179" s="498"/>
      <c r="P179" s="512"/>
      <c r="Q179" s="500"/>
      <c r="R179" s="513"/>
      <c r="S179" s="502"/>
      <c r="T179" s="514"/>
      <c r="U179" s="504"/>
      <c r="V179" s="516"/>
      <c r="W179" s="506"/>
      <c r="X179" s="515"/>
      <c r="Y179" s="507"/>
      <c r="Z179" s="508"/>
      <c r="AA179" s="509"/>
    </row>
    <row r="180" spans="1:27" hidden="1" x14ac:dyDescent="0.25">
      <c r="A180" s="486"/>
      <c r="B180" s="102" t="str">
        <f>IF(A180&lt;&gt;"",INDEX('Base de données'!A$4:L$990,MATCH(A180,'Base de données'!A$4:A$990,0),2),"")</f>
        <v/>
      </c>
      <c r="C180" s="112" t="str">
        <f>IF(A180&lt;&gt;"",INDEX('Base de données'!A$4:L$990,MATCH(A180,'Base de données'!A$4:A$990,0),12),"")</f>
        <v/>
      </c>
      <c r="D180" s="520"/>
      <c r="E180" s="488"/>
      <c r="F180" s="517"/>
      <c r="G180" s="490"/>
      <c r="H180" s="518"/>
      <c r="I180" s="492"/>
      <c r="J180" s="519"/>
      <c r="K180" s="494"/>
      <c r="L180" s="510"/>
      <c r="M180" s="496"/>
      <c r="N180" s="511"/>
      <c r="O180" s="498"/>
      <c r="P180" s="512"/>
      <c r="Q180" s="500"/>
      <c r="R180" s="513"/>
      <c r="S180" s="502"/>
      <c r="T180" s="514"/>
      <c r="U180" s="504"/>
      <c r="V180" s="516"/>
      <c r="W180" s="506"/>
      <c r="X180" s="515"/>
      <c r="Y180" s="507"/>
      <c r="Z180" s="508"/>
      <c r="AA180" s="509"/>
    </row>
    <row r="181" spans="1:27" hidden="1" x14ac:dyDescent="0.25">
      <c r="A181" s="486"/>
      <c r="B181" s="102" t="str">
        <f>IF(A181&lt;&gt;"",INDEX('Base de données'!A$4:L$990,MATCH(A181,'Base de données'!A$4:A$990,0),2),"")</f>
        <v/>
      </c>
      <c r="C181" s="112" t="str">
        <f>IF(A181&lt;&gt;"",INDEX('Base de données'!A$4:L$990,MATCH(A181,'Base de données'!A$4:A$990,0),12),"")</f>
        <v/>
      </c>
      <c r="D181" s="520"/>
      <c r="E181" s="488"/>
      <c r="F181" s="517"/>
      <c r="G181" s="490"/>
      <c r="H181" s="518"/>
      <c r="I181" s="492"/>
      <c r="J181" s="519"/>
      <c r="K181" s="494"/>
      <c r="L181" s="510"/>
      <c r="M181" s="496"/>
      <c r="N181" s="511"/>
      <c r="O181" s="498"/>
      <c r="P181" s="512"/>
      <c r="Q181" s="500"/>
      <c r="R181" s="513"/>
      <c r="S181" s="502"/>
      <c r="T181" s="514"/>
      <c r="U181" s="504"/>
      <c r="V181" s="516"/>
      <c r="W181" s="506"/>
      <c r="X181" s="515"/>
      <c r="Y181" s="507"/>
      <c r="Z181" s="508"/>
      <c r="AA181" s="509"/>
    </row>
    <row r="182" spans="1:27" hidden="1" x14ac:dyDescent="0.25">
      <c r="A182" s="486"/>
      <c r="B182" s="102" t="str">
        <f>IF(A182&lt;&gt;"",INDEX('Base de données'!A$4:L$990,MATCH(A182,'Base de données'!A$4:A$990,0),2),"")</f>
        <v/>
      </c>
      <c r="C182" s="112" t="str">
        <f>IF(A182&lt;&gt;"",INDEX('Base de données'!A$4:L$990,MATCH(A182,'Base de données'!A$4:A$990,0),12),"")</f>
        <v/>
      </c>
      <c r="D182" s="520"/>
      <c r="E182" s="488"/>
      <c r="F182" s="517"/>
      <c r="G182" s="490"/>
      <c r="H182" s="518"/>
      <c r="I182" s="492"/>
      <c r="J182" s="519"/>
      <c r="K182" s="494"/>
      <c r="L182" s="510"/>
      <c r="M182" s="496"/>
      <c r="N182" s="511"/>
      <c r="O182" s="498"/>
      <c r="P182" s="512"/>
      <c r="Q182" s="500"/>
      <c r="R182" s="513"/>
      <c r="S182" s="502"/>
      <c r="T182" s="514"/>
      <c r="U182" s="504"/>
      <c r="V182" s="516"/>
      <c r="W182" s="506"/>
      <c r="X182" s="515"/>
      <c r="Y182" s="507"/>
      <c r="Z182" s="508"/>
      <c r="AA182" s="509"/>
    </row>
    <row r="183" spans="1:27" hidden="1" x14ac:dyDescent="0.25">
      <c r="A183" s="486"/>
      <c r="B183" s="102" t="str">
        <f>IF(A183&lt;&gt;"",INDEX('Base de données'!A$4:L$990,MATCH(A183,'Base de données'!A$4:A$990,0),2),"")</f>
        <v/>
      </c>
      <c r="C183" s="112" t="str">
        <f>IF(A183&lt;&gt;"",INDEX('Base de données'!A$4:L$990,MATCH(A183,'Base de données'!A$4:A$990,0),12),"")</f>
        <v/>
      </c>
      <c r="D183" s="520"/>
      <c r="E183" s="488"/>
      <c r="F183" s="517"/>
      <c r="G183" s="490"/>
      <c r="H183" s="518"/>
      <c r="I183" s="492"/>
      <c r="J183" s="519"/>
      <c r="K183" s="494"/>
      <c r="L183" s="510"/>
      <c r="M183" s="496"/>
      <c r="N183" s="511"/>
      <c r="O183" s="498"/>
      <c r="P183" s="512"/>
      <c r="Q183" s="500"/>
      <c r="R183" s="513"/>
      <c r="S183" s="502"/>
      <c r="T183" s="514"/>
      <c r="U183" s="504"/>
      <c r="V183" s="516"/>
      <c r="W183" s="506"/>
      <c r="X183" s="515"/>
      <c r="Y183" s="507"/>
      <c r="Z183" s="508"/>
      <c r="AA183" s="509"/>
    </row>
    <row r="184" spans="1:27" hidden="1" x14ac:dyDescent="0.25">
      <c r="A184" s="486"/>
      <c r="B184" s="102" t="str">
        <f>IF(A184&lt;&gt;"",INDEX('Base de données'!A$4:L$990,MATCH(A184,'Base de données'!A$4:A$990,0),2),"")</f>
        <v/>
      </c>
      <c r="C184" s="112" t="str">
        <f>IF(A184&lt;&gt;"",INDEX('Base de données'!A$4:L$990,MATCH(A184,'Base de données'!A$4:A$990,0),12),"")</f>
        <v/>
      </c>
      <c r="D184" s="520"/>
      <c r="E184" s="488"/>
      <c r="F184" s="517"/>
      <c r="G184" s="490"/>
      <c r="H184" s="518"/>
      <c r="I184" s="492"/>
      <c r="J184" s="519"/>
      <c r="K184" s="494"/>
      <c r="L184" s="510"/>
      <c r="M184" s="496"/>
      <c r="N184" s="511"/>
      <c r="O184" s="498"/>
      <c r="P184" s="512"/>
      <c r="Q184" s="500"/>
      <c r="R184" s="513"/>
      <c r="S184" s="502"/>
      <c r="T184" s="514"/>
      <c r="U184" s="504"/>
      <c r="V184" s="516"/>
      <c r="W184" s="506"/>
      <c r="X184" s="515"/>
      <c r="Y184" s="507"/>
      <c r="Z184" s="508"/>
      <c r="AA184" s="509"/>
    </row>
    <row r="185" spans="1:27" hidden="1" x14ac:dyDescent="0.25">
      <c r="A185" s="486"/>
      <c r="B185" s="102" t="str">
        <f>IF(A185&lt;&gt;"",INDEX('Base de données'!A$4:L$990,MATCH(A185,'Base de données'!A$4:A$990,0),2),"")</f>
        <v/>
      </c>
      <c r="C185" s="112" t="str">
        <f>IF(A185&lt;&gt;"",INDEX('Base de données'!A$4:L$990,MATCH(A185,'Base de données'!A$4:A$990,0),12),"")</f>
        <v/>
      </c>
      <c r="D185" s="520"/>
      <c r="E185" s="488"/>
      <c r="F185" s="517"/>
      <c r="G185" s="490"/>
      <c r="H185" s="518"/>
      <c r="I185" s="492"/>
      <c r="J185" s="519"/>
      <c r="K185" s="494"/>
      <c r="L185" s="510"/>
      <c r="M185" s="496"/>
      <c r="N185" s="511"/>
      <c r="O185" s="498"/>
      <c r="P185" s="512"/>
      <c r="Q185" s="500"/>
      <c r="R185" s="513"/>
      <c r="S185" s="502"/>
      <c r="T185" s="514"/>
      <c r="U185" s="504"/>
      <c r="V185" s="516"/>
      <c r="W185" s="506"/>
      <c r="X185" s="515"/>
      <c r="Y185" s="507"/>
      <c r="Z185" s="508"/>
      <c r="AA185" s="509"/>
    </row>
    <row r="186" spans="1:27" hidden="1" x14ac:dyDescent="0.25">
      <c r="A186" s="486"/>
      <c r="B186" s="102" t="str">
        <f>IF(A186&lt;&gt;"",INDEX('Base de données'!A$4:L$990,MATCH(A186,'Base de données'!A$4:A$990,0),2),"")</f>
        <v/>
      </c>
      <c r="C186" s="112" t="str">
        <f>IF(A186&lt;&gt;"",INDEX('Base de données'!A$4:L$990,MATCH(A186,'Base de données'!A$4:A$990,0),12),"")</f>
        <v/>
      </c>
      <c r="D186" s="520"/>
      <c r="E186" s="488"/>
      <c r="F186" s="517"/>
      <c r="G186" s="490"/>
      <c r="H186" s="518"/>
      <c r="I186" s="492"/>
      <c r="J186" s="519"/>
      <c r="K186" s="494"/>
      <c r="L186" s="510"/>
      <c r="M186" s="496"/>
      <c r="N186" s="511"/>
      <c r="O186" s="498"/>
      <c r="P186" s="512"/>
      <c r="Q186" s="500"/>
      <c r="R186" s="513"/>
      <c r="S186" s="502"/>
      <c r="T186" s="514"/>
      <c r="U186" s="504"/>
      <c r="V186" s="516"/>
      <c r="W186" s="506"/>
      <c r="X186" s="515"/>
      <c r="Y186" s="507"/>
      <c r="Z186" s="508"/>
      <c r="AA186" s="509"/>
    </row>
    <row r="187" spans="1:27" hidden="1" x14ac:dyDescent="0.25">
      <c r="A187" s="486"/>
      <c r="B187" s="102" t="str">
        <f>IF(A187&lt;&gt;"",INDEX('Base de données'!A$4:L$990,MATCH(A187,'Base de données'!A$4:A$990,0),2),"")</f>
        <v/>
      </c>
      <c r="C187" s="112" t="str">
        <f>IF(A187&lt;&gt;"",INDEX('Base de données'!A$4:L$990,MATCH(A187,'Base de données'!A$4:A$990,0),12),"")</f>
        <v/>
      </c>
      <c r="D187" s="520"/>
      <c r="E187" s="488"/>
      <c r="F187" s="517"/>
      <c r="G187" s="490"/>
      <c r="H187" s="518"/>
      <c r="I187" s="492"/>
      <c r="J187" s="519"/>
      <c r="K187" s="494"/>
      <c r="L187" s="510"/>
      <c r="M187" s="496"/>
      <c r="N187" s="511"/>
      <c r="O187" s="498"/>
      <c r="P187" s="512"/>
      <c r="Q187" s="500"/>
      <c r="R187" s="513"/>
      <c r="S187" s="502"/>
      <c r="T187" s="514"/>
      <c r="U187" s="504"/>
      <c r="V187" s="516"/>
      <c r="W187" s="506"/>
      <c r="X187" s="515"/>
      <c r="Y187" s="507"/>
      <c r="Z187" s="508"/>
      <c r="AA187" s="509"/>
    </row>
    <row r="188" spans="1:27" hidden="1" x14ac:dyDescent="0.25">
      <c r="A188" s="486"/>
      <c r="B188" s="102" t="str">
        <f>IF(A188&lt;&gt;"",INDEX('Base de données'!A$4:L$990,MATCH(A188,'Base de données'!A$4:A$990,0),2),"")</f>
        <v/>
      </c>
      <c r="C188" s="112" t="str">
        <f>IF(A188&lt;&gt;"",INDEX('Base de données'!A$4:L$990,MATCH(A188,'Base de données'!A$4:A$990,0),12),"")</f>
        <v/>
      </c>
      <c r="D188" s="520"/>
      <c r="E188" s="488"/>
      <c r="F188" s="517"/>
      <c r="G188" s="490"/>
      <c r="H188" s="518"/>
      <c r="I188" s="492"/>
      <c r="J188" s="519"/>
      <c r="K188" s="494"/>
      <c r="L188" s="510"/>
      <c r="M188" s="496"/>
      <c r="N188" s="511"/>
      <c r="O188" s="498"/>
      <c r="P188" s="512"/>
      <c r="Q188" s="500"/>
      <c r="R188" s="513"/>
      <c r="S188" s="502"/>
      <c r="T188" s="514"/>
      <c r="U188" s="504"/>
      <c r="V188" s="516"/>
      <c r="W188" s="506"/>
      <c r="X188" s="515"/>
      <c r="Y188" s="507"/>
      <c r="Z188" s="508"/>
      <c r="AA188" s="509"/>
    </row>
    <row r="189" spans="1:27" hidden="1" x14ac:dyDescent="0.25">
      <c r="A189" s="486"/>
      <c r="B189" s="102" t="str">
        <f>IF(A189&lt;&gt;"",INDEX('Base de données'!A$4:L$990,MATCH(A189,'Base de données'!A$4:A$990,0),2),"")</f>
        <v/>
      </c>
      <c r="C189" s="112" t="str">
        <f>IF(A189&lt;&gt;"",INDEX('Base de données'!A$4:L$990,MATCH(A189,'Base de données'!A$4:A$990,0),12),"")</f>
        <v/>
      </c>
      <c r="D189" s="520"/>
      <c r="E189" s="488"/>
      <c r="F189" s="517"/>
      <c r="G189" s="490"/>
      <c r="H189" s="518"/>
      <c r="I189" s="492"/>
      <c r="J189" s="519"/>
      <c r="K189" s="494"/>
      <c r="L189" s="510"/>
      <c r="M189" s="496"/>
      <c r="N189" s="511"/>
      <c r="O189" s="498"/>
      <c r="P189" s="512"/>
      <c r="Q189" s="500"/>
      <c r="R189" s="513"/>
      <c r="S189" s="502"/>
      <c r="T189" s="514"/>
      <c r="U189" s="504"/>
      <c r="V189" s="516"/>
      <c r="W189" s="506"/>
      <c r="X189" s="515"/>
      <c r="Y189" s="507"/>
      <c r="Z189" s="508"/>
      <c r="AA189" s="509"/>
    </row>
    <row r="190" spans="1:27" hidden="1" x14ac:dyDescent="0.25">
      <c r="A190" s="486"/>
      <c r="B190" s="102" t="str">
        <f>IF(A190&lt;&gt;"",INDEX('Base de données'!A$4:L$990,MATCH(A190,'Base de données'!A$4:A$990,0),2),"")</f>
        <v/>
      </c>
      <c r="C190" s="112" t="str">
        <f>IF(A190&lt;&gt;"",INDEX('Base de données'!A$4:L$990,MATCH(A190,'Base de données'!A$4:A$990,0),12),"")</f>
        <v/>
      </c>
      <c r="D190" s="520"/>
      <c r="E190" s="488"/>
      <c r="F190" s="517"/>
      <c r="G190" s="490"/>
      <c r="H190" s="518"/>
      <c r="I190" s="492"/>
      <c r="J190" s="519"/>
      <c r="K190" s="494"/>
      <c r="L190" s="510"/>
      <c r="M190" s="496"/>
      <c r="N190" s="511"/>
      <c r="O190" s="498"/>
      <c r="P190" s="512"/>
      <c r="Q190" s="500"/>
      <c r="R190" s="513"/>
      <c r="S190" s="502"/>
      <c r="T190" s="514"/>
      <c r="U190" s="504"/>
      <c r="V190" s="516"/>
      <c r="W190" s="506"/>
      <c r="X190" s="515"/>
      <c r="Y190" s="507"/>
      <c r="Z190" s="508"/>
      <c r="AA190" s="509"/>
    </row>
    <row r="191" spans="1:27" hidden="1" x14ac:dyDescent="0.25">
      <c r="A191" s="486"/>
      <c r="B191" s="102" t="str">
        <f>IF(A191&lt;&gt;"",INDEX('Base de données'!A$4:L$990,MATCH(A191,'Base de données'!A$4:A$990,0),2),"")</f>
        <v/>
      </c>
      <c r="C191" s="112" t="str">
        <f>IF(A191&lt;&gt;"",INDEX('Base de données'!A$4:L$990,MATCH(A191,'Base de données'!A$4:A$990,0),12),"")</f>
        <v/>
      </c>
      <c r="D191" s="520"/>
      <c r="E191" s="488"/>
      <c r="F191" s="517"/>
      <c r="G191" s="490"/>
      <c r="H191" s="518"/>
      <c r="I191" s="492"/>
      <c r="J191" s="519"/>
      <c r="K191" s="494"/>
      <c r="L191" s="510"/>
      <c r="M191" s="496"/>
      <c r="N191" s="511"/>
      <c r="O191" s="498"/>
      <c r="P191" s="512"/>
      <c r="Q191" s="500"/>
      <c r="R191" s="513"/>
      <c r="S191" s="502"/>
      <c r="T191" s="514"/>
      <c r="U191" s="504"/>
      <c r="V191" s="516"/>
      <c r="W191" s="506"/>
      <c r="X191" s="515"/>
      <c r="Y191" s="507"/>
      <c r="Z191" s="508"/>
      <c r="AA191" s="509"/>
    </row>
    <row r="192" spans="1:27" hidden="1" x14ac:dyDescent="0.25">
      <c r="A192" s="486"/>
      <c r="B192" s="102" t="str">
        <f>IF(A192&lt;&gt;"",INDEX('Base de données'!A$4:L$990,MATCH(A192,'Base de données'!A$4:A$990,0),2),"")</f>
        <v/>
      </c>
      <c r="C192" s="112" t="str">
        <f>IF(A192&lt;&gt;"",INDEX('Base de données'!A$4:L$990,MATCH(A192,'Base de données'!A$4:A$990,0),12),"")</f>
        <v/>
      </c>
      <c r="D192" s="520"/>
      <c r="E192" s="488"/>
      <c r="F192" s="517"/>
      <c r="G192" s="490"/>
      <c r="H192" s="518"/>
      <c r="I192" s="492"/>
      <c r="J192" s="519"/>
      <c r="K192" s="494"/>
      <c r="L192" s="510"/>
      <c r="M192" s="496"/>
      <c r="N192" s="511"/>
      <c r="O192" s="498"/>
      <c r="P192" s="512"/>
      <c r="Q192" s="500"/>
      <c r="R192" s="513"/>
      <c r="S192" s="502"/>
      <c r="T192" s="514"/>
      <c r="U192" s="504"/>
      <c r="V192" s="516"/>
      <c r="W192" s="506"/>
      <c r="X192" s="515"/>
      <c r="Y192" s="507"/>
      <c r="Z192" s="508"/>
      <c r="AA192" s="509"/>
    </row>
    <row r="193" spans="1:27" hidden="1" x14ac:dyDescent="0.25">
      <c r="A193" s="486"/>
      <c r="B193" s="102" t="str">
        <f>IF(A193&lt;&gt;"",INDEX('Base de données'!A$4:L$990,MATCH(A193,'Base de données'!A$4:A$990,0),2),"")</f>
        <v/>
      </c>
      <c r="C193" s="112" t="str">
        <f>IF(A193&lt;&gt;"",INDEX('Base de données'!A$4:L$990,MATCH(A193,'Base de données'!A$4:A$990,0),12),"")</f>
        <v/>
      </c>
      <c r="D193" s="520"/>
      <c r="E193" s="488"/>
      <c r="F193" s="517"/>
      <c r="G193" s="490"/>
      <c r="H193" s="518"/>
      <c r="I193" s="492"/>
      <c r="J193" s="519"/>
      <c r="K193" s="494"/>
      <c r="L193" s="510"/>
      <c r="M193" s="496"/>
      <c r="N193" s="511"/>
      <c r="O193" s="498"/>
      <c r="P193" s="512"/>
      <c r="Q193" s="500"/>
      <c r="R193" s="513"/>
      <c r="S193" s="502"/>
      <c r="T193" s="514"/>
      <c r="U193" s="504"/>
      <c r="V193" s="516"/>
      <c r="W193" s="506"/>
      <c r="X193" s="515"/>
      <c r="Y193" s="507"/>
      <c r="Z193" s="508"/>
      <c r="AA193" s="509"/>
    </row>
    <row r="194" spans="1:27" hidden="1" x14ac:dyDescent="0.25">
      <c r="A194" s="486"/>
      <c r="B194" s="102" t="str">
        <f>IF(A194&lt;&gt;"",INDEX('Base de données'!A$4:L$990,MATCH(A194,'Base de données'!A$4:A$990,0),2),"")</f>
        <v/>
      </c>
      <c r="C194" s="112" t="str">
        <f>IF(A194&lt;&gt;"",INDEX('Base de données'!A$4:L$990,MATCH(A194,'Base de données'!A$4:A$990,0),12),"")</f>
        <v/>
      </c>
      <c r="D194" s="520"/>
      <c r="E194" s="488"/>
      <c r="F194" s="517"/>
      <c r="G194" s="490"/>
      <c r="H194" s="518"/>
      <c r="I194" s="492"/>
      <c r="J194" s="519"/>
      <c r="K194" s="494"/>
      <c r="L194" s="510"/>
      <c r="M194" s="496"/>
      <c r="N194" s="511"/>
      <c r="O194" s="498"/>
      <c r="P194" s="512"/>
      <c r="Q194" s="500"/>
      <c r="R194" s="513"/>
      <c r="S194" s="502"/>
      <c r="T194" s="514"/>
      <c r="U194" s="504"/>
      <c r="V194" s="516"/>
      <c r="W194" s="506"/>
      <c r="X194" s="515"/>
      <c r="Y194" s="507"/>
      <c r="Z194" s="508"/>
      <c r="AA194" s="509"/>
    </row>
    <row r="195" spans="1:27" hidden="1" x14ac:dyDescent="0.25">
      <c r="A195" s="486"/>
      <c r="B195" s="102" t="str">
        <f>IF(A195&lt;&gt;"",INDEX('Base de données'!A$4:L$990,MATCH(A195,'Base de données'!A$4:A$990,0),2),"")</f>
        <v/>
      </c>
      <c r="C195" s="112" t="str">
        <f>IF(A195&lt;&gt;"",INDEX('Base de données'!A$4:L$990,MATCH(A195,'Base de données'!A$4:A$990,0),12),"")</f>
        <v/>
      </c>
      <c r="D195" s="520"/>
      <c r="E195" s="488"/>
      <c r="F195" s="517"/>
      <c r="G195" s="490"/>
      <c r="H195" s="518"/>
      <c r="I195" s="492"/>
      <c r="J195" s="519"/>
      <c r="K195" s="494"/>
      <c r="L195" s="510"/>
      <c r="M195" s="496"/>
      <c r="N195" s="511"/>
      <c r="O195" s="498"/>
      <c r="P195" s="512"/>
      <c r="Q195" s="500"/>
      <c r="R195" s="513"/>
      <c r="S195" s="502"/>
      <c r="T195" s="514"/>
      <c r="U195" s="504"/>
      <c r="V195" s="516"/>
      <c r="W195" s="506"/>
      <c r="X195" s="515"/>
      <c r="Y195" s="507"/>
      <c r="Z195" s="508"/>
      <c r="AA195" s="509"/>
    </row>
    <row r="196" spans="1:27" hidden="1" x14ac:dyDescent="0.25">
      <c r="A196" s="486"/>
      <c r="B196" s="102" t="str">
        <f>IF(A196&lt;&gt;"",INDEX('Base de données'!A$4:L$990,MATCH(A196,'Base de données'!A$4:A$990,0),2),"")</f>
        <v/>
      </c>
      <c r="C196" s="112" t="str">
        <f>IF(A196&lt;&gt;"",INDEX('Base de données'!A$4:L$990,MATCH(A196,'Base de données'!A$4:A$990,0),12),"")</f>
        <v/>
      </c>
      <c r="D196" s="520"/>
      <c r="E196" s="488"/>
      <c r="F196" s="517"/>
      <c r="G196" s="490"/>
      <c r="H196" s="518"/>
      <c r="I196" s="492"/>
      <c r="J196" s="519"/>
      <c r="K196" s="494"/>
      <c r="L196" s="510"/>
      <c r="M196" s="496"/>
      <c r="N196" s="511"/>
      <c r="O196" s="498"/>
      <c r="P196" s="512"/>
      <c r="Q196" s="500"/>
      <c r="R196" s="513"/>
      <c r="S196" s="502"/>
      <c r="T196" s="514"/>
      <c r="U196" s="504"/>
      <c r="V196" s="516"/>
      <c r="W196" s="506"/>
      <c r="X196" s="515"/>
      <c r="Y196" s="507"/>
      <c r="Z196" s="508"/>
      <c r="AA196" s="509"/>
    </row>
    <row r="197" spans="1:27" hidden="1" x14ac:dyDescent="0.25">
      <c r="A197" s="486"/>
      <c r="B197" s="102" t="str">
        <f>IF(A197&lt;&gt;"",INDEX('Base de données'!A$4:L$990,MATCH(A197,'Base de données'!A$4:A$990,0),2),"")</f>
        <v/>
      </c>
      <c r="C197" s="112" t="str">
        <f>IF(A197&lt;&gt;"",INDEX('Base de données'!A$4:L$990,MATCH(A197,'Base de données'!A$4:A$990,0),12),"")</f>
        <v/>
      </c>
      <c r="D197" s="520"/>
      <c r="E197" s="488"/>
      <c r="F197" s="517"/>
      <c r="G197" s="490"/>
      <c r="H197" s="518"/>
      <c r="I197" s="492"/>
      <c r="J197" s="519"/>
      <c r="K197" s="494"/>
      <c r="L197" s="510"/>
      <c r="M197" s="496"/>
      <c r="N197" s="511"/>
      <c r="O197" s="498"/>
      <c r="P197" s="512"/>
      <c r="Q197" s="500"/>
      <c r="R197" s="513"/>
      <c r="S197" s="502"/>
      <c r="T197" s="514"/>
      <c r="U197" s="504"/>
      <c r="V197" s="516"/>
      <c r="W197" s="506"/>
      <c r="X197" s="515"/>
      <c r="Y197" s="507"/>
      <c r="Z197" s="508"/>
      <c r="AA197" s="509"/>
    </row>
    <row r="198" spans="1:27" hidden="1" x14ac:dyDescent="0.25">
      <c r="A198" s="486"/>
      <c r="B198" s="102" t="str">
        <f>IF(A198&lt;&gt;"",INDEX('Base de données'!A$4:L$990,MATCH(A198,'Base de données'!A$4:A$990,0),2),"")</f>
        <v/>
      </c>
      <c r="C198" s="112" t="str">
        <f>IF(A198&lt;&gt;"",INDEX('Base de données'!A$4:L$990,MATCH(A198,'Base de données'!A$4:A$990,0),12),"")</f>
        <v/>
      </c>
      <c r="D198" s="520"/>
      <c r="E198" s="488"/>
      <c r="F198" s="517"/>
      <c r="G198" s="490"/>
      <c r="H198" s="518"/>
      <c r="I198" s="492"/>
      <c r="J198" s="519"/>
      <c r="K198" s="494"/>
      <c r="L198" s="510"/>
      <c r="M198" s="496"/>
      <c r="N198" s="511"/>
      <c r="O198" s="498"/>
      <c r="P198" s="512"/>
      <c r="Q198" s="500"/>
      <c r="R198" s="513"/>
      <c r="S198" s="502"/>
      <c r="T198" s="514"/>
      <c r="U198" s="504"/>
      <c r="V198" s="516"/>
      <c r="W198" s="506"/>
      <c r="X198" s="515"/>
      <c r="Y198" s="507"/>
      <c r="Z198" s="508"/>
      <c r="AA198" s="509"/>
    </row>
    <row r="199" spans="1:27" hidden="1" x14ac:dyDescent="0.25">
      <c r="A199" s="486"/>
      <c r="B199" s="102" t="str">
        <f>IF(A199&lt;&gt;"",INDEX('Base de données'!A$4:L$990,MATCH(A199,'Base de données'!A$4:A$990,0),2),"")</f>
        <v/>
      </c>
      <c r="C199" s="112" t="str">
        <f>IF(A199&lt;&gt;"",INDEX('Base de données'!A$4:L$990,MATCH(A199,'Base de données'!A$4:A$990,0),12),"")</f>
        <v/>
      </c>
      <c r="D199" s="520"/>
      <c r="E199" s="488"/>
      <c r="F199" s="517"/>
      <c r="G199" s="490"/>
      <c r="H199" s="518"/>
      <c r="I199" s="492"/>
      <c r="J199" s="519"/>
      <c r="K199" s="494"/>
      <c r="L199" s="510"/>
      <c r="M199" s="496"/>
      <c r="N199" s="511"/>
      <c r="O199" s="498"/>
      <c r="P199" s="512"/>
      <c r="Q199" s="500"/>
      <c r="R199" s="513"/>
      <c r="S199" s="502"/>
      <c r="T199" s="514"/>
      <c r="U199" s="504"/>
      <c r="V199" s="516"/>
      <c r="W199" s="506"/>
      <c r="X199" s="515"/>
      <c r="Y199" s="507"/>
      <c r="Z199" s="508"/>
      <c r="AA199" s="509"/>
    </row>
    <row r="200" spans="1:27" hidden="1" x14ac:dyDescent="0.25">
      <c r="A200" s="486"/>
      <c r="B200" s="102" t="str">
        <f>IF(A200&lt;&gt;"",INDEX('Base de données'!A$4:L$990,MATCH(A200,'Base de données'!A$4:A$990,0),2),"")</f>
        <v/>
      </c>
      <c r="C200" s="112" t="str">
        <f>IF(A200&lt;&gt;"",INDEX('Base de données'!A$4:L$990,MATCH(A200,'Base de données'!A$4:A$990,0),12),"")</f>
        <v/>
      </c>
      <c r="D200" s="520"/>
      <c r="E200" s="488"/>
      <c r="F200" s="517"/>
      <c r="G200" s="490"/>
      <c r="H200" s="518"/>
      <c r="I200" s="492"/>
      <c r="J200" s="519"/>
      <c r="K200" s="494"/>
      <c r="L200" s="510"/>
      <c r="M200" s="496"/>
      <c r="N200" s="511"/>
      <c r="O200" s="498"/>
      <c r="P200" s="512"/>
      <c r="Q200" s="500"/>
      <c r="R200" s="513"/>
      <c r="S200" s="502"/>
      <c r="T200" s="514"/>
      <c r="U200" s="504"/>
      <c r="V200" s="516"/>
      <c r="W200" s="506"/>
      <c r="X200" s="515"/>
      <c r="Y200" s="507"/>
      <c r="Z200" s="508"/>
      <c r="AA200" s="509"/>
    </row>
    <row r="201" spans="1:27" hidden="1" x14ac:dyDescent="0.25">
      <c r="A201" s="486"/>
      <c r="B201" s="102" t="str">
        <f>IF(A201&lt;&gt;"",INDEX('Base de données'!A$4:L$990,MATCH(A201,'Base de données'!A$4:A$990,0),2),"")</f>
        <v/>
      </c>
      <c r="C201" s="112" t="str">
        <f>IF(A201&lt;&gt;"",INDEX('Base de données'!A$4:L$990,MATCH(A201,'Base de données'!A$4:A$990,0),12),"")</f>
        <v/>
      </c>
      <c r="D201" s="520"/>
      <c r="E201" s="488"/>
      <c r="F201" s="517"/>
      <c r="G201" s="490"/>
      <c r="H201" s="518"/>
      <c r="I201" s="492"/>
      <c r="J201" s="519"/>
      <c r="K201" s="494"/>
      <c r="L201" s="510"/>
      <c r="M201" s="496"/>
      <c r="N201" s="511"/>
      <c r="O201" s="498"/>
      <c r="P201" s="512"/>
      <c r="Q201" s="500"/>
      <c r="R201" s="513"/>
      <c r="S201" s="502"/>
      <c r="T201" s="514"/>
      <c r="U201" s="504"/>
      <c r="V201" s="516"/>
      <c r="W201" s="506"/>
      <c r="X201" s="515"/>
      <c r="Y201" s="507"/>
      <c r="Z201" s="508"/>
      <c r="AA201" s="509"/>
    </row>
    <row r="202" spans="1:27" hidden="1" x14ac:dyDescent="0.25">
      <c r="A202" s="486"/>
      <c r="B202" s="102" t="str">
        <f>IF(A202&lt;&gt;"",INDEX('Base de données'!A$4:L$990,MATCH(A202,'Base de données'!A$4:A$990,0),2),"")</f>
        <v/>
      </c>
      <c r="C202" s="112" t="str">
        <f>IF(A202&lt;&gt;"",INDEX('Base de données'!A$4:L$990,MATCH(A202,'Base de données'!A$4:A$990,0),12),"")</f>
        <v/>
      </c>
      <c r="D202" s="520"/>
      <c r="E202" s="488"/>
      <c r="F202" s="517"/>
      <c r="G202" s="490"/>
      <c r="H202" s="518"/>
      <c r="I202" s="492"/>
      <c r="J202" s="519"/>
      <c r="K202" s="494"/>
      <c r="L202" s="510"/>
      <c r="M202" s="496"/>
      <c r="N202" s="511"/>
      <c r="O202" s="498"/>
      <c r="P202" s="512"/>
      <c r="Q202" s="500"/>
      <c r="R202" s="513"/>
      <c r="S202" s="502"/>
      <c r="T202" s="514"/>
      <c r="U202" s="504"/>
      <c r="V202" s="516"/>
      <c r="W202" s="506"/>
      <c r="X202" s="515"/>
      <c r="Y202" s="507"/>
      <c r="Z202" s="508"/>
      <c r="AA202" s="509"/>
    </row>
    <row r="203" spans="1:27" hidden="1" x14ac:dyDescent="0.25">
      <c r="A203" s="486"/>
      <c r="B203" s="102" t="str">
        <f>IF(A203&lt;&gt;"",INDEX('Base de données'!A$4:L$990,MATCH(A203,'Base de données'!A$4:A$990,0),2),"")</f>
        <v/>
      </c>
      <c r="C203" s="112" t="str">
        <f>IF(A203&lt;&gt;"",INDEX('Base de données'!A$4:L$990,MATCH(A203,'Base de données'!A$4:A$990,0),12),"")</f>
        <v/>
      </c>
      <c r="D203" s="520"/>
      <c r="E203" s="488"/>
      <c r="F203" s="517"/>
      <c r="G203" s="490"/>
      <c r="H203" s="518"/>
      <c r="I203" s="492"/>
      <c r="J203" s="519"/>
      <c r="K203" s="494"/>
      <c r="L203" s="510"/>
      <c r="M203" s="496"/>
      <c r="N203" s="511"/>
      <c r="O203" s="498"/>
      <c r="P203" s="512"/>
      <c r="Q203" s="500"/>
      <c r="R203" s="513"/>
      <c r="S203" s="502"/>
      <c r="T203" s="514"/>
      <c r="U203" s="504"/>
      <c r="V203" s="516"/>
      <c r="W203" s="506"/>
      <c r="X203" s="515"/>
      <c r="Y203" s="507"/>
      <c r="Z203" s="508"/>
      <c r="AA203" s="509"/>
    </row>
    <row r="204" spans="1:27" hidden="1" x14ac:dyDescent="0.25">
      <c r="A204" s="486"/>
      <c r="B204" s="102" t="str">
        <f>IF(A204&lt;&gt;"",INDEX('Base de données'!A$4:L$990,MATCH(A204,'Base de données'!A$4:A$990,0),2),"")</f>
        <v/>
      </c>
      <c r="C204" s="112" t="str">
        <f>IF(A204&lt;&gt;"",INDEX('Base de données'!A$4:L$990,MATCH(A204,'Base de données'!A$4:A$990,0),12),"")</f>
        <v/>
      </c>
      <c r="D204" s="520"/>
      <c r="E204" s="488"/>
      <c r="F204" s="517"/>
      <c r="G204" s="490"/>
      <c r="H204" s="518"/>
      <c r="I204" s="492"/>
      <c r="J204" s="519"/>
      <c r="K204" s="494"/>
      <c r="L204" s="510"/>
      <c r="M204" s="496"/>
      <c r="N204" s="511"/>
      <c r="O204" s="498"/>
      <c r="P204" s="512"/>
      <c r="Q204" s="500"/>
      <c r="R204" s="513"/>
      <c r="S204" s="502"/>
      <c r="T204" s="514"/>
      <c r="U204" s="504"/>
      <c r="V204" s="516"/>
      <c r="W204" s="506"/>
      <c r="X204" s="515"/>
      <c r="Y204" s="507"/>
      <c r="Z204" s="508"/>
      <c r="AA204" s="509"/>
    </row>
    <row r="205" spans="1:27" hidden="1" x14ac:dyDescent="0.25">
      <c r="A205" s="486"/>
      <c r="B205" s="102" t="str">
        <f>IF(A205&lt;&gt;"",INDEX('Base de données'!A$4:L$990,MATCH(A205,'Base de données'!A$4:A$990,0),2),"")</f>
        <v/>
      </c>
      <c r="C205" s="112" t="str">
        <f>IF(A205&lt;&gt;"",INDEX('Base de données'!A$4:L$990,MATCH(A205,'Base de données'!A$4:A$990,0),12),"")</f>
        <v/>
      </c>
      <c r="D205" s="520"/>
      <c r="E205" s="488"/>
      <c r="F205" s="517"/>
      <c r="G205" s="490"/>
      <c r="H205" s="518"/>
      <c r="I205" s="492"/>
      <c r="J205" s="519"/>
      <c r="K205" s="494"/>
      <c r="L205" s="510"/>
      <c r="M205" s="496"/>
      <c r="N205" s="511"/>
      <c r="O205" s="498"/>
      <c r="P205" s="512"/>
      <c r="Q205" s="500"/>
      <c r="R205" s="513"/>
      <c r="S205" s="502"/>
      <c r="T205" s="514"/>
      <c r="U205" s="504"/>
      <c r="V205" s="516"/>
      <c r="W205" s="506"/>
      <c r="X205" s="515"/>
      <c r="Y205" s="507"/>
      <c r="Z205" s="508"/>
      <c r="AA205" s="509"/>
    </row>
    <row r="206" spans="1:27" hidden="1" x14ac:dyDescent="0.25">
      <c r="A206" s="486"/>
      <c r="B206" s="102" t="str">
        <f>IF(A206&lt;&gt;"",INDEX('Base de données'!A$4:L$990,MATCH(A206,'Base de données'!A$4:A$990,0),2),"")</f>
        <v/>
      </c>
      <c r="C206" s="112" t="str">
        <f>IF(A206&lt;&gt;"",INDEX('Base de données'!A$4:L$990,MATCH(A206,'Base de données'!A$4:A$990,0),12),"")</f>
        <v/>
      </c>
      <c r="D206" s="520"/>
      <c r="E206" s="488"/>
      <c r="F206" s="517"/>
      <c r="G206" s="490"/>
      <c r="H206" s="518"/>
      <c r="I206" s="492"/>
      <c r="J206" s="519"/>
      <c r="K206" s="494"/>
      <c r="L206" s="510"/>
      <c r="M206" s="496"/>
      <c r="N206" s="511"/>
      <c r="O206" s="498"/>
      <c r="P206" s="512"/>
      <c r="Q206" s="500"/>
      <c r="R206" s="513"/>
      <c r="S206" s="502"/>
      <c r="T206" s="514"/>
      <c r="U206" s="504"/>
      <c r="V206" s="516"/>
      <c r="W206" s="506"/>
      <c r="X206" s="515"/>
      <c r="Y206" s="507"/>
      <c r="Z206" s="508"/>
      <c r="AA206" s="509"/>
    </row>
    <row r="207" spans="1:27" hidden="1" x14ac:dyDescent="0.25">
      <c r="A207" s="486"/>
      <c r="B207" s="102" t="str">
        <f>IF(A207&lt;&gt;"",INDEX('Base de données'!A$4:L$990,MATCH(A207,'Base de données'!A$4:A$990,0),2),"")</f>
        <v/>
      </c>
      <c r="C207" s="112" t="str">
        <f>IF(A207&lt;&gt;"",INDEX('Base de données'!A$4:L$990,MATCH(A207,'Base de données'!A$4:A$990,0),12),"")</f>
        <v/>
      </c>
      <c r="D207" s="520"/>
      <c r="E207" s="488"/>
      <c r="F207" s="517"/>
      <c r="G207" s="490"/>
      <c r="H207" s="518"/>
      <c r="I207" s="492"/>
      <c r="J207" s="519"/>
      <c r="K207" s="494"/>
      <c r="L207" s="510"/>
      <c r="M207" s="496"/>
      <c r="N207" s="511"/>
      <c r="O207" s="498"/>
      <c r="P207" s="512"/>
      <c r="Q207" s="500"/>
      <c r="R207" s="513"/>
      <c r="S207" s="502"/>
      <c r="T207" s="514"/>
      <c r="U207" s="504"/>
      <c r="V207" s="516"/>
      <c r="W207" s="506"/>
      <c r="X207" s="515"/>
      <c r="Y207" s="507"/>
      <c r="Z207" s="508"/>
      <c r="AA207" s="509"/>
    </row>
    <row r="208" spans="1:27" hidden="1" x14ac:dyDescent="0.25">
      <c r="A208" s="486"/>
      <c r="B208" s="102" t="str">
        <f>IF(A208&lt;&gt;"",INDEX('Base de données'!A$4:L$990,MATCH(A208,'Base de données'!A$4:A$990,0),2),"")</f>
        <v/>
      </c>
      <c r="C208" s="112" t="str">
        <f>IF(A208&lt;&gt;"",INDEX('Base de données'!A$4:L$990,MATCH(A208,'Base de données'!A$4:A$990,0),12),"")</f>
        <v/>
      </c>
      <c r="D208" s="520"/>
      <c r="E208" s="488"/>
      <c r="F208" s="517"/>
      <c r="G208" s="490"/>
      <c r="H208" s="518"/>
      <c r="I208" s="492"/>
      <c r="J208" s="519"/>
      <c r="K208" s="494"/>
      <c r="L208" s="510"/>
      <c r="M208" s="496"/>
      <c r="N208" s="511"/>
      <c r="O208" s="498"/>
      <c r="P208" s="512"/>
      <c r="Q208" s="500"/>
      <c r="R208" s="513"/>
      <c r="S208" s="502"/>
      <c r="T208" s="514"/>
      <c r="U208" s="504"/>
      <c r="V208" s="516"/>
      <c r="W208" s="506"/>
      <c r="X208" s="515"/>
      <c r="Y208" s="507"/>
      <c r="Z208" s="508"/>
      <c r="AA208" s="509"/>
    </row>
    <row r="209" spans="1:27" hidden="1" x14ac:dyDescent="0.25">
      <c r="A209" s="486"/>
      <c r="B209" s="102" t="str">
        <f>IF(A209&lt;&gt;"",INDEX('Base de données'!A$4:L$990,MATCH(A209,'Base de données'!A$4:A$990,0),2),"")</f>
        <v/>
      </c>
      <c r="C209" s="112" t="str">
        <f>IF(A209&lt;&gt;"",INDEX('Base de données'!A$4:L$990,MATCH(A209,'Base de données'!A$4:A$990,0),12),"")</f>
        <v/>
      </c>
      <c r="D209" s="520"/>
      <c r="E209" s="488"/>
      <c r="F209" s="517"/>
      <c r="G209" s="490"/>
      <c r="H209" s="518"/>
      <c r="I209" s="492"/>
      <c r="J209" s="519"/>
      <c r="K209" s="494"/>
      <c r="L209" s="510"/>
      <c r="M209" s="496"/>
      <c r="N209" s="511"/>
      <c r="O209" s="498"/>
      <c r="P209" s="512"/>
      <c r="Q209" s="500"/>
      <c r="R209" s="513"/>
      <c r="S209" s="502"/>
      <c r="T209" s="514"/>
      <c r="U209" s="504"/>
      <c r="V209" s="516"/>
      <c r="W209" s="506"/>
      <c r="X209" s="515"/>
      <c r="Y209" s="507"/>
      <c r="Z209" s="508"/>
      <c r="AA209" s="509"/>
    </row>
    <row r="210" spans="1:27" hidden="1" x14ac:dyDescent="0.25">
      <c r="A210" s="486"/>
      <c r="B210" s="102" t="str">
        <f>IF(A210&lt;&gt;"",INDEX('Base de données'!A$4:L$990,MATCH(A210,'Base de données'!A$4:A$990,0),2),"")</f>
        <v/>
      </c>
      <c r="C210" s="112" t="str">
        <f>IF(A210&lt;&gt;"",INDEX('Base de données'!A$4:L$990,MATCH(A210,'Base de données'!A$4:A$990,0),12),"")</f>
        <v/>
      </c>
      <c r="D210" s="520"/>
      <c r="E210" s="488"/>
      <c r="F210" s="517"/>
      <c r="G210" s="490"/>
      <c r="H210" s="518"/>
      <c r="I210" s="492"/>
      <c r="J210" s="519"/>
      <c r="K210" s="494"/>
      <c r="L210" s="510"/>
      <c r="M210" s="496"/>
      <c r="N210" s="511"/>
      <c r="O210" s="498"/>
      <c r="P210" s="512"/>
      <c r="Q210" s="500"/>
      <c r="R210" s="513"/>
      <c r="S210" s="502"/>
      <c r="T210" s="514"/>
      <c r="U210" s="504"/>
      <c r="V210" s="516"/>
      <c r="W210" s="506"/>
      <c r="X210" s="515"/>
      <c r="Y210" s="507"/>
      <c r="Z210" s="508"/>
      <c r="AA210" s="509"/>
    </row>
    <row r="211" spans="1:27" hidden="1" x14ac:dyDescent="0.25">
      <c r="A211" s="486"/>
      <c r="B211" s="102" t="str">
        <f>IF(A211&lt;&gt;"",INDEX('Base de données'!A$4:L$990,MATCH(A211,'Base de données'!A$4:A$990,0),2),"")</f>
        <v/>
      </c>
      <c r="C211" s="112" t="str">
        <f>IF(A211&lt;&gt;"",INDEX('Base de données'!A$4:L$990,MATCH(A211,'Base de données'!A$4:A$990,0),12),"")</f>
        <v/>
      </c>
      <c r="D211" s="520"/>
      <c r="E211" s="488"/>
      <c r="F211" s="517"/>
      <c r="G211" s="490"/>
      <c r="H211" s="518"/>
      <c r="I211" s="492"/>
      <c r="J211" s="519"/>
      <c r="K211" s="494"/>
      <c r="L211" s="510"/>
      <c r="M211" s="496"/>
      <c r="N211" s="511"/>
      <c r="O211" s="498"/>
      <c r="P211" s="512"/>
      <c r="Q211" s="500"/>
      <c r="R211" s="513"/>
      <c r="S211" s="502"/>
      <c r="T211" s="514"/>
      <c r="U211" s="504"/>
      <c r="V211" s="516"/>
      <c r="W211" s="506"/>
      <c r="X211" s="515"/>
      <c r="Y211" s="507"/>
      <c r="Z211" s="508"/>
      <c r="AA211" s="509"/>
    </row>
    <row r="212" spans="1:27" hidden="1" x14ac:dyDescent="0.25">
      <c r="A212" s="486"/>
      <c r="B212" s="102" t="str">
        <f>IF(A212&lt;&gt;"",INDEX('Base de données'!A$4:L$990,MATCH(A212,'Base de données'!A$4:A$990,0),2),"")</f>
        <v/>
      </c>
      <c r="C212" s="112" t="str">
        <f>IF(A212&lt;&gt;"",INDEX('Base de données'!A$4:L$990,MATCH(A212,'Base de données'!A$4:A$990,0),12),"")</f>
        <v/>
      </c>
      <c r="D212" s="520"/>
      <c r="E212" s="488"/>
      <c r="F212" s="517"/>
      <c r="G212" s="490"/>
      <c r="H212" s="518"/>
      <c r="I212" s="492"/>
      <c r="J212" s="519"/>
      <c r="K212" s="494"/>
      <c r="L212" s="510"/>
      <c r="M212" s="496"/>
      <c r="N212" s="511"/>
      <c r="O212" s="498"/>
      <c r="P212" s="512"/>
      <c r="Q212" s="500"/>
      <c r="R212" s="513"/>
      <c r="S212" s="502"/>
      <c r="T212" s="514"/>
      <c r="U212" s="504"/>
      <c r="V212" s="516"/>
      <c r="W212" s="506"/>
      <c r="X212" s="515"/>
      <c r="Y212" s="507"/>
      <c r="Z212" s="508"/>
      <c r="AA212" s="509"/>
    </row>
    <row r="213" spans="1:27" hidden="1" x14ac:dyDescent="0.25">
      <c r="A213" s="486"/>
      <c r="B213" s="102" t="str">
        <f>IF(A213&lt;&gt;"",INDEX('Base de données'!A$4:L$990,MATCH(A213,'Base de données'!A$4:A$990,0),2),"")</f>
        <v/>
      </c>
      <c r="C213" s="112" t="str">
        <f>IF(A213&lt;&gt;"",INDEX('Base de données'!A$4:L$990,MATCH(A213,'Base de données'!A$4:A$990,0),12),"")</f>
        <v/>
      </c>
      <c r="D213" s="520"/>
      <c r="E213" s="488"/>
      <c r="F213" s="517"/>
      <c r="G213" s="490"/>
      <c r="H213" s="518"/>
      <c r="I213" s="492"/>
      <c r="J213" s="519"/>
      <c r="K213" s="494"/>
      <c r="L213" s="510"/>
      <c r="M213" s="496"/>
      <c r="N213" s="511"/>
      <c r="O213" s="498"/>
      <c r="P213" s="512"/>
      <c r="Q213" s="500"/>
      <c r="R213" s="513"/>
      <c r="S213" s="502"/>
      <c r="T213" s="514"/>
      <c r="U213" s="504"/>
      <c r="V213" s="516"/>
      <c r="W213" s="506"/>
      <c r="X213" s="515"/>
      <c r="Y213" s="507"/>
      <c r="Z213" s="508"/>
      <c r="AA213" s="509"/>
    </row>
    <row r="214" spans="1:27" hidden="1" x14ac:dyDescent="0.25">
      <c r="A214" s="486"/>
      <c r="B214" s="102" t="str">
        <f>IF(A214&lt;&gt;"",INDEX('Base de données'!A$4:L$990,MATCH(A214,'Base de données'!A$4:A$990,0),2),"")</f>
        <v/>
      </c>
      <c r="C214" s="112" t="str">
        <f>IF(A214&lt;&gt;"",INDEX('Base de données'!A$4:L$990,MATCH(A214,'Base de données'!A$4:A$990,0),12),"")</f>
        <v/>
      </c>
      <c r="D214" s="520"/>
      <c r="E214" s="488"/>
      <c r="F214" s="517"/>
      <c r="G214" s="490"/>
      <c r="H214" s="518"/>
      <c r="I214" s="492"/>
      <c r="J214" s="519"/>
      <c r="K214" s="494"/>
      <c r="L214" s="510"/>
      <c r="M214" s="496"/>
      <c r="N214" s="511"/>
      <c r="O214" s="498"/>
      <c r="P214" s="512"/>
      <c r="Q214" s="500"/>
      <c r="R214" s="513"/>
      <c r="S214" s="502"/>
      <c r="T214" s="514"/>
      <c r="U214" s="504"/>
      <c r="V214" s="516"/>
      <c r="W214" s="506"/>
      <c r="X214" s="515"/>
      <c r="Y214" s="507"/>
      <c r="Z214" s="508"/>
      <c r="AA214" s="509"/>
    </row>
    <row r="215" spans="1:27" hidden="1" x14ac:dyDescent="0.25">
      <c r="A215" s="486"/>
      <c r="B215" s="102" t="str">
        <f>IF(A215&lt;&gt;"",INDEX('Base de données'!A$4:L$990,MATCH(A215,'Base de données'!A$4:A$990,0),2),"")</f>
        <v/>
      </c>
      <c r="C215" s="112" t="str">
        <f>IF(A215&lt;&gt;"",INDEX('Base de données'!A$4:L$990,MATCH(A215,'Base de données'!A$4:A$990,0),12),"")</f>
        <v/>
      </c>
      <c r="D215" s="520"/>
      <c r="E215" s="488"/>
      <c r="F215" s="517"/>
      <c r="G215" s="490"/>
      <c r="H215" s="518"/>
      <c r="I215" s="492"/>
      <c r="J215" s="519"/>
      <c r="K215" s="494"/>
      <c r="L215" s="510"/>
      <c r="M215" s="496"/>
      <c r="N215" s="511"/>
      <c r="O215" s="498"/>
      <c r="P215" s="512"/>
      <c r="Q215" s="500"/>
      <c r="R215" s="513"/>
      <c r="S215" s="502"/>
      <c r="T215" s="514"/>
      <c r="U215" s="504"/>
      <c r="V215" s="516"/>
      <c r="W215" s="506"/>
      <c r="X215" s="515"/>
      <c r="Y215" s="507"/>
      <c r="Z215" s="508"/>
      <c r="AA215" s="509"/>
    </row>
    <row r="216" spans="1:27" hidden="1" x14ac:dyDescent="0.25">
      <c r="A216" s="486"/>
      <c r="B216" s="102" t="str">
        <f>IF(A216&lt;&gt;"",INDEX('Base de données'!A$4:L$990,MATCH(A216,'Base de données'!A$4:A$990,0),2),"")</f>
        <v/>
      </c>
      <c r="C216" s="112" t="str">
        <f>IF(A216&lt;&gt;"",INDEX('Base de données'!A$4:L$990,MATCH(A216,'Base de données'!A$4:A$990,0),12),"")</f>
        <v/>
      </c>
      <c r="D216" s="520"/>
      <c r="E216" s="488"/>
      <c r="F216" s="517"/>
      <c r="G216" s="490"/>
      <c r="H216" s="518"/>
      <c r="I216" s="492"/>
      <c r="J216" s="519"/>
      <c r="K216" s="494"/>
      <c r="L216" s="510"/>
      <c r="M216" s="496"/>
      <c r="N216" s="511"/>
      <c r="O216" s="498"/>
      <c r="P216" s="512"/>
      <c r="Q216" s="500"/>
      <c r="R216" s="513"/>
      <c r="S216" s="502"/>
      <c r="T216" s="514"/>
      <c r="U216" s="504"/>
      <c r="V216" s="516"/>
      <c r="W216" s="506"/>
      <c r="X216" s="515"/>
      <c r="Y216" s="507"/>
      <c r="Z216" s="508"/>
      <c r="AA216" s="509"/>
    </row>
    <row r="217" spans="1:27" hidden="1" x14ac:dyDescent="0.25">
      <c r="A217" s="486"/>
      <c r="B217" s="102" t="str">
        <f>IF(A217&lt;&gt;"",INDEX('Base de données'!A$4:L$990,MATCH(A217,'Base de données'!A$4:A$990,0),2),"")</f>
        <v/>
      </c>
      <c r="C217" s="112" t="str">
        <f>IF(A217&lt;&gt;"",INDEX('Base de données'!A$4:L$990,MATCH(A217,'Base de données'!A$4:A$990,0),12),"")</f>
        <v/>
      </c>
      <c r="D217" s="520"/>
      <c r="E217" s="488"/>
      <c r="F217" s="517"/>
      <c r="G217" s="490"/>
      <c r="H217" s="518"/>
      <c r="I217" s="492"/>
      <c r="J217" s="519"/>
      <c r="K217" s="494"/>
      <c r="L217" s="510"/>
      <c r="M217" s="496"/>
      <c r="N217" s="511"/>
      <c r="O217" s="498"/>
      <c r="P217" s="512"/>
      <c r="Q217" s="500"/>
      <c r="R217" s="513"/>
      <c r="S217" s="502"/>
      <c r="T217" s="514"/>
      <c r="U217" s="504"/>
      <c r="V217" s="516"/>
      <c r="W217" s="506"/>
      <c r="X217" s="515"/>
      <c r="Y217" s="507"/>
      <c r="Z217" s="508"/>
      <c r="AA217" s="509"/>
    </row>
    <row r="218" spans="1:27" hidden="1" x14ac:dyDescent="0.25">
      <c r="A218" s="486"/>
      <c r="B218" s="102" t="str">
        <f>IF(A218&lt;&gt;"",INDEX('Base de données'!A$4:L$990,MATCH(A218,'Base de données'!A$4:A$990,0),2),"")</f>
        <v/>
      </c>
      <c r="C218" s="112" t="str">
        <f>IF(A218&lt;&gt;"",INDEX('Base de données'!A$4:L$990,MATCH(A218,'Base de données'!A$4:A$990,0),12),"")</f>
        <v/>
      </c>
      <c r="D218" s="520"/>
      <c r="E218" s="488"/>
      <c r="F218" s="517"/>
      <c r="G218" s="490"/>
      <c r="H218" s="518"/>
      <c r="I218" s="492"/>
      <c r="J218" s="519"/>
      <c r="K218" s="494"/>
      <c r="L218" s="510"/>
      <c r="M218" s="496"/>
      <c r="N218" s="511"/>
      <c r="O218" s="498"/>
      <c r="P218" s="512"/>
      <c r="Q218" s="500"/>
      <c r="R218" s="513"/>
      <c r="S218" s="502"/>
      <c r="T218" s="514"/>
      <c r="U218" s="504"/>
      <c r="V218" s="516"/>
      <c r="W218" s="506"/>
      <c r="X218" s="515"/>
      <c r="Y218" s="507"/>
      <c r="Z218" s="508"/>
      <c r="AA218" s="509"/>
    </row>
    <row r="219" spans="1:27" hidden="1" x14ac:dyDescent="0.25">
      <c r="A219" s="486"/>
      <c r="B219" s="102" t="str">
        <f>IF(A219&lt;&gt;"",INDEX('Base de données'!A$4:L$990,MATCH(A219,'Base de données'!A$4:A$990,0),2),"")</f>
        <v/>
      </c>
      <c r="C219" s="112" t="str">
        <f>IF(A219&lt;&gt;"",INDEX('Base de données'!A$4:L$990,MATCH(A219,'Base de données'!A$4:A$990,0),12),"")</f>
        <v/>
      </c>
      <c r="D219" s="520"/>
      <c r="E219" s="488"/>
      <c r="F219" s="517"/>
      <c r="G219" s="490"/>
      <c r="H219" s="518"/>
      <c r="I219" s="492"/>
      <c r="J219" s="519"/>
      <c r="K219" s="494"/>
      <c r="L219" s="510"/>
      <c r="M219" s="496"/>
      <c r="N219" s="511"/>
      <c r="O219" s="498"/>
      <c r="P219" s="512"/>
      <c r="Q219" s="500"/>
      <c r="R219" s="513"/>
      <c r="S219" s="502"/>
      <c r="T219" s="514"/>
      <c r="U219" s="504"/>
      <c r="V219" s="516"/>
      <c r="W219" s="506"/>
      <c r="X219" s="515"/>
      <c r="Y219" s="507"/>
      <c r="Z219" s="508"/>
      <c r="AA219" s="509"/>
    </row>
    <row r="220" spans="1:27" hidden="1" x14ac:dyDescent="0.25">
      <c r="A220" s="486"/>
      <c r="B220" s="102" t="str">
        <f>IF(A220&lt;&gt;"",INDEX('Base de données'!A$4:L$990,MATCH(A220,'Base de données'!A$4:A$990,0),2),"")</f>
        <v/>
      </c>
      <c r="C220" s="112" t="str">
        <f>IF(A220&lt;&gt;"",INDEX('Base de données'!A$4:L$990,MATCH(A220,'Base de données'!A$4:A$990,0),12),"")</f>
        <v/>
      </c>
      <c r="D220" s="520"/>
      <c r="E220" s="488"/>
      <c r="F220" s="517"/>
      <c r="G220" s="490"/>
      <c r="H220" s="518"/>
      <c r="I220" s="492"/>
      <c r="J220" s="519"/>
      <c r="K220" s="494"/>
      <c r="L220" s="510"/>
      <c r="M220" s="496"/>
      <c r="N220" s="511"/>
      <c r="O220" s="498"/>
      <c r="P220" s="512"/>
      <c r="Q220" s="500"/>
      <c r="R220" s="513"/>
      <c r="S220" s="502"/>
      <c r="T220" s="514"/>
      <c r="U220" s="504"/>
      <c r="V220" s="516"/>
      <c r="W220" s="506"/>
      <c r="X220" s="515"/>
      <c r="Y220" s="507"/>
      <c r="Z220" s="508"/>
      <c r="AA220" s="509"/>
    </row>
    <row r="221" spans="1:27" hidden="1" x14ac:dyDescent="0.25">
      <c r="A221" s="486"/>
      <c r="B221" s="102" t="str">
        <f>IF(A221&lt;&gt;"",INDEX('Base de données'!A$4:L$990,MATCH(A221,'Base de données'!A$4:A$990,0),2),"")</f>
        <v/>
      </c>
      <c r="C221" s="112" t="str">
        <f>IF(A221&lt;&gt;"",INDEX('Base de données'!A$4:L$990,MATCH(A221,'Base de données'!A$4:A$990,0),12),"")</f>
        <v/>
      </c>
      <c r="D221" s="520"/>
      <c r="E221" s="488"/>
      <c r="F221" s="517"/>
      <c r="G221" s="490"/>
      <c r="H221" s="518"/>
      <c r="I221" s="492"/>
      <c r="J221" s="519"/>
      <c r="K221" s="494"/>
      <c r="L221" s="510"/>
      <c r="M221" s="496"/>
      <c r="N221" s="511"/>
      <c r="O221" s="498"/>
      <c r="P221" s="512"/>
      <c r="Q221" s="500"/>
      <c r="R221" s="513"/>
      <c r="S221" s="502"/>
      <c r="T221" s="514"/>
      <c r="U221" s="504"/>
      <c r="V221" s="516"/>
      <c r="W221" s="506"/>
      <c r="X221" s="515"/>
      <c r="Y221" s="507"/>
      <c r="Z221" s="508"/>
      <c r="AA221" s="509"/>
    </row>
    <row r="222" spans="1:27" hidden="1" x14ac:dyDescent="0.25">
      <c r="A222" s="486"/>
      <c r="B222" s="102" t="str">
        <f>IF(A222&lt;&gt;"",INDEX('Base de données'!A$4:L$990,MATCH(A222,'Base de données'!A$4:A$990,0),2),"")</f>
        <v/>
      </c>
      <c r="C222" s="112" t="str">
        <f>IF(A222&lt;&gt;"",INDEX('Base de données'!A$4:L$990,MATCH(A222,'Base de données'!A$4:A$990,0),12),"")</f>
        <v/>
      </c>
      <c r="D222" s="520"/>
      <c r="E222" s="488"/>
      <c r="F222" s="517"/>
      <c r="G222" s="490"/>
      <c r="H222" s="518"/>
      <c r="I222" s="492"/>
      <c r="J222" s="519"/>
      <c r="K222" s="494"/>
      <c r="L222" s="510"/>
      <c r="M222" s="496"/>
      <c r="N222" s="511"/>
      <c r="O222" s="498"/>
      <c r="P222" s="512"/>
      <c r="Q222" s="500"/>
      <c r="R222" s="513"/>
      <c r="S222" s="502"/>
      <c r="T222" s="514"/>
      <c r="U222" s="504"/>
      <c r="V222" s="516"/>
      <c r="W222" s="506"/>
      <c r="X222" s="515"/>
      <c r="Y222" s="507"/>
      <c r="Z222" s="508"/>
      <c r="AA222" s="509"/>
    </row>
    <row r="223" spans="1:27" hidden="1" x14ac:dyDescent="0.25">
      <c r="A223" s="486"/>
      <c r="B223" s="102" t="str">
        <f>IF(A223&lt;&gt;"",INDEX('Base de données'!A$4:L$990,MATCH(A223,'Base de données'!A$4:A$990,0),2),"")</f>
        <v/>
      </c>
      <c r="C223" s="112" t="str">
        <f>IF(A223&lt;&gt;"",INDEX('Base de données'!A$4:L$990,MATCH(A223,'Base de données'!A$4:A$990,0),12),"")</f>
        <v/>
      </c>
      <c r="D223" s="520"/>
      <c r="E223" s="488"/>
      <c r="F223" s="517"/>
      <c r="G223" s="490"/>
      <c r="H223" s="518"/>
      <c r="I223" s="492"/>
      <c r="J223" s="519"/>
      <c r="K223" s="494"/>
      <c r="L223" s="510"/>
      <c r="M223" s="496"/>
      <c r="N223" s="511"/>
      <c r="O223" s="498"/>
      <c r="P223" s="512"/>
      <c r="Q223" s="500"/>
      <c r="R223" s="513"/>
      <c r="S223" s="502"/>
      <c r="T223" s="514"/>
      <c r="U223" s="504"/>
      <c r="V223" s="516"/>
      <c r="W223" s="506"/>
      <c r="X223" s="515"/>
      <c r="Y223" s="507"/>
      <c r="Z223" s="508"/>
      <c r="AA223" s="509"/>
    </row>
    <row r="224" spans="1:27" hidden="1" x14ac:dyDescent="0.25">
      <c r="A224" s="486"/>
      <c r="B224" s="102" t="str">
        <f>IF(A224&lt;&gt;"",INDEX('Base de données'!A$4:L$990,MATCH(A224,'Base de données'!A$4:A$990,0),2),"")</f>
        <v/>
      </c>
      <c r="C224" s="112" t="str">
        <f>IF(A224&lt;&gt;"",INDEX('Base de données'!A$4:L$990,MATCH(A224,'Base de données'!A$4:A$990,0),12),"")</f>
        <v/>
      </c>
      <c r="D224" s="520"/>
      <c r="E224" s="488"/>
      <c r="F224" s="517"/>
      <c r="G224" s="490"/>
      <c r="H224" s="518"/>
      <c r="I224" s="492"/>
      <c r="J224" s="519"/>
      <c r="K224" s="494"/>
      <c r="L224" s="510"/>
      <c r="M224" s="496"/>
      <c r="N224" s="511"/>
      <c r="O224" s="498"/>
      <c r="P224" s="512"/>
      <c r="Q224" s="500"/>
      <c r="R224" s="513"/>
      <c r="S224" s="502"/>
      <c r="T224" s="514"/>
      <c r="U224" s="504"/>
      <c r="V224" s="516"/>
      <c r="W224" s="506"/>
      <c r="X224" s="515"/>
      <c r="Y224" s="507"/>
      <c r="Z224" s="508"/>
      <c r="AA224" s="509"/>
    </row>
    <row r="225" spans="1:27" hidden="1" x14ac:dyDescent="0.25">
      <c r="A225" s="486"/>
      <c r="B225" s="102" t="str">
        <f>IF(A225&lt;&gt;"",INDEX('Base de données'!A$4:L$990,MATCH(A225,'Base de données'!A$4:A$990,0),2),"")</f>
        <v/>
      </c>
      <c r="C225" s="112" t="str">
        <f>IF(A225&lt;&gt;"",INDEX('Base de données'!A$4:L$990,MATCH(A225,'Base de données'!A$4:A$990,0),12),"")</f>
        <v/>
      </c>
      <c r="D225" s="520"/>
      <c r="E225" s="488"/>
      <c r="F225" s="517"/>
      <c r="G225" s="490"/>
      <c r="H225" s="518"/>
      <c r="I225" s="492"/>
      <c r="J225" s="519"/>
      <c r="K225" s="494"/>
      <c r="L225" s="510"/>
      <c r="M225" s="496"/>
      <c r="N225" s="511"/>
      <c r="O225" s="498"/>
      <c r="P225" s="512"/>
      <c r="Q225" s="500"/>
      <c r="R225" s="513"/>
      <c r="S225" s="502"/>
      <c r="T225" s="514"/>
      <c r="U225" s="504"/>
      <c r="V225" s="516"/>
      <c r="W225" s="506"/>
      <c r="X225" s="515"/>
      <c r="Y225" s="507"/>
      <c r="Z225" s="508"/>
      <c r="AA225" s="509"/>
    </row>
    <row r="226" spans="1:27" hidden="1" x14ac:dyDescent="0.25">
      <c r="A226" s="486"/>
      <c r="B226" s="102" t="str">
        <f>IF(A226&lt;&gt;"",INDEX('Base de données'!A$4:L$990,MATCH(A226,'Base de données'!A$4:A$990,0),2),"")</f>
        <v/>
      </c>
      <c r="C226" s="112" t="str">
        <f>IF(A226&lt;&gt;"",INDEX('Base de données'!A$4:L$990,MATCH(A226,'Base de données'!A$4:A$990,0),12),"")</f>
        <v/>
      </c>
      <c r="D226" s="520"/>
      <c r="E226" s="488"/>
      <c r="F226" s="517"/>
      <c r="G226" s="490"/>
      <c r="H226" s="518"/>
      <c r="I226" s="492"/>
      <c r="J226" s="519"/>
      <c r="K226" s="494"/>
      <c r="L226" s="510"/>
      <c r="M226" s="496"/>
      <c r="N226" s="511"/>
      <c r="O226" s="498"/>
      <c r="P226" s="512"/>
      <c r="Q226" s="500"/>
      <c r="R226" s="513"/>
      <c r="S226" s="502"/>
      <c r="T226" s="514"/>
      <c r="U226" s="504"/>
      <c r="V226" s="516"/>
      <c r="W226" s="506"/>
      <c r="X226" s="515"/>
      <c r="Y226" s="507"/>
      <c r="Z226" s="508"/>
      <c r="AA226" s="509"/>
    </row>
    <row r="227" spans="1:27" hidden="1" x14ac:dyDescent="0.25">
      <c r="A227" s="486"/>
      <c r="B227" s="102" t="str">
        <f>IF(A227&lt;&gt;"",INDEX('Base de données'!A$4:L$990,MATCH(A227,'Base de données'!A$4:A$990,0),2),"")</f>
        <v/>
      </c>
      <c r="C227" s="112" t="str">
        <f>IF(A227&lt;&gt;"",INDEX('Base de données'!A$4:L$990,MATCH(A227,'Base de données'!A$4:A$990,0),12),"")</f>
        <v/>
      </c>
      <c r="D227" s="520"/>
      <c r="E227" s="488"/>
      <c r="F227" s="517"/>
      <c r="G227" s="490"/>
      <c r="H227" s="518"/>
      <c r="I227" s="492"/>
      <c r="J227" s="519"/>
      <c r="K227" s="494"/>
      <c r="L227" s="510"/>
      <c r="M227" s="496"/>
      <c r="N227" s="511"/>
      <c r="O227" s="498"/>
      <c r="P227" s="512"/>
      <c r="Q227" s="500"/>
      <c r="R227" s="513"/>
      <c r="S227" s="502"/>
      <c r="T227" s="514"/>
      <c r="U227" s="504"/>
      <c r="V227" s="516"/>
      <c r="W227" s="506"/>
      <c r="X227" s="515"/>
      <c r="Y227" s="507"/>
      <c r="Z227" s="508"/>
      <c r="AA227" s="509"/>
    </row>
    <row r="228" spans="1:27" hidden="1" x14ac:dyDescent="0.25">
      <c r="A228" s="486"/>
      <c r="B228" s="102" t="str">
        <f>IF(A228&lt;&gt;"",INDEX('Base de données'!A$4:L$990,MATCH(A228,'Base de données'!A$4:A$990,0),2),"")</f>
        <v/>
      </c>
      <c r="C228" s="112" t="str">
        <f>IF(A228&lt;&gt;"",INDEX('Base de données'!A$4:L$990,MATCH(A228,'Base de données'!A$4:A$990,0),12),"")</f>
        <v/>
      </c>
      <c r="D228" s="520"/>
      <c r="E228" s="488"/>
      <c r="F228" s="517"/>
      <c r="G228" s="490"/>
      <c r="H228" s="518"/>
      <c r="I228" s="492"/>
      <c r="J228" s="519"/>
      <c r="K228" s="494"/>
      <c r="L228" s="510"/>
      <c r="M228" s="496"/>
      <c r="N228" s="511"/>
      <c r="O228" s="498"/>
      <c r="P228" s="512"/>
      <c r="Q228" s="500"/>
      <c r="R228" s="513"/>
      <c r="S228" s="502"/>
      <c r="T228" s="514"/>
      <c r="U228" s="504"/>
      <c r="V228" s="516"/>
      <c r="W228" s="506"/>
      <c r="X228" s="515"/>
      <c r="Y228" s="507"/>
      <c r="Z228" s="508"/>
      <c r="AA228" s="509"/>
    </row>
    <row r="229" spans="1:27" hidden="1" x14ac:dyDescent="0.25">
      <c r="A229" s="486"/>
      <c r="B229" s="102" t="str">
        <f>IF(A229&lt;&gt;"",INDEX('Base de données'!A$4:L$990,MATCH(A229,'Base de données'!A$4:A$990,0),2),"")</f>
        <v/>
      </c>
      <c r="C229" s="112" t="str">
        <f>IF(A229&lt;&gt;"",INDEX('Base de données'!A$4:L$990,MATCH(A229,'Base de données'!A$4:A$990,0),12),"")</f>
        <v/>
      </c>
      <c r="D229" s="520"/>
      <c r="E229" s="488"/>
      <c r="F229" s="517"/>
      <c r="G229" s="490"/>
      <c r="H229" s="518"/>
      <c r="I229" s="492"/>
      <c r="J229" s="519"/>
      <c r="K229" s="494"/>
      <c r="L229" s="510"/>
      <c r="M229" s="496"/>
      <c r="N229" s="511"/>
      <c r="O229" s="498"/>
      <c r="P229" s="512"/>
      <c r="Q229" s="500"/>
      <c r="R229" s="513"/>
      <c r="S229" s="502"/>
      <c r="T229" s="514"/>
      <c r="U229" s="504"/>
      <c r="V229" s="516"/>
      <c r="W229" s="506"/>
      <c r="X229" s="515"/>
      <c r="Y229" s="507"/>
      <c r="Z229" s="508"/>
      <c r="AA229" s="509"/>
    </row>
    <row r="230" spans="1:27" hidden="1" x14ac:dyDescent="0.25">
      <c r="A230" s="486"/>
      <c r="B230" s="102" t="str">
        <f>IF(A230&lt;&gt;"",INDEX('Base de données'!A$4:L$990,MATCH(A230,'Base de données'!A$4:A$990,0),2),"")</f>
        <v/>
      </c>
      <c r="C230" s="112" t="str">
        <f>IF(A230&lt;&gt;"",INDEX('Base de données'!A$4:L$990,MATCH(A230,'Base de données'!A$4:A$990,0),12),"")</f>
        <v/>
      </c>
      <c r="D230" s="520"/>
      <c r="E230" s="488"/>
      <c r="F230" s="517"/>
      <c r="G230" s="490"/>
      <c r="H230" s="518"/>
      <c r="I230" s="492"/>
      <c r="J230" s="519"/>
      <c r="K230" s="494"/>
      <c r="L230" s="510"/>
      <c r="M230" s="496"/>
      <c r="N230" s="511"/>
      <c r="O230" s="498"/>
      <c r="P230" s="512"/>
      <c r="Q230" s="500"/>
      <c r="R230" s="513"/>
      <c r="S230" s="502"/>
      <c r="T230" s="514"/>
      <c r="U230" s="504"/>
      <c r="V230" s="516"/>
      <c r="W230" s="506"/>
      <c r="X230" s="515"/>
      <c r="Y230" s="507"/>
      <c r="Z230" s="508"/>
      <c r="AA230" s="509"/>
    </row>
    <row r="231" spans="1:27" hidden="1" x14ac:dyDescent="0.25">
      <c r="A231" s="486"/>
      <c r="B231" s="102" t="str">
        <f>IF(A231&lt;&gt;"",INDEX('Base de données'!A$4:L$990,MATCH(A231,'Base de données'!A$4:A$990,0),2),"")</f>
        <v/>
      </c>
      <c r="C231" s="112" t="str">
        <f>IF(A231&lt;&gt;"",INDEX('Base de données'!A$4:L$990,MATCH(A231,'Base de données'!A$4:A$990,0),12),"")</f>
        <v/>
      </c>
      <c r="D231" s="520"/>
      <c r="E231" s="488"/>
      <c r="F231" s="517"/>
      <c r="G231" s="490"/>
      <c r="H231" s="518"/>
      <c r="I231" s="492"/>
      <c r="J231" s="519"/>
      <c r="K231" s="494"/>
      <c r="L231" s="510"/>
      <c r="M231" s="496"/>
      <c r="N231" s="511"/>
      <c r="O231" s="498"/>
      <c r="P231" s="512"/>
      <c r="Q231" s="500"/>
      <c r="R231" s="513"/>
      <c r="S231" s="502"/>
      <c r="T231" s="514"/>
      <c r="U231" s="504"/>
      <c r="V231" s="516"/>
      <c r="W231" s="506"/>
      <c r="X231" s="515"/>
      <c r="Y231" s="507"/>
      <c r="Z231" s="508"/>
      <c r="AA231" s="509"/>
    </row>
    <row r="232" spans="1:27" hidden="1" x14ac:dyDescent="0.25">
      <c r="A232" s="486"/>
      <c r="B232" s="102" t="str">
        <f>IF(A232&lt;&gt;"",INDEX('Base de données'!A$4:L$990,MATCH(A232,'Base de données'!A$4:A$990,0),2),"")</f>
        <v/>
      </c>
      <c r="C232" s="112" t="str">
        <f>IF(A232&lt;&gt;"",INDEX('Base de données'!A$4:L$990,MATCH(A232,'Base de données'!A$4:A$990,0),12),"")</f>
        <v/>
      </c>
      <c r="D232" s="520"/>
      <c r="E232" s="488"/>
      <c r="F232" s="517"/>
      <c r="G232" s="490"/>
      <c r="H232" s="518"/>
      <c r="I232" s="492"/>
      <c r="J232" s="519"/>
      <c r="K232" s="494"/>
      <c r="L232" s="510"/>
      <c r="M232" s="496"/>
      <c r="N232" s="511"/>
      <c r="O232" s="498"/>
      <c r="P232" s="512"/>
      <c r="Q232" s="500"/>
      <c r="R232" s="513"/>
      <c r="S232" s="502"/>
      <c r="T232" s="514"/>
      <c r="U232" s="504"/>
      <c r="V232" s="516"/>
      <c r="W232" s="506"/>
      <c r="X232" s="515"/>
      <c r="Y232" s="507"/>
      <c r="Z232" s="508"/>
      <c r="AA232" s="509"/>
    </row>
    <row r="233" spans="1:27" hidden="1" x14ac:dyDescent="0.25">
      <c r="A233" s="486"/>
      <c r="B233" s="102" t="str">
        <f>IF(A233&lt;&gt;"",INDEX('Base de données'!A$4:L$990,MATCH(A233,'Base de données'!A$4:A$990,0),2),"")</f>
        <v/>
      </c>
      <c r="C233" s="112" t="str">
        <f>IF(A233&lt;&gt;"",INDEX('Base de données'!A$4:L$990,MATCH(A233,'Base de données'!A$4:A$990,0),12),"")</f>
        <v/>
      </c>
      <c r="D233" s="520"/>
      <c r="E233" s="488"/>
      <c r="F233" s="517"/>
      <c r="G233" s="490"/>
      <c r="H233" s="518"/>
      <c r="I233" s="492"/>
      <c r="J233" s="519"/>
      <c r="K233" s="494"/>
      <c r="L233" s="510"/>
      <c r="M233" s="496"/>
      <c r="N233" s="511"/>
      <c r="O233" s="498"/>
      <c r="P233" s="512"/>
      <c r="Q233" s="500"/>
      <c r="R233" s="513"/>
      <c r="S233" s="502"/>
      <c r="T233" s="514"/>
      <c r="U233" s="504"/>
      <c r="V233" s="516"/>
      <c r="W233" s="506"/>
      <c r="X233" s="515"/>
      <c r="Y233" s="507"/>
      <c r="Z233" s="508"/>
      <c r="AA233" s="509"/>
    </row>
    <row r="234" spans="1:27" hidden="1" x14ac:dyDescent="0.25">
      <c r="A234" s="486"/>
      <c r="B234" s="102" t="str">
        <f>IF(A234&lt;&gt;"",INDEX('Base de données'!A$4:L$990,MATCH(A234,'Base de données'!A$4:A$990,0),2),"")</f>
        <v/>
      </c>
      <c r="C234" s="112" t="str">
        <f>IF(A234&lt;&gt;"",INDEX('Base de données'!A$4:L$990,MATCH(A234,'Base de données'!A$4:A$990,0),12),"")</f>
        <v/>
      </c>
      <c r="D234" s="520"/>
      <c r="E234" s="488"/>
      <c r="F234" s="517"/>
      <c r="G234" s="490"/>
      <c r="H234" s="518"/>
      <c r="I234" s="492"/>
      <c r="J234" s="519"/>
      <c r="K234" s="494"/>
      <c r="L234" s="510"/>
      <c r="M234" s="496"/>
      <c r="N234" s="511"/>
      <c r="O234" s="498"/>
      <c r="P234" s="512"/>
      <c r="Q234" s="500"/>
      <c r="R234" s="513"/>
      <c r="S234" s="502"/>
      <c r="T234" s="514"/>
      <c r="U234" s="504"/>
      <c r="V234" s="516"/>
      <c r="W234" s="506"/>
      <c r="X234" s="515"/>
      <c r="Y234" s="507"/>
      <c r="Z234" s="508"/>
      <c r="AA234" s="509"/>
    </row>
    <row r="235" spans="1:27" hidden="1" x14ac:dyDescent="0.25">
      <c r="A235" s="486"/>
      <c r="B235" s="102" t="str">
        <f>IF(A235&lt;&gt;"",INDEX('Base de données'!A$4:L$990,MATCH(A235,'Base de données'!A$4:A$990,0),2),"")</f>
        <v/>
      </c>
      <c r="C235" s="112" t="str">
        <f>IF(A235&lt;&gt;"",INDEX('Base de données'!A$4:L$990,MATCH(A235,'Base de données'!A$4:A$990,0),12),"")</f>
        <v/>
      </c>
      <c r="D235" s="520"/>
      <c r="E235" s="488"/>
      <c r="F235" s="517"/>
      <c r="G235" s="490"/>
      <c r="H235" s="518"/>
      <c r="I235" s="492"/>
      <c r="J235" s="519"/>
      <c r="K235" s="494"/>
      <c r="L235" s="510"/>
      <c r="M235" s="496"/>
      <c r="N235" s="511"/>
      <c r="O235" s="498"/>
      <c r="P235" s="512"/>
      <c r="Q235" s="500"/>
      <c r="R235" s="513"/>
      <c r="S235" s="502"/>
      <c r="T235" s="514"/>
      <c r="U235" s="504"/>
      <c r="V235" s="516"/>
      <c r="W235" s="506"/>
      <c r="X235" s="515"/>
      <c r="Y235" s="507"/>
      <c r="Z235" s="508"/>
      <c r="AA235" s="509"/>
    </row>
    <row r="236" spans="1:27" hidden="1" x14ac:dyDescent="0.25">
      <c r="A236" s="486"/>
      <c r="B236" s="102" t="str">
        <f>IF(A236&lt;&gt;"",INDEX('Base de données'!A$4:L$990,MATCH(A236,'Base de données'!A$4:A$990,0),2),"")</f>
        <v/>
      </c>
      <c r="C236" s="112" t="str">
        <f>IF(A236&lt;&gt;"",INDEX('Base de données'!A$4:L$990,MATCH(A236,'Base de données'!A$4:A$990,0),12),"")</f>
        <v/>
      </c>
      <c r="D236" s="520"/>
      <c r="E236" s="488"/>
      <c r="F236" s="517"/>
      <c r="G236" s="490"/>
      <c r="H236" s="518"/>
      <c r="I236" s="492"/>
      <c r="J236" s="519"/>
      <c r="K236" s="494"/>
      <c r="L236" s="510"/>
      <c r="M236" s="496"/>
      <c r="N236" s="511"/>
      <c r="O236" s="498"/>
      <c r="P236" s="512"/>
      <c r="Q236" s="500"/>
      <c r="R236" s="513"/>
      <c r="S236" s="502"/>
      <c r="T236" s="514"/>
      <c r="U236" s="504"/>
      <c r="V236" s="516"/>
      <c r="W236" s="506"/>
      <c r="X236" s="515"/>
      <c r="Y236" s="507"/>
      <c r="Z236" s="508"/>
      <c r="AA236" s="509"/>
    </row>
    <row r="237" spans="1:27" hidden="1" x14ac:dyDescent="0.25">
      <c r="A237" s="486"/>
      <c r="B237" s="102" t="str">
        <f>IF(A237&lt;&gt;"",INDEX('Base de données'!A$4:L$990,MATCH(A237,'Base de données'!A$4:A$990,0),2),"")</f>
        <v/>
      </c>
      <c r="C237" s="112" t="str">
        <f>IF(A237&lt;&gt;"",INDEX('Base de données'!A$4:L$990,MATCH(A237,'Base de données'!A$4:A$990,0),12),"")</f>
        <v/>
      </c>
      <c r="D237" s="520"/>
      <c r="E237" s="488"/>
      <c r="F237" s="517"/>
      <c r="G237" s="490"/>
      <c r="H237" s="518"/>
      <c r="I237" s="492"/>
      <c r="J237" s="519"/>
      <c r="K237" s="494"/>
      <c r="L237" s="510"/>
      <c r="M237" s="496"/>
      <c r="N237" s="511"/>
      <c r="O237" s="498"/>
      <c r="P237" s="512"/>
      <c r="Q237" s="500"/>
      <c r="R237" s="513"/>
      <c r="S237" s="502"/>
      <c r="T237" s="514"/>
      <c r="U237" s="504"/>
      <c r="V237" s="516"/>
      <c r="W237" s="506"/>
      <c r="X237" s="515"/>
      <c r="Y237" s="507"/>
      <c r="Z237" s="508"/>
      <c r="AA237" s="509"/>
    </row>
    <row r="238" spans="1:27" hidden="1" x14ac:dyDescent="0.25">
      <c r="A238" s="486"/>
      <c r="B238" s="102" t="str">
        <f>IF(A238&lt;&gt;"",INDEX('Base de données'!A$4:L$990,MATCH(A238,'Base de données'!A$4:A$990,0),2),"")</f>
        <v/>
      </c>
      <c r="C238" s="112" t="str">
        <f>IF(A238&lt;&gt;"",INDEX('Base de données'!A$4:L$990,MATCH(A238,'Base de données'!A$4:A$990,0),12),"")</f>
        <v/>
      </c>
      <c r="D238" s="520"/>
      <c r="E238" s="488"/>
      <c r="F238" s="517"/>
      <c r="G238" s="490"/>
      <c r="H238" s="518"/>
      <c r="I238" s="492"/>
      <c r="J238" s="519"/>
      <c r="K238" s="494"/>
      <c r="L238" s="510"/>
      <c r="M238" s="496"/>
      <c r="N238" s="511"/>
      <c r="O238" s="498"/>
      <c r="P238" s="512"/>
      <c r="Q238" s="500"/>
      <c r="R238" s="513"/>
      <c r="S238" s="502"/>
      <c r="T238" s="514"/>
      <c r="U238" s="504"/>
      <c r="V238" s="516"/>
      <c r="W238" s="506"/>
      <c r="X238" s="515"/>
      <c r="Y238" s="507"/>
      <c r="Z238" s="508"/>
      <c r="AA238" s="509"/>
    </row>
    <row r="239" spans="1:27" hidden="1" x14ac:dyDescent="0.25">
      <c r="A239" s="486"/>
      <c r="B239" s="102" t="str">
        <f>IF(A239&lt;&gt;"",INDEX('Base de données'!A$4:L$990,MATCH(A239,'Base de données'!A$4:A$990,0),2),"")</f>
        <v/>
      </c>
      <c r="C239" s="112" t="str">
        <f>IF(A239&lt;&gt;"",INDEX('Base de données'!A$4:L$990,MATCH(A239,'Base de données'!A$4:A$990,0),12),"")</f>
        <v/>
      </c>
      <c r="D239" s="520"/>
      <c r="E239" s="488"/>
      <c r="F239" s="517"/>
      <c r="G239" s="490"/>
      <c r="H239" s="518"/>
      <c r="I239" s="492"/>
      <c r="J239" s="519"/>
      <c r="K239" s="494"/>
      <c r="L239" s="510"/>
      <c r="M239" s="496"/>
      <c r="N239" s="511"/>
      <c r="O239" s="498"/>
      <c r="P239" s="512"/>
      <c r="Q239" s="500"/>
      <c r="R239" s="513"/>
      <c r="S239" s="502"/>
      <c r="T239" s="514"/>
      <c r="U239" s="504"/>
      <c r="V239" s="516"/>
      <c r="W239" s="506"/>
      <c r="X239" s="515"/>
      <c r="Y239" s="507"/>
      <c r="Z239" s="508"/>
      <c r="AA239" s="509"/>
    </row>
    <row r="240" spans="1:27" hidden="1" x14ac:dyDescent="0.25">
      <c r="A240" s="486"/>
      <c r="B240" s="102" t="str">
        <f>IF(A240&lt;&gt;"",INDEX('Base de données'!A$4:L$990,MATCH(A240,'Base de données'!A$4:A$990,0),2),"")</f>
        <v/>
      </c>
      <c r="C240" s="112" t="str">
        <f>IF(A240&lt;&gt;"",INDEX('Base de données'!A$4:L$990,MATCH(A240,'Base de données'!A$4:A$990,0),12),"")</f>
        <v/>
      </c>
      <c r="D240" s="520"/>
      <c r="E240" s="488"/>
      <c r="F240" s="517"/>
      <c r="G240" s="490"/>
      <c r="H240" s="518"/>
      <c r="I240" s="492"/>
      <c r="J240" s="519"/>
      <c r="K240" s="494"/>
      <c r="L240" s="510"/>
      <c r="M240" s="496"/>
      <c r="N240" s="511"/>
      <c r="O240" s="498"/>
      <c r="P240" s="512"/>
      <c r="Q240" s="500"/>
      <c r="R240" s="513"/>
      <c r="S240" s="502"/>
      <c r="T240" s="514"/>
      <c r="U240" s="504"/>
      <c r="V240" s="516"/>
      <c r="W240" s="506"/>
      <c r="X240" s="515"/>
      <c r="Y240" s="507"/>
      <c r="Z240" s="508"/>
      <c r="AA240" s="509"/>
    </row>
    <row r="241" spans="1:27" hidden="1" x14ac:dyDescent="0.25">
      <c r="A241" s="486"/>
      <c r="B241" s="102" t="str">
        <f>IF(A241&lt;&gt;"",INDEX('Base de données'!A$4:L$990,MATCH(A241,'Base de données'!A$4:A$990,0),2),"")</f>
        <v/>
      </c>
      <c r="C241" s="112" t="str">
        <f>IF(A241&lt;&gt;"",INDEX('Base de données'!A$4:L$990,MATCH(A241,'Base de données'!A$4:A$990,0),12),"")</f>
        <v/>
      </c>
      <c r="D241" s="520"/>
      <c r="E241" s="488"/>
      <c r="F241" s="517"/>
      <c r="G241" s="490"/>
      <c r="H241" s="518"/>
      <c r="I241" s="492"/>
      <c r="J241" s="519"/>
      <c r="K241" s="494"/>
      <c r="L241" s="510"/>
      <c r="M241" s="496"/>
      <c r="N241" s="511"/>
      <c r="O241" s="498"/>
      <c r="P241" s="512"/>
      <c r="Q241" s="500"/>
      <c r="R241" s="513"/>
      <c r="S241" s="502"/>
      <c r="T241" s="514"/>
      <c r="U241" s="504"/>
      <c r="V241" s="516"/>
      <c r="W241" s="506"/>
      <c r="X241" s="515"/>
      <c r="Y241" s="507"/>
      <c r="Z241" s="508"/>
      <c r="AA241" s="509"/>
    </row>
    <row r="242" spans="1:27" hidden="1" x14ac:dyDescent="0.25">
      <c r="A242" s="486"/>
      <c r="B242" s="102" t="str">
        <f>IF(A242&lt;&gt;"",INDEX('Base de données'!A$4:L$990,MATCH(A242,'Base de données'!A$4:A$990,0),2),"")</f>
        <v/>
      </c>
      <c r="C242" s="112" t="str">
        <f>IF(A242&lt;&gt;"",INDEX('Base de données'!A$4:L$990,MATCH(A242,'Base de données'!A$4:A$990,0),12),"")</f>
        <v/>
      </c>
      <c r="D242" s="520"/>
      <c r="E242" s="488"/>
      <c r="F242" s="517"/>
      <c r="G242" s="490"/>
      <c r="H242" s="518"/>
      <c r="I242" s="492"/>
      <c r="J242" s="519"/>
      <c r="K242" s="494"/>
      <c r="L242" s="510"/>
      <c r="M242" s="496"/>
      <c r="N242" s="511"/>
      <c r="O242" s="498"/>
      <c r="P242" s="512"/>
      <c r="Q242" s="500"/>
      <c r="R242" s="513"/>
      <c r="S242" s="502"/>
      <c r="T242" s="514"/>
      <c r="U242" s="504"/>
      <c r="V242" s="516"/>
      <c r="W242" s="506"/>
      <c r="X242" s="515"/>
      <c r="Y242" s="507"/>
      <c r="Z242" s="508"/>
      <c r="AA242" s="509"/>
    </row>
    <row r="243" spans="1:27" hidden="1" x14ac:dyDescent="0.25">
      <c r="A243" s="486"/>
      <c r="B243" s="102" t="str">
        <f>IF(A243&lt;&gt;"",INDEX('Base de données'!A$4:L$990,MATCH(A243,'Base de données'!A$4:A$990,0),2),"")</f>
        <v/>
      </c>
      <c r="C243" s="112" t="str">
        <f>IF(A243&lt;&gt;"",INDEX('Base de données'!A$4:L$990,MATCH(A243,'Base de données'!A$4:A$990,0),12),"")</f>
        <v/>
      </c>
      <c r="D243" s="520"/>
      <c r="E243" s="488"/>
      <c r="F243" s="517"/>
      <c r="G243" s="490"/>
      <c r="H243" s="518"/>
      <c r="I243" s="492"/>
      <c r="J243" s="519"/>
      <c r="K243" s="494"/>
      <c r="L243" s="510"/>
      <c r="M243" s="496"/>
      <c r="N243" s="511"/>
      <c r="O243" s="498"/>
      <c r="P243" s="512"/>
      <c r="Q243" s="500"/>
      <c r="R243" s="513"/>
      <c r="S243" s="502"/>
      <c r="T243" s="514"/>
      <c r="U243" s="504"/>
      <c r="V243" s="516"/>
      <c r="W243" s="506"/>
      <c r="X243" s="515"/>
      <c r="Y243" s="507"/>
      <c r="Z243" s="508"/>
      <c r="AA243" s="509"/>
    </row>
    <row r="244" spans="1:27" hidden="1" x14ac:dyDescent="0.25">
      <c r="A244" s="486"/>
      <c r="B244" s="102" t="str">
        <f>IF(A244&lt;&gt;"",INDEX('Base de données'!A$4:L$990,MATCH(A244,'Base de données'!A$4:A$990,0),2),"")</f>
        <v/>
      </c>
      <c r="C244" s="112" t="str">
        <f>IF(A244&lt;&gt;"",INDEX('Base de données'!A$4:L$990,MATCH(A244,'Base de données'!A$4:A$990,0),12),"")</f>
        <v/>
      </c>
      <c r="D244" s="520"/>
      <c r="E244" s="488"/>
      <c r="F244" s="517"/>
      <c r="G244" s="490"/>
      <c r="H244" s="518"/>
      <c r="I244" s="492"/>
      <c r="J244" s="519"/>
      <c r="K244" s="494"/>
      <c r="L244" s="510"/>
      <c r="M244" s="496"/>
      <c r="N244" s="511"/>
      <c r="O244" s="498"/>
      <c r="P244" s="512"/>
      <c r="Q244" s="500"/>
      <c r="R244" s="513"/>
      <c r="S244" s="502"/>
      <c r="T244" s="514"/>
      <c r="U244" s="504"/>
      <c r="V244" s="516"/>
      <c r="W244" s="506"/>
      <c r="X244" s="515"/>
      <c r="Y244" s="507"/>
      <c r="Z244" s="508"/>
      <c r="AA244" s="509"/>
    </row>
    <row r="245" spans="1:27" hidden="1" x14ac:dyDescent="0.25">
      <c r="A245" s="486"/>
      <c r="B245" s="102" t="str">
        <f>IF(A245&lt;&gt;"",INDEX('Base de données'!A$4:L$990,MATCH(A245,'Base de données'!A$4:A$990,0),2),"")</f>
        <v/>
      </c>
      <c r="C245" s="112" t="str">
        <f>IF(A245&lt;&gt;"",INDEX('Base de données'!A$4:L$990,MATCH(A245,'Base de données'!A$4:A$990,0),12),"")</f>
        <v/>
      </c>
      <c r="D245" s="520"/>
      <c r="E245" s="488"/>
      <c r="F245" s="517"/>
      <c r="G245" s="490"/>
      <c r="H245" s="518"/>
      <c r="I245" s="492"/>
      <c r="J245" s="519"/>
      <c r="K245" s="494"/>
      <c r="L245" s="510"/>
      <c r="M245" s="496"/>
      <c r="N245" s="511"/>
      <c r="O245" s="498"/>
      <c r="P245" s="512"/>
      <c r="Q245" s="500"/>
      <c r="R245" s="513"/>
      <c r="S245" s="502"/>
      <c r="T245" s="514"/>
      <c r="U245" s="504"/>
      <c r="V245" s="516"/>
      <c r="W245" s="506"/>
      <c r="X245" s="515"/>
      <c r="Y245" s="507"/>
      <c r="Z245" s="508"/>
      <c r="AA245" s="509"/>
    </row>
    <row r="246" spans="1:27" hidden="1" x14ac:dyDescent="0.25">
      <c r="A246" s="486"/>
      <c r="B246" s="102" t="str">
        <f>IF(A246&lt;&gt;"",INDEX('Base de données'!A$4:L$990,MATCH(A246,'Base de données'!A$4:A$990,0),2),"")</f>
        <v/>
      </c>
      <c r="C246" s="112" t="str">
        <f>IF(A246&lt;&gt;"",INDEX('Base de données'!A$4:L$990,MATCH(A246,'Base de données'!A$4:A$990,0),12),"")</f>
        <v/>
      </c>
      <c r="D246" s="520"/>
      <c r="E246" s="488"/>
      <c r="F246" s="517"/>
      <c r="G246" s="490"/>
      <c r="H246" s="518"/>
      <c r="I246" s="492"/>
      <c r="J246" s="519"/>
      <c r="K246" s="494"/>
      <c r="L246" s="510"/>
      <c r="M246" s="496"/>
      <c r="N246" s="511"/>
      <c r="O246" s="498"/>
      <c r="P246" s="512"/>
      <c r="Q246" s="500"/>
      <c r="R246" s="513"/>
      <c r="S246" s="502"/>
      <c r="T246" s="514"/>
      <c r="U246" s="504"/>
      <c r="V246" s="516"/>
      <c r="W246" s="506"/>
      <c r="X246" s="515"/>
      <c r="Y246" s="507"/>
      <c r="Z246" s="508"/>
      <c r="AA246" s="509"/>
    </row>
    <row r="247" spans="1:27" hidden="1" x14ac:dyDescent="0.25">
      <c r="A247" s="486"/>
      <c r="B247" s="102" t="str">
        <f>IF(A247&lt;&gt;"",INDEX('Base de données'!A$4:L$990,MATCH(A247,'Base de données'!A$4:A$990,0),2),"")</f>
        <v/>
      </c>
      <c r="C247" s="112" t="str">
        <f>IF(A247&lt;&gt;"",INDEX('Base de données'!A$4:L$990,MATCH(A247,'Base de données'!A$4:A$990,0),12),"")</f>
        <v/>
      </c>
      <c r="D247" s="520"/>
      <c r="E247" s="488"/>
      <c r="F247" s="517"/>
      <c r="G247" s="490"/>
      <c r="H247" s="518"/>
      <c r="I247" s="492"/>
      <c r="J247" s="519"/>
      <c r="K247" s="494"/>
      <c r="L247" s="510"/>
      <c r="M247" s="496"/>
      <c r="N247" s="511"/>
      <c r="O247" s="498"/>
      <c r="P247" s="512"/>
      <c r="Q247" s="500"/>
      <c r="R247" s="513"/>
      <c r="S247" s="502"/>
      <c r="T247" s="514"/>
      <c r="U247" s="504"/>
      <c r="V247" s="516"/>
      <c r="W247" s="506"/>
      <c r="X247" s="515"/>
      <c r="Y247" s="507"/>
      <c r="Z247" s="508"/>
      <c r="AA247" s="509"/>
    </row>
    <row r="248" spans="1:27" hidden="1" x14ac:dyDescent="0.25">
      <c r="A248" s="486"/>
      <c r="B248" s="102" t="str">
        <f>IF(A248&lt;&gt;"",INDEX('Base de données'!A$4:L$990,MATCH(A248,'Base de données'!A$4:A$990,0),2),"")</f>
        <v/>
      </c>
      <c r="C248" s="112" t="str">
        <f>IF(A248&lt;&gt;"",INDEX('Base de données'!A$4:L$990,MATCH(A248,'Base de données'!A$4:A$990,0),12),"")</f>
        <v/>
      </c>
      <c r="D248" s="520"/>
      <c r="E248" s="488"/>
      <c r="F248" s="517"/>
      <c r="G248" s="490"/>
      <c r="H248" s="518"/>
      <c r="I248" s="492"/>
      <c r="J248" s="519"/>
      <c r="K248" s="494"/>
      <c r="L248" s="510"/>
      <c r="M248" s="496"/>
      <c r="N248" s="511"/>
      <c r="O248" s="498"/>
      <c r="P248" s="512"/>
      <c r="Q248" s="500"/>
      <c r="R248" s="513"/>
      <c r="S248" s="502"/>
      <c r="T248" s="514"/>
      <c r="U248" s="504"/>
      <c r="V248" s="516"/>
      <c r="W248" s="506"/>
      <c r="X248" s="515"/>
      <c r="Y248" s="507"/>
      <c r="Z248" s="508"/>
      <c r="AA248" s="509"/>
    </row>
    <row r="249" spans="1:27" hidden="1" x14ac:dyDescent="0.25">
      <c r="A249" s="486"/>
      <c r="B249" s="102" t="str">
        <f>IF(A249&lt;&gt;"",INDEX('Base de données'!A$4:L$990,MATCH(A249,'Base de données'!A$4:A$990,0),2),"")</f>
        <v/>
      </c>
      <c r="C249" s="112" t="str">
        <f>IF(A249&lt;&gt;"",INDEX('Base de données'!A$4:L$990,MATCH(A249,'Base de données'!A$4:A$990,0),12),"")</f>
        <v/>
      </c>
      <c r="D249" s="520"/>
      <c r="E249" s="488"/>
      <c r="F249" s="517"/>
      <c r="G249" s="490"/>
      <c r="H249" s="518"/>
      <c r="I249" s="492"/>
      <c r="J249" s="519"/>
      <c r="K249" s="494"/>
      <c r="L249" s="510"/>
      <c r="M249" s="496"/>
      <c r="N249" s="511"/>
      <c r="O249" s="498"/>
      <c r="P249" s="512"/>
      <c r="Q249" s="500"/>
      <c r="R249" s="513"/>
      <c r="S249" s="502"/>
      <c r="T249" s="514"/>
      <c r="U249" s="504"/>
      <c r="V249" s="516"/>
      <c r="W249" s="506"/>
      <c r="X249" s="515"/>
      <c r="Y249" s="507"/>
      <c r="Z249" s="508"/>
      <c r="AA249" s="509"/>
    </row>
    <row r="250" spans="1:27" hidden="1" x14ac:dyDescent="0.25">
      <c r="A250" s="486"/>
      <c r="B250" s="102" t="str">
        <f>IF(A250&lt;&gt;"",INDEX('Base de données'!A$4:L$990,MATCH(A250,'Base de données'!A$4:A$990,0),2),"")</f>
        <v/>
      </c>
      <c r="C250" s="112" t="str">
        <f>IF(A250&lt;&gt;"",INDEX('Base de données'!A$4:L$990,MATCH(A250,'Base de données'!A$4:A$990,0),12),"")</f>
        <v/>
      </c>
      <c r="D250" s="520"/>
      <c r="E250" s="488"/>
      <c r="F250" s="517"/>
      <c r="G250" s="490"/>
      <c r="H250" s="518"/>
      <c r="I250" s="492"/>
      <c r="J250" s="519"/>
      <c r="K250" s="494"/>
      <c r="L250" s="510"/>
      <c r="M250" s="496"/>
      <c r="N250" s="511"/>
      <c r="O250" s="498"/>
      <c r="P250" s="512"/>
      <c r="Q250" s="500"/>
      <c r="R250" s="513"/>
      <c r="S250" s="502"/>
      <c r="T250" s="514"/>
      <c r="U250" s="504"/>
      <c r="V250" s="516"/>
      <c r="W250" s="506"/>
      <c r="X250" s="515"/>
      <c r="Y250" s="507"/>
      <c r="Z250" s="508"/>
      <c r="AA250" s="509"/>
    </row>
    <row r="251" spans="1:27" hidden="1" x14ac:dyDescent="0.25">
      <c r="A251" s="486"/>
      <c r="B251" s="102" t="str">
        <f>IF(A251&lt;&gt;"",INDEX('Base de données'!A$4:L$990,MATCH(A251,'Base de données'!A$4:A$990,0),2),"")</f>
        <v/>
      </c>
      <c r="C251" s="112" t="str">
        <f>IF(A251&lt;&gt;"",INDEX('Base de données'!A$4:L$990,MATCH(A251,'Base de données'!A$4:A$990,0),12),"")</f>
        <v/>
      </c>
      <c r="D251" s="520"/>
      <c r="E251" s="488"/>
      <c r="F251" s="517"/>
      <c r="G251" s="490"/>
      <c r="H251" s="518"/>
      <c r="I251" s="492"/>
      <c r="J251" s="519"/>
      <c r="K251" s="494"/>
      <c r="L251" s="510"/>
      <c r="M251" s="496"/>
      <c r="N251" s="511"/>
      <c r="O251" s="498"/>
      <c r="P251" s="512"/>
      <c r="Q251" s="500"/>
      <c r="R251" s="513"/>
      <c r="S251" s="502"/>
      <c r="T251" s="514"/>
      <c r="U251" s="504"/>
      <c r="V251" s="516"/>
      <c r="W251" s="506"/>
      <c r="X251" s="515"/>
      <c r="Y251" s="507"/>
      <c r="Z251" s="508"/>
      <c r="AA251" s="509"/>
    </row>
    <row r="252" spans="1:27" hidden="1" x14ac:dyDescent="0.25">
      <c r="A252" s="486"/>
      <c r="B252" s="102" t="str">
        <f>IF(A252&lt;&gt;"",INDEX('Base de données'!A$4:L$990,MATCH(A252,'Base de données'!A$4:A$990,0),2),"")</f>
        <v/>
      </c>
      <c r="C252" s="112" t="str">
        <f>IF(A252&lt;&gt;"",INDEX('Base de données'!A$4:L$990,MATCH(A252,'Base de données'!A$4:A$990,0),12),"")</f>
        <v/>
      </c>
      <c r="D252" s="520"/>
      <c r="E252" s="488"/>
      <c r="F252" s="517"/>
      <c r="G252" s="490"/>
      <c r="H252" s="518"/>
      <c r="I252" s="492"/>
      <c r="J252" s="519"/>
      <c r="K252" s="494"/>
      <c r="L252" s="510"/>
      <c r="M252" s="496"/>
      <c r="N252" s="511"/>
      <c r="O252" s="498"/>
      <c r="P252" s="512"/>
      <c r="Q252" s="500"/>
      <c r="R252" s="513"/>
      <c r="S252" s="502"/>
      <c r="T252" s="514"/>
      <c r="U252" s="504"/>
      <c r="V252" s="516"/>
      <c r="W252" s="506"/>
      <c r="X252" s="515"/>
      <c r="Y252" s="507"/>
      <c r="Z252" s="508"/>
      <c r="AA252" s="509"/>
    </row>
    <row r="253" spans="1:27" hidden="1" x14ac:dyDescent="0.25">
      <c r="A253" s="486"/>
      <c r="B253" s="102" t="str">
        <f>IF(A253&lt;&gt;"",INDEX('Base de données'!A$4:L$990,MATCH(A253,'Base de données'!A$4:A$990,0),2),"")</f>
        <v/>
      </c>
      <c r="C253" s="112" t="str">
        <f>IF(A253&lt;&gt;"",INDEX('Base de données'!A$4:L$990,MATCH(A253,'Base de données'!A$4:A$990,0),12),"")</f>
        <v/>
      </c>
      <c r="D253" s="520"/>
      <c r="E253" s="488"/>
      <c r="F253" s="517"/>
      <c r="G253" s="490"/>
      <c r="H253" s="518"/>
      <c r="I253" s="492"/>
      <c r="J253" s="519"/>
      <c r="K253" s="494"/>
      <c r="L253" s="510"/>
      <c r="M253" s="496"/>
      <c r="N253" s="511"/>
      <c r="O253" s="498"/>
      <c r="P253" s="512"/>
      <c r="Q253" s="500"/>
      <c r="R253" s="513"/>
      <c r="S253" s="502"/>
      <c r="T253" s="514"/>
      <c r="U253" s="504"/>
      <c r="V253" s="516"/>
      <c r="W253" s="506"/>
      <c r="X253" s="515"/>
      <c r="Y253" s="507"/>
      <c r="Z253" s="508"/>
      <c r="AA253" s="509"/>
    </row>
    <row r="254" spans="1:27" hidden="1" x14ac:dyDescent="0.25">
      <c r="A254" s="486"/>
      <c r="B254" s="102" t="str">
        <f>IF(A254&lt;&gt;"",INDEX('Base de données'!A$4:L$990,MATCH(A254,'Base de données'!A$4:A$990,0),2),"")</f>
        <v/>
      </c>
      <c r="C254" s="112" t="str">
        <f>IF(A254&lt;&gt;"",INDEX('Base de données'!A$4:L$990,MATCH(A254,'Base de données'!A$4:A$990,0),12),"")</f>
        <v/>
      </c>
      <c r="D254" s="520"/>
      <c r="E254" s="488"/>
      <c r="F254" s="517"/>
      <c r="G254" s="490"/>
      <c r="H254" s="518"/>
      <c r="I254" s="492"/>
      <c r="J254" s="519"/>
      <c r="K254" s="494"/>
      <c r="L254" s="510"/>
      <c r="M254" s="496"/>
      <c r="N254" s="511"/>
      <c r="O254" s="498"/>
      <c r="P254" s="512"/>
      <c r="Q254" s="500"/>
      <c r="R254" s="513"/>
      <c r="S254" s="502"/>
      <c r="T254" s="514"/>
      <c r="U254" s="504"/>
      <c r="V254" s="516"/>
      <c r="W254" s="506"/>
      <c r="X254" s="515"/>
      <c r="Y254" s="507"/>
      <c r="Z254" s="508"/>
      <c r="AA254" s="509"/>
    </row>
    <row r="255" spans="1:27" hidden="1" x14ac:dyDescent="0.25">
      <c r="A255" s="486"/>
      <c r="B255" s="102" t="str">
        <f>IF(A255&lt;&gt;"",INDEX('Base de données'!A$4:L$990,MATCH(A255,'Base de données'!A$4:A$990,0),2),"")</f>
        <v/>
      </c>
      <c r="C255" s="112" t="str">
        <f>IF(A255&lt;&gt;"",INDEX('Base de données'!A$4:L$990,MATCH(A255,'Base de données'!A$4:A$990,0),12),"")</f>
        <v/>
      </c>
      <c r="D255" s="520"/>
      <c r="E255" s="488"/>
      <c r="F255" s="517"/>
      <c r="G255" s="490"/>
      <c r="H255" s="518"/>
      <c r="I255" s="492"/>
      <c r="J255" s="519"/>
      <c r="K255" s="494"/>
      <c r="L255" s="510"/>
      <c r="M255" s="496"/>
      <c r="N255" s="511"/>
      <c r="O255" s="498"/>
      <c r="P255" s="512"/>
      <c r="Q255" s="500"/>
      <c r="R255" s="513"/>
      <c r="S255" s="502"/>
      <c r="T255" s="514"/>
      <c r="U255" s="504"/>
      <c r="V255" s="516"/>
      <c r="W255" s="506"/>
      <c r="X255" s="515"/>
      <c r="Y255" s="507"/>
      <c r="Z255" s="508"/>
      <c r="AA255" s="509"/>
    </row>
    <row r="256" spans="1:27" hidden="1" x14ac:dyDescent="0.25">
      <c r="A256" s="486"/>
      <c r="B256" s="102" t="str">
        <f>IF(A256&lt;&gt;"",INDEX('Base de données'!A$4:L$990,MATCH(A256,'Base de données'!A$4:A$990,0),2),"")</f>
        <v/>
      </c>
      <c r="C256" s="112" t="str">
        <f>IF(A256&lt;&gt;"",INDEX('Base de données'!A$4:L$990,MATCH(A256,'Base de données'!A$4:A$990,0),12),"")</f>
        <v/>
      </c>
      <c r="D256" s="520"/>
      <c r="E256" s="488"/>
      <c r="F256" s="517"/>
      <c r="G256" s="490"/>
      <c r="H256" s="518"/>
      <c r="I256" s="492"/>
      <c r="J256" s="519"/>
      <c r="K256" s="494"/>
      <c r="L256" s="510"/>
      <c r="M256" s="496"/>
      <c r="N256" s="511"/>
      <c r="O256" s="498"/>
      <c r="P256" s="512"/>
      <c r="Q256" s="500"/>
      <c r="R256" s="513"/>
      <c r="S256" s="502"/>
      <c r="T256" s="514"/>
      <c r="U256" s="504"/>
      <c r="V256" s="516"/>
      <c r="W256" s="506"/>
      <c r="X256" s="515"/>
      <c r="Y256" s="507"/>
      <c r="Z256" s="508"/>
      <c r="AA256" s="509"/>
    </row>
    <row r="257" spans="1:27" hidden="1" x14ac:dyDescent="0.25">
      <c r="A257" s="486"/>
      <c r="B257" s="102" t="str">
        <f>IF(A257&lt;&gt;"",INDEX('Base de données'!A$4:L$990,MATCH(A257,'Base de données'!A$4:A$990,0),2),"")</f>
        <v/>
      </c>
      <c r="C257" s="112" t="str">
        <f>IF(A257&lt;&gt;"",INDEX('Base de données'!A$4:L$990,MATCH(A257,'Base de données'!A$4:A$990,0),12),"")</f>
        <v/>
      </c>
      <c r="D257" s="520"/>
      <c r="E257" s="488"/>
      <c r="F257" s="517"/>
      <c r="G257" s="490"/>
      <c r="H257" s="518"/>
      <c r="I257" s="492"/>
      <c r="J257" s="519"/>
      <c r="K257" s="494"/>
      <c r="L257" s="510"/>
      <c r="M257" s="496"/>
      <c r="N257" s="511"/>
      <c r="O257" s="498"/>
      <c r="P257" s="512"/>
      <c r="Q257" s="500"/>
      <c r="R257" s="513"/>
      <c r="S257" s="502"/>
      <c r="T257" s="514"/>
      <c r="U257" s="504"/>
      <c r="V257" s="516"/>
      <c r="W257" s="506"/>
      <c r="X257" s="515"/>
      <c r="Y257" s="507"/>
      <c r="Z257" s="508"/>
      <c r="AA257" s="509"/>
    </row>
    <row r="258" spans="1:27" hidden="1" x14ac:dyDescent="0.25">
      <c r="A258" s="486"/>
      <c r="B258" s="102" t="str">
        <f>IF(A258&lt;&gt;"",INDEX('Base de données'!A$4:L$990,MATCH(A258,'Base de données'!A$4:A$990,0),2),"")</f>
        <v/>
      </c>
      <c r="C258" s="112" t="str">
        <f>IF(A258&lt;&gt;"",INDEX('Base de données'!A$4:L$990,MATCH(A258,'Base de données'!A$4:A$990,0),12),"")</f>
        <v/>
      </c>
      <c r="D258" s="520"/>
      <c r="E258" s="488"/>
      <c r="F258" s="517"/>
      <c r="G258" s="490"/>
      <c r="H258" s="518"/>
      <c r="I258" s="492"/>
      <c r="J258" s="519"/>
      <c r="K258" s="494"/>
      <c r="L258" s="510"/>
      <c r="M258" s="496"/>
      <c r="N258" s="511"/>
      <c r="O258" s="498"/>
      <c r="P258" s="512"/>
      <c r="Q258" s="500"/>
      <c r="R258" s="513"/>
      <c r="S258" s="502"/>
      <c r="T258" s="514"/>
      <c r="U258" s="504"/>
      <c r="V258" s="516"/>
      <c r="W258" s="506"/>
      <c r="X258" s="515"/>
      <c r="Y258" s="507"/>
      <c r="Z258" s="508"/>
      <c r="AA258" s="509"/>
    </row>
    <row r="259" spans="1:27" hidden="1" x14ac:dyDescent="0.25">
      <c r="A259" s="486"/>
      <c r="B259" s="102" t="str">
        <f>IF(A259&lt;&gt;"",INDEX('Base de données'!A$4:L$990,MATCH(A259,'Base de données'!A$4:A$990,0),2),"")</f>
        <v/>
      </c>
      <c r="C259" s="112" t="str">
        <f>IF(A259&lt;&gt;"",INDEX('Base de données'!A$4:L$990,MATCH(A259,'Base de données'!A$4:A$990,0),12),"")</f>
        <v/>
      </c>
      <c r="D259" s="520"/>
      <c r="E259" s="488"/>
      <c r="F259" s="517"/>
      <c r="G259" s="490"/>
      <c r="H259" s="518"/>
      <c r="I259" s="492"/>
      <c r="J259" s="519"/>
      <c r="K259" s="494"/>
      <c r="L259" s="510"/>
      <c r="M259" s="496"/>
      <c r="N259" s="511"/>
      <c r="O259" s="498"/>
      <c r="P259" s="512"/>
      <c r="Q259" s="500"/>
      <c r="R259" s="513"/>
      <c r="S259" s="502"/>
      <c r="T259" s="514"/>
      <c r="U259" s="504"/>
      <c r="V259" s="516"/>
      <c r="W259" s="506"/>
      <c r="X259" s="515"/>
      <c r="Y259" s="507"/>
      <c r="Z259" s="508"/>
      <c r="AA259" s="509"/>
    </row>
    <row r="260" spans="1:27" hidden="1" x14ac:dyDescent="0.25">
      <c r="A260" s="486"/>
      <c r="B260" s="102" t="str">
        <f>IF(A260&lt;&gt;"",INDEX('Base de données'!A$4:L$990,MATCH(A260,'Base de données'!A$4:A$990,0),2),"")</f>
        <v/>
      </c>
      <c r="C260" s="112" t="str">
        <f>IF(A260&lt;&gt;"",INDEX('Base de données'!A$4:L$990,MATCH(A260,'Base de données'!A$4:A$990,0),12),"")</f>
        <v/>
      </c>
      <c r="D260" s="520"/>
      <c r="E260" s="488"/>
      <c r="F260" s="517"/>
      <c r="G260" s="490"/>
      <c r="H260" s="518"/>
      <c r="I260" s="492"/>
      <c r="J260" s="519"/>
      <c r="K260" s="494"/>
      <c r="L260" s="510"/>
      <c r="M260" s="496"/>
      <c r="N260" s="511"/>
      <c r="O260" s="498"/>
      <c r="P260" s="512"/>
      <c r="Q260" s="500"/>
      <c r="R260" s="513"/>
      <c r="S260" s="502"/>
      <c r="T260" s="514"/>
      <c r="U260" s="504"/>
      <c r="V260" s="516"/>
      <c r="W260" s="506"/>
      <c r="X260" s="515"/>
      <c r="Y260" s="507"/>
      <c r="Z260" s="508"/>
      <c r="AA260" s="509"/>
    </row>
    <row r="261" spans="1:27" hidden="1" x14ac:dyDescent="0.25">
      <c r="A261" s="486"/>
      <c r="B261" s="102" t="str">
        <f>IF(A261&lt;&gt;"",INDEX('Base de données'!A$4:L$990,MATCH(A261,'Base de données'!A$4:A$990,0),2),"")</f>
        <v/>
      </c>
      <c r="C261" s="112" t="str">
        <f>IF(A261&lt;&gt;"",INDEX('Base de données'!A$4:L$990,MATCH(A261,'Base de données'!A$4:A$990,0),12),"")</f>
        <v/>
      </c>
      <c r="D261" s="520"/>
      <c r="E261" s="488"/>
      <c r="F261" s="517"/>
      <c r="G261" s="490"/>
      <c r="H261" s="518"/>
      <c r="I261" s="492"/>
      <c r="J261" s="519"/>
      <c r="K261" s="494"/>
      <c r="L261" s="510"/>
      <c r="M261" s="496"/>
      <c r="N261" s="511"/>
      <c r="O261" s="498"/>
      <c r="P261" s="512"/>
      <c r="Q261" s="500"/>
      <c r="R261" s="513"/>
      <c r="S261" s="502"/>
      <c r="T261" s="514"/>
      <c r="U261" s="504"/>
      <c r="V261" s="516"/>
      <c r="W261" s="506"/>
      <c r="X261" s="515"/>
      <c r="Y261" s="507"/>
      <c r="Z261" s="508"/>
      <c r="AA261" s="509"/>
    </row>
    <row r="262" spans="1:27" hidden="1" x14ac:dyDescent="0.25">
      <c r="A262" s="486"/>
      <c r="B262" s="102" t="str">
        <f>IF(A262&lt;&gt;"",INDEX('Base de données'!A$4:L$990,MATCH(A262,'Base de données'!A$4:A$990,0),2),"")</f>
        <v/>
      </c>
      <c r="C262" s="112" t="str">
        <f>IF(A262&lt;&gt;"",INDEX('Base de données'!A$4:L$990,MATCH(A262,'Base de données'!A$4:A$990,0),12),"")</f>
        <v/>
      </c>
      <c r="D262" s="520"/>
      <c r="E262" s="488"/>
      <c r="F262" s="517"/>
      <c r="G262" s="490"/>
      <c r="H262" s="518"/>
      <c r="I262" s="492"/>
      <c r="J262" s="519"/>
      <c r="K262" s="494"/>
      <c r="L262" s="510"/>
      <c r="M262" s="496"/>
      <c r="N262" s="511"/>
      <c r="O262" s="498"/>
      <c r="P262" s="512"/>
      <c r="Q262" s="500"/>
      <c r="R262" s="513"/>
      <c r="S262" s="502"/>
      <c r="T262" s="514"/>
      <c r="U262" s="504"/>
      <c r="V262" s="516"/>
      <c r="W262" s="506"/>
      <c r="X262" s="515"/>
      <c r="Y262" s="507"/>
      <c r="Z262" s="508"/>
      <c r="AA262" s="509"/>
    </row>
    <row r="263" spans="1:27" hidden="1" x14ac:dyDescent="0.25">
      <c r="A263" s="486"/>
      <c r="B263" s="102" t="str">
        <f>IF(A263&lt;&gt;"",INDEX('Base de données'!A$4:L$990,MATCH(A263,'Base de données'!A$4:A$990,0),2),"")</f>
        <v/>
      </c>
      <c r="C263" s="112" t="str">
        <f>IF(A263&lt;&gt;"",INDEX('Base de données'!A$4:L$990,MATCH(A263,'Base de données'!A$4:A$990,0),12),"")</f>
        <v/>
      </c>
      <c r="D263" s="520"/>
      <c r="E263" s="488"/>
      <c r="F263" s="517"/>
      <c r="G263" s="490"/>
      <c r="H263" s="518"/>
      <c r="I263" s="492"/>
      <c r="J263" s="519"/>
      <c r="K263" s="494"/>
      <c r="L263" s="510"/>
      <c r="M263" s="496"/>
      <c r="N263" s="511"/>
      <c r="O263" s="498"/>
      <c r="P263" s="512"/>
      <c r="Q263" s="500"/>
      <c r="R263" s="513"/>
      <c r="S263" s="502"/>
      <c r="T263" s="514"/>
      <c r="U263" s="504"/>
      <c r="V263" s="516"/>
      <c r="W263" s="506"/>
      <c r="X263" s="515"/>
      <c r="Y263" s="507"/>
      <c r="Z263" s="508"/>
      <c r="AA263" s="509"/>
    </row>
    <row r="264" spans="1:27" hidden="1" x14ac:dyDescent="0.25">
      <c r="A264" s="486"/>
      <c r="B264" s="102" t="str">
        <f>IF(A264&lt;&gt;"",INDEX('Base de données'!A$4:L$990,MATCH(A264,'Base de données'!A$4:A$990,0),2),"")</f>
        <v/>
      </c>
      <c r="C264" s="112" t="str">
        <f>IF(A264&lt;&gt;"",INDEX('Base de données'!A$4:L$990,MATCH(A264,'Base de données'!A$4:A$990,0),12),"")</f>
        <v/>
      </c>
      <c r="D264" s="520"/>
      <c r="E264" s="488"/>
      <c r="F264" s="517"/>
      <c r="G264" s="490"/>
      <c r="H264" s="518"/>
      <c r="I264" s="492"/>
      <c r="J264" s="519"/>
      <c r="K264" s="494"/>
      <c r="L264" s="510"/>
      <c r="M264" s="496"/>
      <c r="N264" s="511"/>
      <c r="O264" s="498"/>
      <c r="P264" s="512"/>
      <c r="Q264" s="500"/>
      <c r="R264" s="513"/>
      <c r="S264" s="502"/>
      <c r="T264" s="514"/>
      <c r="U264" s="504"/>
      <c r="V264" s="516"/>
      <c r="W264" s="506"/>
      <c r="X264" s="515"/>
      <c r="Y264" s="507"/>
      <c r="Z264" s="508"/>
      <c r="AA264" s="509"/>
    </row>
    <row r="265" spans="1:27" hidden="1" x14ac:dyDescent="0.25">
      <c r="A265" s="486"/>
      <c r="B265" s="102" t="str">
        <f>IF(A265&lt;&gt;"",INDEX('Base de données'!A$4:L$990,MATCH(A265,'Base de données'!A$4:A$990,0),2),"")</f>
        <v/>
      </c>
      <c r="C265" s="112" t="str">
        <f>IF(A265&lt;&gt;"",INDEX('Base de données'!A$4:L$990,MATCH(A265,'Base de données'!A$4:A$990,0),12),"")</f>
        <v/>
      </c>
      <c r="D265" s="520"/>
      <c r="E265" s="488"/>
      <c r="F265" s="517"/>
      <c r="G265" s="490"/>
      <c r="H265" s="518"/>
      <c r="I265" s="492"/>
      <c r="J265" s="519"/>
      <c r="K265" s="494"/>
      <c r="L265" s="510"/>
      <c r="M265" s="496"/>
      <c r="N265" s="511"/>
      <c r="O265" s="498"/>
      <c r="P265" s="512"/>
      <c r="Q265" s="500"/>
      <c r="R265" s="513"/>
      <c r="S265" s="502"/>
      <c r="T265" s="514"/>
      <c r="U265" s="504"/>
      <c r="V265" s="516"/>
      <c r="W265" s="506"/>
      <c r="X265" s="515"/>
      <c r="Y265" s="507"/>
      <c r="Z265" s="508"/>
      <c r="AA265" s="509"/>
    </row>
    <row r="266" spans="1:27" hidden="1" x14ac:dyDescent="0.25">
      <c r="A266" s="486"/>
      <c r="B266" s="102" t="str">
        <f>IF(A266&lt;&gt;"",INDEX('Base de données'!A$4:L$990,MATCH(A266,'Base de données'!A$4:A$990,0),2),"")</f>
        <v/>
      </c>
      <c r="C266" s="112" t="str">
        <f>IF(A266&lt;&gt;"",INDEX('Base de données'!A$4:L$990,MATCH(A266,'Base de données'!A$4:A$990,0),12),"")</f>
        <v/>
      </c>
      <c r="D266" s="520"/>
      <c r="E266" s="488"/>
      <c r="F266" s="517"/>
      <c r="G266" s="490"/>
      <c r="H266" s="518"/>
      <c r="I266" s="492"/>
      <c r="J266" s="519"/>
      <c r="K266" s="494"/>
      <c r="L266" s="510"/>
      <c r="M266" s="496"/>
      <c r="N266" s="511"/>
      <c r="O266" s="498"/>
      <c r="P266" s="512"/>
      <c r="Q266" s="500"/>
      <c r="R266" s="513"/>
      <c r="S266" s="502"/>
      <c r="T266" s="514"/>
      <c r="U266" s="504"/>
      <c r="V266" s="516"/>
      <c r="W266" s="506"/>
      <c r="X266" s="515"/>
      <c r="Y266" s="507"/>
      <c r="Z266" s="508"/>
      <c r="AA266" s="509"/>
    </row>
    <row r="267" spans="1:27" hidden="1" x14ac:dyDescent="0.25">
      <c r="A267" s="486"/>
      <c r="B267" s="102" t="str">
        <f>IF(A267&lt;&gt;"",INDEX('Base de données'!A$4:L$990,MATCH(A267,'Base de données'!A$4:A$990,0),2),"")</f>
        <v/>
      </c>
      <c r="C267" s="112" t="str">
        <f>IF(A267&lt;&gt;"",INDEX('Base de données'!A$4:L$990,MATCH(A267,'Base de données'!A$4:A$990,0),12),"")</f>
        <v/>
      </c>
      <c r="D267" s="520"/>
      <c r="E267" s="488"/>
      <c r="F267" s="517"/>
      <c r="G267" s="490"/>
      <c r="H267" s="518"/>
      <c r="I267" s="492"/>
      <c r="J267" s="519"/>
      <c r="K267" s="494"/>
      <c r="L267" s="510"/>
      <c r="M267" s="496"/>
      <c r="N267" s="511"/>
      <c r="O267" s="498"/>
      <c r="P267" s="512"/>
      <c r="Q267" s="500"/>
      <c r="R267" s="513"/>
      <c r="S267" s="502"/>
      <c r="T267" s="514"/>
      <c r="U267" s="504"/>
      <c r="V267" s="516"/>
      <c r="W267" s="506"/>
      <c r="X267" s="515"/>
      <c r="Y267" s="507"/>
      <c r="Z267" s="508"/>
      <c r="AA267" s="509"/>
    </row>
    <row r="268" spans="1:27" hidden="1" x14ac:dyDescent="0.25">
      <c r="A268" s="486"/>
      <c r="B268" s="102" t="str">
        <f>IF(A268&lt;&gt;"",INDEX('Base de données'!A$4:L$990,MATCH(A268,'Base de données'!A$4:A$990,0),2),"")</f>
        <v/>
      </c>
      <c r="C268" s="112" t="str">
        <f>IF(A268&lt;&gt;"",INDEX('Base de données'!A$4:L$990,MATCH(A268,'Base de données'!A$4:A$990,0),12),"")</f>
        <v/>
      </c>
      <c r="D268" s="520"/>
      <c r="E268" s="488"/>
      <c r="F268" s="517"/>
      <c r="G268" s="490"/>
      <c r="H268" s="518"/>
      <c r="I268" s="492"/>
      <c r="J268" s="519"/>
      <c r="K268" s="494"/>
      <c r="L268" s="510"/>
      <c r="M268" s="496"/>
      <c r="N268" s="511"/>
      <c r="O268" s="498"/>
      <c r="P268" s="512"/>
      <c r="Q268" s="500"/>
      <c r="R268" s="513"/>
      <c r="S268" s="502"/>
      <c r="T268" s="514"/>
      <c r="U268" s="504"/>
      <c r="V268" s="516"/>
      <c r="W268" s="506"/>
      <c r="X268" s="515"/>
      <c r="Y268" s="507"/>
      <c r="Z268" s="508"/>
      <c r="AA268" s="509"/>
    </row>
    <row r="269" spans="1:27" hidden="1" x14ac:dyDescent="0.25">
      <c r="A269" s="486"/>
      <c r="B269" s="102" t="str">
        <f>IF(A269&lt;&gt;"",INDEX('Base de données'!A$4:L$990,MATCH(A269,'Base de données'!A$4:A$990,0),2),"")</f>
        <v/>
      </c>
      <c r="C269" s="112" t="str">
        <f>IF(A269&lt;&gt;"",INDEX('Base de données'!A$4:L$990,MATCH(A269,'Base de données'!A$4:A$990,0),12),"")</f>
        <v/>
      </c>
      <c r="D269" s="520"/>
      <c r="E269" s="488"/>
      <c r="F269" s="517"/>
      <c r="G269" s="490"/>
      <c r="H269" s="518"/>
      <c r="I269" s="492"/>
      <c r="J269" s="519"/>
      <c r="K269" s="494"/>
      <c r="L269" s="510"/>
      <c r="M269" s="496"/>
      <c r="N269" s="511"/>
      <c r="O269" s="498"/>
      <c r="P269" s="512"/>
      <c r="Q269" s="500"/>
      <c r="R269" s="513"/>
      <c r="S269" s="502"/>
      <c r="T269" s="514"/>
      <c r="U269" s="504"/>
      <c r="V269" s="516"/>
      <c r="W269" s="506"/>
      <c r="X269" s="515"/>
      <c r="Y269" s="507"/>
      <c r="Z269" s="508"/>
      <c r="AA269" s="509"/>
    </row>
    <row r="270" spans="1:27" hidden="1" x14ac:dyDescent="0.25">
      <c r="A270" s="486"/>
      <c r="B270" s="102" t="str">
        <f>IF(A270&lt;&gt;"",INDEX('Base de données'!A$4:L$990,MATCH(A270,'Base de données'!A$4:A$990,0),2),"")</f>
        <v/>
      </c>
      <c r="C270" s="112" t="str">
        <f>IF(A270&lt;&gt;"",INDEX('Base de données'!A$4:L$990,MATCH(A270,'Base de données'!A$4:A$990,0),12),"")</f>
        <v/>
      </c>
      <c r="D270" s="520"/>
      <c r="E270" s="488"/>
      <c r="F270" s="517"/>
      <c r="G270" s="490"/>
      <c r="H270" s="518"/>
      <c r="I270" s="492"/>
      <c r="J270" s="519"/>
      <c r="K270" s="494"/>
      <c r="L270" s="510"/>
      <c r="M270" s="496"/>
      <c r="N270" s="511"/>
      <c r="O270" s="498"/>
      <c r="P270" s="512"/>
      <c r="Q270" s="500"/>
      <c r="R270" s="513"/>
      <c r="S270" s="502"/>
      <c r="T270" s="514"/>
      <c r="U270" s="504"/>
      <c r="V270" s="516"/>
      <c r="W270" s="506"/>
      <c r="X270" s="515"/>
      <c r="Y270" s="507"/>
      <c r="Z270" s="508"/>
      <c r="AA270" s="509"/>
    </row>
    <row r="271" spans="1:27" hidden="1" x14ac:dyDescent="0.25">
      <c r="A271" s="486"/>
      <c r="B271" s="102" t="str">
        <f>IF(A271&lt;&gt;"",INDEX('Base de données'!A$4:L$990,MATCH(A271,'Base de données'!A$4:A$990,0),2),"")</f>
        <v/>
      </c>
      <c r="C271" s="112" t="str">
        <f>IF(A271&lt;&gt;"",INDEX('Base de données'!A$4:L$990,MATCH(A271,'Base de données'!A$4:A$990,0),12),"")</f>
        <v/>
      </c>
      <c r="D271" s="520"/>
      <c r="E271" s="488"/>
      <c r="F271" s="517"/>
      <c r="G271" s="490"/>
      <c r="H271" s="518"/>
      <c r="I271" s="492"/>
      <c r="J271" s="519"/>
      <c r="K271" s="494"/>
      <c r="L271" s="510"/>
      <c r="M271" s="496"/>
      <c r="N271" s="511"/>
      <c r="O271" s="498"/>
      <c r="P271" s="512"/>
      <c r="Q271" s="500"/>
      <c r="R271" s="513"/>
      <c r="S271" s="502"/>
      <c r="T271" s="514"/>
      <c r="U271" s="504"/>
      <c r="V271" s="516"/>
      <c r="W271" s="506"/>
      <c r="X271" s="515"/>
      <c r="Y271" s="507"/>
      <c r="Z271" s="508"/>
      <c r="AA271" s="509"/>
    </row>
    <row r="272" spans="1:27" hidden="1" x14ac:dyDescent="0.25">
      <c r="A272" s="486"/>
      <c r="B272" s="102" t="str">
        <f>IF(A272&lt;&gt;"",INDEX('Base de données'!A$4:L$990,MATCH(A272,'Base de données'!A$4:A$990,0),2),"")</f>
        <v/>
      </c>
      <c r="C272" s="112" t="str">
        <f>IF(A272&lt;&gt;"",INDEX('Base de données'!A$4:L$990,MATCH(A272,'Base de données'!A$4:A$990,0),12),"")</f>
        <v/>
      </c>
      <c r="D272" s="520"/>
      <c r="E272" s="488"/>
      <c r="F272" s="517"/>
      <c r="G272" s="490"/>
      <c r="H272" s="518"/>
      <c r="I272" s="492"/>
      <c r="J272" s="519"/>
      <c r="K272" s="494"/>
      <c r="L272" s="510"/>
      <c r="M272" s="496"/>
      <c r="N272" s="511"/>
      <c r="O272" s="498"/>
      <c r="P272" s="512"/>
      <c r="Q272" s="500"/>
      <c r="R272" s="513"/>
      <c r="S272" s="502"/>
      <c r="T272" s="514"/>
      <c r="U272" s="504"/>
      <c r="V272" s="516"/>
      <c r="W272" s="506"/>
      <c r="X272" s="515"/>
      <c r="Y272" s="507"/>
      <c r="Z272" s="508"/>
      <c r="AA272" s="509"/>
    </row>
    <row r="273" spans="1:27" hidden="1" x14ac:dyDescent="0.25">
      <c r="A273" s="486"/>
      <c r="B273" s="102" t="str">
        <f>IF(A273&lt;&gt;"",INDEX('Base de données'!A$4:L$990,MATCH(A273,'Base de données'!A$4:A$990,0),2),"")</f>
        <v/>
      </c>
      <c r="C273" s="112" t="str">
        <f>IF(A273&lt;&gt;"",INDEX('Base de données'!A$4:L$990,MATCH(A273,'Base de données'!A$4:A$990,0),12),"")</f>
        <v/>
      </c>
      <c r="D273" s="520"/>
      <c r="E273" s="488"/>
      <c r="F273" s="517"/>
      <c r="G273" s="490"/>
      <c r="H273" s="518"/>
      <c r="I273" s="492"/>
      <c r="J273" s="519"/>
      <c r="K273" s="494"/>
      <c r="L273" s="510"/>
      <c r="M273" s="496"/>
      <c r="N273" s="511"/>
      <c r="O273" s="498"/>
      <c r="P273" s="512"/>
      <c r="Q273" s="500"/>
      <c r="R273" s="513"/>
      <c r="S273" s="502"/>
      <c r="T273" s="514"/>
      <c r="U273" s="504"/>
      <c r="V273" s="516"/>
      <c r="W273" s="506"/>
      <c r="X273" s="515"/>
      <c r="Y273" s="507"/>
      <c r="Z273" s="508"/>
      <c r="AA273" s="509"/>
    </row>
    <row r="274" spans="1:27" hidden="1" x14ac:dyDescent="0.25">
      <c r="A274" s="486"/>
      <c r="B274" s="102" t="str">
        <f>IF(A274&lt;&gt;"",INDEX('Base de données'!A$4:L$990,MATCH(A274,'Base de données'!A$4:A$990,0),2),"")</f>
        <v/>
      </c>
      <c r="C274" s="112" t="str">
        <f>IF(A274&lt;&gt;"",INDEX('Base de données'!A$4:L$990,MATCH(A274,'Base de données'!A$4:A$990,0),12),"")</f>
        <v/>
      </c>
      <c r="D274" s="520"/>
      <c r="E274" s="488"/>
      <c r="F274" s="517"/>
      <c r="G274" s="490"/>
      <c r="H274" s="518"/>
      <c r="I274" s="492"/>
      <c r="J274" s="519"/>
      <c r="K274" s="494"/>
      <c r="L274" s="510"/>
      <c r="M274" s="496"/>
      <c r="N274" s="511"/>
      <c r="O274" s="498"/>
      <c r="P274" s="512"/>
      <c r="Q274" s="500"/>
      <c r="R274" s="513"/>
      <c r="S274" s="502"/>
      <c r="T274" s="514"/>
      <c r="U274" s="504"/>
      <c r="V274" s="516"/>
      <c r="W274" s="506"/>
      <c r="X274" s="515"/>
      <c r="Y274" s="507"/>
      <c r="Z274" s="508"/>
      <c r="AA274" s="509"/>
    </row>
    <row r="275" spans="1:27" hidden="1" x14ac:dyDescent="0.25">
      <c r="A275" s="486"/>
      <c r="B275" s="102" t="str">
        <f>IF(A275&lt;&gt;"",INDEX('Base de données'!A$4:L$990,MATCH(A275,'Base de données'!A$4:A$990,0),2),"")</f>
        <v/>
      </c>
      <c r="C275" s="112" t="str">
        <f>IF(A275&lt;&gt;"",INDEX('Base de données'!A$4:L$990,MATCH(A275,'Base de données'!A$4:A$990,0),12),"")</f>
        <v/>
      </c>
      <c r="D275" s="520"/>
      <c r="E275" s="488"/>
      <c r="F275" s="517"/>
      <c r="G275" s="490"/>
      <c r="H275" s="518"/>
      <c r="I275" s="492"/>
      <c r="J275" s="519"/>
      <c r="K275" s="494"/>
      <c r="L275" s="510"/>
      <c r="M275" s="496"/>
      <c r="N275" s="511"/>
      <c r="O275" s="498"/>
      <c r="P275" s="512"/>
      <c r="Q275" s="500"/>
      <c r="R275" s="513"/>
      <c r="S275" s="502"/>
      <c r="T275" s="514"/>
      <c r="U275" s="504"/>
      <c r="V275" s="516"/>
      <c r="W275" s="506"/>
      <c r="X275" s="515"/>
      <c r="Y275" s="507"/>
      <c r="Z275" s="508"/>
      <c r="AA275" s="509"/>
    </row>
    <row r="276" spans="1:27" hidden="1" x14ac:dyDescent="0.25">
      <c r="A276" s="486"/>
      <c r="B276" s="102" t="str">
        <f>IF(A276&lt;&gt;"",INDEX('Base de données'!A$4:L$990,MATCH(A276,'Base de données'!A$4:A$990,0),2),"")</f>
        <v/>
      </c>
      <c r="C276" s="112" t="str">
        <f>IF(A276&lt;&gt;"",INDEX('Base de données'!A$4:L$990,MATCH(A276,'Base de données'!A$4:A$990,0),12),"")</f>
        <v/>
      </c>
      <c r="D276" s="520"/>
      <c r="E276" s="488"/>
      <c r="F276" s="517"/>
      <c r="G276" s="490"/>
      <c r="H276" s="518"/>
      <c r="I276" s="492"/>
      <c r="J276" s="519"/>
      <c r="K276" s="494"/>
      <c r="L276" s="510"/>
      <c r="M276" s="496"/>
      <c r="N276" s="511"/>
      <c r="O276" s="498"/>
      <c r="P276" s="512"/>
      <c r="Q276" s="500"/>
      <c r="R276" s="513"/>
      <c r="S276" s="502"/>
      <c r="T276" s="514"/>
      <c r="U276" s="504"/>
      <c r="V276" s="516"/>
      <c r="W276" s="506"/>
      <c r="X276" s="515"/>
      <c r="Y276" s="507"/>
      <c r="Z276" s="508"/>
      <c r="AA276" s="509"/>
    </row>
    <row r="277" spans="1:27" hidden="1" x14ac:dyDescent="0.25">
      <c r="A277" s="486"/>
      <c r="B277" s="102" t="str">
        <f>IF(A277&lt;&gt;"",INDEX('Base de données'!A$4:L$990,MATCH(A277,'Base de données'!A$4:A$990,0),2),"")</f>
        <v/>
      </c>
      <c r="C277" s="112" t="str">
        <f>IF(A277&lt;&gt;"",INDEX('Base de données'!A$4:L$990,MATCH(A277,'Base de données'!A$4:A$990,0),12),"")</f>
        <v/>
      </c>
      <c r="D277" s="520"/>
      <c r="E277" s="488"/>
      <c r="F277" s="517"/>
      <c r="G277" s="490"/>
      <c r="H277" s="518"/>
      <c r="I277" s="492"/>
      <c r="J277" s="519"/>
      <c r="K277" s="494"/>
      <c r="L277" s="510"/>
      <c r="M277" s="496"/>
      <c r="N277" s="511"/>
      <c r="O277" s="498"/>
      <c r="P277" s="512"/>
      <c r="Q277" s="500"/>
      <c r="R277" s="513"/>
      <c r="S277" s="502"/>
      <c r="T277" s="514"/>
      <c r="U277" s="504"/>
      <c r="V277" s="516"/>
      <c r="W277" s="506"/>
      <c r="X277" s="515"/>
      <c r="Y277" s="507"/>
      <c r="Z277" s="508"/>
      <c r="AA277" s="509"/>
    </row>
    <row r="278" spans="1:27" hidden="1" x14ac:dyDescent="0.25">
      <c r="A278" s="486"/>
      <c r="B278" s="102" t="str">
        <f>IF(A278&lt;&gt;"",INDEX('Base de données'!A$4:L$990,MATCH(A278,'Base de données'!A$4:A$990,0),2),"")</f>
        <v/>
      </c>
      <c r="C278" s="112" t="str">
        <f>IF(A278&lt;&gt;"",INDEX('Base de données'!A$4:L$990,MATCH(A278,'Base de données'!A$4:A$990,0),12),"")</f>
        <v/>
      </c>
      <c r="D278" s="520"/>
      <c r="E278" s="488"/>
      <c r="F278" s="517"/>
      <c r="G278" s="490"/>
      <c r="H278" s="518"/>
      <c r="I278" s="492"/>
      <c r="J278" s="519"/>
      <c r="K278" s="494"/>
      <c r="L278" s="510"/>
      <c r="M278" s="496"/>
      <c r="N278" s="511"/>
      <c r="O278" s="498"/>
      <c r="P278" s="512"/>
      <c r="Q278" s="500"/>
      <c r="R278" s="513"/>
      <c r="S278" s="502"/>
      <c r="T278" s="514"/>
      <c r="U278" s="504"/>
      <c r="V278" s="516"/>
      <c r="W278" s="506"/>
      <c r="X278" s="515"/>
      <c r="Y278" s="507"/>
      <c r="Z278" s="508"/>
      <c r="AA278" s="509"/>
    </row>
    <row r="279" spans="1:27" hidden="1" x14ac:dyDescent="0.25">
      <c r="A279" s="486"/>
      <c r="B279" s="102" t="str">
        <f>IF(A279&lt;&gt;"",INDEX('Base de données'!A$4:L$990,MATCH(A279,'Base de données'!A$4:A$990,0),2),"")</f>
        <v/>
      </c>
      <c r="C279" s="112" t="str">
        <f>IF(A279&lt;&gt;"",INDEX('Base de données'!A$4:L$990,MATCH(A279,'Base de données'!A$4:A$990,0),12),"")</f>
        <v/>
      </c>
      <c r="D279" s="520"/>
      <c r="E279" s="488"/>
      <c r="F279" s="517"/>
      <c r="G279" s="490"/>
      <c r="H279" s="518"/>
      <c r="I279" s="492"/>
      <c r="J279" s="519"/>
      <c r="K279" s="494"/>
      <c r="L279" s="510"/>
      <c r="M279" s="496"/>
      <c r="N279" s="511"/>
      <c r="O279" s="498"/>
      <c r="P279" s="512"/>
      <c r="Q279" s="500"/>
      <c r="R279" s="513"/>
      <c r="S279" s="502"/>
      <c r="T279" s="514"/>
      <c r="U279" s="504"/>
      <c r="V279" s="516"/>
      <c r="W279" s="506"/>
      <c r="X279" s="515"/>
      <c r="Y279" s="507"/>
      <c r="Z279" s="508"/>
      <c r="AA279" s="509"/>
    </row>
    <row r="280" spans="1:27" hidden="1" x14ac:dyDescent="0.25">
      <c r="A280" s="486"/>
      <c r="B280" s="102" t="str">
        <f>IF(A280&lt;&gt;"",INDEX('Base de données'!A$4:L$990,MATCH(A280,'Base de données'!A$4:A$990,0),2),"")</f>
        <v/>
      </c>
      <c r="C280" s="112" t="str">
        <f>IF(A280&lt;&gt;"",INDEX('Base de données'!A$4:L$990,MATCH(A280,'Base de données'!A$4:A$990,0),12),"")</f>
        <v/>
      </c>
      <c r="D280" s="520"/>
      <c r="E280" s="488"/>
      <c r="F280" s="517"/>
      <c r="G280" s="490"/>
      <c r="H280" s="518"/>
      <c r="I280" s="492"/>
      <c r="J280" s="519"/>
      <c r="K280" s="494"/>
      <c r="L280" s="510"/>
      <c r="M280" s="496"/>
      <c r="N280" s="511"/>
      <c r="O280" s="498"/>
      <c r="P280" s="512"/>
      <c r="Q280" s="500"/>
      <c r="R280" s="513"/>
      <c r="S280" s="502"/>
      <c r="T280" s="514"/>
      <c r="U280" s="504"/>
      <c r="V280" s="516"/>
      <c r="W280" s="506"/>
      <c r="X280" s="515"/>
      <c r="Y280" s="507"/>
      <c r="Z280" s="508"/>
      <c r="AA280" s="509"/>
    </row>
    <row r="281" spans="1:27" hidden="1" x14ac:dyDescent="0.25">
      <c r="A281" s="486"/>
      <c r="B281" s="102" t="str">
        <f>IF(A281&lt;&gt;"",INDEX('Base de données'!A$4:L$990,MATCH(A281,'Base de données'!A$4:A$990,0),2),"")</f>
        <v/>
      </c>
      <c r="C281" s="112" t="str">
        <f>IF(A281&lt;&gt;"",INDEX('Base de données'!A$4:L$990,MATCH(A281,'Base de données'!A$4:A$990,0),12),"")</f>
        <v/>
      </c>
      <c r="D281" s="520"/>
      <c r="E281" s="488"/>
      <c r="F281" s="517"/>
      <c r="G281" s="490"/>
      <c r="H281" s="518"/>
      <c r="I281" s="492"/>
      <c r="J281" s="519"/>
      <c r="K281" s="494"/>
      <c r="L281" s="510"/>
      <c r="M281" s="496"/>
      <c r="N281" s="511"/>
      <c r="O281" s="498"/>
      <c r="P281" s="512"/>
      <c r="Q281" s="500"/>
      <c r="R281" s="513"/>
      <c r="S281" s="502"/>
      <c r="T281" s="514"/>
      <c r="U281" s="504"/>
      <c r="V281" s="516"/>
      <c r="W281" s="506"/>
      <c r="X281" s="515"/>
      <c r="Y281" s="507"/>
      <c r="Z281" s="508"/>
      <c r="AA281" s="509"/>
    </row>
    <row r="282" spans="1:27" hidden="1" x14ac:dyDescent="0.25">
      <c r="A282" s="486"/>
      <c r="B282" s="102" t="str">
        <f>IF(A282&lt;&gt;"",INDEX('Base de données'!A$4:L$990,MATCH(A282,'Base de données'!A$4:A$990,0),2),"")</f>
        <v/>
      </c>
      <c r="C282" s="112" t="str">
        <f>IF(A282&lt;&gt;"",INDEX('Base de données'!A$4:L$990,MATCH(A282,'Base de données'!A$4:A$990,0),12),"")</f>
        <v/>
      </c>
      <c r="D282" s="520"/>
      <c r="E282" s="488"/>
      <c r="F282" s="517"/>
      <c r="G282" s="490"/>
      <c r="H282" s="518"/>
      <c r="I282" s="492"/>
      <c r="J282" s="519"/>
      <c r="K282" s="494"/>
      <c r="L282" s="510"/>
      <c r="M282" s="496"/>
      <c r="N282" s="511"/>
      <c r="O282" s="498"/>
      <c r="P282" s="512"/>
      <c r="Q282" s="500"/>
      <c r="R282" s="513"/>
      <c r="S282" s="502"/>
      <c r="T282" s="514"/>
      <c r="U282" s="504"/>
      <c r="V282" s="516"/>
      <c r="W282" s="506"/>
      <c r="X282" s="515"/>
      <c r="Y282" s="507"/>
      <c r="Z282" s="508"/>
      <c r="AA282" s="509"/>
    </row>
    <row r="283" spans="1:27" hidden="1" x14ac:dyDescent="0.25">
      <c r="A283" s="486"/>
      <c r="B283" s="102" t="str">
        <f>IF(A283&lt;&gt;"",INDEX('Base de données'!A$4:L$990,MATCH(A283,'Base de données'!A$4:A$990,0),2),"")</f>
        <v/>
      </c>
      <c r="C283" s="112" t="str">
        <f>IF(A283&lt;&gt;"",INDEX('Base de données'!A$4:L$990,MATCH(A283,'Base de données'!A$4:A$990,0),12),"")</f>
        <v/>
      </c>
      <c r="D283" s="520"/>
      <c r="E283" s="488"/>
      <c r="F283" s="517"/>
      <c r="G283" s="490"/>
      <c r="H283" s="518"/>
      <c r="I283" s="492"/>
      <c r="J283" s="519"/>
      <c r="K283" s="494"/>
      <c r="L283" s="510"/>
      <c r="M283" s="496"/>
      <c r="N283" s="511"/>
      <c r="O283" s="498"/>
      <c r="P283" s="512"/>
      <c r="Q283" s="500"/>
      <c r="R283" s="513"/>
      <c r="S283" s="502"/>
      <c r="T283" s="514"/>
      <c r="U283" s="504"/>
      <c r="V283" s="516"/>
      <c r="W283" s="506"/>
      <c r="X283" s="515"/>
      <c r="Y283" s="507"/>
      <c r="Z283" s="508"/>
      <c r="AA283" s="509"/>
    </row>
    <row r="284" spans="1:27" hidden="1" x14ac:dyDescent="0.25">
      <c r="A284" s="486"/>
      <c r="B284" s="102" t="str">
        <f>IF(A284&lt;&gt;"",INDEX('Base de données'!A$4:L$990,MATCH(A284,'Base de données'!A$4:A$990,0),2),"")</f>
        <v/>
      </c>
      <c r="C284" s="112" t="str">
        <f>IF(A284&lt;&gt;"",INDEX('Base de données'!A$4:L$990,MATCH(A284,'Base de données'!A$4:A$990,0),12),"")</f>
        <v/>
      </c>
      <c r="D284" s="520"/>
      <c r="E284" s="488"/>
      <c r="F284" s="517"/>
      <c r="G284" s="490"/>
      <c r="H284" s="518"/>
      <c r="I284" s="492"/>
      <c r="J284" s="519"/>
      <c r="K284" s="494"/>
      <c r="L284" s="510"/>
      <c r="M284" s="496"/>
      <c r="N284" s="511"/>
      <c r="O284" s="498"/>
      <c r="P284" s="512"/>
      <c r="Q284" s="500"/>
      <c r="R284" s="513"/>
      <c r="S284" s="502"/>
      <c r="T284" s="514"/>
      <c r="U284" s="504"/>
      <c r="V284" s="516"/>
      <c r="W284" s="506"/>
      <c r="X284" s="515"/>
      <c r="Y284" s="507"/>
      <c r="Z284" s="508"/>
      <c r="AA284" s="509"/>
    </row>
    <row r="285" spans="1:27" hidden="1" x14ac:dyDescent="0.25">
      <c r="A285" s="486"/>
      <c r="B285" s="102" t="str">
        <f>IF(A285&lt;&gt;"",INDEX('Base de données'!A$4:L$990,MATCH(A285,'Base de données'!A$4:A$990,0),2),"")</f>
        <v/>
      </c>
      <c r="C285" s="112" t="str">
        <f>IF(A285&lt;&gt;"",INDEX('Base de données'!A$4:L$990,MATCH(A285,'Base de données'!A$4:A$990,0),12),"")</f>
        <v/>
      </c>
      <c r="D285" s="520"/>
      <c r="E285" s="488"/>
      <c r="F285" s="517"/>
      <c r="G285" s="490"/>
      <c r="H285" s="518"/>
      <c r="I285" s="492"/>
      <c r="J285" s="519"/>
      <c r="K285" s="494"/>
      <c r="L285" s="510"/>
      <c r="M285" s="496"/>
      <c r="N285" s="511"/>
      <c r="O285" s="498"/>
      <c r="P285" s="512"/>
      <c r="Q285" s="500"/>
      <c r="R285" s="513"/>
      <c r="S285" s="502"/>
      <c r="T285" s="514"/>
      <c r="U285" s="504"/>
      <c r="V285" s="516"/>
      <c r="W285" s="506"/>
      <c r="X285" s="515"/>
      <c r="Y285" s="507"/>
      <c r="Z285" s="508"/>
      <c r="AA285" s="509"/>
    </row>
    <row r="286" spans="1:27" hidden="1" x14ac:dyDescent="0.25">
      <c r="A286" s="486"/>
      <c r="B286" s="102" t="str">
        <f>IF(A286&lt;&gt;"",INDEX('Base de données'!A$4:L$990,MATCH(A286,'Base de données'!A$4:A$990,0),2),"")</f>
        <v/>
      </c>
      <c r="C286" s="112" t="str">
        <f>IF(A286&lt;&gt;"",INDEX('Base de données'!A$4:L$990,MATCH(A286,'Base de données'!A$4:A$990,0),12),"")</f>
        <v/>
      </c>
      <c r="D286" s="520"/>
      <c r="E286" s="488"/>
      <c r="F286" s="517"/>
      <c r="G286" s="490"/>
      <c r="H286" s="518"/>
      <c r="I286" s="492"/>
      <c r="J286" s="519"/>
      <c r="K286" s="494"/>
      <c r="L286" s="510"/>
      <c r="M286" s="496"/>
      <c r="N286" s="511"/>
      <c r="O286" s="498"/>
      <c r="P286" s="512"/>
      <c r="Q286" s="500"/>
      <c r="R286" s="513"/>
      <c r="S286" s="502"/>
      <c r="T286" s="514"/>
      <c r="U286" s="504"/>
      <c r="V286" s="516"/>
      <c r="W286" s="506"/>
      <c r="X286" s="515"/>
      <c r="Y286" s="507"/>
      <c r="Z286" s="508"/>
      <c r="AA286" s="509"/>
    </row>
    <row r="287" spans="1:27" hidden="1" x14ac:dyDescent="0.25">
      <c r="A287" s="486"/>
      <c r="B287" s="102" t="str">
        <f>IF(A287&lt;&gt;"",INDEX('Base de données'!A$4:L$990,MATCH(A287,'Base de données'!A$4:A$990,0),2),"")</f>
        <v/>
      </c>
      <c r="C287" s="112" t="str">
        <f>IF(A287&lt;&gt;"",INDEX('Base de données'!A$4:L$990,MATCH(A287,'Base de données'!A$4:A$990,0),12),"")</f>
        <v/>
      </c>
      <c r="D287" s="520"/>
      <c r="E287" s="488"/>
      <c r="F287" s="517"/>
      <c r="G287" s="490"/>
      <c r="H287" s="518"/>
      <c r="I287" s="492"/>
      <c r="J287" s="519"/>
      <c r="K287" s="494"/>
      <c r="L287" s="510"/>
      <c r="M287" s="496"/>
      <c r="N287" s="511"/>
      <c r="O287" s="498"/>
      <c r="P287" s="512"/>
      <c r="Q287" s="500"/>
      <c r="R287" s="513"/>
      <c r="S287" s="502"/>
      <c r="T287" s="514"/>
      <c r="U287" s="504"/>
      <c r="V287" s="516"/>
      <c r="W287" s="506"/>
      <c r="X287" s="515"/>
      <c r="Y287" s="507"/>
      <c r="Z287" s="508"/>
      <c r="AA287" s="509"/>
    </row>
    <row r="288" spans="1:27" hidden="1" x14ac:dyDescent="0.25">
      <c r="A288" s="486"/>
      <c r="B288" s="102" t="str">
        <f>IF(A288&lt;&gt;"",INDEX('Base de données'!A$4:L$990,MATCH(A288,'Base de données'!A$4:A$990,0),2),"")</f>
        <v/>
      </c>
      <c r="C288" s="112" t="str">
        <f>IF(A288&lt;&gt;"",INDEX('Base de données'!A$4:L$990,MATCH(A288,'Base de données'!A$4:A$990,0),12),"")</f>
        <v/>
      </c>
      <c r="D288" s="520"/>
      <c r="E288" s="488"/>
      <c r="F288" s="517"/>
      <c r="G288" s="490"/>
      <c r="H288" s="518"/>
      <c r="I288" s="492"/>
      <c r="J288" s="519"/>
      <c r="K288" s="494"/>
      <c r="L288" s="510"/>
      <c r="M288" s="496"/>
      <c r="N288" s="511"/>
      <c r="O288" s="498"/>
      <c r="P288" s="512"/>
      <c r="Q288" s="500"/>
      <c r="R288" s="513"/>
      <c r="S288" s="502"/>
      <c r="T288" s="514"/>
      <c r="U288" s="504"/>
      <c r="V288" s="516"/>
      <c r="W288" s="506"/>
      <c r="X288" s="515"/>
      <c r="Y288" s="507"/>
      <c r="Z288" s="508"/>
      <c r="AA288" s="509"/>
    </row>
    <row r="289" spans="1:27" hidden="1" x14ac:dyDescent="0.25">
      <c r="A289" s="486"/>
      <c r="B289" s="102" t="str">
        <f>IF(A289&lt;&gt;"",INDEX('Base de données'!A$4:L$990,MATCH(A289,'Base de données'!A$4:A$990,0),2),"")</f>
        <v/>
      </c>
      <c r="C289" s="112" t="str">
        <f>IF(A289&lt;&gt;"",INDEX('Base de données'!A$4:L$990,MATCH(A289,'Base de données'!A$4:A$990,0),12),"")</f>
        <v/>
      </c>
      <c r="D289" s="520"/>
      <c r="E289" s="488"/>
      <c r="F289" s="517"/>
      <c r="G289" s="490"/>
      <c r="H289" s="518"/>
      <c r="I289" s="492"/>
      <c r="J289" s="519"/>
      <c r="K289" s="494"/>
      <c r="L289" s="510"/>
      <c r="M289" s="496"/>
      <c r="N289" s="511"/>
      <c r="O289" s="498"/>
      <c r="P289" s="512"/>
      <c r="Q289" s="500"/>
      <c r="R289" s="513"/>
      <c r="S289" s="502"/>
      <c r="T289" s="514"/>
      <c r="U289" s="504"/>
      <c r="V289" s="516"/>
      <c r="W289" s="506"/>
      <c r="X289" s="515"/>
      <c r="Y289" s="507"/>
      <c r="Z289" s="508"/>
      <c r="AA289" s="509"/>
    </row>
    <row r="290" spans="1:27" hidden="1" x14ac:dyDescent="0.25">
      <c r="A290" s="486"/>
      <c r="B290" s="102" t="str">
        <f>IF(A290&lt;&gt;"",INDEX('Base de données'!A$4:L$990,MATCH(A290,'Base de données'!A$4:A$990,0),2),"")</f>
        <v/>
      </c>
      <c r="C290" s="112" t="str">
        <f>IF(A290&lt;&gt;"",INDEX('Base de données'!A$4:L$990,MATCH(A290,'Base de données'!A$4:A$990,0),12),"")</f>
        <v/>
      </c>
      <c r="D290" s="520"/>
      <c r="E290" s="488"/>
      <c r="F290" s="517"/>
      <c r="G290" s="490"/>
      <c r="H290" s="518"/>
      <c r="I290" s="492"/>
      <c r="J290" s="519"/>
      <c r="K290" s="494"/>
      <c r="L290" s="510"/>
      <c r="M290" s="496"/>
      <c r="N290" s="511"/>
      <c r="O290" s="498"/>
      <c r="P290" s="512"/>
      <c r="Q290" s="500"/>
      <c r="R290" s="513"/>
      <c r="S290" s="502"/>
      <c r="T290" s="514"/>
      <c r="U290" s="504"/>
      <c r="V290" s="516"/>
      <c r="W290" s="506"/>
      <c r="X290" s="515"/>
      <c r="Y290" s="507"/>
      <c r="Z290" s="508"/>
      <c r="AA290" s="509"/>
    </row>
    <row r="291" spans="1:27" hidden="1" x14ac:dyDescent="0.25">
      <c r="A291" s="486"/>
      <c r="B291" s="102" t="str">
        <f>IF(A291&lt;&gt;"",INDEX('Base de données'!A$4:L$990,MATCH(A291,'Base de données'!A$4:A$990,0),2),"")</f>
        <v/>
      </c>
      <c r="C291" s="112" t="str">
        <f>IF(A291&lt;&gt;"",INDEX('Base de données'!A$4:L$990,MATCH(A291,'Base de données'!A$4:A$990,0),12),"")</f>
        <v/>
      </c>
      <c r="D291" s="520"/>
      <c r="E291" s="488"/>
      <c r="F291" s="517"/>
      <c r="G291" s="490"/>
      <c r="H291" s="518"/>
      <c r="I291" s="492"/>
      <c r="J291" s="519"/>
      <c r="K291" s="494"/>
      <c r="L291" s="510"/>
      <c r="M291" s="496"/>
      <c r="N291" s="511"/>
      <c r="O291" s="498"/>
      <c r="P291" s="512"/>
      <c r="Q291" s="500"/>
      <c r="R291" s="513"/>
      <c r="S291" s="502"/>
      <c r="T291" s="514"/>
      <c r="U291" s="504"/>
      <c r="V291" s="516"/>
      <c r="W291" s="506"/>
      <c r="X291" s="515"/>
      <c r="Y291" s="507"/>
      <c r="Z291" s="508"/>
      <c r="AA291" s="509"/>
    </row>
    <row r="292" spans="1:27" hidden="1" x14ac:dyDescent="0.25">
      <c r="A292" s="486"/>
      <c r="B292" s="102" t="str">
        <f>IF(A292&lt;&gt;"",INDEX('Base de données'!A$4:L$990,MATCH(A292,'Base de données'!A$4:A$990,0),2),"")</f>
        <v/>
      </c>
      <c r="C292" s="112" t="str">
        <f>IF(A292&lt;&gt;"",INDEX('Base de données'!A$4:L$990,MATCH(A292,'Base de données'!A$4:A$990,0),12),"")</f>
        <v/>
      </c>
      <c r="D292" s="520"/>
      <c r="E292" s="488"/>
      <c r="F292" s="517"/>
      <c r="G292" s="490"/>
      <c r="H292" s="518"/>
      <c r="I292" s="492"/>
      <c r="J292" s="519"/>
      <c r="K292" s="494"/>
      <c r="L292" s="510"/>
      <c r="M292" s="496"/>
      <c r="N292" s="511"/>
      <c r="O292" s="498"/>
      <c r="P292" s="512"/>
      <c r="Q292" s="500"/>
      <c r="R292" s="513"/>
      <c r="S292" s="502"/>
      <c r="T292" s="514"/>
      <c r="U292" s="504"/>
      <c r="V292" s="516"/>
      <c r="W292" s="506"/>
      <c r="X292" s="515"/>
      <c r="Y292" s="507"/>
      <c r="Z292" s="508"/>
      <c r="AA292" s="509"/>
    </row>
    <row r="293" spans="1:27" hidden="1" x14ac:dyDescent="0.25">
      <c r="A293" s="486"/>
      <c r="B293" s="102" t="str">
        <f>IF(A293&lt;&gt;"",INDEX('Base de données'!A$4:L$990,MATCH(A293,'Base de données'!A$4:A$990,0),2),"")</f>
        <v/>
      </c>
      <c r="C293" s="112" t="str">
        <f>IF(A293&lt;&gt;"",INDEX('Base de données'!A$4:L$990,MATCH(A293,'Base de données'!A$4:A$990,0),12),"")</f>
        <v/>
      </c>
      <c r="D293" s="520"/>
      <c r="E293" s="488"/>
      <c r="F293" s="517"/>
      <c r="G293" s="490"/>
      <c r="H293" s="518"/>
      <c r="I293" s="492"/>
      <c r="J293" s="519"/>
      <c r="K293" s="494"/>
      <c r="L293" s="510"/>
      <c r="M293" s="496"/>
      <c r="N293" s="511"/>
      <c r="O293" s="498"/>
      <c r="P293" s="512"/>
      <c r="Q293" s="500"/>
      <c r="R293" s="513"/>
      <c r="S293" s="502"/>
      <c r="T293" s="514"/>
      <c r="U293" s="504"/>
      <c r="V293" s="516"/>
      <c r="W293" s="506"/>
      <c r="X293" s="515"/>
      <c r="Y293" s="507"/>
      <c r="Z293" s="508"/>
      <c r="AA293" s="509"/>
    </row>
    <row r="294" spans="1:27" hidden="1" x14ac:dyDescent="0.25">
      <c r="A294" s="486"/>
      <c r="B294" s="102" t="str">
        <f>IF(A294&lt;&gt;"",INDEX('Base de données'!A$4:L$990,MATCH(A294,'Base de données'!A$4:A$990,0),2),"")</f>
        <v/>
      </c>
      <c r="C294" s="112" t="str">
        <f>IF(A294&lt;&gt;"",INDEX('Base de données'!A$4:L$990,MATCH(A294,'Base de données'!A$4:A$990,0),12),"")</f>
        <v/>
      </c>
      <c r="D294" s="520"/>
      <c r="E294" s="488"/>
      <c r="F294" s="517"/>
      <c r="G294" s="490"/>
      <c r="H294" s="518"/>
      <c r="I294" s="492"/>
      <c r="J294" s="519"/>
      <c r="K294" s="494"/>
      <c r="L294" s="510"/>
      <c r="M294" s="496"/>
      <c r="N294" s="511"/>
      <c r="O294" s="498"/>
      <c r="P294" s="512"/>
      <c r="Q294" s="500"/>
      <c r="R294" s="513"/>
      <c r="S294" s="502"/>
      <c r="T294" s="514"/>
      <c r="U294" s="504"/>
      <c r="V294" s="516"/>
      <c r="W294" s="506"/>
      <c r="X294" s="515"/>
      <c r="Y294" s="507"/>
      <c r="Z294" s="508"/>
      <c r="AA294" s="509"/>
    </row>
    <row r="295" spans="1:27" hidden="1" x14ac:dyDescent="0.25">
      <c r="A295" s="486"/>
      <c r="B295" s="102" t="str">
        <f>IF(A295&lt;&gt;"",INDEX('Base de données'!A$4:L$990,MATCH(A295,'Base de données'!A$4:A$990,0),2),"")</f>
        <v/>
      </c>
      <c r="C295" s="112" t="str">
        <f>IF(A295&lt;&gt;"",INDEX('Base de données'!A$4:L$990,MATCH(A295,'Base de données'!A$4:A$990,0),12),"")</f>
        <v/>
      </c>
      <c r="D295" s="520"/>
      <c r="E295" s="488"/>
      <c r="F295" s="517"/>
      <c r="G295" s="490"/>
      <c r="H295" s="518"/>
      <c r="I295" s="492"/>
      <c r="J295" s="519"/>
      <c r="K295" s="494"/>
      <c r="L295" s="510"/>
      <c r="M295" s="496"/>
      <c r="N295" s="511"/>
      <c r="O295" s="498"/>
      <c r="P295" s="512"/>
      <c r="Q295" s="500"/>
      <c r="R295" s="513"/>
      <c r="S295" s="502"/>
      <c r="T295" s="514"/>
      <c r="U295" s="504"/>
      <c r="V295" s="516"/>
      <c r="W295" s="506"/>
      <c r="X295" s="515"/>
      <c r="Y295" s="507"/>
      <c r="Z295" s="508"/>
      <c r="AA295" s="509"/>
    </row>
    <row r="296" spans="1:27" hidden="1" x14ac:dyDescent="0.25">
      <c r="A296" s="486"/>
      <c r="B296" s="102" t="str">
        <f>IF(A296&lt;&gt;"",INDEX('Base de données'!A$4:L$990,MATCH(A296,'Base de données'!A$4:A$990,0),2),"")</f>
        <v/>
      </c>
      <c r="C296" s="112" t="str">
        <f>IF(A296&lt;&gt;"",INDEX('Base de données'!A$4:L$990,MATCH(A296,'Base de données'!A$4:A$990,0),12),"")</f>
        <v/>
      </c>
      <c r="D296" s="520"/>
      <c r="E296" s="488"/>
      <c r="F296" s="517"/>
      <c r="G296" s="490"/>
      <c r="H296" s="518"/>
      <c r="I296" s="492"/>
      <c r="J296" s="519"/>
      <c r="K296" s="494"/>
      <c r="L296" s="510"/>
      <c r="M296" s="496"/>
      <c r="N296" s="511"/>
      <c r="O296" s="498"/>
      <c r="P296" s="512"/>
      <c r="Q296" s="500"/>
      <c r="R296" s="513"/>
      <c r="S296" s="502"/>
      <c r="T296" s="514"/>
      <c r="U296" s="504"/>
      <c r="V296" s="516"/>
      <c r="W296" s="506"/>
      <c r="X296" s="515"/>
      <c r="Y296" s="507"/>
      <c r="Z296" s="508"/>
      <c r="AA296" s="509"/>
    </row>
    <row r="297" spans="1:27" hidden="1" x14ac:dyDescent="0.25">
      <c r="A297" s="486"/>
      <c r="B297" s="102" t="str">
        <f>IF(A297&lt;&gt;"",INDEX('Base de données'!A$4:L$990,MATCH(A297,'Base de données'!A$4:A$990,0),2),"")</f>
        <v/>
      </c>
      <c r="C297" s="112" t="str">
        <f>IF(A297&lt;&gt;"",INDEX('Base de données'!A$4:L$990,MATCH(A297,'Base de données'!A$4:A$990,0),12),"")</f>
        <v/>
      </c>
      <c r="D297" s="520"/>
      <c r="E297" s="488"/>
      <c r="F297" s="517"/>
      <c r="G297" s="490"/>
      <c r="H297" s="518"/>
      <c r="I297" s="492"/>
      <c r="J297" s="519"/>
      <c r="K297" s="494"/>
      <c r="L297" s="510"/>
      <c r="M297" s="496"/>
      <c r="N297" s="511"/>
      <c r="O297" s="498"/>
      <c r="P297" s="512"/>
      <c r="Q297" s="500"/>
      <c r="R297" s="513"/>
      <c r="S297" s="502"/>
      <c r="T297" s="514"/>
      <c r="U297" s="504"/>
      <c r="V297" s="516"/>
      <c r="W297" s="506"/>
      <c r="X297" s="515"/>
      <c r="Y297" s="507"/>
      <c r="Z297" s="508"/>
      <c r="AA297" s="509"/>
    </row>
    <row r="298" spans="1:27" hidden="1" x14ac:dyDescent="0.25">
      <c r="A298" s="486"/>
      <c r="B298" s="102" t="str">
        <f>IF(A298&lt;&gt;"",INDEX('Base de données'!A$4:L$990,MATCH(A298,'Base de données'!A$4:A$990,0),2),"")</f>
        <v/>
      </c>
      <c r="C298" s="112" t="str">
        <f>IF(A298&lt;&gt;"",INDEX('Base de données'!A$4:L$990,MATCH(A298,'Base de données'!A$4:A$990,0),12),"")</f>
        <v/>
      </c>
      <c r="D298" s="520"/>
      <c r="E298" s="488"/>
      <c r="F298" s="517"/>
      <c r="G298" s="490"/>
      <c r="H298" s="518"/>
      <c r="I298" s="492"/>
      <c r="J298" s="519"/>
      <c r="K298" s="494"/>
      <c r="L298" s="510"/>
      <c r="M298" s="496"/>
      <c r="N298" s="511"/>
      <c r="O298" s="498"/>
      <c r="P298" s="512"/>
      <c r="Q298" s="500"/>
      <c r="R298" s="513"/>
      <c r="S298" s="502"/>
      <c r="T298" s="514"/>
      <c r="U298" s="504"/>
      <c r="V298" s="516"/>
      <c r="W298" s="506"/>
      <c r="X298" s="515"/>
      <c r="Y298" s="507"/>
      <c r="Z298" s="508"/>
      <c r="AA298" s="509"/>
    </row>
    <row r="299" spans="1:27" hidden="1" x14ac:dyDescent="0.25">
      <c r="A299" s="486"/>
      <c r="B299" s="102" t="str">
        <f>IF(A299&lt;&gt;"",INDEX('Base de données'!A$4:L$990,MATCH(A299,'Base de données'!A$4:A$990,0),2),"")</f>
        <v/>
      </c>
      <c r="C299" s="112" t="str">
        <f>IF(A299&lt;&gt;"",INDEX('Base de données'!A$4:L$990,MATCH(A299,'Base de données'!A$4:A$990,0),12),"")</f>
        <v/>
      </c>
      <c r="D299" s="520"/>
      <c r="E299" s="488"/>
      <c r="F299" s="517"/>
      <c r="G299" s="490"/>
      <c r="H299" s="518"/>
      <c r="I299" s="492"/>
      <c r="J299" s="519"/>
      <c r="K299" s="494"/>
      <c r="L299" s="510"/>
      <c r="M299" s="496"/>
      <c r="N299" s="511"/>
      <c r="O299" s="498"/>
      <c r="P299" s="512"/>
      <c r="Q299" s="500"/>
      <c r="R299" s="513"/>
      <c r="S299" s="502"/>
      <c r="T299" s="514"/>
      <c r="U299" s="504"/>
      <c r="V299" s="516"/>
      <c r="W299" s="506"/>
      <c r="X299" s="515"/>
      <c r="Y299" s="507"/>
      <c r="Z299" s="508"/>
      <c r="AA299" s="509"/>
    </row>
    <row r="300" spans="1:27" hidden="1" x14ac:dyDescent="0.25">
      <c r="A300" s="486"/>
      <c r="B300" s="102" t="str">
        <f>IF(A300&lt;&gt;"",INDEX('Base de données'!A$4:L$990,MATCH(A300,'Base de données'!A$4:A$990,0),2),"")</f>
        <v/>
      </c>
      <c r="C300" s="112" t="str">
        <f>IF(A300&lt;&gt;"",INDEX('Base de données'!A$4:L$990,MATCH(A300,'Base de données'!A$4:A$990,0),12),"")</f>
        <v/>
      </c>
      <c r="D300" s="520"/>
      <c r="E300" s="488"/>
      <c r="F300" s="517"/>
      <c r="G300" s="490"/>
      <c r="H300" s="518"/>
      <c r="I300" s="492"/>
      <c r="J300" s="519"/>
      <c r="K300" s="494"/>
      <c r="L300" s="510"/>
      <c r="M300" s="496"/>
      <c r="N300" s="511"/>
      <c r="O300" s="498"/>
      <c r="P300" s="512"/>
      <c r="Q300" s="500"/>
      <c r="R300" s="513"/>
      <c r="S300" s="502"/>
      <c r="T300" s="514"/>
      <c r="U300" s="504"/>
      <c r="V300" s="516"/>
      <c r="W300" s="506"/>
      <c r="X300" s="515"/>
      <c r="Y300" s="507"/>
      <c r="Z300" s="508"/>
      <c r="AA300" s="509"/>
    </row>
    <row r="301" spans="1:27" hidden="1" x14ac:dyDescent="0.25">
      <c r="A301" s="486"/>
      <c r="B301" s="102" t="str">
        <f>IF(A301&lt;&gt;"",INDEX('Base de données'!A$4:L$990,MATCH(A301,'Base de données'!A$4:A$990,0),2),"")</f>
        <v/>
      </c>
      <c r="C301" s="112" t="str">
        <f>IF(A301&lt;&gt;"",INDEX('Base de données'!A$4:L$990,MATCH(A301,'Base de données'!A$4:A$990,0),12),"")</f>
        <v/>
      </c>
      <c r="D301" s="520"/>
      <c r="E301" s="488"/>
      <c r="F301" s="517"/>
      <c r="G301" s="490"/>
      <c r="H301" s="518"/>
      <c r="I301" s="492"/>
      <c r="J301" s="519"/>
      <c r="K301" s="494"/>
      <c r="L301" s="510"/>
      <c r="M301" s="496"/>
      <c r="N301" s="511"/>
      <c r="O301" s="498"/>
      <c r="P301" s="512"/>
      <c r="Q301" s="500"/>
      <c r="R301" s="513"/>
      <c r="S301" s="502"/>
      <c r="T301" s="514"/>
      <c r="U301" s="504"/>
      <c r="V301" s="516"/>
      <c r="W301" s="506"/>
      <c r="X301" s="515"/>
      <c r="Y301" s="507"/>
      <c r="Z301" s="508"/>
      <c r="AA301" s="509"/>
    </row>
    <row r="302" spans="1:27" hidden="1" x14ac:dyDescent="0.25">
      <c r="A302" s="486"/>
      <c r="B302" s="102" t="str">
        <f>IF(A302&lt;&gt;"",INDEX('Base de données'!A$4:L$990,MATCH(A302,'Base de données'!A$4:A$990,0),2),"")</f>
        <v/>
      </c>
      <c r="C302" s="112" t="str">
        <f>IF(A302&lt;&gt;"",INDEX('Base de données'!A$4:L$990,MATCH(A302,'Base de données'!A$4:A$990,0),12),"")</f>
        <v/>
      </c>
      <c r="D302" s="520"/>
      <c r="E302" s="488"/>
      <c r="F302" s="517"/>
      <c r="G302" s="490"/>
      <c r="H302" s="518"/>
      <c r="I302" s="492"/>
      <c r="J302" s="519"/>
      <c r="K302" s="494"/>
      <c r="L302" s="510"/>
      <c r="M302" s="496"/>
      <c r="N302" s="511"/>
      <c r="O302" s="498"/>
      <c r="P302" s="512"/>
      <c r="Q302" s="500"/>
      <c r="R302" s="513"/>
      <c r="S302" s="502"/>
      <c r="T302" s="514"/>
      <c r="U302" s="504"/>
      <c r="V302" s="516"/>
      <c r="W302" s="506"/>
      <c r="X302" s="515"/>
      <c r="Y302" s="507"/>
      <c r="Z302" s="508"/>
      <c r="AA302" s="509"/>
    </row>
    <row r="303" spans="1:27" hidden="1" x14ac:dyDescent="0.25">
      <c r="A303" s="486"/>
      <c r="B303" s="102" t="str">
        <f>IF(A303&lt;&gt;"",INDEX('Base de données'!A$4:L$990,MATCH(A303,'Base de données'!A$4:A$990,0),2),"")</f>
        <v/>
      </c>
      <c r="C303" s="112" t="str">
        <f>IF(A303&lt;&gt;"",INDEX('Base de données'!A$4:L$990,MATCH(A303,'Base de données'!A$4:A$990,0),12),"")</f>
        <v/>
      </c>
      <c r="D303" s="520"/>
      <c r="E303" s="488"/>
      <c r="F303" s="517"/>
      <c r="G303" s="490"/>
      <c r="H303" s="518"/>
      <c r="I303" s="492"/>
      <c r="J303" s="519"/>
      <c r="K303" s="494"/>
      <c r="L303" s="510"/>
      <c r="M303" s="496"/>
      <c r="N303" s="511"/>
      <c r="O303" s="498"/>
      <c r="P303" s="512"/>
      <c r="Q303" s="500"/>
      <c r="R303" s="513"/>
      <c r="S303" s="502"/>
      <c r="T303" s="514"/>
      <c r="U303" s="504"/>
      <c r="V303" s="516"/>
      <c r="W303" s="506"/>
      <c r="X303" s="515"/>
      <c r="Y303" s="507"/>
      <c r="Z303" s="508"/>
      <c r="AA303" s="509"/>
    </row>
    <row r="304" spans="1:27" hidden="1" x14ac:dyDescent="0.25">
      <c r="A304" s="486"/>
      <c r="B304" s="102" t="str">
        <f>IF(A304&lt;&gt;"",INDEX('Base de données'!A$4:L$990,MATCH(A304,'Base de données'!A$4:A$990,0),2),"")</f>
        <v/>
      </c>
      <c r="C304" s="112" t="str">
        <f>IF(A304&lt;&gt;"",INDEX('Base de données'!A$4:L$990,MATCH(A304,'Base de données'!A$4:A$990,0),12),"")</f>
        <v/>
      </c>
      <c r="D304" s="520"/>
      <c r="E304" s="488"/>
      <c r="F304" s="517"/>
      <c r="G304" s="490"/>
      <c r="H304" s="518"/>
      <c r="I304" s="492"/>
      <c r="J304" s="519"/>
      <c r="K304" s="494"/>
      <c r="L304" s="510"/>
      <c r="M304" s="496"/>
      <c r="N304" s="511"/>
      <c r="O304" s="498"/>
      <c r="P304" s="512"/>
      <c r="Q304" s="500"/>
      <c r="R304" s="513"/>
      <c r="S304" s="502"/>
      <c r="T304" s="514"/>
      <c r="U304" s="504"/>
      <c r="V304" s="516"/>
      <c r="W304" s="506"/>
      <c r="X304" s="515"/>
      <c r="Y304" s="507"/>
      <c r="Z304" s="508"/>
      <c r="AA304" s="509"/>
    </row>
    <row r="305" spans="1:27" hidden="1" x14ac:dyDescent="0.25">
      <c r="A305" s="486"/>
      <c r="B305" s="102" t="str">
        <f>IF(A305&lt;&gt;"",INDEX('Base de données'!A$4:L$990,MATCH(A305,'Base de données'!A$4:A$990,0),2),"")</f>
        <v/>
      </c>
      <c r="C305" s="112" t="str">
        <f>IF(A305&lt;&gt;"",INDEX('Base de données'!A$4:L$990,MATCH(A305,'Base de données'!A$4:A$990,0),12),"")</f>
        <v/>
      </c>
      <c r="D305" s="520"/>
      <c r="E305" s="488"/>
      <c r="F305" s="517"/>
      <c r="G305" s="490"/>
      <c r="H305" s="518"/>
      <c r="I305" s="492"/>
      <c r="J305" s="519"/>
      <c r="K305" s="494"/>
      <c r="L305" s="510"/>
      <c r="M305" s="496"/>
      <c r="N305" s="511"/>
      <c r="O305" s="498"/>
      <c r="P305" s="512"/>
      <c r="Q305" s="500"/>
      <c r="R305" s="513"/>
      <c r="S305" s="502"/>
      <c r="T305" s="514"/>
      <c r="U305" s="504"/>
      <c r="V305" s="516"/>
      <c r="W305" s="506"/>
      <c r="X305" s="515"/>
      <c r="Y305" s="507"/>
      <c r="Z305" s="508"/>
      <c r="AA305" s="509"/>
    </row>
    <row r="306" spans="1:27" hidden="1" x14ac:dyDescent="0.25">
      <c r="A306" s="486"/>
      <c r="B306" s="102" t="str">
        <f>IF(A306&lt;&gt;"",INDEX('Base de données'!A$4:L$990,MATCH(A306,'Base de données'!A$4:A$990,0),2),"")</f>
        <v/>
      </c>
      <c r="C306" s="112" t="str">
        <f>IF(A306&lt;&gt;"",INDEX('Base de données'!A$4:L$990,MATCH(A306,'Base de données'!A$4:A$990,0),12),"")</f>
        <v/>
      </c>
      <c r="D306" s="520"/>
      <c r="E306" s="488"/>
      <c r="F306" s="517"/>
      <c r="G306" s="490"/>
      <c r="H306" s="518"/>
      <c r="I306" s="492"/>
      <c r="J306" s="519"/>
      <c r="K306" s="494"/>
      <c r="L306" s="510"/>
      <c r="M306" s="496"/>
      <c r="N306" s="511"/>
      <c r="O306" s="498"/>
      <c r="P306" s="512"/>
      <c r="Q306" s="500"/>
      <c r="R306" s="513"/>
      <c r="S306" s="502"/>
      <c r="T306" s="514"/>
      <c r="U306" s="504"/>
      <c r="V306" s="516"/>
      <c r="W306" s="506"/>
      <c r="X306" s="515"/>
      <c r="Y306" s="507"/>
      <c r="Z306" s="508"/>
      <c r="AA306" s="509"/>
    </row>
    <row r="307" spans="1:27" hidden="1" x14ac:dyDescent="0.25">
      <c r="A307" s="486"/>
      <c r="B307" s="102" t="str">
        <f>IF(A307&lt;&gt;"",INDEX('Base de données'!A$4:L$990,MATCH(A307,'Base de données'!A$4:A$990,0),2),"")</f>
        <v/>
      </c>
      <c r="C307" s="112" t="str">
        <f>IF(A307&lt;&gt;"",INDEX('Base de données'!A$4:L$990,MATCH(A307,'Base de données'!A$4:A$990,0),12),"")</f>
        <v/>
      </c>
      <c r="D307" s="520"/>
      <c r="E307" s="488"/>
      <c r="F307" s="517"/>
      <c r="G307" s="490"/>
      <c r="H307" s="518"/>
      <c r="I307" s="492"/>
      <c r="J307" s="519"/>
      <c r="K307" s="494"/>
      <c r="L307" s="510"/>
      <c r="M307" s="496"/>
      <c r="N307" s="511"/>
      <c r="O307" s="498"/>
      <c r="P307" s="512"/>
      <c r="Q307" s="500"/>
      <c r="R307" s="513"/>
      <c r="S307" s="502"/>
      <c r="T307" s="514"/>
      <c r="U307" s="504"/>
      <c r="V307" s="516"/>
      <c r="W307" s="506"/>
      <c r="X307" s="515"/>
      <c r="Y307" s="507"/>
      <c r="Z307" s="508"/>
      <c r="AA307" s="509"/>
    </row>
    <row r="308" spans="1:27" hidden="1" x14ac:dyDescent="0.25">
      <c r="A308" s="486"/>
      <c r="B308" s="102" t="str">
        <f>IF(A308&lt;&gt;"",INDEX('Base de données'!A$4:L$990,MATCH(A308,'Base de données'!A$4:A$990,0),2),"")</f>
        <v/>
      </c>
      <c r="C308" s="112" t="str">
        <f>IF(A308&lt;&gt;"",INDEX('Base de données'!A$4:L$990,MATCH(A308,'Base de données'!A$4:A$990,0),12),"")</f>
        <v/>
      </c>
      <c r="D308" s="520"/>
      <c r="E308" s="488"/>
      <c r="F308" s="517"/>
      <c r="G308" s="490"/>
      <c r="H308" s="518"/>
      <c r="I308" s="492"/>
      <c r="J308" s="519"/>
      <c r="K308" s="494"/>
      <c r="L308" s="510"/>
      <c r="M308" s="496"/>
      <c r="N308" s="511"/>
      <c r="O308" s="498"/>
      <c r="P308" s="512"/>
      <c r="Q308" s="500"/>
      <c r="R308" s="513"/>
      <c r="S308" s="502"/>
      <c r="T308" s="514"/>
      <c r="U308" s="504"/>
      <c r="V308" s="516"/>
      <c r="W308" s="506"/>
      <c r="X308" s="515"/>
      <c r="Y308" s="507"/>
      <c r="Z308" s="508"/>
      <c r="AA308" s="509"/>
    </row>
    <row r="309" spans="1:27" hidden="1" x14ac:dyDescent="0.25">
      <c r="A309" s="486"/>
      <c r="B309" s="102" t="str">
        <f>IF(A309&lt;&gt;"",INDEX('Base de données'!A$4:L$990,MATCH(A309,'Base de données'!A$4:A$990,0),2),"")</f>
        <v/>
      </c>
      <c r="C309" s="112" t="str">
        <f>IF(A309&lt;&gt;"",INDEX('Base de données'!A$4:L$990,MATCH(A309,'Base de données'!A$4:A$990,0),12),"")</f>
        <v/>
      </c>
      <c r="D309" s="520"/>
      <c r="E309" s="488"/>
      <c r="F309" s="517"/>
      <c r="G309" s="490"/>
      <c r="H309" s="518"/>
      <c r="I309" s="492"/>
      <c r="J309" s="519"/>
      <c r="K309" s="494"/>
      <c r="L309" s="510"/>
      <c r="M309" s="496"/>
      <c r="N309" s="511"/>
      <c r="O309" s="498"/>
      <c r="P309" s="512"/>
      <c r="Q309" s="500"/>
      <c r="R309" s="513"/>
      <c r="S309" s="502"/>
      <c r="T309" s="514"/>
      <c r="U309" s="504"/>
      <c r="V309" s="516"/>
      <c r="W309" s="506"/>
      <c r="X309" s="515"/>
      <c r="Y309" s="507"/>
      <c r="Z309" s="508"/>
      <c r="AA309" s="509"/>
    </row>
    <row r="310" spans="1:27" hidden="1" x14ac:dyDescent="0.25">
      <c r="A310" s="486"/>
      <c r="B310" s="102" t="str">
        <f>IF(A310&lt;&gt;"",INDEX('Base de données'!A$4:L$990,MATCH(A310,'Base de données'!A$4:A$990,0),2),"")</f>
        <v/>
      </c>
      <c r="C310" s="112" t="str">
        <f>IF(A310&lt;&gt;"",INDEX('Base de données'!A$4:L$990,MATCH(A310,'Base de données'!A$4:A$990,0),12),"")</f>
        <v/>
      </c>
      <c r="D310" s="520"/>
      <c r="E310" s="488"/>
      <c r="F310" s="517"/>
      <c r="G310" s="490"/>
      <c r="H310" s="518"/>
      <c r="I310" s="492"/>
      <c r="J310" s="519"/>
      <c r="K310" s="494"/>
      <c r="L310" s="510"/>
      <c r="M310" s="496"/>
      <c r="N310" s="511"/>
      <c r="O310" s="498"/>
      <c r="P310" s="512"/>
      <c r="Q310" s="500"/>
      <c r="R310" s="513"/>
      <c r="S310" s="502"/>
      <c r="T310" s="514"/>
      <c r="U310" s="504"/>
      <c r="V310" s="516"/>
      <c r="W310" s="506"/>
      <c r="X310" s="515"/>
      <c r="Y310" s="507"/>
      <c r="Z310" s="508"/>
      <c r="AA310" s="509"/>
    </row>
    <row r="311" spans="1:27" hidden="1" x14ac:dyDescent="0.25">
      <c r="A311" s="486"/>
      <c r="B311" s="102" t="str">
        <f>IF(A311&lt;&gt;"",INDEX('Base de données'!A$4:L$990,MATCH(A311,'Base de données'!A$4:A$990,0),2),"")</f>
        <v/>
      </c>
      <c r="C311" s="112" t="str">
        <f>IF(A311&lt;&gt;"",INDEX('Base de données'!A$4:L$990,MATCH(A311,'Base de données'!A$4:A$990,0),12),"")</f>
        <v/>
      </c>
      <c r="D311" s="520"/>
      <c r="E311" s="488"/>
      <c r="F311" s="517"/>
      <c r="G311" s="490"/>
      <c r="H311" s="518"/>
      <c r="I311" s="492"/>
      <c r="J311" s="519"/>
      <c r="K311" s="494"/>
      <c r="L311" s="510"/>
      <c r="M311" s="496"/>
      <c r="N311" s="511"/>
      <c r="O311" s="498"/>
      <c r="P311" s="512"/>
      <c r="Q311" s="500"/>
      <c r="R311" s="513"/>
      <c r="S311" s="502"/>
      <c r="T311" s="514"/>
      <c r="U311" s="504"/>
      <c r="V311" s="516"/>
      <c r="W311" s="506"/>
      <c r="X311" s="515"/>
      <c r="Y311" s="507"/>
      <c r="Z311" s="508"/>
      <c r="AA311" s="509"/>
    </row>
    <row r="312" spans="1:27" hidden="1" x14ac:dyDescent="0.25">
      <c r="A312" s="486"/>
      <c r="B312" s="102" t="str">
        <f>IF(A312&lt;&gt;"",INDEX('Base de données'!A$4:L$990,MATCH(A312,'Base de données'!A$4:A$990,0),2),"")</f>
        <v/>
      </c>
      <c r="C312" s="112" t="str">
        <f>IF(A312&lt;&gt;"",INDEX('Base de données'!A$4:L$990,MATCH(A312,'Base de données'!A$4:A$990,0),12),"")</f>
        <v/>
      </c>
      <c r="D312" s="520"/>
      <c r="E312" s="488"/>
      <c r="F312" s="517"/>
      <c r="G312" s="490"/>
      <c r="H312" s="518"/>
      <c r="I312" s="492"/>
      <c r="J312" s="519"/>
      <c r="K312" s="494"/>
      <c r="L312" s="510"/>
      <c r="M312" s="496"/>
      <c r="N312" s="511"/>
      <c r="O312" s="498"/>
      <c r="P312" s="512"/>
      <c r="Q312" s="500"/>
      <c r="R312" s="513"/>
      <c r="S312" s="502"/>
      <c r="T312" s="514"/>
      <c r="U312" s="504"/>
      <c r="V312" s="516"/>
      <c r="W312" s="506"/>
      <c r="X312" s="515"/>
      <c r="Y312" s="507"/>
      <c r="Z312" s="508"/>
      <c r="AA312" s="509"/>
    </row>
    <row r="313" spans="1:27" hidden="1" x14ac:dyDescent="0.25">
      <c r="A313" s="486"/>
      <c r="B313" s="102" t="str">
        <f>IF(A313&lt;&gt;"",INDEX('Base de données'!A$4:L$990,MATCH(A313,'Base de données'!A$4:A$990,0),2),"")</f>
        <v/>
      </c>
      <c r="C313" s="112" t="str">
        <f>IF(A313&lt;&gt;"",INDEX('Base de données'!A$4:L$990,MATCH(A313,'Base de données'!A$4:A$990,0),12),"")</f>
        <v/>
      </c>
      <c r="D313" s="520"/>
      <c r="E313" s="488"/>
      <c r="F313" s="517"/>
      <c r="G313" s="490"/>
      <c r="H313" s="518"/>
      <c r="I313" s="492"/>
      <c r="J313" s="519"/>
      <c r="K313" s="494"/>
      <c r="L313" s="510"/>
      <c r="M313" s="496"/>
      <c r="N313" s="511"/>
      <c r="O313" s="498"/>
      <c r="P313" s="512"/>
      <c r="Q313" s="500"/>
      <c r="R313" s="513"/>
      <c r="S313" s="502"/>
      <c r="T313" s="514"/>
      <c r="U313" s="504"/>
      <c r="V313" s="516"/>
      <c r="W313" s="506"/>
      <c r="X313" s="515"/>
      <c r="Y313" s="507"/>
      <c r="Z313" s="508"/>
      <c r="AA313" s="509"/>
    </row>
    <row r="314" spans="1:27" hidden="1" x14ac:dyDescent="0.25">
      <c r="A314" s="486"/>
      <c r="B314" s="102" t="str">
        <f>IF(A314&lt;&gt;"",INDEX('Base de données'!A$4:L$990,MATCH(A314,'Base de données'!A$4:A$990,0),2),"")</f>
        <v/>
      </c>
      <c r="C314" s="112" t="str">
        <f>IF(A314&lt;&gt;"",INDEX('Base de données'!A$4:L$990,MATCH(A314,'Base de données'!A$4:A$990,0),12),"")</f>
        <v/>
      </c>
      <c r="D314" s="520"/>
      <c r="E314" s="488"/>
      <c r="F314" s="517"/>
      <c r="G314" s="490"/>
      <c r="H314" s="518"/>
      <c r="I314" s="492"/>
      <c r="J314" s="519"/>
      <c r="K314" s="494"/>
      <c r="L314" s="510"/>
      <c r="M314" s="496"/>
      <c r="N314" s="511"/>
      <c r="O314" s="498"/>
      <c r="P314" s="512"/>
      <c r="Q314" s="500"/>
      <c r="R314" s="513"/>
      <c r="S314" s="502"/>
      <c r="T314" s="514"/>
      <c r="U314" s="504"/>
      <c r="V314" s="516"/>
      <c r="W314" s="506"/>
      <c r="X314" s="515"/>
      <c r="Y314" s="507"/>
      <c r="Z314" s="508"/>
      <c r="AA314" s="509"/>
    </row>
    <row r="315" spans="1:27" hidden="1" x14ac:dyDescent="0.25">
      <c r="A315" s="486"/>
      <c r="B315" s="102" t="str">
        <f>IF(A315&lt;&gt;"",INDEX('Base de données'!A$4:L$990,MATCH(A315,'Base de données'!A$4:A$990,0),2),"")</f>
        <v/>
      </c>
      <c r="C315" s="112" t="str">
        <f>IF(A315&lt;&gt;"",INDEX('Base de données'!A$4:L$990,MATCH(A315,'Base de données'!A$4:A$990,0),12),"")</f>
        <v/>
      </c>
      <c r="D315" s="520"/>
      <c r="E315" s="488"/>
      <c r="F315" s="517"/>
      <c r="G315" s="490"/>
      <c r="H315" s="518"/>
      <c r="I315" s="492"/>
      <c r="J315" s="519"/>
      <c r="K315" s="494"/>
      <c r="L315" s="510"/>
      <c r="M315" s="496"/>
      <c r="N315" s="511"/>
      <c r="O315" s="498"/>
      <c r="P315" s="512"/>
      <c r="Q315" s="500"/>
      <c r="R315" s="513"/>
      <c r="S315" s="502"/>
      <c r="T315" s="514"/>
      <c r="U315" s="504"/>
      <c r="V315" s="516"/>
      <c r="W315" s="506"/>
      <c r="X315" s="515"/>
      <c r="Y315" s="507"/>
      <c r="Z315" s="508"/>
      <c r="AA315" s="509"/>
    </row>
    <row r="316" spans="1:27" hidden="1" x14ac:dyDescent="0.25">
      <c r="A316" s="486"/>
      <c r="B316" s="102" t="str">
        <f>IF(A316&lt;&gt;"",INDEX('Base de données'!A$4:L$990,MATCH(A316,'Base de données'!A$4:A$990,0),2),"")</f>
        <v/>
      </c>
      <c r="C316" s="112" t="str">
        <f>IF(A316&lt;&gt;"",INDEX('Base de données'!A$4:L$990,MATCH(A316,'Base de données'!A$4:A$990,0),12),"")</f>
        <v/>
      </c>
      <c r="D316" s="520"/>
      <c r="E316" s="488"/>
      <c r="F316" s="517"/>
      <c r="G316" s="490"/>
      <c r="H316" s="518"/>
      <c r="I316" s="492"/>
      <c r="J316" s="519"/>
      <c r="K316" s="494"/>
      <c r="L316" s="510"/>
      <c r="M316" s="496"/>
      <c r="N316" s="511"/>
      <c r="O316" s="498"/>
      <c r="P316" s="512"/>
      <c r="Q316" s="500"/>
      <c r="R316" s="513"/>
      <c r="S316" s="502"/>
      <c r="T316" s="514"/>
      <c r="U316" s="504"/>
      <c r="V316" s="516"/>
      <c r="W316" s="506"/>
      <c r="X316" s="515"/>
      <c r="Y316" s="507"/>
      <c r="Z316" s="508"/>
      <c r="AA316" s="509"/>
    </row>
    <row r="317" spans="1:27" hidden="1" x14ac:dyDescent="0.25">
      <c r="A317" s="486"/>
      <c r="B317" s="102" t="str">
        <f>IF(A317&lt;&gt;"",INDEX('Base de données'!A$4:L$990,MATCH(A317,'Base de données'!A$4:A$990,0),2),"")</f>
        <v/>
      </c>
      <c r="C317" s="112" t="str">
        <f>IF(A317&lt;&gt;"",INDEX('Base de données'!A$4:L$990,MATCH(A317,'Base de données'!A$4:A$990,0),12),"")</f>
        <v/>
      </c>
      <c r="D317" s="520"/>
      <c r="E317" s="488"/>
      <c r="F317" s="517"/>
      <c r="G317" s="490"/>
      <c r="H317" s="518"/>
      <c r="I317" s="492"/>
      <c r="J317" s="519"/>
      <c r="K317" s="494"/>
      <c r="L317" s="510"/>
      <c r="M317" s="496"/>
      <c r="N317" s="511"/>
      <c r="O317" s="498"/>
      <c r="P317" s="512"/>
      <c r="Q317" s="500"/>
      <c r="R317" s="513"/>
      <c r="S317" s="502"/>
      <c r="T317" s="514"/>
      <c r="U317" s="504"/>
      <c r="V317" s="516"/>
      <c r="W317" s="506"/>
      <c r="X317" s="515"/>
      <c r="Y317" s="507"/>
      <c r="Z317" s="508"/>
      <c r="AA317" s="509"/>
    </row>
    <row r="318" spans="1:27" hidden="1" x14ac:dyDescent="0.25">
      <c r="A318" s="486"/>
      <c r="B318" s="102" t="str">
        <f>IF(A318&lt;&gt;"",INDEX('Base de données'!A$4:L$990,MATCH(A318,'Base de données'!A$4:A$990,0),2),"")</f>
        <v/>
      </c>
      <c r="C318" s="112" t="str">
        <f>IF(A318&lt;&gt;"",INDEX('Base de données'!A$4:L$990,MATCH(A318,'Base de données'!A$4:A$990,0),12),"")</f>
        <v/>
      </c>
      <c r="D318" s="520"/>
      <c r="E318" s="488"/>
      <c r="F318" s="517"/>
      <c r="G318" s="490"/>
      <c r="H318" s="518"/>
      <c r="I318" s="492"/>
      <c r="J318" s="519"/>
      <c r="K318" s="494"/>
      <c r="L318" s="510"/>
      <c r="M318" s="496"/>
      <c r="N318" s="511"/>
      <c r="O318" s="498"/>
      <c r="P318" s="512"/>
      <c r="Q318" s="500"/>
      <c r="R318" s="513"/>
      <c r="S318" s="502"/>
      <c r="T318" s="514"/>
      <c r="U318" s="504"/>
      <c r="V318" s="516"/>
      <c r="W318" s="506"/>
      <c r="X318" s="515"/>
      <c r="Y318" s="507"/>
      <c r="Z318" s="508"/>
      <c r="AA318" s="509"/>
    </row>
    <row r="319" spans="1:27" hidden="1" x14ac:dyDescent="0.25">
      <c r="A319" s="486"/>
      <c r="B319" s="102" t="str">
        <f>IF(A319&lt;&gt;"",INDEX('Base de données'!A$4:L$990,MATCH(A319,'Base de données'!A$4:A$990,0),2),"")</f>
        <v/>
      </c>
      <c r="C319" s="112" t="str">
        <f>IF(A319&lt;&gt;"",INDEX('Base de données'!A$4:L$990,MATCH(A319,'Base de données'!A$4:A$990,0),12),"")</f>
        <v/>
      </c>
      <c r="D319" s="520"/>
      <c r="E319" s="488"/>
      <c r="F319" s="517"/>
      <c r="G319" s="490"/>
      <c r="H319" s="518"/>
      <c r="I319" s="492"/>
      <c r="J319" s="519"/>
      <c r="K319" s="494"/>
      <c r="L319" s="510"/>
      <c r="M319" s="496"/>
      <c r="N319" s="511"/>
      <c r="O319" s="498"/>
      <c r="P319" s="512"/>
      <c r="Q319" s="500"/>
      <c r="R319" s="513"/>
      <c r="S319" s="502"/>
      <c r="T319" s="514"/>
      <c r="U319" s="504"/>
      <c r="V319" s="516"/>
      <c r="W319" s="506"/>
      <c r="X319" s="515"/>
      <c r="Y319" s="507"/>
      <c r="Z319" s="508"/>
      <c r="AA319" s="509"/>
    </row>
    <row r="320" spans="1:27" hidden="1" x14ac:dyDescent="0.25">
      <c r="A320" s="486"/>
      <c r="B320" s="102" t="str">
        <f>IF(A320&lt;&gt;"",INDEX('Base de données'!A$4:L$990,MATCH(A320,'Base de données'!A$4:A$990,0),2),"")</f>
        <v/>
      </c>
      <c r="C320" s="112" t="str">
        <f>IF(A320&lt;&gt;"",INDEX('Base de données'!A$4:L$990,MATCH(A320,'Base de données'!A$4:A$990,0),12),"")</f>
        <v/>
      </c>
      <c r="D320" s="520"/>
      <c r="E320" s="488"/>
      <c r="F320" s="517"/>
      <c r="G320" s="490"/>
      <c r="H320" s="518"/>
      <c r="I320" s="492"/>
      <c r="J320" s="519"/>
      <c r="K320" s="494"/>
      <c r="L320" s="510"/>
      <c r="M320" s="496"/>
      <c r="N320" s="511"/>
      <c r="O320" s="498"/>
      <c r="P320" s="512"/>
      <c r="Q320" s="500"/>
      <c r="R320" s="513"/>
      <c r="S320" s="502"/>
      <c r="T320" s="514"/>
      <c r="U320" s="504"/>
      <c r="V320" s="516"/>
      <c r="W320" s="506"/>
      <c r="X320" s="515"/>
      <c r="Y320" s="507"/>
      <c r="Z320" s="508"/>
      <c r="AA320" s="509"/>
    </row>
    <row r="321" spans="1:27" hidden="1" x14ac:dyDescent="0.25">
      <c r="A321" s="486"/>
      <c r="B321" s="102" t="str">
        <f>IF(A321&lt;&gt;"",INDEX('Base de données'!A$4:L$990,MATCH(A321,'Base de données'!A$4:A$990,0),2),"")</f>
        <v/>
      </c>
      <c r="C321" s="112" t="str">
        <f>IF(A321&lt;&gt;"",INDEX('Base de données'!A$4:L$990,MATCH(A321,'Base de données'!A$4:A$990,0),12),"")</f>
        <v/>
      </c>
      <c r="D321" s="520"/>
      <c r="E321" s="488"/>
      <c r="F321" s="517"/>
      <c r="G321" s="490"/>
      <c r="H321" s="518"/>
      <c r="I321" s="492"/>
      <c r="J321" s="519"/>
      <c r="K321" s="494"/>
      <c r="L321" s="510"/>
      <c r="M321" s="496"/>
      <c r="N321" s="511"/>
      <c r="O321" s="498"/>
      <c r="P321" s="512"/>
      <c r="Q321" s="500"/>
      <c r="R321" s="513"/>
      <c r="S321" s="502"/>
      <c r="T321" s="514"/>
      <c r="U321" s="504"/>
      <c r="V321" s="516"/>
      <c r="W321" s="506"/>
      <c r="X321" s="515"/>
      <c r="Y321" s="507"/>
      <c r="Z321" s="508"/>
      <c r="AA321" s="509"/>
    </row>
    <row r="322" spans="1:27" hidden="1" x14ac:dyDescent="0.25">
      <c r="A322" s="486"/>
      <c r="B322" s="102" t="str">
        <f>IF(A322&lt;&gt;"",INDEX('Base de données'!A$4:L$990,MATCH(A322,'Base de données'!A$4:A$990,0),2),"")</f>
        <v/>
      </c>
      <c r="C322" s="112" t="str">
        <f>IF(A322&lt;&gt;"",INDEX('Base de données'!A$4:L$990,MATCH(A322,'Base de données'!A$4:A$990,0),12),"")</f>
        <v/>
      </c>
      <c r="D322" s="520"/>
      <c r="E322" s="488"/>
      <c r="F322" s="517"/>
      <c r="G322" s="490"/>
      <c r="H322" s="518"/>
      <c r="I322" s="492"/>
      <c r="J322" s="519"/>
      <c r="K322" s="494"/>
      <c r="L322" s="510"/>
      <c r="M322" s="496"/>
      <c r="N322" s="511"/>
      <c r="O322" s="498"/>
      <c r="P322" s="512"/>
      <c r="Q322" s="500"/>
      <c r="R322" s="513"/>
      <c r="S322" s="502"/>
      <c r="T322" s="514"/>
      <c r="U322" s="504"/>
      <c r="V322" s="516"/>
      <c r="W322" s="506"/>
      <c r="X322" s="515"/>
      <c r="Y322" s="507"/>
      <c r="Z322" s="508"/>
      <c r="AA322" s="509"/>
    </row>
    <row r="323" spans="1:27" hidden="1" x14ac:dyDescent="0.25">
      <c r="A323" s="486"/>
      <c r="B323" s="102" t="str">
        <f>IF(A323&lt;&gt;"",INDEX('Base de données'!A$4:L$990,MATCH(A323,'Base de données'!A$4:A$990,0),2),"")</f>
        <v/>
      </c>
      <c r="C323" s="112" t="str">
        <f>IF(A323&lt;&gt;"",INDEX('Base de données'!A$4:L$990,MATCH(A323,'Base de données'!A$4:A$990,0),12),"")</f>
        <v/>
      </c>
      <c r="D323" s="520"/>
      <c r="E323" s="488"/>
      <c r="F323" s="517"/>
      <c r="G323" s="490"/>
      <c r="H323" s="518"/>
      <c r="I323" s="492"/>
      <c r="J323" s="519"/>
      <c r="K323" s="494"/>
      <c r="L323" s="510"/>
      <c r="M323" s="496"/>
      <c r="N323" s="511"/>
      <c r="O323" s="498"/>
      <c r="P323" s="512"/>
      <c r="Q323" s="500"/>
      <c r="R323" s="513"/>
      <c r="S323" s="502"/>
      <c r="T323" s="514"/>
      <c r="U323" s="504"/>
      <c r="V323" s="516"/>
      <c r="W323" s="506"/>
      <c r="X323" s="515"/>
      <c r="Y323" s="507"/>
      <c r="Z323" s="508"/>
      <c r="AA323" s="509"/>
    </row>
    <row r="324" spans="1:27" hidden="1" x14ac:dyDescent="0.25">
      <c r="A324" s="486"/>
      <c r="B324" s="102" t="str">
        <f>IF(A324&lt;&gt;"",INDEX('Base de données'!A$4:L$990,MATCH(A324,'Base de données'!A$4:A$990,0),2),"")</f>
        <v/>
      </c>
      <c r="C324" s="112" t="str">
        <f>IF(A324&lt;&gt;"",INDEX('Base de données'!A$4:L$990,MATCH(A324,'Base de données'!A$4:A$990,0),12),"")</f>
        <v/>
      </c>
      <c r="D324" s="520"/>
      <c r="E324" s="488"/>
      <c r="F324" s="517"/>
      <c r="G324" s="490"/>
      <c r="H324" s="518"/>
      <c r="I324" s="492"/>
      <c r="J324" s="519"/>
      <c r="K324" s="494"/>
      <c r="L324" s="510"/>
      <c r="M324" s="496"/>
      <c r="N324" s="511"/>
      <c r="O324" s="498"/>
      <c r="P324" s="512"/>
      <c r="Q324" s="500"/>
      <c r="R324" s="513"/>
      <c r="S324" s="502"/>
      <c r="T324" s="514"/>
      <c r="U324" s="504"/>
      <c r="V324" s="516"/>
      <c r="W324" s="506"/>
      <c r="X324" s="515"/>
      <c r="Y324" s="507"/>
      <c r="Z324" s="508"/>
      <c r="AA324" s="509"/>
    </row>
    <row r="325" spans="1:27" hidden="1" x14ac:dyDescent="0.25">
      <c r="A325" s="486"/>
      <c r="B325" s="102" t="str">
        <f>IF(A325&lt;&gt;"",INDEX('Base de données'!A$4:L$990,MATCH(A325,'Base de données'!A$4:A$990,0),2),"")</f>
        <v/>
      </c>
      <c r="C325" s="112" t="str">
        <f>IF(A325&lt;&gt;"",INDEX('Base de données'!A$4:L$990,MATCH(A325,'Base de données'!A$4:A$990,0),12),"")</f>
        <v/>
      </c>
      <c r="D325" s="520"/>
      <c r="E325" s="488"/>
      <c r="F325" s="517"/>
      <c r="G325" s="490"/>
      <c r="H325" s="518"/>
      <c r="I325" s="492"/>
      <c r="J325" s="519"/>
      <c r="K325" s="494"/>
      <c r="L325" s="510"/>
      <c r="M325" s="496"/>
      <c r="N325" s="511"/>
      <c r="O325" s="498"/>
      <c r="P325" s="512"/>
      <c r="Q325" s="500"/>
      <c r="R325" s="513"/>
      <c r="S325" s="502"/>
      <c r="T325" s="514"/>
      <c r="U325" s="504"/>
      <c r="V325" s="516"/>
      <c r="W325" s="506"/>
      <c r="X325" s="515"/>
      <c r="Y325" s="507"/>
      <c r="Z325" s="508"/>
      <c r="AA325" s="509"/>
    </row>
    <row r="326" spans="1:27" hidden="1" x14ac:dyDescent="0.25">
      <c r="A326" s="486"/>
      <c r="B326" s="102" t="str">
        <f>IF(A326&lt;&gt;"",INDEX('Base de données'!A$4:L$990,MATCH(A326,'Base de données'!A$4:A$990,0),2),"")</f>
        <v/>
      </c>
      <c r="C326" s="112" t="str">
        <f>IF(A326&lt;&gt;"",INDEX('Base de données'!A$4:L$990,MATCH(A326,'Base de données'!A$4:A$990,0),12),"")</f>
        <v/>
      </c>
      <c r="D326" s="520"/>
      <c r="E326" s="488"/>
      <c r="F326" s="517"/>
      <c r="G326" s="490"/>
      <c r="H326" s="518"/>
      <c r="I326" s="492"/>
      <c r="J326" s="519"/>
      <c r="K326" s="494"/>
      <c r="L326" s="510"/>
      <c r="M326" s="496"/>
      <c r="N326" s="511"/>
      <c r="O326" s="498"/>
      <c r="P326" s="512"/>
      <c r="Q326" s="500"/>
      <c r="R326" s="513"/>
      <c r="S326" s="502"/>
      <c r="T326" s="514"/>
      <c r="U326" s="504"/>
      <c r="V326" s="516"/>
      <c r="W326" s="506"/>
      <c r="X326" s="515"/>
      <c r="Y326" s="507"/>
      <c r="Z326" s="508"/>
      <c r="AA326" s="509"/>
    </row>
    <row r="327" spans="1:27" hidden="1" x14ac:dyDescent="0.25">
      <c r="A327" s="486"/>
      <c r="B327" s="102" t="str">
        <f>IF(A327&lt;&gt;"",INDEX('Base de données'!A$4:L$990,MATCH(A327,'Base de données'!A$4:A$990,0),2),"")</f>
        <v/>
      </c>
      <c r="C327" s="112" t="str">
        <f>IF(A327&lt;&gt;"",INDEX('Base de données'!A$4:L$990,MATCH(A327,'Base de données'!A$4:A$990,0),12),"")</f>
        <v/>
      </c>
      <c r="D327" s="520"/>
      <c r="E327" s="488"/>
      <c r="F327" s="517"/>
      <c r="G327" s="490"/>
      <c r="H327" s="518"/>
      <c r="I327" s="492"/>
      <c r="J327" s="519"/>
      <c r="K327" s="494"/>
      <c r="L327" s="510"/>
      <c r="M327" s="496"/>
      <c r="N327" s="511"/>
      <c r="O327" s="498"/>
      <c r="P327" s="512"/>
      <c r="Q327" s="500"/>
      <c r="R327" s="513"/>
      <c r="S327" s="502"/>
      <c r="T327" s="514"/>
      <c r="U327" s="504"/>
      <c r="V327" s="516"/>
      <c r="W327" s="506"/>
      <c r="X327" s="515"/>
      <c r="Y327" s="507"/>
      <c r="Z327" s="508"/>
      <c r="AA327" s="509"/>
    </row>
    <row r="328" spans="1:27" hidden="1" x14ac:dyDescent="0.25">
      <c r="A328" s="486"/>
      <c r="B328" s="102" t="str">
        <f>IF(A328&lt;&gt;"",INDEX('Base de données'!A$4:L$990,MATCH(A328,'Base de données'!A$4:A$990,0),2),"")</f>
        <v/>
      </c>
      <c r="C328" s="112" t="str">
        <f>IF(A328&lt;&gt;"",INDEX('Base de données'!A$4:L$990,MATCH(A328,'Base de données'!A$4:A$990,0),12),"")</f>
        <v/>
      </c>
      <c r="D328" s="520"/>
      <c r="E328" s="488"/>
      <c r="F328" s="517"/>
      <c r="G328" s="490"/>
      <c r="H328" s="518"/>
      <c r="I328" s="492"/>
      <c r="J328" s="519"/>
      <c r="K328" s="494"/>
      <c r="L328" s="510"/>
      <c r="M328" s="496"/>
      <c r="N328" s="511"/>
      <c r="O328" s="498"/>
      <c r="P328" s="512"/>
      <c r="Q328" s="500"/>
      <c r="R328" s="513"/>
      <c r="S328" s="502"/>
      <c r="T328" s="514"/>
      <c r="U328" s="504"/>
      <c r="V328" s="516"/>
      <c r="W328" s="506"/>
      <c r="X328" s="515"/>
      <c r="Y328" s="507"/>
      <c r="Z328" s="508"/>
      <c r="AA328" s="509"/>
    </row>
    <row r="329" spans="1:27" hidden="1" x14ac:dyDescent="0.25">
      <c r="A329" s="486"/>
      <c r="B329" s="102" t="str">
        <f>IF(A329&lt;&gt;"",INDEX('Base de données'!A$4:L$990,MATCH(A329,'Base de données'!A$4:A$990,0),2),"")</f>
        <v/>
      </c>
      <c r="C329" s="112" t="str">
        <f>IF(A329&lt;&gt;"",INDEX('Base de données'!A$4:L$990,MATCH(A329,'Base de données'!A$4:A$990,0),12),"")</f>
        <v/>
      </c>
      <c r="D329" s="520"/>
      <c r="E329" s="488"/>
      <c r="F329" s="517"/>
      <c r="G329" s="490"/>
      <c r="H329" s="518"/>
      <c r="I329" s="492"/>
      <c r="J329" s="519"/>
      <c r="K329" s="494"/>
      <c r="L329" s="510"/>
      <c r="M329" s="496"/>
      <c r="N329" s="511"/>
      <c r="O329" s="498"/>
      <c r="P329" s="512"/>
      <c r="Q329" s="500"/>
      <c r="R329" s="513"/>
      <c r="S329" s="502"/>
      <c r="T329" s="514"/>
      <c r="U329" s="504"/>
      <c r="V329" s="516"/>
      <c r="W329" s="506"/>
      <c r="X329" s="515"/>
      <c r="Y329" s="507"/>
      <c r="Z329" s="508"/>
      <c r="AA329" s="509"/>
    </row>
    <row r="330" spans="1:27" hidden="1" x14ac:dyDescent="0.25">
      <c r="A330" s="486"/>
      <c r="B330" s="102" t="str">
        <f>IF(A330&lt;&gt;"",INDEX('Base de données'!A$4:L$990,MATCH(A330,'Base de données'!A$4:A$990,0),2),"")</f>
        <v/>
      </c>
      <c r="C330" s="112" t="str">
        <f>IF(A330&lt;&gt;"",INDEX('Base de données'!A$4:L$990,MATCH(A330,'Base de données'!A$4:A$990,0),12),"")</f>
        <v/>
      </c>
      <c r="D330" s="520"/>
      <c r="E330" s="488"/>
      <c r="F330" s="517"/>
      <c r="G330" s="490"/>
      <c r="H330" s="518"/>
      <c r="I330" s="492"/>
      <c r="J330" s="519"/>
      <c r="K330" s="494"/>
      <c r="L330" s="510"/>
      <c r="M330" s="496"/>
      <c r="N330" s="511"/>
      <c r="O330" s="498"/>
      <c r="P330" s="512"/>
      <c r="Q330" s="500"/>
      <c r="R330" s="513"/>
      <c r="S330" s="502"/>
      <c r="T330" s="514"/>
      <c r="U330" s="504"/>
      <c r="V330" s="516"/>
      <c r="W330" s="506"/>
      <c r="X330" s="515"/>
      <c r="Y330" s="507"/>
      <c r="Z330" s="508"/>
      <c r="AA330" s="509"/>
    </row>
    <row r="331" spans="1:27" hidden="1" x14ac:dyDescent="0.25">
      <c r="A331" s="486"/>
      <c r="B331" s="102" t="str">
        <f>IF(A331&lt;&gt;"",INDEX('Base de données'!A$4:L$990,MATCH(A331,'Base de données'!A$4:A$990,0),2),"")</f>
        <v/>
      </c>
      <c r="C331" s="112" t="str">
        <f>IF(A331&lt;&gt;"",INDEX('Base de données'!A$4:L$990,MATCH(A331,'Base de données'!A$4:A$990,0),12),"")</f>
        <v/>
      </c>
      <c r="D331" s="520"/>
      <c r="E331" s="488"/>
      <c r="F331" s="517"/>
      <c r="G331" s="490"/>
      <c r="H331" s="518"/>
      <c r="I331" s="492"/>
      <c r="J331" s="519"/>
      <c r="K331" s="494"/>
      <c r="L331" s="510"/>
      <c r="M331" s="496"/>
      <c r="N331" s="511"/>
      <c r="O331" s="498"/>
      <c r="P331" s="512"/>
      <c r="Q331" s="500"/>
      <c r="R331" s="513"/>
      <c r="S331" s="502"/>
      <c r="T331" s="514"/>
      <c r="U331" s="504"/>
      <c r="V331" s="516"/>
      <c r="W331" s="506"/>
      <c r="X331" s="515"/>
      <c r="Y331" s="507"/>
      <c r="Z331" s="508"/>
      <c r="AA331" s="509"/>
    </row>
    <row r="332" spans="1:27" hidden="1" x14ac:dyDescent="0.25">
      <c r="A332" s="486"/>
      <c r="B332" s="102" t="str">
        <f>IF(A332&lt;&gt;"",INDEX('Base de données'!A$4:L$990,MATCH(A332,'Base de données'!A$4:A$990,0),2),"")</f>
        <v/>
      </c>
      <c r="C332" s="112" t="str">
        <f>IF(A332&lt;&gt;"",INDEX('Base de données'!A$4:L$990,MATCH(A332,'Base de données'!A$4:A$990,0),12),"")</f>
        <v/>
      </c>
      <c r="D332" s="520"/>
      <c r="E332" s="488"/>
      <c r="F332" s="517"/>
      <c r="G332" s="490"/>
      <c r="H332" s="518"/>
      <c r="I332" s="492"/>
      <c r="J332" s="519"/>
      <c r="K332" s="494"/>
      <c r="L332" s="510"/>
      <c r="M332" s="496"/>
      <c r="N332" s="511"/>
      <c r="O332" s="498"/>
      <c r="P332" s="512"/>
      <c r="Q332" s="500"/>
      <c r="R332" s="513"/>
      <c r="S332" s="502"/>
      <c r="T332" s="514"/>
      <c r="U332" s="504"/>
      <c r="V332" s="516"/>
      <c r="W332" s="506"/>
      <c r="X332" s="515"/>
      <c r="Y332" s="507"/>
      <c r="Z332" s="508"/>
      <c r="AA332" s="509"/>
    </row>
    <row r="333" spans="1:27" hidden="1" x14ac:dyDescent="0.25">
      <c r="A333" s="486"/>
      <c r="B333" s="102" t="str">
        <f>IF(A333&lt;&gt;"",INDEX('Base de données'!A$4:L$990,MATCH(A333,'Base de données'!A$4:A$990,0),2),"")</f>
        <v/>
      </c>
      <c r="C333" s="112" t="str">
        <f>IF(A333&lt;&gt;"",INDEX('Base de données'!A$4:L$990,MATCH(A333,'Base de données'!A$4:A$990,0),12),"")</f>
        <v/>
      </c>
      <c r="D333" s="520"/>
      <c r="E333" s="488"/>
      <c r="F333" s="517"/>
      <c r="G333" s="490"/>
      <c r="H333" s="518"/>
      <c r="I333" s="492"/>
      <c r="J333" s="519"/>
      <c r="K333" s="494"/>
      <c r="L333" s="510"/>
      <c r="M333" s="496"/>
      <c r="N333" s="511"/>
      <c r="O333" s="498"/>
      <c r="P333" s="512"/>
      <c r="Q333" s="500"/>
      <c r="R333" s="513"/>
      <c r="S333" s="502"/>
      <c r="T333" s="514"/>
      <c r="U333" s="504"/>
      <c r="V333" s="516"/>
      <c r="W333" s="506"/>
      <c r="X333" s="515"/>
      <c r="Y333" s="507"/>
      <c r="Z333" s="508"/>
      <c r="AA333" s="509"/>
    </row>
    <row r="334" spans="1:27" hidden="1" x14ac:dyDescent="0.25">
      <c r="A334" s="486"/>
      <c r="B334" s="102" t="str">
        <f>IF(A334&lt;&gt;"",INDEX('Base de données'!A$4:L$990,MATCH(A334,'Base de données'!A$4:A$990,0),2),"")</f>
        <v/>
      </c>
      <c r="C334" s="112" t="str">
        <f>IF(A334&lt;&gt;"",INDEX('Base de données'!A$4:L$990,MATCH(A334,'Base de données'!A$4:A$990,0),12),"")</f>
        <v/>
      </c>
      <c r="D334" s="520"/>
      <c r="E334" s="488"/>
      <c r="F334" s="517"/>
      <c r="G334" s="490"/>
      <c r="H334" s="518"/>
      <c r="I334" s="492"/>
      <c r="J334" s="519"/>
      <c r="K334" s="494"/>
      <c r="L334" s="510"/>
      <c r="M334" s="496"/>
      <c r="N334" s="511"/>
      <c r="O334" s="498"/>
      <c r="P334" s="512"/>
      <c r="Q334" s="500"/>
      <c r="R334" s="513"/>
      <c r="S334" s="502"/>
      <c r="T334" s="514"/>
      <c r="U334" s="504"/>
      <c r="V334" s="516"/>
      <c r="W334" s="506"/>
      <c r="X334" s="515"/>
      <c r="Y334" s="507"/>
      <c r="Z334" s="508"/>
      <c r="AA334" s="509"/>
    </row>
    <row r="335" spans="1:27" hidden="1" x14ac:dyDescent="0.25">
      <c r="A335" s="486"/>
      <c r="B335" s="102" t="str">
        <f>IF(A335&lt;&gt;"",INDEX('Base de données'!A$4:L$990,MATCH(A335,'Base de données'!A$4:A$990,0),2),"")</f>
        <v/>
      </c>
      <c r="C335" s="112" t="str">
        <f>IF(A335&lt;&gt;"",INDEX('Base de données'!A$4:L$990,MATCH(A335,'Base de données'!A$4:A$990,0),12),"")</f>
        <v/>
      </c>
      <c r="D335" s="520"/>
      <c r="E335" s="488"/>
      <c r="F335" s="517"/>
      <c r="G335" s="490"/>
      <c r="H335" s="518"/>
      <c r="I335" s="492"/>
      <c r="J335" s="519"/>
      <c r="K335" s="494"/>
      <c r="L335" s="510"/>
      <c r="M335" s="496"/>
      <c r="N335" s="511"/>
      <c r="O335" s="498"/>
      <c r="P335" s="512"/>
      <c r="Q335" s="500"/>
      <c r="R335" s="513"/>
      <c r="S335" s="502"/>
      <c r="T335" s="514"/>
      <c r="U335" s="504"/>
      <c r="V335" s="516"/>
      <c r="W335" s="506"/>
      <c r="X335" s="515"/>
      <c r="Y335" s="507"/>
      <c r="Z335" s="508"/>
      <c r="AA335" s="509"/>
    </row>
    <row r="336" spans="1:27" hidden="1" x14ac:dyDescent="0.25">
      <c r="A336" s="486"/>
      <c r="B336" s="102" t="str">
        <f>IF(A336&lt;&gt;"",INDEX('Base de données'!A$4:L$990,MATCH(A336,'Base de données'!A$4:A$990,0),2),"")</f>
        <v/>
      </c>
      <c r="C336" s="112" t="str">
        <f>IF(A336&lt;&gt;"",INDEX('Base de données'!A$4:L$990,MATCH(A336,'Base de données'!A$4:A$990,0),12),"")</f>
        <v/>
      </c>
      <c r="D336" s="520"/>
      <c r="E336" s="488"/>
      <c r="F336" s="517"/>
      <c r="G336" s="490"/>
      <c r="H336" s="518"/>
      <c r="I336" s="492"/>
      <c r="J336" s="519"/>
      <c r="K336" s="494"/>
      <c r="L336" s="510"/>
      <c r="M336" s="496"/>
      <c r="N336" s="511"/>
      <c r="O336" s="498"/>
      <c r="P336" s="512"/>
      <c r="Q336" s="500"/>
      <c r="R336" s="513"/>
      <c r="S336" s="502"/>
      <c r="T336" s="514"/>
      <c r="U336" s="504"/>
      <c r="V336" s="516"/>
      <c r="W336" s="506"/>
      <c r="X336" s="515"/>
      <c r="Y336" s="507"/>
      <c r="Z336" s="508"/>
      <c r="AA336" s="509"/>
    </row>
    <row r="337" spans="1:27" hidden="1" x14ac:dyDescent="0.25">
      <c r="A337" s="486"/>
      <c r="B337" s="102" t="str">
        <f>IF(A337&lt;&gt;"",INDEX('Base de données'!A$4:L$990,MATCH(A337,'Base de données'!A$4:A$990,0),2),"")</f>
        <v/>
      </c>
      <c r="C337" s="112" t="str">
        <f>IF(A337&lt;&gt;"",INDEX('Base de données'!A$4:L$990,MATCH(A337,'Base de données'!A$4:A$990,0),12),"")</f>
        <v/>
      </c>
      <c r="D337" s="520"/>
      <c r="E337" s="488"/>
      <c r="F337" s="517"/>
      <c r="G337" s="490"/>
      <c r="H337" s="518"/>
      <c r="I337" s="492"/>
      <c r="J337" s="519"/>
      <c r="K337" s="494"/>
      <c r="L337" s="510"/>
      <c r="M337" s="496"/>
      <c r="N337" s="511"/>
      <c r="O337" s="498"/>
      <c r="P337" s="512"/>
      <c r="Q337" s="500"/>
      <c r="R337" s="513"/>
      <c r="S337" s="502"/>
      <c r="T337" s="514"/>
      <c r="U337" s="504"/>
      <c r="V337" s="516"/>
      <c r="W337" s="506"/>
      <c r="X337" s="515"/>
      <c r="Y337" s="507"/>
      <c r="Z337" s="508"/>
      <c r="AA337" s="509"/>
    </row>
    <row r="338" spans="1:27" hidden="1" x14ac:dyDescent="0.25">
      <c r="A338" s="486"/>
      <c r="B338" s="102" t="str">
        <f>IF(A338&lt;&gt;"",INDEX('Base de données'!A$4:L$990,MATCH(A338,'Base de données'!A$4:A$990,0),2),"")</f>
        <v/>
      </c>
      <c r="C338" s="112" t="str">
        <f>IF(A338&lt;&gt;"",INDEX('Base de données'!A$4:L$990,MATCH(A338,'Base de données'!A$4:A$990,0),12),"")</f>
        <v/>
      </c>
      <c r="D338" s="520"/>
      <c r="E338" s="488"/>
      <c r="F338" s="517"/>
      <c r="G338" s="490"/>
      <c r="H338" s="518"/>
      <c r="I338" s="492"/>
      <c r="J338" s="519"/>
      <c r="K338" s="494"/>
      <c r="L338" s="510"/>
      <c r="M338" s="496"/>
      <c r="N338" s="511"/>
      <c r="O338" s="498"/>
      <c r="P338" s="512"/>
      <c r="Q338" s="500"/>
      <c r="R338" s="513"/>
      <c r="S338" s="502"/>
      <c r="T338" s="514"/>
      <c r="U338" s="504"/>
      <c r="V338" s="516"/>
      <c r="W338" s="506"/>
      <c r="X338" s="515"/>
      <c r="Y338" s="507"/>
      <c r="Z338" s="508"/>
      <c r="AA338" s="509"/>
    </row>
    <row r="339" spans="1:27" hidden="1" x14ac:dyDescent="0.25">
      <c r="A339" s="486"/>
      <c r="B339" s="102" t="str">
        <f>IF(A339&lt;&gt;"",INDEX('Base de données'!A$4:L$990,MATCH(A339,'Base de données'!A$4:A$990,0),2),"")</f>
        <v/>
      </c>
      <c r="C339" s="112" t="str">
        <f>IF(A339&lt;&gt;"",INDEX('Base de données'!A$4:L$990,MATCH(A339,'Base de données'!A$4:A$990,0),12),"")</f>
        <v/>
      </c>
      <c r="D339" s="520"/>
      <c r="E339" s="488"/>
      <c r="F339" s="517"/>
      <c r="G339" s="490"/>
      <c r="H339" s="518"/>
      <c r="I339" s="492"/>
      <c r="J339" s="519"/>
      <c r="K339" s="494"/>
      <c r="L339" s="510"/>
      <c r="M339" s="496"/>
      <c r="N339" s="511"/>
      <c r="O339" s="498"/>
      <c r="P339" s="512"/>
      <c r="Q339" s="500"/>
      <c r="R339" s="513"/>
      <c r="S339" s="502"/>
      <c r="T339" s="514"/>
      <c r="U339" s="504"/>
      <c r="V339" s="516"/>
      <c r="W339" s="506"/>
      <c r="X339" s="515"/>
      <c r="Y339" s="507"/>
      <c r="Z339" s="508"/>
      <c r="AA339" s="509"/>
    </row>
    <row r="340" spans="1:27" hidden="1" x14ac:dyDescent="0.25">
      <c r="A340" s="486"/>
      <c r="B340" s="102" t="str">
        <f>IF(A340&lt;&gt;"",INDEX('Base de données'!A$4:L$990,MATCH(A340,'Base de données'!A$4:A$990,0),2),"")</f>
        <v/>
      </c>
      <c r="C340" s="112" t="str">
        <f>IF(A340&lt;&gt;"",INDEX('Base de données'!A$4:L$990,MATCH(A340,'Base de données'!A$4:A$990,0),12),"")</f>
        <v/>
      </c>
      <c r="D340" s="520"/>
      <c r="E340" s="488"/>
      <c r="F340" s="517"/>
      <c r="G340" s="490"/>
      <c r="H340" s="518"/>
      <c r="I340" s="492"/>
      <c r="J340" s="519"/>
      <c r="K340" s="494"/>
      <c r="L340" s="510"/>
      <c r="M340" s="496"/>
      <c r="N340" s="511"/>
      <c r="O340" s="498"/>
      <c r="P340" s="512"/>
      <c r="Q340" s="500"/>
      <c r="R340" s="513"/>
      <c r="S340" s="502"/>
      <c r="T340" s="514"/>
      <c r="U340" s="504"/>
      <c r="V340" s="516"/>
      <c r="W340" s="506"/>
      <c r="X340" s="515"/>
      <c r="Y340" s="507"/>
      <c r="Z340" s="508"/>
      <c r="AA340" s="509"/>
    </row>
    <row r="341" spans="1:27" hidden="1" x14ac:dyDescent="0.25">
      <c r="A341" s="486"/>
      <c r="B341" s="102" t="str">
        <f>IF(A341&lt;&gt;"",INDEX('Base de données'!A$4:L$990,MATCH(A341,'Base de données'!A$4:A$990,0),2),"")</f>
        <v/>
      </c>
      <c r="C341" s="112" t="str">
        <f>IF(A341&lt;&gt;"",INDEX('Base de données'!A$4:L$990,MATCH(A341,'Base de données'!A$4:A$990,0),12),"")</f>
        <v/>
      </c>
      <c r="D341" s="520"/>
      <c r="E341" s="488"/>
      <c r="F341" s="517"/>
      <c r="G341" s="490"/>
      <c r="H341" s="518"/>
      <c r="I341" s="492"/>
      <c r="J341" s="519"/>
      <c r="K341" s="494"/>
      <c r="L341" s="510"/>
      <c r="M341" s="496"/>
      <c r="N341" s="511"/>
      <c r="O341" s="498"/>
      <c r="P341" s="512"/>
      <c r="Q341" s="500"/>
      <c r="R341" s="513"/>
      <c r="S341" s="502"/>
      <c r="T341" s="514"/>
      <c r="U341" s="504"/>
      <c r="V341" s="516"/>
      <c r="W341" s="506"/>
      <c r="X341" s="515"/>
      <c r="Y341" s="507"/>
      <c r="Z341" s="508"/>
      <c r="AA341" s="509"/>
    </row>
    <row r="342" spans="1:27" hidden="1" x14ac:dyDescent="0.25">
      <c r="A342" s="486"/>
      <c r="B342" s="102" t="str">
        <f>IF(A342&lt;&gt;"",INDEX('Base de données'!A$4:L$990,MATCH(A342,'Base de données'!A$4:A$990,0),2),"")</f>
        <v/>
      </c>
      <c r="C342" s="112" t="str">
        <f>IF(A342&lt;&gt;"",INDEX('Base de données'!A$4:L$990,MATCH(A342,'Base de données'!A$4:A$990,0),12),"")</f>
        <v/>
      </c>
      <c r="D342" s="520"/>
      <c r="E342" s="488"/>
      <c r="F342" s="517"/>
      <c r="G342" s="490"/>
      <c r="H342" s="518"/>
      <c r="I342" s="492"/>
      <c r="J342" s="519"/>
      <c r="K342" s="494"/>
      <c r="L342" s="510"/>
      <c r="M342" s="496"/>
      <c r="N342" s="511"/>
      <c r="O342" s="498"/>
      <c r="P342" s="512"/>
      <c r="Q342" s="500"/>
      <c r="R342" s="513"/>
      <c r="S342" s="502"/>
      <c r="T342" s="514"/>
      <c r="U342" s="504"/>
      <c r="V342" s="516"/>
      <c r="W342" s="506"/>
      <c r="X342" s="515"/>
      <c r="Y342" s="507"/>
      <c r="Z342" s="508"/>
      <c r="AA342" s="509"/>
    </row>
    <row r="343" spans="1:27" hidden="1" x14ac:dyDescent="0.25">
      <c r="A343" s="486"/>
      <c r="B343" s="102" t="str">
        <f>IF(A343&lt;&gt;"",INDEX('Base de données'!A$4:L$990,MATCH(A343,'Base de données'!A$4:A$990,0),2),"")</f>
        <v/>
      </c>
      <c r="C343" s="112" t="str">
        <f>IF(A343&lt;&gt;"",INDEX('Base de données'!A$4:L$990,MATCH(A343,'Base de données'!A$4:A$990,0),12),"")</f>
        <v/>
      </c>
      <c r="D343" s="520"/>
      <c r="E343" s="488"/>
      <c r="F343" s="517"/>
      <c r="G343" s="490"/>
      <c r="H343" s="518"/>
      <c r="I343" s="492"/>
      <c r="J343" s="519"/>
      <c r="K343" s="494"/>
      <c r="L343" s="510"/>
      <c r="M343" s="496"/>
      <c r="N343" s="511"/>
      <c r="O343" s="498"/>
      <c r="P343" s="512"/>
      <c r="Q343" s="500"/>
      <c r="R343" s="513"/>
      <c r="S343" s="502"/>
      <c r="T343" s="514"/>
      <c r="U343" s="504"/>
      <c r="V343" s="516"/>
      <c r="W343" s="506"/>
      <c r="X343" s="515"/>
      <c r="Y343" s="507"/>
      <c r="Z343" s="508"/>
      <c r="AA343" s="509"/>
    </row>
    <row r="344" spans="1:27" hidden="1" x14ac:dyDescent="0.25">
      <c r="A344" s="486"/>
      <c r="B344" s="102" t="str">
        <f>IF(A344&lt;&gt;"",INDEX('Base de données'!A$4:L$990,MATCH(A344,'Base de données'!A$4:A$990,0),2),"")</f>
        <v/>
      </c>
      <c r="C344" s="112" t="str">
        <f>IF(A344&lt;&gt;"",INDEX('Base de données'!A$4:L$990,MATCH(A344,'Base de données'!A$4:A$990,0),12),"")</f>
        <v/>
      </c>
      <c r="D344" s="520"/>
      <c r="E344" s="488"/>
      <c r="F344" s="517"/>
      <c r="G344" s="490"/>
      <c r="H344" s="518"/>
      <c r="I344" s="492"/>
      <c r="J344" s="519"/>
      <c r="K344" s="494"/>
      <c r="L344" s="510"/>
      <c r="M344" s="496"/>
      <c r="N344" s="511"/>
      <c r="O344" s="498"/>
      <c r="P344" s="512"/>
      <c r="Q344" s="500"/>
      <c r="R344" s="513"/>
      <c r="S344" s="502"/>
      <c r="T344" s="514"/>
      <c r="U344" s="504"/>
      <c r="V344" s="516"/>
      <c r="W344" s="506"/>
      <c r="X344" s="515"/>
      <c r="Y344" s="507"/>
      <c r="Z344" s="508"/>
      <c r="AA344" s="509"/>
    </row>
    <row r="345" spans="1:27" hidden="1" x14ac:dyDescent="0.25">
      <c r="A345" s="486"/>
      <c r="B345" s="102" t="str">
        <f>IF(A345&lt;&gt;"",INDEX('Base de données'!A$4:L$990,MATCH(A345,'Base de données'!A$4:A$990,0),2),"")</f>
        <v/>
      </c>
      <c r="C345" s="112" t="str">
        <f>IF(A345&lt;&gt;"",INDEX('Base de données'!A$4:L$990,MATCH(A345,'Base de données'!A$4:A$990,0),12),"")</f>
        <v/>
      </c>
      <c r="D345" s="520"/>
      <c r="E345" s="488"/>
      <c r="F345" s="517"/>
      <c r="G345" s="490"/>
      <c r="H345" s="518"/>
      <c r="I345" s="492"/>
      <c r="J345" s="519"/>
      <c r="K345" s="494"/>
      <c r="L345" s="510"/>
      <c r="M345" s="496"/>
      <c r="N345" s="511"/>
      <c r="O345" s="498"/>
      <c r="P345" s="512"/>
      <c r="Q345" s="500"/>
      <c r="R345" s="513"/>
      <c r="S345" s="502"/>
      <c r="T345" s="514"/>
      <c r="U345" s="504"/>
      <c r="V345" s="516"/>
      <c r="W345" s="506"/>
      <c r="X345" s="515"/>
      <c r="Y345" s="507"/>
      <c r="Z345" s="508"/>
      <c r="AA345" s="509"/>
    </row>
    <row r="346" spans="1:27" hidden="1" x14ac:dyDescent="0.25">
      <c r="A346" s="486"/>
      <c r="B346" s="102" t="str">
        <f>IF(A346&lt;&gt;"",INDEX('Base de données'!A$4:L$990,MATCH(A346,'Base de données'!A$4:A$990,0),2),"")</f>
        <v/>
      </c>
      <c r="C346" s="112" t="str">
        <f>IF(A346&lt;&gt;"",INDEX('Base de données'!A$4:L$990,MATCH(A346,'Base de données'!A$4:A$990,0),12),"")</f>
        <v/>
      </c>
      <c r="D346" s="520"/>
      <c r="E346" s="488"/>
      <c r="F346" s="517"/>
      <c r="G346" s="490"/>
      <c r="H346" s="518"/>
      <c r="I346" s="492"/>
      <c r="J346" s="519"/>
      <c r="K346" s="494"/>
      <c r="L346" s="510"/>
      <c r="M346" s="496"/>
      <c r="N346" s="511"/>
      <c r="O346" s="498"/>
      <c r="P346" s="512"/>
      <c r="Q346" s="500"/>
      <c r="R346" s="513"/>
      <c r="S346" s="502"/>
      <c r="T346" s="514"/>
      <c r="U346" s="504"/>
      <c r="V346" s="516"/>
      <c r="W346" s="506"/>
      <c r="X346" s="515"/>
      <c r="Y346" s="507"/>
      <c r="Z346" s="508"/>
      <c r="AA346" s="509"/>
    </row>
    <row r="347" spans="1:27" hidden="1" x14ac:dyDescent="0.25">
      <c r="A347" s="486"/>
      <c r="B347" s="102" t="str">
        <f>IF(A347&lt;&gt;"",INDEX('Base de données'!A$4:L$990,MATCH(A347,'Base de données'!A$4:A$990,0),2),"")</f>
        <v/>
      </c>
      <c r="C347" s="112" t="str">
        <f>IF(A347&lt;&gt;"",INDEX('Base de données'!A$4:L$990,MATCH(A347,'Base de données'!A$4:A$990,0),12),"")</f>
        <v/>
      </c>
      <c r="D347" s="520"/>
      <c r="E347" s="488"/>
      <c r="F347" s="517"/>
      <c r="G347" s="490"/>
      <c r="H347" s="518"/>
      <c r="I347" s="492"/>
      <c r="J347" s="519"/>
      <c r="K347" s="494"/>
      <c r="L347" s="510"/>
      <c r="M347" s="496"/>
      <c r="N347" s="511"/>
      <c r="O347" s="498"/>
      <c r="P347" s="512"/>
      <c r="Q347" s="500"/>
      <c r="R347" s="513"/>
      <c r="S347" s="502"/>
      <c r="T347" s="514"/>
      <c r="U347" s="504"/>
      <c r="V347" s="516"/>
      <c r="W347" s="506"/>
      <c r="X347" s="515"/>
      <c r="Y347" s="507"/>
      <c r="Z347" s="508"/>
      <c r="AA347" s="509"/>
    </row>
    <row r="348" spans="1:27" hidden="1" x14ac:dyDescent="0.25">
      <c r="A348" s="486"/>
      <c r="B348" s="102" t="str">
        <f>IF(A348&lt;&gt;"",INDEX('Base de données'!A$4:L$990,MATCH(A348,'Base de données'!A$4:A$990,0),2),"")</f>
        <v/>
      </c>
      <c r="C348" s="112" t="str">
        <f>IF(A348&lt;&gt;"",INDEX('Base de données'!A$4:L$990,MATCH(A348,'Base de données'!A$4:A$990,0),12),"")</f>
        <v/>
      </c>
      <c r="D348" s="520"/>
      <c r="E348" s="488"/>
      <c r="F348" s="517"/>
      <c r="G348" s="490"/>
      <c r="H348" s="518"/>
      <c r="I348" s="492"/>
      <c r="J348" s="519"/>
      <c r="K348" s="494"/>
      <c r="L348" s="510"/>
      <c r="M348" s="496"/>
      <c r="N348" s="511"/>
      <c r="O348" s="498"/>
      <c r="P348" s="512"/>
      <c r="Q348" s="500"/>
      <c r="R348" s="513"/>
      <c r="S348" s="502"/>
      <c r="T348" s="514"/>
      <c r="U348" s="504"/>
      <c r="V348" s="516"/>
      <c r="W348" s="506"/>
      <c r="X348" s="515"/>
      <c r="Y348" s="507"/>
      <c r="Z348" s="508"/>
      <c r="AA348" s="509"/>
    </row>
    <row r="349" spans="1:27" hidden="1" x14ac:dyDescent="0.25">
      <c r="A349" s="486"/>
      <c r="B349" s="102" t="str">
        <f>IF(A349&lt;&gt;"",INDEX('Base de données'!A$4:L$990,MATCH(A349,'Base de données'!A$4:A$990,0),2),"")</f>
        <v/>
      </c>
      <c r="C349" s="112" t="str">
        <f>IF(A349&lt;&gt;"",INDEX('Base de données'!A$4:L$990,MATCH(A349,'Base de données'!A$4:A$990,0),12),"")</f>
        <v/>
      </c>
      <c r="D349" s="520"/>
      <c r="E349" s="488"/>
      <c r="F349" s="517"/>
      <c r="G349" s="490"/>
      <c r="H349" s="518"/>
      <c r="I349" s="492"/>
      <c r="J349" s="519"/>
      <c r="K349" s="494"/>
      <c r="L349" s="510"/>
      <c r="M349" s="496"/>
      <c r="N349" s="511"/>
      <c r="O349" s="498"/>
      <c r="P349" s="512"/>
      <c r="Q349" s="500"/>
      <c r="R349" s="513"/>
      <c r="S349" s="502"/>
      <c r="T349" s="514"/>
      <c r="U349" s="504"/>
      <c r="V349" s="516"/>
      <c r="W349" s="506"/>
      <c r="X349" s="515"/>
      <c r="Y349" s="507"/>
      <c r="Z349" s="508"/>
      <c r="AA349" s="509"/>
    </row>
    <row r="350" spans="1:27" hidden="1" x14ac:dyDescent="0.25">
      <c r="A350" s="486"/>
      <c r="B350" s="102" t="str">
        <f>IF(A350&lt;&gt;"",INDEX('Base de données'!A$4:L$990,MATCH(A350,'Base de données'!A$4:A$990,0),2),"")</f>
        <v/>
      </c>
      <c r="C350" s="112" t="str">
        <f>IF(A350&lt;&gt;"",INDEX('Base de données'!A$4:L$990,MATCH(A350,'Base de données'!A$4:A$990,0),12),"")</f>
        <v/>
      </c>
      <c r="D350" s="520"/>
      <c r="E350" s="488"/>
      <c r="F350" s="517"/>
      <c r="G350" s="490"/>
      <c r="H350" s="518"/>
      <c r="I350" s="492"/>
      <c r="J350" s="519"/>
      <c r="K350" s="494"/>
      <c r="L350" s="510"/>
      <c r="M350" s="496"/>
      <c r="N350" s="511"/>
      <c r="O350" s="498"/>
      <c r="P350" s="512"/>
      <c r="Q350" s="500"/>
      <c r="R350" s="513"/>
      <c r="S350" s="502"/>
      <c r="T350" s="514"/>
      <c r="U350" s="504"/>
      <c r="V350" s="516"/>
      <c r="W350" s="506"/>
      <c r="X350" s="515"/>
      <c r="Y350" s="507"/>
      <c r="Z350" s="508"/>
      <c r="AA350" s="509"/>
    </row>
    <row r="351" spans="1:27" hidden="1" x14ac:dyDescent="0.25">
      <c r="A351" s="486"/>
      <c r="B351" s="102" t="str">
        <f>IF(A351&lt;&gt;"",INDEX('Base de données'!A$4:L$990,MATCH(A351,'Base de données'!A$4:A$990,0),2),"")</f>
        <v/>
      </c>
      <c r="C351" s="112" t="str">
        <f>IF(A351&lt;&gt;"",INDEX('Base de données'!A$4:L$990,MATCH(A351,'Base de données'!A$4:A$990,0),12),"")</f>
        <v/>
      </c>
      <c r="D351" s="520"/>
      <c r="E351" s="488"/>
      <c r="F351" s="517"/>
      <c r="G351" s="490"/>
      <c r="H351" s="518"/>
      <c r="I351" s="492"/>
      <c r="J351" s="519"/>
      <c r="K351" s="494"/>
      <c r="L351" s="510"/>
      <c r="M351" s="496"/>
      <c r="N351" s="511"/>
      <c r="O351" s="498"/>
      <c r="P351" s="512"/>
      <c r="Q351" s="500"/>
      <c r="R351" s="513"/>
      <c r="S351" s="502"/>
      <c r="T351" s="514"/>
      <c r="U351" s="504"/>
      <c r="V351" s="516"/>
      <c r="W351" s="506"/>
      <c r="X351" s="515"/>
      <c r="Y351" s="507"/>
      <c r="Z351" s="508"/>
      <c r="AA351" s="509"/>
    </row>
    <row r="352" spans="1:27" hidden="1" x14ac:dyDescent="0.25">
      <c r="A352" s="486"/>
      <c r="B352" s="102" t="str">
        <f>IF(A352&lt;&gt;"",INDEX('Base de données'!A$4:L$990,MATCH(A352,'Base de données'!A$4:A$990,0),2),"")</f>
        <v/>
      </c>
      <c r="C352" s="112" t="str">
        <f>IF(A352&lt;&gt;"",INDEX('Base de données'!A$4:L$990,MATCH(A352,'Base de données'!A$4:A$990,0),12),"")</f>
        <v/>
      </c>
      <c r="D352" s="520"/>
      <c r="E352" s="488"/>
      <c r="F352" s="517"/>
      <c r="G352" s="490"/>
      <c r="H352" s="518"/>
      <c r="I352" s="492"/>
      <c r="J352" s="519"/>
      <c r="K352" s="494"/>
      <c r="L352" s="510"/>
      <c r="M352" s="496"/>
      <c r="N352" s="511"/>
      <c r="O352" s="498"/>
      <c r="P352" s="512"/>
      <c r="Q352" s="500"/>
      <c r="R352" s="513"/>
      <c r="S352" s="502"/>
      <c r="T352" s="514"/>
      <c r="U352" s="504"/>
      <c r="V352" s="516"/>
      <c r="W352" s="506"/>
      <c r="X352" s="515"/>
      <c r="Y352" s="507"/>
      <c r="Z352" s="508"/>
      <c r="AA352" s="509"/>
    </row>
    <row r="353" spans="1:27" hidden="1" x14ac:dyDescent="0.25">
      <c r="A353" s="486"/>
      <c r="B353" s="102" t="str">
        <f>IF(A353&lt;&gt;"",INDEX('Base de données'!A$4:L$990,MATCH(A353,'Base de données'!A$4:A$990,0),2),"")</f>
        <v/>
      </c>
      <c r="C353" s="112" t="str">
        <f>IF(A353&lt;&gt;"",INDEX('Base de données'!A$4:L$990,MATCH(A353,'Base de données'!A$4:A$990,0),12),"")</f>
        <v/>
      </c>
      <c r="D353" s="520"/>
      <c r="E353" s="488"/>
      <c r="F353" s="517"/>
      <c r="G353" s="490"/>
      <c r="H353" s="518"/>
      <c r="I353" s="492"/>
      <c r="J353" s="519"/>
      <c r="K353" s="494"/>
      <c r="L353" s="510"/>
      <c r="M353" s="496"/>
      <c r="N353" s="511"/>
      <c r="O353" s="498"/>
      <c r="P353" s="512"/>
      <c r="Q353" s="500"/>
      <c r="R353" s="513"/>
      <c r="S353" s="502"/>
      <c r="T353" s="514"/>
      <c r="U353" s="504"/>
      <c r="V353" s="516"/>
      <c r="W353" s="506"/>
      <c r="X353" s="515"/>
      <c r="Y353" s="507"/>
      <c r="Z353" s="508"/>
      <c r="AA353" s="509"/>
    </row>
    <row r="354" spans="1:27" hidden="1" x14ac:dyDescent="0.25">
      <c r="A354" s="486"/>
      <c r="B354" s="102" t="str">
        <f>IF(A354&lt;&gt;"",INDEX('Base de données'!A$4:L$990,MATCH(A354,'Base de données'!A$4:A$990,0),2),"")</f>
        <v/>
      </c>
      <c r="C354" s="112" t="str">
        <f>IF(A354&lt;&gt;"",INDEX('Base de données'!A$4:L$990,MATCH(A354,'Base de données'!A$4:A$990,0),12),"")</f>
        <v/>
      </c>
      <c r="D354" s="520"/>
      <c r="E354" s="488"/>
      <c r="F354" s="517"/>
      <c r="G354" s="490"/>
      <c r="H354" s="518"/>
      <c r="I354" s="492"/>
      <c r="J354" s="519"/>
      <c r="K354" s="494"/>
      <c r="L354" s="510"/>
      <c r="M354" s="496"/>
      <c r="N354" s="511"/>
      <c r="O354" s="498"/>
      <c r="P354" s="512"/>
      <c r="Q354" s="500"/>
      <c r="R354" s="513"/>
      <c r="S354" s="502"/>
      <c r="T354" s="514"/>
      <c r="U354" s="504"/>
      <c r="V354" s="516"/>
      <c r="W354" s="506"/>
      <c r="X354" s="515"/>
      <c r="Y354" s="507"/>
      <c r="Z354" s="508"/>
      <c r="AA354" s="509"/>
    </row>
    <row r="355" spans="1:27" hidden="1" x14ac:dyDescent="0.25">
      <c r="A355" s="486"/>
      <c r="B355" s="102" t="str">
        <f>IF(A355&lt;&gt;"",INDEX('Base de données'!A$4:L$990,MATCH(A355,'Base de données'!A$4:A$990,0),2),"")</f>
        <v/>
      </c>
      <c r="C355" s="112" t="str">
        <f>IF(A355&lt;&gt;"",INDEX('Base de données'!A$4:L$990,MATCH(A355,'Base de données'!A$4:A$990,0),12),"")</f>
        <v/>
      </c>
      <c r="D355" s="520"/>
      <c r="E355" s="488"/>
      <c r="F355" s="517"/>
      <c r="G355" s="490"/>
      <c r="H355" s="518"/>
      <c r="I355" s="492"/>
      <c r="J355" s="519"/>
      <c r="K355" s="494"/>
      <c r="L355" s="510"/>
      <c r="M355" s="496"/>
      <c r="N355" s="511"/>
      <c r="O355" s="498"/>
      <c r="P355" s="512"/>
      <c r="Q355" s="500"/>
      <c r="R355" s="513"/>
      <c r="S355" s="502"/>
      <c r="T355" s="514"/>
      <c r="U355" s="504"/>
      <c r="V355" s="516"/>
      <c r="W355" s="506"/>
      <c r="X355" s="515"/>
      <c r="Y355" s="507"/>
      <c r="Z355" s="508"/>
      <c r="AA355" s="509"/>
    </row>
    <row r="356" spans="1:27" hidden="1" x14ac:dyDescent="0.25">
      <c r="A356" s="486"/>
      <c r="B356" s="102" t="str">
        <f>IF(A356&lt;&gt;"",INDEX('Base de données'!A$4:L$990,MATCH(A356,'Base de données'!A$4:A$990,0),2),"")</f>
        <v/>
      </c>
      <c r="C356" s="112" t="str">
        <f>IF(A356&lt;&gt;"",INDEX('Base de données'!A$4:L$990,MATCH(A356,'Base de données'!A$4:A$990,0),12),"")</f>
        <v/>
      </c>
      <c r="D356" s="521"/>
      <c r="E356" s="522"/>
      <c r="F356" s="517"/>
      <c r="G356" s="490"/>
      <c r="H356" s="518"/>
      <c r="I356" s="492"/>
      <c r="J356" s="519"/>
      <c r="K356" s="494"/>
      <c r="L356" s="510"/>
      <c r="M356" s="496"/>
      <c r="N356" s="511"/>
      <c r="O356" s="498"/>
      <c r="P356" s="512"/>
      <c r="Q356" s="500"/>
      <c r="R356" s="513"/>
      <c r="S356" s="502"/>
      <c r="T356" s="514"/>
      <c r="U356" s="504"/>
      <c r="V356" s="516"/>
      <c r="W356" s="506"/>
      <c r="X356" s="515"/>
      <c r="Y356" s="507"/>
      <c r="Z356" s="508"/>
      <c r="AA356" s="509"/>
    </row>
    <row r="357" spans="1:27" hidden="1" x14ac:dyDescent="0.25">
      <c r="B357" s="55" t="str">
        <f>IF(A357&lt;&gt;"",INDEX('Base de données'!A$4:L$990,MATCH(' TVA M'!A362,'Base de données'!A$4:A$990,0),2),"")</f>
        <v/>
      </c>
      <c r="C357" s="55" t="str">
        <f>IF(A357&lt;&gt;"",INDEX('Base de données'!A$4:L$990,MATCH(' TVA M'!A362,'Base de données'!A$4:A$990,0),12),"")</f>
        <v/>
      </c>
    </row>
    <row r="358" spans="1:27" hidden="1" x14ac:dyDescent="0.25">
      <c r="B358" s="55" t="str">
        <f>IF(A358&lt;&gt;"",INDEX('Base de données'!A$4:L$990,MATCH(' TVA M'!A363,'Base de données'!A$4:A$990,0),2),"")</f>
        <v/>
      </c>
      <c r="C358" s="55" t="str">
        <f>IF(A358&lt;&gt;"",INDEX('Base de données'!A$4:L$990,MATCH(' TVA M'!A363,'Base de données'!A$4:A$990,0),12),"")</f>
        <v/>
      </c>
    </row>
    <row r="359" spans="1:27" hidden="1" x14ac:dyDescent="0.25">
      <c r="B359" s="55" t="str">
        <f>IF(A359&lt;&gt;"",INDEX('Base de données'!A$4:L$990,MATCH(' TVA M'!A364,'Base de données'!A$4:A$990,0),2),"")</f>
        <v/>
      </c>
      <c r="C359" s="55" t="str">
        <f>IF(A359&lt;&gt;"",INDEX('Base de données'!A$4:L$990,MATCH(' TVA M'!A364,'Base de données'!A$4:A$990,0),12),"")</f>
        <v/>
      </c>
    </row>
    <row r="360" spans="1:27" hidden="1" x14ac:dyDescent="0.25">
      <c r="B360" s="55" t="str">
        <f>IF(A360&lt;&gt;"",INDEX('Base de données'!A$4:L$990,MATCH(' TVA M'!A365,'Base de données'!A$4:A$990,0),2),"")</f>
        <v/>
      </c>
      <c r="C360" s="55" t="str">
        <f>IF(A360&lt;&gt;"",INDEX('Base de données'!A$4:L$990,MATCH(' TVA M'!A365,'Base de données'!A$4:A$990,0),12),"")</f>
        <v/>
      </c>
      <c r="D360" s="3"/>
      <c r="E360" s="3"/>
      <c r="F360" s="4"/>
      <c r="G360" s="3"/>
      <c r="H360" s="3"/>
      <c r="I360" s="3"/>
      <c r="J360" s="3"/>
      <c r="K360" s="3"/>
      <c r="L360" s="5"/>
    </row>
    <row r="361" spans="1:27" hidden="1" x14ac:dyDescent="0.25">
      <c r="B361" s="55" t="str">
        <f>IF(A361&lt;&gt;"",INDEX('Base de données'!A$4:L$990,MATCH(' TVA M'!A366,'Base de données'!A$4:A$990,0),2),"")</f>
        <v/>
      </c>
      <c r="C361" s="55" t="str">
        <f>IF(A361&lt;&gt;"",INDEX('Base de données'!A$4:L$990,MATCH(' TVA M'!A366,'Base de données'!A$4:A$990,0),12),"")</f>
        <v/>
      </c>
    </row>
    <row r="362" spans="1:27" hidden="1" x14ac:dyDescent="0.25">
      <c r="B362" s="55" t="str">
        <f>IF(A362&lt;&gt;"",INDEX('Base de données'!A$4:L$990,MATCH(' TVA M'!A367,'Base de données'!A$4:A$990,0),2),"")</f>
        <v/>
      </c>
      <c r="C362" s="55" t="str">
        <f>IF(A362&lt;&gt;"",INDEX('Base de données'!A$4:L$990,MATCH(' TVA M'!A367,'Base de données'!A$4:A$990,0),12),"")</f>
        <v/>
      </c>
    </row>
    <row r="363" spans="1:27" hidden="1" x14ac:dyDescent="0.25">
      <c r="B363" s="55" t="str">
        <f>IF(A363&lt;&gt;"",INDEX('Base de données'!A$4:L$990,MATCH(' TVA M'!A368,'Base de données'!A$4:A$990,0),2),"")</f>
        <v/>
      </c>
      <c r="C363" s="55" t="str">
        <f>IF(A363&lt;&gt;"",INDEX('Base de données'!A$4:L$990,MATCH(' TVA M'!A368,'Base de données'!A$4:A$990,0),12),"")</f>
        <v/>
      </c>
    </row>
    <row r="364" spans="1:27" hidden="1" x14ac:dyDescent="0.25">
      <c r="B364" s="55" t="str">
        <f>IF(A364&lt;&gt;"",INDEX('Base de données'!A$4:L$990,MATCH(' TVA M'!A369,'Base de données'!A$4:A$990,0),2),"")</f>
        <v/>
      </c>
      <c r="C364" s="55" t="str">
        <f>IF(A364&lt;&gt;"",INDEX('Base de données'!A$4:L$990,MATCH(' TVA M'!A369,'Base de données'!A$4:A$990,0),12),"")</f>
        <v/>
      </c>
    </row>
    <row r="365" spans="1:27" hidden="1" x14ac:dyDescent="0.25">
      <c r="B365" s="55" t="str">
        <f>IF(A365&lt;&gt;"",INDEX('Base de données'!A$4:L$990,MATCH(' TVA M'!A370,'Base de données'!A$4:A$990,0),2),"")</f>
        <v/>
      </c>
      <c r="C365" s="55" t="str">
        <f>IF(A365&lt;&gt;"",INDEX('Base de données'!A$4:L$990,MATCH(' TVA M'!A370,'Base de données'!A$4:A$990,0),12),"")</f>
        <v/>
      </c>
    </row>
    <row r="366" spans="1:27" hidden="1" x14ac:dyDescent="0.25">
      <c r="B366" s="55" t="str">
        <f>IF(A366&lt;&gt;"",INDEX('Base de données'!A$4:L$990,MATCH(' TVA M'!A371,'Base de données'!A$4:A$990,0),2),"")</f>
        <v/>
      </c>
      <c r="C366" s="55" t="str">
        <f>IF(A366&lt;&gt;"",INDEX('Base de données'!A$4:L$990,MATCH(' TVA M'!A371,'Base de données'!A$4:A$990,0),12),"")</f>
        <v/>
      </c>
    </row>
    <row r="367" spans="1:27" hidden="1" x14ac:dyDescent="0.25">
      <c r="B367" s="55" t="str">
        <f>IF(A367&lt;&gt;"",INDEX('Base de données'!A$4:L$990,MATCH(' TVA M'!A372,'Base de données'!A$4:A$990,0),2),"")</f>
        <v/>
      </c>
      <c r="C367" s="55" t="str">
        <f>IF(A367&lt;&gt;"",INDEX('Base de données'!A$4:L$990,MATCH(' TVA M'!A372,'Base de données'!A$4:A$990,0),12),"")</f>
        <v/>
      </c>
    </row>
    <row r="368" spans="1:27" hidden="1" x14ac:dyDescent="0.25">
      <c r="B368" s="55" t="str">
        <f>IF(A368&lt;&gt;"",INDEX('Base de données'!A$4:L$990,MATCH(' TVA M'!A373,'Base de données'!A$4:A$990,0),2),"")</f>
        <v/>
      </c>
      <c r="C368" s="55" t="str">
        <f>IF(A368&lt;&gt;"",INDEX('Base de données'!A$4:L$990,MATCH(' TVA M'!A373,'Base de données'!A$4:A$990,0),12),"")</f>
        <v/>
      </c>
    </row>
    <row r="369" spans="2:3" hidden="1" x14ac:dyDescent="0.25">
      <c r="B369" s="55" t="str">
        <f>IF(A369&lt;&gt;"",INDEX('Base de données'!A$4:L$990,MATCH(' TVA M'!A374,'Base de données'!A$4:A$990,0),2),"")</f>
        <v/>
      </c>
      <c r="C369" s="55" t="str">
        <f>IF(A369&lt;&gt;"",INDEX('Base de données'!A$4:L$990,MATCH(' TVA M'!A374,'Base de données'!A$4:A$990,0),12),"")</f>
        <v/>
      </c>
    </row>
    <row r="370" spans="2:3" hidden="1" x14ac:dyDescent="0.25">
      <c r="B370" s="55" t="str">
        <f>IF(A370&lt;&gt;"",INDEX('Base de données'!A$4:L$990,MATCH(' TVA M'!A375,'Base de données'!A$4:A$990,0),2),"")</f>
        <v/>
      </c>
      <c r="C370" s="55" t="str">
        <f>IF(A370&lt;&gt;"",INDEX('Base de données'!A$4:L$990,MATCH(' TVA M'!A375,'Base de données'!A$4:A$990,0),12),"")</f>
        <v/>
      </c>
    </row>
    <row r="371" spans="2:3" hidden="1" x14ac:dyDescent="0.25">
      <c r="B371" s="55" t="str">
        <f>IF(A371&lt;&gt;"",INDEX('Base de données'!A$4:L$990,MATCH(' TVA M'!A376,'Base de données'!A$4:A$990,0),2),"")</f>
        <v/>
      </c>
      <c r="C371" s="55" t="str">
        <f>IF(A371&lt;&gt;"",INDEX('Base de données'!A$4:L$990,MATCH(' TVA M'!A376,'Base de données'!A$4:A$990,0),12),"")</f>
        <v/>
      </c>
    </row>
    <row r="372" spans="2:3" hidden="1" x14ac:dyDescent="0.25">
      <c r="B372" s="55" t="str">
        <f>IF(A372&lt;&gt;"",INDEX('Base de données'!A$4:L$990,MATCH(' TVA M'!A377,'Base de données'!A$4:A$990,0),2),"")</f>
        <v/>
      </c>
      <c r="C372" s="55" t="str">
        <f>IF(A372&lt;&gt;"",INDEX('Base de données'!A$4:L$990,MATCH(' TVA M'!A377,'Base de données'!A$4:A$990,0),12),"")</f>
        <v/>
      </c>
    </row>
    <row r="373" spans="2:3" hidden="1" x14ac:dyDescent="0.25">
      <c r="B373" s="55" t="str">
        <f>IF(A373&lt;&gt;"",INDEX('Base de données'!A$4:L$990,MATCH(' TVA M'!A378,'Base de données'!A$4:A$990,0),2),"")</f>
        <v/>
      </c>
      <c r="C373" s="55" t="str">
        <f>IF(A373&lt;&gt;"",INDEX('Base de données'!A$4:L$990,MATCH(' TVA M'!A378,'Base de données'!A$4:A$990,0),12),"")</f>
        <v/>
      </c>
    </row>
    <row r="374" spans="2:3" hidden="1" x14ac:dyDescent="0.25">
      <c r="B374" s="55" t="str">
        <f>IF(A374&lt;&gt;"",INDEX('Base de données'!A$4:L$990,MATCH(' TVA M'!A379,'Base de données'!A$4:A$990,0),2),"")</f>
        <v/>
      </c>
      <c r="C374" s="55" t="str">
        <f>IF(A374&lt;&gt;"",INDEX('Base de données'!A$4:L$990,MATCH(' TVA M'!A379,'Base de données'!A$4:A$990,0),12),"")</f>
        <v/>
      </c>
    </row>
    <row r="375" spans="2:3" hidden="1" x14ac:dyDescent="0.25">
      <c r="B375" s="55" t="str">
        <f>IF(A375&lt;&gt;"",INDEX('Base de données'!A$4:L$990,MATCH(' TVA M'!A380,'Base de données'!A$4:A$990,0),2),"")</f>
        <v/>
      </c>
      <c r="C375" s="55" t="str">
        <f>IF(A375&lt;&gt;"",INDEX('Base de données'!A$4:L$990,MATCH(' TVA M'!A380,'Base de données'!A$4:A$990,0),12),"")</f>
        <v/>
      </c>
    </row>
    <row r="376" spans="2:3" hidden="1" x14ac:dyDescent="0.25">
      <c r="B376" s="55" t="str">
        <f>IF(A376&lt;&gt;"",INDEX('Base de données'!A$4:L$990,MATCH(' TVA M'!A381,'Base de données'!A$4:A$990,0),2),"")</f>
        <v/>
      </c>
      <c r="C376" s="55" t="str">
        <f>IF(A376&lt;&gt;"",INDEX('Base de données'!A$4:L$990,MATCH(' TVA M'!A381,'Base de données'!A$4:A$990,0),12),"")</f>
        <v/>
      </c>
    </row>
    <row r="377" spans="2:3" hidden="1" x14ac:dyDescent="0.25">
      <c r="B377" s="55" t="str">
        <f>IF(A377&lt;&gt;"",INDEX('Base de données'!A$4:L$990,MATCH(' TVA M'!A382,'Base de données'!A$4:A$990,0),2),"")</f>
        <v/>
      </c>
      <c r="C377" s="55" t="str">
        <f>IF(A377&lt;&gt;"",INDEX('Base de données'!A$4:L$990,MATCH(' TVA M'!A382,'Base de données'!A$4:A$990,0),12),"")</f>
        <v/>
      </c>
    </row>
    <row r="378" spans="2:3" hidden="1" x14ac:dyDescent="0.25">
      <c r="B378" s="55" t="str">
        <f>IF(A378&lt;&gt;"",INDEX('Base de données'!A$4:L$990,MATCH(' TVA M'!A383,'Base de données'!A$4:A$990,0),2),"")</f>
        <v/>
      </c>
      <c r="C378" s="55" t="str">
        <f>IF(A378&lt;&gt;"",INDEX('Base de données'!A$4:L$990,MATCH(' TVA M'!A383,'Base de données'!A$4:A$990,0),12),"")</f>
        <v/>
      </c>
    </row>
    <row r="379" spans="2:3" hidden="1" x14ac:dyDescent="0.25">
      <c r="B379" s="55" t="str">
        <f>IF(A379&lt;&gt;"",INDEX('Base de données'!A$4:L$990,MATCH(' TVA M'!A384,'Base de données'!A$4:A$990,0),2),"")</f>
        <v/>
      </c>
      <c r="C379" s="55" t="str">
        <f>IF(A379&lt;&gt;"",INDEX('Base de données'!A$4:L$990,MATCH(' TVA M'!A384,'Base de données'!A$4:A$990,0),12),"")</f>
        <v/>
      </c>
    </row>
    <row r="380" spans="2:3" hidden="1" x14ac:dyDescent="0.25">
      <c r="B380" s="55" t="str">
        <f>IF(A380&lt;&gt;"",INDEX('Base de données'!A$4:L$990,MATCH(' TVA M'!A385,'Base de données'!A$4:A$990,0),2),"")</f>
        <v/>
      </c>
      <c r="C380" s="55" t="str">
        <f>IF(A380&lt;&gt;"",INDEX('Base de données'!A$4:L$990,MATCH(' TVA M'!A385,'Base de données'!A$4:A$990,0),12),"")</f>
        <v/>
      </c>
    </row>
    <row r="381" spans="2:3" hidden="1" x14ac:dyDescent="0.25">
      <c r="B381" s="55" t="str">
        <f>IF(A381&lt;&gt;"",INDEX('Base de données'!A$4:L$990,MATCH(' TVA M'!A386,'Base de données'!A$4:A$990,0),2),"")</f>
        <v/>
      </c>
      <c r="C381" s="55" t="str">
        <f>IF(A381&lt;&gt;"",INDEX('Base de données'!A$4:L$990,MATCH(' TVA M'!A386,'Base de données'!A$4:A$990,0),12),"")</f>
        <v/>
      </c>
    </row>
    <row r="382" spans="2:3" hidden="1" x14ac:dyDescent="0.25">
      <c r="B382" s="55" t="str">
        <f>IF(A382&lt;&gt;"",INDEX('Base de données'!A$4:L$990,MATCH(' TVA M'!A387,'Base de données'!A$4:A$990,0),2),"")</f>
        <v/>
      </c>
      <c r="C382" s="55" t="str">
        <f>IF(A382&lt;&gt;"",INDEX('Base de données'!A$4:L$990,MATCH(' TVA M'!A387,'Base de données'!A$4:A$990,0),12),"")</f>
        <v/>
      </c>
    </row>
    <row r="383" spans="2:3" hidden="1" x14ac:dyDescent="0.25">
      <c r="B383" s="55" t="str">
        <f>IF(A383&lt;&gt;"",INDEX('Base de données'!A$4:L$990,MATCH(' TVA M'!A388,'Base de données'!A$4:A$990,0),2),"")</f>
        <v/>
      </c>
      <c r="C383" s="55" t="str">
        <f>IF(A383&lt;&gt;"",INDEX('Base de données'!A$4:L$990,MATCH(' TVA M'!A388,'Base de données'!A$4:A$990,0),12),"")</f>
        <v/>
      </c>
    </row>
    <row r="384" spans="2:3" hidden="1" x14ac:dyDescent="0.25">
      <c r="B384" s="55" t="str">
        <f>IF(A384&lt;&gt;"",INDEX('Base de données'!A$4:L$990,MATCH(' TVA M'!A389,'Base de données'!A$4:A$990,0),2),"")</f>
        <v/>
      </c>
      <c r="C384" s="55" t="str">
        <f>IF(A384&lt;&gt;"",INDEX('Base de données'!A$4:L$990,MATCH(' TVA M'!A389,'Base de données'!A$4:A$990,0),12),"")</f>
        <v/>
      </c>
    </row>
    <row r="385" spans="2:3" hidden="1" x14ac:dyDescent="0.25">
      <c r="B385" s="55" t="str">
        <f>IF(A385&lt;&gt;"",INDEX('Base de données'!A$4:L$990,MATCH(' TVA M'!A390,'Base de données'!A$4:A$990,0),2),"")</f>
        <v/>
      </c>
      <c r="C385" s="55" t="str">
        <f>IF(A385&lt;&gt;"",INDEX('Base de données'!A$4:L$990,MATCH(' TVA M'!A390,'Base de données'!A$4:A$990,0),12),"")</f>
        <v/>
      </c>
    </row>
    <row r="386" spans="2:3" hidden="1" x14ac:dyDescent="0.25">
      <c r="B386" s="55" t="str">
        <f>IF(A386&lt;&gt;"",INDEX('Base de données'!A$4:L$990,MATCH(' TVA M'!A391,'Base de données'!A$4:A$990,0),2),"")</f>
        <v/>
      </c>
      <c r="C386" s="55" t="str">
        <f>IF(A386&lt;&gt;"",INDEX('Base de données'!A$4:L$990,MATCH(' TVA M'!A391,'Base de données'!A$4:A$990,0),12),"")</f>
        <v/>
      </c>
    </row>
    <row r="387" spans="2:3" hidden="1" x14ac:dyDescent="0.25">
      <c r="B387" s="55" t="str">
        <f>IF(A387&lt;&gt;"",INDEX('Base de données'!A$4:L$990,MATCH(' TVA M'!A392,'Base de données'!A$4:A$990,0),2),"")</f>
        <v/>
      </c>
      <c r="C387" s="55" t="str">
        <f>IF(A387&lt;&gt;"",INDEX('Base de données'!A$4:L$990,MATCH(' TVA M'!A392,'Base de données'!A$4:A$990,0),12),"")</f>
        <v/>
      </c>
    </row>
    <row r="388" spans="2:3" hidden="1" x14ac:dyDescent="0.25">
      <c r="B388" s="55" t="str">
        <f>IF(A388&lt;&gt;"",INDEX('Base de données'!A$4:L$990,MATCH(' TVA M'!A393,'Base de données'!A$4:A$990,0),2),"")</f>
        <v/>
      </c>
      <c r="C388" s="55" t="str">
        <f>IF(A388&lt;&gt;"",INDEX('Base de données'!A$4:L$990,MATCH(' TVA M'!A393,'Base de données'!A$4:A$990,0),12),"")</f>
        <v/>
      </c>
    </row>
    <row r="389" spans="2:3" hidden="1" x14ac:dyDescent="0.25">
      <c r="B389" s="55" t="str">
        <f>IF(A389&lt;&gt;"",INDEX('Base de données'!A$4:L$990,MATCH(' TVA M'!A394,'Base de données'!A$4:A$990,0),2),"")</f>
        <v/>
      </c>
      <c r="C389" s="55" t="str">
        <f>IF(A389&lt;&gt;"",INDEX('Base de données'!A$4:L$990,MATCH(' TVA M'!A394,'Base de données'!A$4:A$990,0),12),"")</f>
        <v/>
      </c>
    </row>
    <row r="390" spans="2:3" hidden="1" x14ac:dyDescent="0.25">
      <c r="B390" s="55" t="str">
        <f>IF(A390&lt;&gt;"",INDEX('Base de données'!A$4:L$990,MATCH(' TVA M'!A395,'Base de données'!A$4:A$990,0),2),"")</f>
        <v/>
      </c>
      <c r="C390" s="55" t="str">
        <f>IF(A390&lt;&gt;"",INDEX('Base de données'!A$4:L$990,MATCH(' TVA M'!A395,'Base de données'!A$4:A$990,0),12),"")</f>
        <v/>
      </c>
    </row>
    <row r="391" spans="2:3" hidden="1" x14ac:dyDescent="0.25">
      <c r="B391" s="55" t="str">
        <f>IF(A391&lt;&gt;"",INDEX('Base de données'!A$4:L$990,MATCH(' TVA M'!A396,'Base de données'!A$4:A$990,0),2),"")</f>
        <v/>
      </c>
      <c r="C391" s="55" t="str">
        <f>IF(A391&lt;&gt;"",INDEX('Base de données'!A$4:L$990,MATCH(' TVA M'!A396,'Base de données'!A$4:A$990,0),12),"")</f>
        <v/>
      </c>
    </row>
    <row r="392" spans="2:3" hidden="1" x14ac:dyDescent="0.25">
      <c r="B392" s="55" t="str">
        <f>IF(A392&lt;&gt;"",INDEX('Base de données'!A$4:L$990,MATCH(' TVA M'!A397,'Base de données'!A$4:A$990,0),2),"")</f>
        <v/>
      </c>
      <c r="C392" s="55" t="str">
        <f>IF(A392&lt;&gt;"",INDEX('Base de données'!A$4:L$990,MATCH(' TVA M'!A397,'Base de données'!A$4:A$990,0),12),"")</f>
        <v/>
      </c>
    </row>
    <row r="393" spans="2:3" hidden="1" x14ac:dyDescent="0.25">
      <c r="B393" s="55" t="str">
        <f>IF(A393&lt;&gt;"",INDEX('Base de données'!A$4:L$990,MATCH(' TVA M'!A398,'Base de données'!A$4:A$990,0),2),"")</f>
        <v/>
      </c>
      <c r="C393" s="55" t="str">
        <f>IF(A393&lt;&gt;"",INDEX('Base de données'!A$4:L$990,MATCH(' TVA M'!A398,'Base de données'!A$4:A$990,0),12),"")</f>
        <v/>
      </c>
    </row>
    <row r="394" spans="2:3" hidden="1" x14ac:dyDescent="0.25">
      <c r="B394" s="55" t="str">
        <f>IF(A394&lt;&gt;"",INDEX('Base de données'!A$4:L$990,MATCH(' TVA M'!A399,'Base de données'!A$4:A$990,0),2),"")</f>
        <v/>
      </c>
      <c r="C394" s="55" t="str">
        <f>IF(A394&lt;&gt;"",INDEX('Base de données'!A$4:L$990,MATCH(' TVA M'!A399,'Base de données'!A$4:A$990,0),12),"")</f>
        <v/>
      </c>
    </row>
    <row r="395" spans="2:3" hidden="1" x14ac:dyDescent="0.25">
      <c r="B395" s="55" t="str">
        <f>IF(A395&lt;&gt;"",INDEX('Base de données'!A$4:L$990,MATCH(' TVA M'!A400,'Base de données'!A$4:A$990,0),2),"")</f>
        <v/>
      </c>
      <c r="C395" s="55" t="str">
        <f>IF(A395&lt;&gt;"",INDEX('Base de données'!A$4:L$990,MATCH(' TVA M'!A400,'Base de données'!A$4:A$990,0),12),"")</f>
        <v/>
      </c>
    </row>
    <row r="396" spans="2:3" hidden="1" x14ac:dyDescent="0.25">
      <c r="B396" s="55" t="str">
        <f>IF(A396&lt;&gt;"",INDEX('Base de données'!A$4:L$990,MATCH(' TVA M'!A401,'Base de données'!A$4:A$990,0),2),"")</f>
        <v/>
      </c>
      <c r="C396" s="55" t="str">
        <f>IF(A396&lt;&gt;"",INDEX('Base de données'!A$4:L$990,MATCH(' TVA M'!A401,'Base de données'!A$4:A$990,0),12),"")</f>
        <v/>
      </c>
    </row>
    <row r="397" spans="2:3" hidden="1" x14ac:dyDescent="0.25">
      <c r="B397" s="55" t="str">
        <f>IF(A397&lt;&gt;"",INDEX('Base de données'!A$4:L$990,MATCH(' TVA M'!A402,'Base de données'!A$4:A$990,0),2),"")</f>
        <v/>
      </c>
      <c r="C397" s="55" t="str">
        <f>IF(A397&lt;&gt;"",INDEX('Base de données'!A$4:L$990,MATCH(' TVA M'!A402,'Base de données'!A$4:A$990,0),12),"")</f>
        <v/>
      </c>
    </row>
    <row r="398" spans="2:3" hidden="1" x14ac:dyDescent="0.25">
      <c r="B398" s="55" t="str">
        <f>IF(A398&lt;&gt;"",INDEX('Base de données'!A$4:L$990,MATCH(' TVA M'!A403,'Base de données'!A$4:A$990,0),2),"")</f>
        <v/>
      </c>
      <c r="C398" s="55" t="str">
        <f>IF(A398&lt;&gt;"",INDEX('Base de données'!A$4:L$990,MATCH(' TVA M'!A403,'Base de données'!A$4:A$990,0),12),"")</f>
        <v/>
      </c>
    </row>
    <row r="399" spans="2:3" hidden="1" x14ac:dyDescent="0.25">
      <c r="B399" s="55" t="str">
        <f>IF(A399&lt;&gt;"",INDEX('Base de données'!A$4:L$990,MATCH(' TVA M'!A404,'Base de données'!A$4:A$990,0),2),"")</f>
        <v/>
      </c>
      <c r="C399" s="55" t="str">
        <f>IF(A399&lt;&gt;"",INDEX('Base de données'!A$4:L$990,MATCH(' TVA M'!A404,'Base de données'!A$4:A$990,0),12),"")</f>
        <v/>
      </c>
    </row>
    <row r="400" spans="2:3" hidden="1" x14ac:dyDescent="0.25">
      <c r="B400" s="55" t="str">
        <f>IF(A400&lt;&gt;"",INDEX('Base de données'!A$4:L$990,MATCH(' TVA M'!A405,'Base de données'!A$4:A$990,0),2),"")</f>
        <v/>
      </c>
      <c r="C400" s="55" t="str">
        <f>IF(A400&lt;&gt;"",INDEX('Base de données'!A$4:L$990,MATCH(' TVA M'!A405,'Base de données'!A$4:A$990,0),12),"")</f>
        <v/>
      </c>
    </row>
    <row r="401" spans="2:3" hidden="1" x14ac:dyDescent="0.25">
      <c r="B401" s="55" t="str">
        <f>IF(A401&lt;&gt;"",INDEX('Base de données'!A$4:L$990,MATCH(' TVA M'!A406,'Base de données'!A$4:A$990,0),2),"")</f>
        <v/>
      </c>
      <c r="C401" s="55" t="str">
        <f>IF(A401&lt;&gt;"",INDEX('Base de données'!A$4:L$990,MATCH(' TVA M'!A406,'Base de données'!A$4:A$990,0),12),"")</f>
        <v/>
      </c>
    </row>
    <row r="402" spans="2:3" hidden="1" x14ac:dyDescent="0.25">
      <c r="B402" s="55" t="str">
        <f>IF(A402&lt;&gt;"",INDEX('Base de données'!A$4:L$990,MATCH(' TVA M'!A407,'Base de données'!A$4:A$990,0),2),"")</f>
        <v/>
      </c>
      <c r="C402" s="55" t="str">
        <f>IF(A402&lt;&gt;"",INDEX('Base de données'!A$4:L$990,MATCH(' TVA M'!A407,'Base de données'!A$4:A$990,0),12),"")</f>
        <v/>
      </c>
    </row>
    <row r="403" spans="2:3" hidden="1" x14ac:dyDescent="0.25">
      <c r="B403" s="55" t="str">
        <f>IF(A403&lt;&gt;"",INDEX('Base de données'!A$4:L$990,MATCH(' TVA M'!A408,'Base de données'!A$4:A$990,0),2),"")</f>
        <v/>
      </c>
      <c r="C403" s="55" t="str">
        <f>IF(A403&lt;&gt;"",INDEX('Base de données'!A$4:L$990,MATCH(' TVA M'!A408,'Base de données'!A$4:A$990,0),12),"")</f>
        <v/>
      </c>
    </row>
    <row r="404" spans="2:3" hidden="1" x14ac:dyDescent="0.25">
      <c r="B404" s="55" t="str">
        <f>IF(A404&lt;&gt;"",INDEX('Base de données'!A$4:L$990,MATCH(' TVA M'!A409,'Base de données'!A$4:A$990,0),2),"")</f>
        <v/>
      </c>
      <c r="C404" s="55" t="str">
        <f>IF(A404&lt;&gt;"",INDEX('Base de données'!A$4:L$990,MATCH(' TVA M'!A409,'Base de données'!A$4:A$990,0),12),"")</f>
        <v/>
      </c>
    </row>
    <row r="405" spans="2:3" hidden="1" x14ac:dyDescent="0.25">
      <c r="B405" s="55" t="str">
        <f>IF(A405&lt;&gt;"",INDEX('Base de données'!A$4:L$990,MATCH(' TVA M'!A410,'Base de données'!A$4:A$990,0),2),"")</f>
        <v/>
      </c>
      <c r="C405" s="55" t="str">
        <f>IF(A405&lt;&gt;"",INDEX('Base de données'!A$4:L$990,MATCH(' TVA M'!A410,'Base de données'!A$4:A$990,0),12),"")</f>
        <v/>
      </c>
    </row>
    <row r="406" spans="2:3" hidden="1" x14ac:dyDescent="0.25">
      <c r="B406" s="55" t="str">
        <f>IF(A406&lt;&gt;"",INDEX('Base de données'!A$4:L$990,MATCH(' TVA M'!A411,'Base de données'!A$4:A$990,0),2),"")</f>
        <v/>
      </c>
      <c r="C406" s="55" t="str">
        <f>IF(A406&lt;&gt;"",INDEX('Base de données'!A$4:L$990,MATCH(' TVA M'!A411,'Base de données'!A$4:A$990,0),12),"")</f>
        <v/>
      </c>
    </row>
    <row r="407" spans="2:3" hidden="1" x14ac:dyDescent="0.25">
      <c r="B407" s="55" t="str">
        <f>IF(A407&lt;&gt;"",INDEX('Base de données'!A$4:L$990,MATCH(' TVA M'!A412,'Base de données'!A$4:A$990,0),2),"")</f>
        <v/>
      </c>
      <c r="C407" s="55" t="str">
        <f>IF(A407&lt;&gt;"",INDEX('Base de données'!A$4:L$990,MATCH(' TVA M'!A412,'Base de données'!A$4:A$990,0),12),"")</f>
        <v/>
      </c>
    </row>
    <row r="408" spans="2:3" hidden="1" x14ac:dyDescent="0.25">
      <c r="B408" s="55" t="str">
        <f>IF(A408&lt;&gt;"",INDEX('Base de données'!A$4:L$990,MATCH(' TVA M'!A413,'Base de données'!A$4:A$990,0),2),"")</f>
        <v/>
      </c>
      <c r="C408" s="55" t="str">
        <f>IF(A408&lt;&gt;"",INDEX('Base de données'!A$4:L$990,MATCH(' TVA M'!A413,'Base de données'!A$4:A$990,0),12),"")</f>
        <v/>
      </c>
    </row>
    <row r="409" spans="2:3" hidden="1" x14ac:dyDescent="0.25">
      <c r="B409" s="55" t="str">
        <f>IF(A409&lt;&gt;"",INDEX('Base de données'!A$4:L$990,MATCH(' TVA M'!A414,'Base de données'!A$4:A$990,0),2),"")</f>
        <v/>
      </c>
      <c r="C409" s="55" t="str">
        <f>IF(A409&lt;&gt;"",INDEX('Base de données'!A$4:L$990,MATCH(' TVA M'!A414,'Base de données'!A$4:A$990,0),12),"")</f>
        <v/>
      </c>
    </row>
    <row r="410" spans="2:3" hidden="1" x14ac:dyDescent="0.25">
      <c r="B410" s="55" t="str">
        <f>IF(A410&lt;&gt;"",INDEX('Base de données'!A$4:L$990,MATCH(' TVA M'!A415,'Base de données'!A$4:A$990,0),2),"")</f>
        <v/>
      </c>
      <c r="C410" s="55" t="str">
        <f>IF(A410&lt;&gt;"",INDEX('Base de données'!A$4:L$990,MATCH(' TVA M'!A415,'Base de données'!A$4:A$990,0),12),"")</f>
        <v/>
      </c>
    </row>
    <row r="411" spans="2:3" hidden="1" x14ac:dyDescent="0.25">
      <c r="B411" s="55" t="str">
        <f>IF(A411&lt;&gt;"",INDEX('Base de données'!A$4:L$990,MATCH(' TVA M'!A416,'Base de données'!A$4:A$990,0),2),"")</f>
        <v/>
      </c>
      <c r="C411" s="55" t="str">
        <f>IF(A411&lt;&gt;"",INDEX('Base de données'!A$4:L$990,MATCH(' TVA M'!A416,'Base de données'!A$4:A$990,0),12),"")</f>
        <v/>
      </c>
    </row>
    <row r="412" spans="2:3" hidden="1" x14ac:dyDescent="0.25">
      <c r="B412" s="55" t="str">
        <f>IF(A412&lt;&gt;"",INDEX('Base de données'!A$4:L$990,MATCH(' TVA M'!A417,'Base de données'!A$4:A$990,0),2),"")</f>
        <v/>
      </c>
      <c r="C412" s="55" t="str">
        <f>IF(A412&lt;&gt;"",INDEX('Base de données'!A$4:L$990,MATCH(' TVA M'!A417,'Base de données'!A$4:A$990,0),12),"")</f>
        <v/>
      </c>
    </row>
    <row r="413" spans="2:3" hidden="1" x14ac:dyDescent="0.25">
      <c r="B413" s="55" t="str">
        <f>IF(A413&lt;&gt;"",INDEX('Base de données'!A$4:L$990,MATCH(' TVA M'!A418,'Base de données'!A$4:A$990,0),2),"")</f>
        <v/>
      </c>
      <c r="C413" s="55" t="str">
        <f>IF(A413&lt;&gt;"",INDEX('Base de données'!A$4:L$990,MATCH(' TVA M'!A418,'Base de données'!A$4:A$990,0),12),"")</f>
        <v/>
      </c>
    </row>
    <row r="414" spans="2:3" hidden="1" x14ac:dyDescent="0.25">
      <c r="B414" s="55" t="str">
        <f>IF(A414&lt;&gt;"",INDEX('Base de données'!A$4:L$990,MATCH(' TVA M'!A419,'Base de données'!A$4:A$990,0),2),"")</f>
        <v/>
      </c>
      <c r="C414" s="55" t="str">
        <f>IF(A414&lt;&gt;"",INDEX('Base de données'!A$4:L$990,MATCH(' TVA M'!A419,'Base de données'!A$4:A$990,0),12),"")</f>
        <v/>
      </c>
    </row>
    <row r="415" spans="2:3" hidden="1" x14ac:dyDescent="0.25">
      <c r="B415" s="55" t="str">
        <f>IF(A415&lt;&gt;"",INDEX('Base de données'!A$4:L$990,MATCH(' TVA M'!A420,'Base de données'!A$4:A$990,0),2),"")</f>
        <v/>
      </c>
      <c r="C415" s="55" t="str">
        <f>IF(A415&lt;&gt;"",INDEX('Base de données'!A$4:L$990,MATCH(' TVA M'!A420,'Base de données'!A$4:A$990,0),12),"")</f>
        <v/>
      </c>
    </row>
    <row r="416" spans="2:3" hidden="1" x14ac:dyDescent="0.25">
      <c r="B416" s="55" t="str">
        <f>IF(A416&lt;&gt;"",INDEX('Base de données'!A$4:L$990,MATCH(' TVA M'!A421,'Base de données'!A$4:A$990,0),2),"")</f>
        <v/>
      </c>
      <c r="C416" s="55" t="str">
        <f>IF(A416&lt;&gt;"",INDEX('Base de données'!A$4:L$990,MATCH(' TVA M'!A421,'Base de données'!A$4:A$990,0),12),"")</f>
        <v/>
      </c>
    </row>
    <row r="417" spans="2:3" hidden="1" x14ac:dyDescent="0.25">
      <c r="B417" s="55" t="str">
        <f>IF(A417&lt;&gt;"",INDEX('Base de données'!A$4:L$990,MATCH(' TVA M'!A422,'Base de données'!A$4:A$990,0),2),"")</f>
        <v/>
      </c>
      <c r="C417" s="55" t="str">
        <f>IF(A417&lt;&gt;"",INDEX('Base de données'!A$4:L$990,MATCH(' TVA M'!A422,'Base de données'!A$4:A$990,0),12),"")</f>
        <v/>
      </c>
    </row>
    <row r="418" spans="2:3" hidden="1" x14ac:dyDescent="0.25">
      <c r="B418" s="55" t="str">
        <f>IF(A418&lt;&gt;"",INDEX('Base de données'!A$4:L$990,MATCH(' TVA M'!A423,'Base de données'!A$4:A$990,0),2),"")</f>
        <v/>
      </c>
      <c r="C418" s="55" t="str">
        <f>IF(A418&lt;&gt;"",INDEX('Base de données'!A$4:L$990,MATCH(' TVA M'!A423,'Base de données'!A$4:A$990,0),12),"")</f>
        <v/>
      </c>
    </row>
    <row r="419" spans="2:3" hidden="1" x14ac:dyDescent="0.25">
      <c r="B419" s="55" t="str">
        <f>IF(A419&lt;&gt;"",INDEX('Base de données'!A$4:L$990,MATCH(' TVA M'!A424,'Base de données'!A$4:A$990,0),2),"")</f>
        <v/>
      </c>
      <c r="C419" s="55" t="str">
        <f>IF(A419&lt;&gt;"",INDEX('Base de données'!A$4:L$990,MATCH(' TVA M'!A424,'Base de données'!A$4:A$990,0),12),"")</f>
        <v/>
      </c>
    </row>
    <row r="420" spans="2:3" hidden="1" x14ac:dyDescent="0.25">
      <c r="B420" s="55" t="str">
        <f>IF(A420&lt;&gt;"",INDEX('Base de données'!A$4:L$990,MATCH(' TVA M'!A425,'Base de données'!A$4:A$990,0),2),"")</f>
        <v/>
      </c>
      <c r="C420" s="55" t="str">
        <f>IF(A420&lt;&gt;"",INDEX('Base de données'!A$4:L$990,MATCH(' TVA M'!A425,'Base de données'!A$4:A$990,0),12),"")</f>
        <v/>
      </c>
    </row>
    <row r="421" spans="2:3" hidden="1" x14ac:dyDescent="0.25">
      <c r="B421" s="55" t="str">
        <f>IF(A421&lt;&gt;"",INDEX('Base de données'!A$4:L$990,MATCH(' TVA M'!A426,'Base de données'!A$4:A$990,0),2),"")</f>
        <v/>
      </c>
      <c r="C421" s="55" t="str">
        <f>IF(A421&lt;&gt;"",INDEX('Base de données'!A$4:L$990,MATCH(' TVA M'!A426,'Base de données'!A$4:A$990,0),12),"")</f>
        <v/>
      </c>
    </row>
    <row r="422" spans="2:3" hidden="1" x14ac:dyDescent="0.25">
      <c r="B422" s="55" t="str">
        <f>IF(A422&lt;&gt;"",INDEX('Base de données'!A$4:L$990,MATCH(' TVA M'!A427,'Base de données'!A$4:A$990,0),2),"")</f>
        <v/>
      </c>
      <c r="C422" s="55" t="str">
        <f>IF(A422&lt;&gt;"",INDEX('Base de données'!A$4:L$990,MATCH(' TVA M'!A427,'Base de données'!A$4:A$990,0),12),"")</f>
        <v/>
      </c>
    </row>
    <row r="423" spans="2:3" hidden="1" x14ac:dyDescent="0.25">
      <c r="B423" s="55" t="str">
        <f>IF(A423&lt;&gt;"",INDEX('Base de données'!A$4:L$990,MATCH(' TVA M'!A428,'Base de données'!A$4:A$990,0),2),"")</f>
        <v/>
      </c>
      <c r="C423" s="55" t="str">
        <f>IF(A423&lt;&gt;"",INDEX('Base de données'!A$4:L$990,MATCH(' TVA M'!A428,'Base de données'!A$4:A$990,0),12),"")</f>
        <v/>
      </c>
    </row>
    <row r="424" spans="2:3" hidden="1" x14ac:dyDescent="0.25">
      <c r="B424" s="55" t="str">
        <f>IF(A424&lt;&gt;"",INDEX('Base de données'!A$4:L$990,MATCH(' TVA M'!A429,'Base de données'!A$4:A$990,0),2),"")</f>
        <v/>
      </c>
      <c r="C424" s="55" t="str">
        <f>IF(A424&lt;&gt;"",INDEX('Base de données'!A$4:L$990,MATCH(' TVA M'!A429,'Base de données'!A$4:A$990,0),12),"")</f>
        <v/>
      </c>
    </row>
    <row r="425" spans="2:3" hidden="1" x14ac:dyDescent="0.25">
      <c r="B425" s="55" t="str">
        <f>IF(A425&lt;&gt;"",INDEX('Base de données'!A$4:L$990,MATCH(' TVA M'!A430,'Base de données'!A$4:A$990,0),2),"")</f>
        <v/>
      </c>
      <c r="C425" s="55" t="str">
        <f>IF(A425&lt;&gt;"",INDEX('Base de données'!A$4:L$990,MATCH(' TVA M'!A430,'Base de données'!A$4:A$990,0),12),"")</f>
        <v/>
      </c>
    </row>
    <row r="426" spans="2:3" hidden="1" x14ac:dyDescent="0.25">
      <c r="B426" s="55" t="str">
        <f>IF(A426&lt;&gt;"",INDEX('Base de données'!A$4:L$990,MATCH(' TVA M'!A431,'Base de données'!A$4:A$990,0),2),"")</f>
        <v/>
      </c>
      <c r="C426" s="55" t="str">
        <f>IF(A426&lt;&gt;"",INDEX('Base de données'!A$4:L$990,MATCH(' TVA M'!A431,'Base de données'!A$4:A$990,0),12),"")</f>
        <v/>
      </c>
    </row>
    <row r="427" spans="2:3" hidden="1" x14ac:dyDescent="0.25">
      <c r="B427" s="55" t="str">
        <f>IF(A427&lt;&gt;"",INDEX('Base de données'!A$4:L$990,MATCH(' TVA M'!A432,'Base de données'!A$4:A$990,0),2),"")</f>
        <v/>
      </c>
      <c r="C427" s="55" t="str">
        <f>IF(A427&lt;&gt;"",INDEX('Base de données'!A$4:L$990,MATCH(' TVA M'!A432,'Base de données'!A$4:A$990,0),12),"")</f>
        <v/>
      </c>
    </row>
    <row r="428" spans="2:3" hidden="1" x14ac:dyDescent="0.25">
      <c r="B428" s="55" t="str">
        <f>IF(A428&lt;&gt;"",INDEX('Base de données'!A$4:L$990,MATCH(' TVA M'!A433,'Base de données'!A$4:A$990,0),2),"")</f>
        <v/>
      </c>
      <c r="C428" s="55" t="str">
        <f>IF(A428&lt;&gt;"",INDEX('Base de données'!A$4:L$990,MATCH(' TVA M'!A433,'Base de données'!A$4:A$990,0),12),"")</f>
        <v/>
      </c>
    </row>
    <row r="429" spans="2:3" hidden="1" x14ac:dyDescent="0.25">
      <c r="B429" s="55" t="str">
        <f>IF(A429&lt;&gt;"",INDEX('Base de données'!A$4:L$990,MATCH(' TVA M'!A434,'Base de données'!A$4:A$990,0),2),"")</f>
        <v/>
      </c>
      <c r="C429" s="55" t="str">
        <f>IF(A429&lt;&gt;"",INDEX('Base de données'!A$4:L$990,MATCH(' TVA M'!A434,'Base de données'!A$4:A$990,0),12),"")</f>
        <v/>
      </c>
    </row>
    <row r="430" spans="2:3" hidden="1" x14ac:dyDescent="0.25">
      <c r="B430" s="55" t="str">
        <f>IF(A430&lt;&gt;"",INDEX('Base de données'!A$4:L$990,MATCH(' TVA M'!A435,'Base de données'!A$4:A$990,0),2),"")</f>
        <v/>
      </c>
      <c r="C430" s="55" t="str">
        <f>IF(A430&lt;&gt;"",INDEX('Base de données'!A$4:L$990,MATCH(' TVA M'!A435,'Base de données'!A$4:A$990,0),12),"")</f>
        <v/>
      </c>
    </row>
    <row r="431" spans="2:3" hidden="1" x14ac:dyDescent="0.25">
      <c r="B431" s="55" t="str">
        <f>IF(A431&lt;&gt;"",INDEX('Base de données'!A$4:L$990,MATCH(' TVA M'!A436,'Base de données'!A$4:A$990,0),2),"")</f>
        <v/>
      </c>
      <c r="C431" s="55" t="str">
        <f>IF(A431&lt;&gt;"",INDEX('Base de données'!A$4:L$990,MATCH(' TVA M'!A436,'Base de données'!A$4:A$990,0),12),"")</f>
        <v/>
      </c>
    </row>
    <row r="432" spans="2:3" hidden="1" x14ac:dyDescent="0.25">
      <c r="B432" s="55" t="str">
        <f>IF(A432&lt;&gt;"",INDEX('Base de données'!A$4:L$990,MATCH(' TVA M'!A437,'Base de données'!A$4:A$990,0),2),"")</f>
        <v/>
      </c>
      <c r="C432" s="55" t="str">
        <f>IF(A432&lt;&gt;"",INDEX('Base de données'!A$4:L$990,MATCH(' TVA M'!A437,'Base de données'!A$4:A$990,0),12),"")</f>
        <v/>
      </c>
    </row>
    <row r="433" spans="2:3" hidden="1" x14ac:dyDescent="0.25">
      <c r="B433" s="55" t="str">
        <f>IF(A433&lt;&gt;"",INDEX('Base de données'!A$4:L$990,MATCH(' TVA M'!A438,'Base de données'!A$4:A$990,0),2),"")</f>
        <v/>
      </c>
      <c r="C433" s="55" t="str">
        <f>IF(A433&lt;&gt;"",INDEX('Base de données'!A$4:L$990,MATCH(' TVA M'!A438,'Base de données'!A$4:A$990,0),12),"")</f>
        <v/>
      </c>
    </row>
    <row r="434" spans="2:3" hidden="1" x14ac:dyDescent="0.25">
      <c r="B434" s="55" t="str">
        <f>IF(A434&lt;&gt;"",INDEX('Base de données'!A$4:L$990,MATCH(' TVA M'!A439,'Base de données'!A$4:A$990,0),2),"")</f>
        <v/>
      </c>
      <c r="C434" s="55" t="str">
        <f>IF(A434&lt;&gt;"",INDEX('Base de données'!A$4:L$990,MATCH(' TVA M'!A439,'Base de données'!A$4:A$990,0),12),"")</f>
        <v/>
      </c>
    </row>
    <row r="435" spans="2:3" hidden="1" x14ac:dyDescent="0.25">
      <c r="B435" s="55" t="str">
        <f>IF(A435&lt;&gt;"",INDEX('Base de données'!A$4:L$990,MATCH(' TVA M'!A440,'Base de données'!A$4:A$990,0),2),"")</f>
        <v/>
      </c>
      <c r="C435" s="55" t="str">
        <f>IF(A435&lt;&gt;"",INDEX('Base de données'!A$4:L$990,MATCH(' TVA M'!A440,'Base de données'!A$4:A$990,0),12),"")</f>
        <v/>
      </c>
    </row>
    <row r="436" spans="2:3" hidden="1" x14ac:dyDescent="0.25">
      <c r="B436" s="55" t="str">
        <f>IF(A436&lt;&gt;"",INDEX('Base de données'!A$4:L$990,MATCH(' TVA M'!A441,'Base de données'!A$4:A$990,0),2),"")</f>
        <v/>
      </c>
      <c r="C436" s="55" t="str">
        <f>IF(A436&lt;&gt;"",INDEX('Base de données'!A$4:L$990,MATCH(' TVA M'!A441,'Base de données'!A$4:A$990,0),12),"")</f>
        <v/>
      </c>
    </row>
    <row r="437" spans="2:3" hidden="1" x14ac:dyDescent="0.25">
      <c r="B437" s="55" t="str">
        <f>IF(A437&lt;&gt;"",INDEX('Base de données'!A$4:L$990,MATCH(' TVA M'!A442,'Base de données'!A$4:A$990,0),2),"")</f>
        <v/>
      </c>
      <c r="C437" s="55" t="str">
        <f>IF(A437&lt;&gt;"",INDEX('Base de données'!A$4:L$990,MATCH(' TVA M'!A442,'Base de données'!A$4:A$990,0),12),"")</f>
        <v/>
      </c>
    </row>
    <row r="438" spans="2:3" hidden="1" x14ac:dyDescent="0.25">
      <c r="B438" s="55" t="str">
        <f>IF(A438&lt;&gt;"",INDEX('Base de données'!A$4:L$990,MATCH(' TVA M'!A443,'Base de données'!A$4:A$990,0),2),"")</f>
        <v/>
      </c>
      <c r="C438" s="55" t="str">
        <f>IF(A438&lt;&gt;"",INDEX('Base de données'!A$4:L$990,MATCH(' TVA M'!A443,'Base de données'!A$4:A$990,0),12),"")</f>
        <v/>
      </c>
    </row>
    <row r="439" spans="2:3" hidden="1" x14ac:dyDescent="0.25">
      <c r="B439" s="55" t="str">
        <f>IF(A439&lt;&gt;"",INDEX('Base de données'!A$4:L$990,MATCH(' TVA M'!A444,'Base de données'!A$4:A$990,0),2),"")</f>
        <v/>
      </c>
      <c r="C439" s="55" t="str">
        <f>IF(A439&lt;&gt;"",INDEX('Base de données'!A$4:L$990,MATCH(' TVA M'!A444,'Base de données'!A$4:A$990,0),12),"")</f>
        <v/>
      </c>
    </row>
    <row r="440" spans="2:3" hidden="1" x14ac:dyDescent="0.25">
      <c r="B440" s="55" t="str">
        <f>IF(A440&lt;&gt;"",INDEX('Base de données'!A$4:L$990,MATCH(' TVA M'!A445,'Base de données'!A$4:A$990,0),2),"")</f>
        <v/>
      </c>
      <c r="C440" s="55" t="str">
        <f>IF(A440&lt;&gt;"",INDEX('Base de données'!A$4:L$990,MATCH(' TVA M'!A445,'Base de données'!A$4:A$990,0),12),"")</f>
        <v/>
      </c>
    </row>
    <row r="441" spans="2:3" hidden="1" x14ac:dyDescent="0.25">
      <c r="B441" s="55" t="str">
        <f>IF(A441&lt;&gt;"",INDEX('Base de données'!A$4:L$990,MATCH(' TVA M'!A446,'Base de données'!A$4:A$990,0),2),"")</f>
        <v/>
      </c>
      <c r="C441" s="55" t="str">
        <f>IF(A441&lt;&gt;"",INDEX('Base de données'!A$4:L$990,MATCH(' TVA M'!A446,'Base de données'!A$4:A$990,0),12),"")</f>
        <v/>
      </c>
    </row>
    <row r="442" spans="2:3" hidden="1" x14ac:dyDescent="0.25">
      <c r="B442" s="55" t="str">
        <f>IF(A442&lt;&gt;"",INDEX('Base de données'!A$4:L$990,MATCH(' TVA M'!A447,'Base de données'!A$4:A$990,0),2),"")</f>
        <v/>
      </c>
      <c r="C442" s="55" t="str">
        <f>IF(A442&lt;&gt;"",INDEX('Base de données'!A$4:L$990,MATCH(' TVA M'!A447,'Base de données'!A$4:A$990,0),12),"")</f>
        <v/>
      </c>
    </row>
    <row r="443" spans="2:3" hidden="1" x14ac:dyDescent="0.25">
      <c r="B443" s="55" t="str">
        <f>IF(A443&lt;&gt;"",INDEX('Base de données'!A$4:L$990,MATCH(' TVA M'!A448,'Base de données'!A$4:A$990,0),2),"")</f>
        <v/>
      </c>
      <c r="C443" s="55" t="str">
        <f>IF(A443&lt;&gt;"",INDEX('Base de données'!A$4:L$990,MATCH(' TVA M'!A448,'Base de données'!A$4:A$990,0),12),"")</f>
        <v/>
      </c>
    </row>
    <row r="444" spans="2:3" hidden="1" x14ac:dyDescent="0.25">
      <c r="B444" s="55" t="str">
        <f>IF(A444&lt;&gt;"",INDEX('Base de données'!A$4:L$990,MATCH(' TVA M'!A449,'Base de données'!A$4:A$990,0),2),"")</f>
        <v/>
      </c>
      <c r="C444" s="55" t="str">
        <f>IF(A444&lt;&gt;"",INDEX('Base de données'!A$4:L$990,MATCH(' TVA M'!A449,'Base de données'!A$4:A$990,0),12),"")</f>
        <v/>
      </c>
    </row>
    <row r="445" spans="2:3" hidden="1" x14ac:dyDescent="0.25">
      <c r="B445" s="55" t="str">
        <f>IF(A445&lt;&gt;"",INDEX('Base de données'!A$4:L$990,MATCH(' TVA M'!A450,'Base de données'!A$4:A$990,0),2),"")</f>
        <v/>
      </c>
      <c r="C445" s="55" t="str">
        <f>IF(A445&lt;&gt;"",INDEX('Base de données'!A$4:L$990,MATCH(' TVA M'!A450,'Base de données'!A$4:A$990,0),12),"")</f>
        <v/>
      </c>
    </row>
    <row r="446" spans="2:3" hidden="1" x14ac:dyDescent="0.25">
      <c r="B446" s="55" t="str">
        <f>IF(A446&lt;&gt;"",INDEX('Base de données'!A$4:L$990,MATCH(' TVA M'!A451,'Base de données'!A$4:A$990,0),2),"")</f>
        <v/>
      </c>
      <c r="C446" s="55" t="str">
        <f>IF(A446&lt;&gt;"",INDEX('Base de données'!A$4:L$990,MATCH(' TVA M'!A451,'Base de données'!A$4:A$990,0),12),"")</f>
        <v/>
      </c>
    </row>
    <row r="447" spans="2:3" hidden="1" x14ac:dyDescent="0.25">
      <c r="B447" s="55" t="str">
        <f>IF(A447&lt;&gt;"",INDEX('Base de données'!A$4:L$990,MATCH(' TVA M'!A452,'Base de données'!A$4:A$990,0),2),"")</f>
        <v/>
      </c>
      <c r="C447" s="55" t="str">
        <f>IF(A447&lt;&gt;"",INDEX('Base de données'!A$4:L$990,MATCH(' TVA M'!A452,'Base de données'!A$4:A$990,0),12),"")</f>
        <v/>
      </c>
    </row>
    <row r="448" spans="2:3" hidden="1" x14ac:dyDescent="0.25">
      <c r="B448" s="55" t="str">
        <f>IF(A448&lt;&gt;"",INDEX('Base de données'!A$4:L$990,MATCH(' TVA M'!A453,'Base de données'!A$4:A$990,0),2),"")</f>
        <v/>
      </c>
      <c r="C448" s="55" t="str">
        <f>IF(A448&lt;&gt;"",INDEX('Base de données'!A$4:L$990,MATCH(' TVA M'!A453,'Base de données'!A$4:A$990,0),12),"")</f>
        <v/>
      </c>
    </row>
    <row r="449" spans="2:3" hidden="1" x14ac:dyDescent="0.25">
      <c r="B449" s="55" t="str">
        <f>IF(A449&lt;&gt;"",INDEX('Base de données'!A$4:L$990,MATCH(' TVA M'!A454,'Base de données'!A$4:A$990,0),2),"")</f>
        <v/>
      </c>
      <c r="C449" s="55" t="str">
        <f>IF(A449&lt;&gt;"",INDEX('Base de données'!A$4:L$990,MATCH(' TVA M'!A454,'Base de données'!A$4:A$990,0),12),"")</f>
        <v/>
      </c>
    </row>
    <row r="450" spans="2:3" hidden="1" x14ac:dyDescent="0.25">
      <c r="B450" s="55" t="str">
        <f>IF(A450&lt;&gt;"",INDEX('Base de données'!A$4:L$990,MATCH(' TVA M'!A455,'Base de données'!A$4:A$990,0),2),"")</f>
        <v/>
      </c>
      <c r="C450" s="55" t="str">
        <f>IF(A450&lt;&gt;"",INDEX('Base de données'!A$4:L$990,MATCH(' TVA M'!A455,'Base de données'!A$4:A$990,0),12),"")</f>
        <v/>
      </c>
    </row>
    <row r="451" spans="2:3" hidden="1" x14ac:dyDescent="0.25">
      <c r="B451" s="55" t="str">
        <f>IF(A451&lt;&gt;"",INDEX('Base de données'!A$4:L$990,MATCH(' TVA M'!A456,'Base de données'!A$4:A$990,0),2),"")</f>
        <v/>
      </c>
      <c r="C451" s="55" t="str">
        <f>IF(A451&lt;&gt;"",INDEX('Base de données'!A$4:L$990,MATCH(' TVA M'!A456,'Base de données'!A$4:A$990,0),12),"")</f>
        <v/>
      </c>
    </row>
    <row r="452" spans="2:3" hidden="1" x14ac:dyDescent="0.25">
      <c r="B452" s="55" t="str">
        <f>IF(A452&lt;&gt;"",INDEX('Base de données'!A$4:L$990,MATCH(' TVA M'!A457,'Base de données'!A$4:A$990,0),2),"")</f>
        <v/>
      </c>
      <c r="C452" s="55" t="str">
        <f>IF(A452&lt;&gt;"",INDEX('Base de données'!A$4:L$990,MATCH(' TVA M'!A457,'Base de données'!A$4:A$990,0),12),"")</f>
        <v/>
      </c>
    </row>
    <row r="453" spans="2:3" hidden="1" x14ac:dyDescent="0.25">
      <c r="B453" s="55" t="str">
        <f>IF(A453&lt;&gt;"",INDEX('Base de données'!A$4:L$990,MATCH(' TVA M'!A458,'Base de données'!A$4:A$990,0),2),"")</f>
        <v/>
      </c>
      <c r="C453" s="55" t="str">
        <f>IF(A453&lt;&gt;"",INDEX('Base de données'!A$4:L$990,MATCH(' TVA M'!A458,'Base de données'!A$4:A$990,0),12),"")</f>
        <v/>
      </c>
    </row>
    <row r="454" spans="2:3" hidden="1" x14ac:dyDescent="0.25">
      <c r="B454" s="55" t="str">
        <f>IF(A454&lt;&gt;"",INDEX('Base de données'!A$4:L$990,MATCH(' TVA M'!A459,'Base de données'!A$4:A$990,0),2),"")</f>
        <v/>
      </c>
      <c r="C454" s="55" t="str">
        <f>IF(A454&lt;&gt;"",INDEX('Base de données'!A$4:L$990,MATCH(' TVA M'!A459,'Base de données'!A$4:A$990,0),12),"")</f>
        <v/>
      </c>
    </row>
    <row r="455" spans="2:3" hidden="1" x14ac:dyDescent="0.25">
      <c r="B455" s="55" t="str">
        <f>IF(A455&lt;&gt;"",INDEX('Base de données'!A$4:L$990,MATCH(' TVA M'!A460,'Base de données'!A$4:A$990,0),2),"")</f>
        <v/>
      </c>
      <c r="C455" s="55" t="str">
        <f>IF(A455&lt;&gt;"",INDEX('Base de données'!A$4:L$990,MATCH(' TVA M'!A460,'Base de données'!A$4:A$990,0),12),"")</f>
        <v/>
      </c>
    </row>
    <row r="456" spans="2:3" hidden="1" x14ac:dyDescent="0.25">
      <c r="B456" s="55" t="str">
        <f>IF(A456&lt;&gt;"",INDEX('Base de données'!A$4:L$990,MATCH(' TVA M'!A461,'Base de données'!A$4:A$990,0),2),"")</f>
        <v/>
      </c>
      <c r="C456" s="55" t="str">
        <f>IF(A456&lt;&gt;"",INDEX('Base de données'!A$4:L$990,MATCH(' TVA M'!A461,'Base de données'!A$4:A$990,0),12),"")</f>
        <v/>
      </c>
    </row>
    <row r="457" spans="2:3" hidden="1" x14ac:dyDescent="0.25">
      <c r="B457" s="55" t="str">
        <f>IF(A457&lt;&gt;"",INDEX('Base de données'!A$4:L$990,MATCH(' TVA M'!A462,'Base de données'!A$4:A$990,0),2),"")</f>
        <v/>
      </c>
      <c r="C457" s="55" t="str">
        <f>IF(A457&lt;&gt;"",INDEX('Base de données'!A$4:L$990,MATCH(' TVA M'!A462,'Base de données'!A$4:A$990,0),12),"")</f>
        <v/>
      </c>
    </row>
    <row r="458" spans="2:3" hidden="1" x14ac:dyDescent="0.25">
      <c r="B458" s="55" t="str">
        <f>IF(A458&lt;&gt;"",INDEX('Base de données'!A$4:L$990,MATCH(' TVA M'!A463,'Base de données'!A$4:A$990,0),2),"")</f>
        <v/>
      </c>
      <c r="C458" s="55" t="str">
        <f>IF(A458&lt;&gt;"",INDEX('Base de données'!A$4:L$990,MATCH(' TVA M'!A463,'Base de données'!A$4:A$990,0),12),"")</f>
        <v/>
      </c>
    </row>
    <row r="459" spans="2:3" hidden="1" x14ac:dyDescent="0.25">
      <c r="B459" s="55" t="str">
        <f>IF(A459&lt;&gt;"",INDEX('Base de données'!A$4:L$990,MATCH(' TVA M'!A464,'Base de données'!A$4:A$990,0),2),"")</f>
        <v/>
      </c>
      <c r="C459" s="55" t="str">
        <f>IF(A459&lt;&gt;"",INDEX('Base de données'!A$4:L$990,MATCH(' TVA M'!A464,'Base de données'!A$4:A$990,0),12),"")</f>
        <v/>
      </c>
    </row>
    <row r="460" spans="2:3" hidden="1" x14ac:dyDescent="0.25">
      <c r="B460" s="55" t="str">
        <f>IF(A460&lt;&gt;"",INDEX('Base de données'!A$4:L$990,MATCH(' TVA M'!A465,'Base de données'!A$4:A$990,0),2),"")</f>
        <v/>
      </c>
      <c r="C460" s="55" t="str">
        <f>IF(A460&lt;&gt;"",INDEX('Base de données'!A$4:L$990,MATCH(' TVA M'!A465,'Base de données'!A$4:A$990,0),12),"")</f>
        <v/>
      </c>
    </row>
    <row r="461" spans="2:3" hidden="1" x14ac:dyDescent="0.25">
      <c r="B461" s="55" t="str">
        <f>IF(A461&lt;&gt;"",INDEX('Base de données'!A$4:L$990,MATCH(' TVA M'!A466,'Base de données'!A$4:A$990,0),2),"")</f>
        <v/>
      </c>
      <c r="C461" s="55" t="str">
        <f>IF(A461&lt;&gt;"",INDEX('Base de données'!A$4:L$990,MATCH(' TVA M'!A466,'Base de données'!A$4:A$990,0),12),"")</f>
        <v/>
      </c>
    </row>
    <row r="462" spans="2:3" hidden="1" x14ac:dyDescent="0.25">
      <c r="B462" s="55" t="str">
        <f>IF(A462&lt;&gt;"",INDEX('Base de données'!A$4:L$990,MATCH(' TVA M'!A467,'Base de données'!A$4:A$990,0),2),"")</f>
        <v/>
      </c>
      <c r="C462" s="55" t="str">
        <f>IF(A462&lt;&gt;"",INDEX('Base de données'!A$4:L$990,MATCH(' TVA M'!A467,'Base de données'!A$4:A$990,0),12),"")</f>
        <v/>
      </c>
    </row>
    <row r="463" spans="2:3" hidden="1" x14ac:dyDescent="0.25">
      <c r="B463" s="55" t="str">
        <f>IF(A463&lt;&gt;"",INDEX('Base de données'!A$4:L$990,MATCH(' TVA M'!A468,'Base de données'!A$4:A$990,0),2),"")</f>
        <v/>
      </c>
      <c r="C463" s="55" t="str">
        <f>IF(A463&lt;&gt;"",INDEX('Base de données'!A$4:L$990,MATCH(' TVA M'!A468,'Base de données'!A$4:A$990,0),12),"")</f>
        <v/>
      </c>
    </row>
    <row r="464" spans="2:3" hidden="1" x14ac:dyDescent="0.25">
      <c r="B464" s="55" t="str">
        <f>IF(A464&lt;&gt;"",INDEX('Base de données'!A$4:L$990,MATCH(' TVA M'!A469,'Base de données'!A$4:A$990,0),2),"")</f>
        <v/>
      </c>
      <c r="C464" s="55" t="str">
        <f>IF(A464&lt;&gt;"",INDEX('Base de données'!A$4:L$990,MATCH(' TVA M'!A469,'Base de données'!A$4:A$990,0),12),"")</f>
        <v/>
      </c>
    </row>
    <row r="465" spans="2:3" hidden="1" x14ac:dyDescent="0.25">
      <c r="B465" s="55" t="str">
        <f>IF(A465&lt;&gt;"",INDEX('Base de données'!A$4:L$990,MATCH(' TVA M'!A470,'Base de données'!A$4:A$990,0),2),"")</f>
        <v/>
      </c>
      <c r="C465" s="55" t="str">
        <f>IF(A465&lt;&gt;"",INDEX('Base de données'!A$4:L$990,MATCH(' TVA M'!A470,'Base de données'!A$4:A$990,0),12),"")</f>
        <v/>
      </c>
    </row>
    <row r="466" spans="2:3" hidden="1" x14ac:dyDescent="0.25">
      <c r="B466" s="55" t="str">
        <f>IF(A466&lt;&gt;"",INDEX('Base de données'!A$4:L$990,MATCH(' TVA M'!A471,'Base de données'!A$4:A$990,0),2),"")</f>
        <v/>
      </c>
      <c r="C466" s="55" t="str">
        <f>IF(A466&lt;&gt;"",INDEX('Base de données'!A$4:L$990,MATCH(' TVA M'!A471,'Base de données'!A$4:A$990,0),12),"")</f>
        <v/>
      </c>
    </row>
    <row r="467" spans="2:3" hidden="1" x14ac:dyDescent="0.25">
      <c r="B467" s="55" t="str">
        <f>IF(A467&lt;&gt;"",INDEX('Base de données'!A$4:L$990,MATCH(' TVA M'!A472,'Base de données'!A$4:A$990,0),2),"")</f>
        <v/>
      </c>
      <c r="C467" s="55" t="str">
        <f>IF(A467&lt;&gt;"",INDEX('Base de données'!A$4:L$990,MATCH(' TVA M'!A472,'Base de données'!A$4:A$990,0),12),"")</f>
        <v/>
      </c>
    </row>
    <row r="468" spans="2:3" hidden="1" x14ac:dyDescent="0.25">
      <c r="B468" s="55" t="str">
        <f>IF(A468&lt;&gt;"",INDEX('Base de données'!A$4:L$990,MATCH(' TVA M'!A473,'Base de données'!A$4:A$990,0),2),"")</f>
        <v/>
      </c>
      <c r="C468" s="55" t="str">
        <f>IF(A468&lt;&gt;"",INDEX('Base de données'!A$4:L$990,MATCH(' TVA M'!A473,'Base de données'!A$4:A$990,0),12),"")</f>
        <v/>
      </c>
    </row>
    <row r="469" spans="2:3" hidden="1" x14ac:dyDescent="0.25">
      <c r="B469" s="55" t="str">
        <f>IF(A469&lt;&gt;"",INDEX('Base de données'!A$4:L$990,MATCH(' TVA M'!A474,'Base de données'!A$4:A$990,0),2),"")</f>
        <v/>
      </c>
      <c r="C469" s="55" t="str">
        <f>IF(A469&lt;&gt;"",INDEX('Base de données'!A$4:L$990,MATCH(' TVA M'!A474,'Base de données'!A$4:A$990,0),12),"")</f>
        <v/>
      </c>
    </row>
    <row r="470" spans="2:3" hidden="1" x14ac:dyDescent="0.25">
      <c r="B470" s="55" t="str">
        <f>IF(A470&lt;&gt;"",INDEX('Base de données'!A$4:L$990,MATCH(' TVA M'!A475,'Base de données'!A$4:A$990,0),2),"")</f>
        <v/>
      </c>
      <c r="C470" s="55" t="str">
        <f>IF(A470&lt;&gt;"",INDEX('Base de données'!A$4:L$990,MATCH(' TVA M'!A475,'Base de données'!A$4:A$990,0),12),"")</f>
        <v/>
      </c>
    </row>
    <row r="471" spans="2:3" hidden="1" x14ac:dyDescent="0.25">
      <c r="B471" s="55" t="str">
        <f>IF(A471&lt;&gt;"",INDEX('Base de données'!A$4:L$990,MATCH(' TVA M'!A476,'Base de données'!A$4:A$990,0),2),"")</f>
        <v/>
      </c>
      <c r="C471" s="55" t="str">
        <f>IF(A471&lt;&gt;"",INDEX('Base de données'!A$4:L$990,MATCH(' TVA M'!A476,'Base de données'!A$4:A$990,0),12),"")</f>
        <v/>
      </c>
    </row>
    <row r="472" spans="2:3" hidden="1" x14ac:dyDescent="0.25">
      <c r="B472" s="55" t="str">
        <f>IF(A472&lt;&gt;"",INDEX('Base de données'!A$4:L$990,MATCH(' TVA M'!A477,'Base de données'!A$4:A$990,0),2),"")</f>
        <v/>
      </c>
      <c r="C472" s="55" t="str">
        <f>IF(A472&lt;&gt;"",INDEX('Base de données'!A$4:L$990,MATCH(' TVA M'!A477,'Base de données'!A$4:A$990,0),12),"")</f>
        <v/>
      </c>
    </row>
    <row r="473" spans="2:3" hidden="1" x14ac:dyDescent="0.25">
      <c r="B473" s="55" t="str">
        <f>IF(A473&lt;&gt;"",INDEX('Base de données'!A$4:L$990,MATCH(' TVA M'!A478,'Base de données'!A$4:A$990,0),2),"")</f>
        <v/>
      </c>
      <c r="C473" s="55" t="str">
        <f>IF(A473&lt;&gt;"",INDEX('Base de données'!A$4:L$990,MATCH(' TVA M'!A478,'Base de données'!A$4:A$990,0),12),"")</f>
        <v/>
      </c>
    </row>
    <row r="474" spans="2:3" hidden="1" x14ac:dyDescent="0.25">
      <c r="B474" s="55" t="str">
        <f>IF(A474&lt;&gt;"",INDEX('Base de données'!A$4:L$990,MATCH(' TVA M'!A479,'Base de données'!A$4:A$990,0),2),"")</f>
        <v/>
      </c>
      <c r="C474" s="55" t="str">
        <f>IF(A474&lt;&gt;"",INDEX('Base de données'!A$4:L$990,MATCH(' TVA M'!A479,'Base de données'!A$4:A$990,0),12),"")</f>
        <v/>
      </c>
    </row>
    <row r="475" spans="2:3" hidden="1" x14ac:dyDescent="0.25">
      <c r="B475" s="55" t="str">
        <f>IF(A475&lt;&gt;"",INDEX('Base de données'!A$4:L$990,MATCH(' TVA M'!A480,'Base de données'!A$4:A$990,0),2),"")</f>
        <v/>
      </c>
      <c r="C475" s="55" t="str">
        <f>IF(A475&lt;&gt;"",INDEX('Base de données'!A$4:L$990,MATCH(' TVA M'!A480,'Base de données'!A$4:A$990,0),12),"")</f>
        <v/>
      </c>
    </row>
    <row r="476" spans="2:3" hidden="1" x14ac:dyDescent="0.25">
      <c r="B476" s="55" t="str">
        <f>IF(A476&lt;&gt;"",INDEX('Base de données'!A$4:L$990,MATCH(' TVA M'!A481,'Base de données'!A$4:A$990,0),2),"")</f>
        <v/>
      </c>
      <c r="C476" s="55" t="str">
        <f>IF(A476&lt;&gt;"",INDEX('Base de données'!A$4:L$990,MATCH(' TVA M'!A481,'Base de données'!A$4:A$990,0),12),"")</f>
        <v/>
      </c>
    </row>
    <row r="477" spans="2:3" hidden="1" x14ac:dyDescent="0.25">
      <c r="B477" s="55" t="str">
        <f>IF(A477&lt;&gt;"",INDEX('Base de données'!A$4:L$990,MATCH(' TVA M'!A482,'Base de données'!A$4:A$990,0),2),"")</f>
        <v/>
      </c>
      <c r="C477" s="55" t="str">
        <f>IF(A477&lt;&gt;"",INDEX('Base de données'!A$4:L$990,MATCH(' TVA M'!A482,'Base de données'!A$4:A$990,0),12),"")</f>
        <v/>
      </c>
    </row>
    <row r="478" spans="2:3" hidden="1" x14ac:dyDescent="0.25">
      <c r="B478" s="55" t="str">
        <f>IF(A478&lt;&gt;"",INDEX('Base de données'!A$4:L$990,MATCH(' TVA M'!A483,'Base de données'!A$4:A$990,0),2),"")</f>
        <v/>
      </c>
      <c r="C478" s="55" t="str">
        <f>IF(A478&lt;&gt;"",INDEX('Base de données'!A$4:L$990,MATCH(' TVA M'!A483,'Base de données'!A$4:A$990,0),12),"")</f>
        <v/>
      </c>
    </row>
    <row r="479" spans="2:3" hidden="1" x14ac:dyDescent="0.25">
      <c r="B479" s="55" t="str">
        <f>IF(A479&lt;&gt;"",INDEX('Base de données'!A$4:L$990,MATCH(' TVA M'!A484,'Base de données'!A$4:A$990,0),2),"")</f>
        <v/>
      </c>
      <c r="C479" s="55" t="str">
        <f>IF(A479&lt;&gt;"",INDEX('Base de données'!A$4:L$990,MATCH(' TVA M'!A484,'Base de données'!A$4:A$990,0),12),"")</f>
        <v/>
      </c>
    </row>
    <row r="480" spans="2:3" hidden="1" x14ac:dyDescent="0.25">
      <c r="B480" s="55" t="str">
        <f>IF(A480&lt;&gt;"",INDEX('Base de données'!A$4:L$990,MATCH(' TVA M'!A485,'Base de données'!A$4:A$990,0),2),"")</f>
        <v/>
      </c>
      <c r="C480" s="55" t="str">
        <f>IF(A480&lt;&gt;"",INDEX('Base de données'!A$4:L$990,MATCH(' TVA M'!A485,'Base de données'!A$4:A$990,0),12),"")</f>
        <v/>
      </c>
    </row>
    <row r="481" spans="2:3" hidden="1" x14ac:dyDescent="0.25">
      <c r="B481" s="55" t="str">
        <f>IF(A481&lt;&gt;"",INDEX('Base de données'!A$4:L$990,MATCH(' TVA M'!A486,'Base de données'!A$4:A$990,0),2),"")</f>
        <v/>
      </c>
      <c r="C481" s="55" t="str">
        <f>IF(A481&lt;&gt;"",INDEX('Base de données'!A$4:L$990,MATCH(' TVA M'!A486,'Base de données'!A$4:A$990,0),12),"")</f>
        <v/>
      </c>
    </row>
    <row r="482" spans="2:3" hidden="1" x14ac:dyDescent="0.25">
      <c r="B482" s="55" t="str">
        <f>IF(A482&lt;&gt;"",INDEX('Base de données'!A$4:L$990,MATCH(' TVA M'!A487,'Base de données'!A$4:A$990,0),2),"")</f>
        <v/>
      </c>
      <c r="C482" s="55" t="str">
        <f>IF(A482&lt;&gt;"",INDEX('Base de données'!A$4:L$990,MATCH(' TVA M'!A487,'Base de données'!A$4:A$990,0),12),"")</f>
        <v/>
      </c>
    </row>
    <row r="483" spans="2:3" hidden="1" x14ac:dyDescent="0.25">
      <c r="B483" s="55" t="str">
        <f>IF(A483&lt;&gt;"",INDEX('Base de données'!A$4:L$990,MATCH(' TVA M'!A488,'Base de données'!A$4:A$990,0),2),"")</f>
        <v/>
      </c>
      <c r="C483" s="55" t="str">
        <f>IF(A483&lt;&gt;"",INDEX('Base de données'!A$4:L$990,MATCH(' TVA M'!A488,'Base de données'!A$4:A$990,0),12),"")</f>
        <v/>
      </c>
    </row>
    <row r="484" spans="2:3" hidden="1" x14ac:dyDescent="0.25">
      <c r="B484" s="55" t="str">
        <f>IF(A484&lt;&gt;"",INDEX('Base de données'!A$4:L$990,MATCH(' TVA M'!A489,'Base de données'!A$4:A$990,0),2),"")</f>
        <v/>
      </c>
      <c r="C484" s="55" t="str">
        <f>IF(A484&lt;&gt;"",INDEX('Base de données'!A$4:L$990,MATCH(' TVA M'!A489,'Base de données'!A$4:A$990,0),12),"")</f>
        <v/>
      </c>
    </row>
    <row r="485" spans="2:3" hidden="1" x14ac:dyDescent="0.25">
      <c r="B485" s="55" t="str">
        <f>IF(A485&lt;&gt;"",INDEX('Base de données'!A$4:L$990,MATCH(' TVA M'!A490,'Base de données'!A$4:A$990,0),2),"")</f>
        <v/>
      </c>
      <c r="C485" s="55" t="str">
        <f>IF(A485&lt;&gt;"",INDEX('Base de données'!A$4:L$990,MATCH(' TVA M'!A490,'Base de données'!A$4:A$990,0),12),"")</f>
        <v/>
      </c>
    </row>
    <row r="486" spans="2:3" hidden="1" x14ac:dyDescent="0.25">
      <c r="B486" s="55" t="str">
        <f>IF(A486&lt;&gt;"",INDEX('Base de données'!A$4:L$990,MATCH(' TVA M'!A491,'Base de données'!A$4:A$990,0),2),"")</f>
        <v/>
      </c>
      <c r="C486" s="55" t="str">
        <f>IF(A486&lt;&gt;"",INDEX('Base de données'!A$4:L$990,MATCH(' TVA M'!A491,'Base de données'!A$4:A$990,0),12),"")</f>
        <v/>
      </c>
    </row>
    <row r="487" spans="2:3" hidden="1" x14ac:dyDescent="0.25">
      <c r="B487" s="55" t="str">
        <f>IF(A487&lt;&gt;"",INDEX('Base de données'!A$4:L$990,MATCH(' TVA M'!A492,'Base de données'!A$4:A$990,0),2),"")</f>
        <v/>
      </c>
      <c r="C487" s="55" t="str">
        <f>IF(A487&lt;&gt;"",INDEX('Base de données'!A$4:L$990,MATCH(' TVA M'!A492,'Base de données'!A$4:A$990,0),12),"")</f>
        <v/>
      </c>
    </row>
    <row r="488" spans="2:3" hidden="1" x14ac:dyDescent="0.25">
      <c r="B488" s="55" t="str">
        <f>IF(A488&lt;&gt;"",INDEX('Base de données'!A$4:L$990,MATCH(' TVA M'!A493,'Base de données'!A$4:A$990,0),2),"")</f>
        <v/>
      </c>
      <c r="C488" s="55" t="str">
        <f>IF(A488&lt;&gt;"",INDEX('Base de données'!A$4:L$990,MATCH(' TVA M'!A493,'Base de données'!A$4:A$990,0),12),"")</f>
        <v/>
      </c>
    </row>
    <row r="489" spans="2:3" hidden="1" x14ac:dyDescent="0.25">
      <c r="B489" s="55" t="str">
        <f>IF(A489&lt;&gt;"",INDEX('Base de données'!A$4:L$990,MATCH(' TVA M'!A494,'Base de données'!A$4:A$990,0),2),"")</f>
        <v/>
      </c>
      <c r="C489" s="55" t="str">
        <f>IF(A489&lt;&gt;"",INDEX('Base de données'!A$4:L$990,MATCH(' TVA M'!A494,'Base de données'!A$4:A$990,0),12),"")</f>
        <v/>
      </c>
    </row>
    <row r="490" spans="2:3" hidden="1" x14ac:dyDescent="0.25">
      <c r="B490" s="55" t="str">
        <f>IF(A490&lt;&gt;"",INDEX('Base de données'!A$4:L$990,MATCH(' TVA M'!A495,'Base de données'!A$4:A$990,0),2),"")</f>
        <v/>
      </c>
      <c r="C490" s="55" t="str">
        <f>IF(A490&lt;&gt;"",INDEX('Base de données'!A$4:L$990,MATCH(' TVA M'!A495,'Base de données'!A$4:A$990,0),12),"")</f>
        <v/>
      </c>
    </row>
    <row r="491" spans="2:3" hidden="1" x14ac:dyDescent="0.25">
      <c r="B491" s="55" t="str">
        <f>IF(A491&lt;&gt;"",INDEX('Base de données'!A$4:L$990,MATCH(' TVA M'!A496,'Base de données'!A$4:A$990,0),2),"")</f>
        <v/>
      </c>
      <c r="C491" s="55" t="str">
        <f>IF(A491&lt;&gt;"",INDEX('Base de données'!A$4:L$990,MATCH(' TVA M'!A496,'Base de données'!A$4:A$990,0),12),"")</f>
        <v/>
      </c>
    </row>
    <row r="492" spans="2:3" hidden="1" x14ac:dyDescent="0.25">
      <c r="B492" s="55" t="str">
        <f>IF(A492&lt;&gt;"",INDEX('Base de données'!A$4:L$990,MATCH(' TVA M'!A497,'Base de données'!A$4:A$990,0),2),"")</f>
        <v/>
      </c>
      <c r="C492" s="55" t="str">
        <f>IF(A492&lt;&gt;"",INDEX('Base de données'!A$4:L$990,MATCH(' TVA M'!A497,'Base de données'!A$4:A$990,0),12),"")</f>
        <v/>
      </c>
    </row>
    <row r="493" spans="2:3" hidden="1" x14ac:dyDescent="0.25">
      <c r="B493" s="55" t="str">
        <f>IF(A493&lt;&gt;"",INDEX('Base de données'!A$4:L$990,MATCH(' TVA M'!A498,'Base de données'!A$4:A$990,0),2),"")</f>
        <v/>
      </c>
      <c r="C493" s="55" t="str">
        <f>IF(A493&lt;&gt;"",INDEX('Base de données'!A$4:L$990,MATCH(' TVA M'!A498,'Base de données'!A$4:A$990,0),12),"")</f>
        <v/>
      </c>
    </row>
    <row r="494" spans="2:3" hidden="1" x14ac:dyDescent="0.25">
      <c r="B494" s="55" t="str">
        <f>IF(A494&lt;&gt;"",INDEX('Base de données'!A$4:L$990,MATCH(' TVA M'!A499,'Base de données'!A$4:A$990,0),2),"")</f>
        <v/>
      </c>
      <c r="C494" s="55" t="str">
        <f>IF(A494&lt;&gt;"",INDEX('Base de données'!A$4:L$990,MATCH(' TVA M'!A499,'Base de données'!A$4:A$990,0),12),"")</f>
        <v/>
      </c>
    </row>
    <row r="495" spans="2:3" hidden="1" x14ac:dyDescent="0.25">
      <c r="B495" s="55" t="str">
        <f>IF(A495&lt;&gt;"",INDEX('Base de données'!A$4:L$990,MATCH(' TVA M'!A500,'Base de données'!A$4:A$990,0),2),"")</f>
        <v/>
      </c>
      <c r="C495" s="55" t="str">
        <f>IF(A495&lt;&gt;"",INDEX('Base de données'!A$4:L$990,MATCH(' TVA M'!A500,'Base de données'!A$4:A$990,0),12),"")</f>
        <v/>
      </c>
    </row>
    <row r="496" spans="2:3" hidden="1" x14ac:dyDescent="0.25">
      <c r="B496" s="55" t="str">
        <f>IF(A496&lt;&gt;"",INDEX('Base de données'!A$4:L$990,MATCH(' TVA M'!A501,'Base de données'!A$4:A$990,0),2),"")</f>
        <v/>
      </c>
      <c r="C496" s="55" t="str">
        <f>IF(A496&lt;&gt;"",INDEX('Base de données'!A$4:L$990,MATCH(' TVA M'!A501,'Base de données'!A$4:A$990,0),12),"")</f>
        <v/>
      </c>
    </row>
    <row r="497" spans="2:3" hidden="1" x14ac:dyDescent="0.25">
      <c r="B497" s="55" t="str">
        <f>IF(A497&lt;&gt;"",INDEX('Base de données'!A$4:L$990,MATCH(' TVA M'!A502,'Base de données'!A$4:A$990,0),2),"")</f>
        <v/>
      </c>
      <c r="C497" s="55" t="str">
        <f>IF(A497&lt;&gt;"",INDEX('Base de données'!A$4:L$990,MATCH(' TVA M'!A502,'Base de données'!A$4:A$990,0),12),"")</f>
        <v/>
      </c>
    </row>
    <row r="498" spans="2:3" hidden="1" x14ac:dyDescent="0.25">
      <c r="B498" s="55" t="str">
        <f>IF(A498&lt;&gt;"",INDEX('Base de données'!A$4:L$990,MATCH(' TVA M'!A503,'Base de données'!A$4:A$990,0),2),"")</f>
        <v/>
      </c>
      <c r="C498" s="55" t="str">
        <f>IF(A498&lt;&gt;"",INDEX('Base de données'!A$4:L$990,MATCH(' TVA M'!A503,'Base de données'!A$4:A$990,0),12),"")</f>
        <v/>
      </c>
    </row>
    <row r="499" spans="2:3" hidden="1" x14ac:dyDescent="0.25">
      <c r="B499" s="55" t="str">
        <f>IF(A499&lt;&gt;"",INDEX('Base de données'!A$4:L$990,MATCH(' TVA M'!A504,'Base de données'!A$4:A$990,0),2),"")</f>
        <v/>
      </c>
      <c r="C499" s="55" t="str">
        <f>IF(A499&lt;&gt;"",INDEX('Base de données'!A$4:L$990,MATCH(' TVA M'!A504,'Base de données'!A$4:A$990,0),12),"")</f>
        <v/>
      </c>
    </row>
    <row r="500" spans="2:3" hidden="1" x14ac:dyDescent="0.25">
      <c r="B500" s="55" t="str">
        <f>IF(A500&lt;&gt;"",INDEX('Base de données'!A$4:L$990,MATCH(' TVA M'!A505,'Base de données'!A$4:A$990,0),2),"")</f>
        <v/>
      </c>
      <c r="C500" s="55" t="str">
        <f>IF(A500&lt;&gt;"",INDEX('Base de données'!A$4:L$990,MATCH(' TVA M'!A505,'Base de données'!A$4:A$990,0),12),"")</f>
        <v/>
      </c>
    </row>
    <row r="501" spans="2:3" hidden="1" x14ac:dyDescent="0.25">
      <c r="B501" s="55" t="str">
        <f>IF(A501&lt;&gt;"",INDEX('Base de données'!A$4:L$990,MATCH(' TVA M'!A506,'Base de données'!A$4:A$990,0),2),"")</f>
        <v/>
      </c>
      <c r="C501" s="55" t="str">
        <f>IF(A501&lt;&gt;"",INDEX('Base de données'!A$4:L$990,MATCH(' TVA M'!A506,'Base de données'!A$4:A$990,0),12),"")</f>
        <v/>
      </c>
    </row>
    <row r="502" spans="2:3" hidden="1" x14ac:dyDescent="0.25">
      <c r="B502" s="55" t="str">
        <f>IF(A502&lt;&gt;"",INDEX('Base de données'!A$4:L$990,MATCH(' TVA M'!A507,'Base de données'!A$4:A$990,0),2),"")</f>
        <v/>
      </c>
      <c r="C502" s="55" t="str">
        <f>IF(A502&lt;&gt;"",INDEX('Base de données'!A$4:L$990,MATCH(' TVA M'!A507,'Base de données'!A$4:A$990,0),12),"")</f>
        <v/>
      </c>
    </row>
    <row r="503" spans="2:3" hidden="1" x14ac:dyDescent="0.25">
      <c r="B503" s="55" t="str">
        <f>IF(A503&lt;&gt;"",INDEX('Base de données'!A$4:L$990,MATCH(' TVA M'!A508,'Base de données'!A$4:A$990,0),2),"")</f>
        <v/>
      </c>
      <c r="C503" s="55" t="str">
        <f>IF(A503&lt;&gt;"",INDEX('Base de données'!A$4:L$990,MATCH(' TVA M'!A508,'Base de données'!A$4:A$990,0),12),"")</f>
        <v/>
      </c>
    </row>
    <row r="504" spans="2:3" hidden="1" x14ac:dyDescent="0.25">
      <c r="B504" s="55" t="str">
        <f>IF(A504&lt;&gt;"",INDEX('Base de données'!A$4:L$990,MATCH(' TVA M'!A509,'Base de données'!A$4:A$990,0),2),"")</f>
        <v/>
      </c>
      <c r="C504" s="55" t="str">
        <f>IF(A504&lt;&gt;"",INDEX('Base de données'!A$4:L$990,MATCH(' TVA M'!A509,'Base de données'!A$4:A$990,0),12),"")</f>
        <v/>
      </c>
    </row>
    <row r="505" spans="2:3" hidden="1" x14ac:dyDescent="0.25">
      <c r="B505" s="55" t="str">
        <f>IF(A505&lt;&gt;"",INDEX('Base de données'!A$4:L$990,MATCH(' TVA M'!A510,'Base de données'!A$4:A$990,0),2),"")</f>
        <v/>
      </c>
      <c r="C505" s="55" t="str">
        <f>IF(A505&lt;&gt;"",INDEX('Base de données'!A$4:L$990,MATCH(' TVA M'!A510,'Base de données'!A$4:A$990,0),12),"")</f>
        <v/>
      </c>
    </row>
    <row r="506" spans="2:3" hidden="1" x14ac:dyDescent="0.25">
      <c r="B506" s="55" t="str">
        <f>IF(A506&lt;&gt;"",INDEX('Base de données'!A$4:L$990,MATCH(' TVA M'!A511,'Base de données'!A$4:A$990,0),2),"")</f>
        <v/>
      </c>
      <c r="C506" s="55" t="str">
        <f>IF(A506&lt;&gt;"",INDEX('Base de données'!A$4:L$990,MATCH(' TVA M'!A511,'Base de données'!A$4:A$990,0),12),"")</f>
        <v/>
      </c>
    </row>
    <row r="507" spans="2:3" hidden="1" x14ac:dyDescent="0.25">
      <c r="B507" s="55" t="str">
        <f>IF(A507&lt;&gt;"",INDEX('Base de données'!A$4:L$990,MATCH(' TVA M'!A512,'Base de données'!A$4:A$990,0),2),"")</f>
        <v/>
      </c>
      <c r="C507" s="55" t="str">
        <f>IF(A507&lt;&gt;"",INDEX('Base de données'!A$4:L$990,MATCH(' TVA M'!A512,'Base de données'!A$4:A$990,0),12),"")</f>
        <v/>
      </c>
    </row>
    <row r="508" spans="2:3" hidden="1" x14ac:dyDescent="0.25">
      <c r="B508" s="55" t="str">
        <f>IF(A508&lt;&gt;"",INDEX('Base de données'!A$4:L$990,MATCH(' TVA M'!A513,'Base de données'!A$4:A$990,0),2),"")</f>
        <v/>
      </c>
      <c r="C508" s="55" t="str">
        <f>IF(A508&lt;&gt;"",INDEX('Base de données'!A$4:L$990,MATCH(' TVA M'!A513,'Base de données'!A$4:A$990,0),12),"")</f>
        <v/>
      </c>
    </row>
    <row r="509" spans="2:3" hidden="1" x14ac:dyDescent="0.25">
      <c r="B509" s="55" t="str">
        <f>IF(A509&lt;&gt;"",INDEX('Base de données'!A$4:L$990,MATCH(' TVA M'!A514,'Base de données'!A$4:A$990,0),2),"")</f>
        <v/>
      </c>
      <c r="C509" s="55" t="str">
        <f>IF(A509&lt;&gt;"",INDEX('Base de données'!A$4:L$990,MATCH(' TVA M'!A514,'Base de données'!A$4:A$990,0),12),"")</f>
        <v/>
      </c>
    </row>
    <row r="510" spans="2:3" hidden="1" x14ac:dyDescent="0.25">
      <c r="B510" s="55" t="str">
        <f>IF(A510&lt;&gt;"",INDEX('Base de données'!A$4:L$990,MATCH(' TVA M'!A515,'Base de données'!A$4:A$990,0),2),"")</f>
        <v/>
      </c>
      <c r="C510" s="55" t="str">
        <f>IF(A510&lt;&gt;"",INDEX('Base de données'!A$4:L$990,MATCH(' TVA M'!A515,'Base de données'!A$4:A$990,0),12),"")</f>
        <v/>
      </c>
    </row>
    <row r="511" spans="2:3" hidden="1" x14ac:dyDescent="0.25">
      <c r="B511" s="55" t="str">
        <f>IF(A511&lt;&gt;"",INDEX('Base de données'!A$4:L$990,MATCH(' TVA M'!A516,'Base de données'!A$4:A$990,0),2),"")</f>
        <v/>
      </c>
      <c r="C511" s="55" t="str">
        <f>IF(A511&lt;&gt;"",INDEX('Base de données'!A$4:L$990,MATCH(' TVA M'!A516,'Base de données'!A$4:A$990,0),12),"")</f>
        <v/>
      </c>
    </row>
    <row r="512" spans="2:3" hidden="1" x14ac:dyDescent="0.25">
      <c r="B512" s="55" t="str">
        <f>IF(A512&lt;&gt;"",INDEX('Base de données'!A$4:L$990,MATCH(' TVA M'!A517,'Base de données'!A$4:A$990,0),2),"")</f>
        <v/>
      </c>
      <c r="C512" s="55" t="str">
        <f>IF(A512&lt;&gt;"",INDEX('Base de données'!A$4:L$990,MATCH(' TVA M'!A517,'Base de données'!A$4:A$990,0),12),"")</f>
        <v/>
      </c>
    </row>
    <row r="513" spans="2:3" hidden="1" x14ac:dyDescent="0.25">
      <c r="B513" s="55" t="str">
        <f>IF(A513&lt;&gt;"",INDEX('Base de données'!A$4:L$990,MATCH(' TVA M'!A518,'Base de données'!A$4:A$990,0),2),"")</f>
        <v/>
      </c>
      <c r="C513" s="55" t="str">
        <f>IF(A513&lt;&gt;"",INDEX('Base de données'!A$4:L$990,MATCH(' TVA M'!A518,'Base de données'!A$4:A$990,0),12),"")</f>
        <v/>
      </c>
    </row>
    <row r="514" spans="2:3" hidden="1" x14ac:dyDescent="0.25">
      <c r="B514" s="55" t="str">
        <f>IF(A514&lt;&gt;"",INDEX('Base de données'!A$4:L$990,MATCH(' TVA M'!A519,'Base de données'!A$4:A$990,0),2),"")</f>
        <v/>
      </c>
      <c r="C514" s="55" t="str">
        <f>IF(A514&lt;&gt;"",INDEX('Base de données'!A$4:L$990,MATCH(' TVA M'!A519,'Base de données'!A$4:A$990,0),12),"")</f>
        <v/>
      </c>
    </row>
    <row r="515" spans="2:3" hidden="1" x14ac:dyDescent="0.25">
      <c r="B515" s="55" t="str">
        <f>IF(A515&lt;&gt;"",INDEX('Base de données'!A$4:L$990,MATCH(' TVA M'!A520,'Base de données'!A$4:A$990,0),2),"")</f>
        <v/>
      </c>
      <c r="C515" s="55" t="str">
        <f>IF(A515&lt;&gt;"",INDEX('Base de données'!A$4:L$990,MATCH(' TVA M'!A520,'Base de données'!A$4:A$990,0),12),"")</f>
        <v/>
      </c>
    </row>
    <row r="516" spans="2:3" hidden="1" x14ac:dyDescent="0.25">
      <c r="B516" s="55" t="str">
        <f>IF(A516&lt;&gt;"",INDEX('Base de données'!A$4:L$990,MATCH(' TVA M'!A521,'Base de données'!A$4:A$990,0),2),"")</f>
        <v/>
      </c>
      <c r="C516" s="55" t="str">
        <f>IF(A516&lt;&gt;"",INDEX('Base de données'!A$4:L$990,MATCH(' TVA M'!A521,'Base de données'!A$4:A$990,0),12),"")</f>
        <v/>
      </c>
    </row>
    <row r="517" spans="2:3" hidden="1" x14ac:dyDescent="0.25">
      <c r="B517" s="55" t="str">
        <f>IF(A517&lt;&gt;"",INDEX('Base de données'!A$4:L$990,MATCH(' TVA M'!A522,'Base de données'!A$4:A$990,0),2),"")</f>
        <v/>
      </c>
      <c r="C517" s="55" t="str">
        <f>IF(A517&lt;&gt;"",INDEX('Base de données'!A$4:L$990,MATCH(' TVA M'!A522,'Base de données'!A$4:A$990,0),12),"")</f>
        <v/>
      </c>
    </row>
    <row r="518" spans="2:3" hidden="1" x14ac:dyDescent="0.25">
      <c r="B518" s="55" t="str">
        <f>IF(A518&lt;&gt;"",INDEX('Base de données'!A$4:L$990,MATCH(' TVA M'!A523,'Base de données'!A$4:A$990,0),2),"")</f>
        <v/>
      </c>
      <c r="C518" s="55" t="str">
        <f>IF(A518&lt;&gt;"",INDEX('Base de données'!A$4:L$990,MATCH(' TVA M'!A523,'Base de données'!A$4:A$990,0),12),"")</f>
        <v/>
      </c>
    </row>
    <row r="519" spans="2:3" hidden="1" x14ac:dyDescent="0.25">
      <c r="B519" s="55" t="str">
        <f>IF(A519&lt;&gt;"",INDEX('Base de données'!A$4:L$990,MATCH(' TVA M'!A524,'Base de données'!A$4:A$990,0),2),"")</f>
        <v/>
      </c>
      <c r="C519" s="55" t="str">
        <f>IF(A519&lt;&gt;"",INDEX('Base de données'!A$4:L$990,MATCH(' TVA M'!A524,'Base de données'!A$4:A$990,0),12),"")</f>
        <v/>
      </c>
    </row>
    <row r="520" spans="2:3" hidden="1" x14ac:dyDescent="0.25">
      <c r="B520" s="55" t="str">
        <f>IF(A520&lt;&gt;"",INDEX('Base de données'!A$4:L$990,MATCH(' TVA M'!A525,'Base de données'!A$4:A$990,0),2),"")</f>
        <v/>
      </c>
      <c r="C520" s="55" t="str">
        <f>IF(A520&lt;&gt;"",INDEX('Base de données'!A$4:L$990,MATCH(' TVA M'!A525,'Base de données'!A$4:A$990,0),12),"")</f>
        <v/>
      </c>
    </row>
    <row r="521" spans="2:3" hidden="1" x14ac:dyDescent="0.25">
      <c r="B521" s="55" t="str">
        <f>IF(A521&lt;&gt;"",INDEX('Base de données'!A$4:L$990,MATCH(' TVA M'!A526,'Base de données'!A$4:A$990,0),2),"")</f>
        <v/>
      </c>
      <c r="C521" s="55" t="str">
        <f>IF(A521&lt;&gt;"",INDEX('Base de données'!A$4:L$990,MATCH(' TVA M'!A526,'Base de données'!A$4:A$990,0),12),"")</f>
        <v/>
      </c>
    </row>
    <row r="522" spans="2:3" hidden="1" x14ac:dyDescent="0.25">
      <c r="B522" s="55" t="str">
        <f>IF(A522&lt;&gt;"",INDEX('Base de données'!A$4:L$990,MATCH(' TVA M'!A527,'Base de données'!A$4:A$990,0),2),"")</f>
        <v/>
      </c>
      <c r="C522" s="55" t="str">
        <f>IF(A522&lt;&gt;"",INDEX('Base de données'!A$4:L$990,MATCH(' TVA M'!A527,'Base de données'!A$4:A$990,0),12),"")</f>
        <v/>
      </c>
    </row>
    <row r="523" spans="2:3" hidden="1" x14ac:dyDescent="0.25">
      <c r="B523" s="55" t="str">
        <f>IF(A523&lt;&gt;"",INDEX('Base de données'!A$4:L$990,MATCH(' TVA M'!A528,'Base de données'!A$4:A$990,0),2),"")</f>
        <v/>
      </c>
      <c r="C523" s="55" t="str">
        <f>IF(A523&lt;&gt;"",INDEX('Base de données'!A$4:L$990,MATCH(' TVA M'!A528,'Base de données'!A$4:A$990,0),12),"")</f>
        <v/>
      </c>
    </row>
    <row r="524" spans="2:3" hidden="1" x14ac:dyDescent="0.25">
      <c r="B524" s="55" t="str">
        <f>IF(A524&lt;&gt;"",INDEX('Base de données'!A$4:L$990,MATCH(' TVA M'!A529,'Base de données'!A$4:A$990,0),2),"")</f>
        <v/>
      </c>
      <c r="C524" s="55" t="str">
        <f>IF(A524&lt;&gt;"",INDEX('Base de données'!A$4:L$990,MATCH(' TVA M'!A529,'Base de données'!A$4:A$990,0),12),"")</f>
        <v/>
      </c>
    </row>
    <row r="525" spans="2:3" hidden="1" x14ac:dyDescent="0.25">
      <c r="B525" s="55" t="str">
        <f>IF(A525&lt;&gt;"",INDEX('Base de données'!A$4:L$990,MATCH(' TVA M'!A530,'Base de données'!A$4:A$990,0),2),"")</f>
        <v/>
      </c>
      <c r="C525" s="55" t="str">
        <f>IF(A525&lt;&gt;"",INDEX('Base de données'!A$4:L$990,MATCH(' TVA M'!A530,'Base de données'!A$4:A$990,0),12),"")</f>
        <v/>
      </c>
    </row>
    <row r="526" spans="2:3" hidden="1" x14ac:dyDescent="0.25">
      <c r="B526" s="55" t="str">
        <f>IF(A526&lt;&gt;"",INDEX('Base de données'!A$4:L$990,MATCH(' TVA M'!A531,'Base de données'!A$4:A$990,0),2),"")</f>
        <v/>
      </c>
      <c r="C526" s="55" t="str">
        <f>IF(A526&lt;&gt;"",INDEX('Base de données'!A$4:L$990,MATCH(' TVA M'!A531,'Base de données'!A$4:A$990,0),12),"")</f>
        <v/>
      </c>
    </row>
    <row r="527" spans="2:3" hidden="1" x14ac:dyDescent="0.25">
      <c r="B527" s="55" t="str">
        <f>IF(A527&lt;&gt;"",INDEX('Base de données'!A$4:L$990,MATCH(' TVA M'!A532,'Base de données'!A$4:A$990,0),2),"")</f>
        <v/>
      </c>
      <c r="C527" s="55" t="str">
        <f>IF(A527&lt;&gt;"",INDEX('Base de données'!A$4:L$990,MATCH(' TVA M'!A532,'Base de données'!A$4:A$990,0),12),"")</f>
        <v/>
      </c>
    </row>
    <row r="528" spans="2:3" hidden="1" x14ac:dyDescent="0.25">
      <c r="B528" s="55" t="str">
        <f>IF(A528&lt;&gt;"",INDEX('Base de données'!A$4:L$990,MATCH(' TVA M'!A533,'Base de données'!A$4:A$990,0),2),"")</f>
        <v/>
      </c>
      <c r="C528" s="55" t="str">
        <f>IF(A528&lt;&gt;"",INDEX('Base de données'!A$4:L$990,MATCH(' TVA M'!A533,'Base de données'!A$4:A$990,0),12),"")</f>
        <v/>
      </c>
    </row>
    <row r="529" spans="2:3" hidden="1" x14ac:dyDescent="0.25">
      <c r="B529" s="55" t="str">
        <f>IF(A529&lt;&gt;"",INDEX('Base de données'!A$4:L$990,MATCH(' TVA M'!A534,'Base de données'!A$4:A$990,0),2),"")</f>
        <v/>
      </c>
      <c r="C529" s="55" t="str">
        <f>IF(A529&lt;&gt;"",INDEX('Base de données'!A$4:L$990,MATCH(' TVA M'!A534,'Base de données'!A$4:A$990,0),12),"")</f>
        <v/>
      </c>
    </row>
    <row r="530" spans="2:3" hidden="1" x14ac:dyDescent="0.25">
      <c r="B530" s="55" t="str">
        <f>IF(A530&lt;&gt;"",INDEX('Base de données'!A$4:L$990,MATCH(' TVA M'!A535,'Base de données'!A$4:A$990,0),2),"")</f>
        <v/>
      </c>
      <c r="C530" s="55" t="str">
        <f>IF(A530&lt;&gt;"",INDEX('Base de données'!A$4:L$990,MATCH(' TVA M'!A535,'Base de données'!A$4:A$990,0),12),"")</f>
        <v/>
      </c>
    </row>
    <row r="531" spans="2:3" hidden="1" x14ac:dyDescent="0.25">
      <c r="B531" s="55" t="str">
        <f>IF(A531&lt;&gt;"",INDEX('Base de données'!A$4:L$990,MATCH(' TVA M'!A536,'Base de données'!A$4:A$990,0),2),"")</f>
        <v/>
      </c>
      <c r="C531" s="55" t="str">
        <f>IF(A531&lt;&gt;"",INDEX('Base de données'!A$4:L$990,MATCH(' TVA M'!A536,'Base de données'!A$4:A$990,0),12),"")</f>
        <v/>
      </c>
    </row>
    <row r="532" spans="2:3" hidden="1" x14ac:dyDescent="0.25">
      <c r="B532" s="55" t="str">
        <f>IF(A532&lt;&gt;"",INDEX('Base de données'!A$4:L$990,MATCH(' TVA M'!A537,'Base de données'!A$4:A$990,0),2),"")</f>
        <v/>
      </c>
      <c r="C532" s="55" t="str">
        <f>IF(A532&lt;&gt;"",INDEX('Base de données'!A$4:L$990,MATCH(' TVA M'!A537,'Base de données'!A$4:A$990,0),12),"")</f>
        <v/>
      </c>
    </row>
    <row r="533" spans="2:3" hidden="1" x14ac:dyDescent="0.25">
      <c r="B533" s="55" t="str">
        <f>IF(A533&lt;&gt;"",INDEX('Base de données'!A$4:L$990,MATCH(' TVA M'!A538,'Base de données'!A$4:A$990,0),2),"")</f>
        <v/>
      </c>
      <c r="C533" s="55" t="str">
        <f>IF(A533&lt;&gt;"",INDEX('Base de données'!A$4:L$990,MATCH(' TVA M'!A538,'Base de données'!A$4:A$990,0),12),"")</f>
        <v/>
      </c>
    </row>
    <row r="534" spans="2:3" hidden="1" x14ac:dyDescent="0.25">
      <c r="B534" s="55" t="str">
        <f>IF(A534&lt;&gt;"",INDEX('Base de données'!A$4:L$990,MATCH(' TVA M'!A539,'Base de données'!A$4:A$990,0),2),"")</f>
        <v/>
      </c>
      <c r="C534" s="55" t="str">
        <f>IF(A534&lt;&gt;"",INDEX('Base de données'!A$4:L$990,MATCH(' TVA M'!A539,'Base de données'!A$4:A$990,0),12),"")</f>
        <v/>
      </c>
    </row>
    <row r="535" spans="2:3" hidden="1" x14ac:dyDescent="0.25">
      <c r="B535" s="55" t="str">
        <f>IF(A535&lt;&gt;"",INDEX('Base de données'!A$4:L$990,MATCH(' TVA M'!A540,'Base de données'!A$4:A$990,0),2),"")</f>
        <v/>
      </c>
      <c r="C535" s="55" t="str">
        <f>IF(A535&lt;&gt;"",INDEX('Base de données'!A$4:L$990,MATCH(' TVA M'!A540,'Base de données'!A$4:A$990,0),12),"")</f>
        <v/>
      </c>
    </row>
    <row r="536" spans="2:3" hidden="1" x14ac:dyDescent="0.25">
      <c r="B536" s="55" t="str">
        <f>IF(A536&lt;&gt;"",INDEX('Base de données'!A$4:L$990,MATCH(' TVA M'!A541,'Base de données'!A$4:A$990,0),2),"")</f>
        <v/>
      </c>
      <c r="C536" s="55" t="str">
        <f>IF(A536&lt;&gt;"",INDEX('Base de données'!A$4:L$990,MATCH(' TVA M'!A541,'Base de données'!A$4:A$990,0),12),"")</f>
        <v/>
      </c>
    </row>
    <row r="537" spans="2:3" hidden="1" x14ac:dyDescent="0.25">
      <c r="B537" s="55" t="str">
        <f>IF(A537&lt;&gt;"",INDEX('Base de données'!A$4:L$990,MATCH(' TVA M'!A542,'Base de données'!A$4:A$990,0),2),"")</f>
        <v/>
      </c>
      <c r="C537" s="55" t="str">
        <f>IF(A537&lt;&gt;"",INDEX('Base de données'!A$4:L$990,MATCH(' TVA M'!A542,'Base de données'!A$4:A$990,0),12),"")</f>
        <v/>
      </c>
    </row>
    <row r="538" spans="2:3" hidden="1" x14ac:dyDescent="0.25">
      <c r="B538" s="55" t="str">
        <f>IF(A538&lt;&gt;"",INDEX('Base de données'!A$4:L$990,MATCH(' TVA M'!A543,'Base de données'!A$4:A$990,0),2),"")</f>
        <v/>
      </c>
      <c r="C538" s="55" t="str">
        <f>IF(A538&lt;&gt;"",INDEX('Base de données'!A$4:L$990,MATCH(' TVA M'!A543,'Base de données'!A$4:A$990,0),12),"")</f>
        <v/>
      </c>
    </row>
    <row r="539" spans="2:3" hidden="1" x14ac:dyDescent="0.25">
      <c r="B539" s="55" t="str">
        <f>IF(A539&lt;&gt;"",INDEX('Base de données'!A$4:L$990,MATCH(' TVA M'!A544,'Base de données'!A$4:A$990,0),2),"")</f>
        <v/>
      </c>
      <c r="C539" s="55" t="str">
        <f>IF(A539&lt;&gt;"",INDEX('Base de données'!A$4:L$990,MATCH(' TVA M'!A544,'Base de données'!A$4:A$990,0),12),"")</f>
        <v/>
      </c>
    </row>
    <row r="540" spans="2:3" hidden="1" x14ac:dyDescent="0.25">
      <c r="B540" s="55" t="str">
        <f>IF(A540&lt;&gt;"",INDEX('Base de données'!A$4:L$990,MATCH(' TVA M'!A545,'Base de données'!A$4:A$990,0),2),"")</f>
        <v/>
      </c>
      <c r="C540" s="55" t="str">
        <f>IF(A540&lt;&gt;"",INDEX('Base de données'!A$4:L$990,MATCH(' TVA M'!A545,'Base de données'!A$4:A$990,0),12),"")</f>
        <v/>
      </c>
    </row>
    <row r="541" spans="2:3" hidden="1" x14ac:dyDescent="0.25">
      <c r="B541" s="55" t="str">
        <f>IF(A541&lt;&gt;"",INDEX('Base de données'!A$4:L$990,MATCH(' TVA M'!A546,'Base de données'!A$4:A$990,0),2),"")</f>
        <v/>
      </c>
      <c r="C541" s="55" t="str">
        <f>IF(A541&lt;&gt;"",INDEX('Base de données'!A$4:L$990,MATCH(' TVA M'!A546,'Base de données'!A$4:A$990,0),12),"")</f>
        <v/>
      </c>
    </row>
    <row r="542" spans="2:3" hidden="1" x14ac:dyDescent="0.25">
      <c r="B542" s="55" t="str">
        <f>IF(A542&lt;&gt;"",INDEX('Base de données'!A$4:L$990,MATCH(' TVA M'!A547,'Base de données'!A$4:A$990,0),2),"")</f>
        <v/>
      </c>
      <c r="C542" s="55" t="str">
        <f>IF(A542&lt;&gt;"",INDEX('Base de données'!A$4:L$990,MATCH(' TVA M'!A547,'Base de données'!A$4:A$990,0),12),"")</f>
        <v/>
      </c>
    </row>
    <row r="543" spans="2:3" hidden="1" x14ac:dyDescent="0.25">
      <c r="B543" s="55" t="str">
        <f>IF(A543&lt;&gt;"",INDEX('Base de données'!A$4:L$990,MATCH(' TVA M'!A548,'Base de données'!A$4:A$990,0),2),"")</f>
        <v/>
      </c>
      <c r="C543" s="55" t="str">
        <f>IF(A543&lt;&gt;"",INDEX('Base de données'!A$4:L$990,MATCH(' TVA M'!A548,'Base de données'!A$4:A$990,0),12),"")</f>
        <v/>
      </c>
    </row>
    <row r="544" spans="2:3" hidden="1" x14ac:dyDescent="0.25">
      <c r="B544" s="55" t="str">
        <f>IF(A544&lt;&gt;"",INDEX('Base de données'!A$4:L$990,MATCH(' TVA M'!A549,'Base de données'!A$4:A$990,0),2),"")</f>
        <v/>
      </c>
      <c r="C544" s="55" t="str">
        <f>IF(A544&lt;&gt;"",INDEX('Base de données'!A$4:L$990,MATCH(' TVA M'!A549,'Base de données'!A$4:A$990,0),12),"")</f>
        <v/>
      </c>
    </row>
    <row r="545" spans="2:3" hidden="1" x14ac:dyDescent="0.25">
      <c r="B545" s="55" t="str">
        <f>IF(A545&lt;&gt;"",INDEX('Base de données'!A$4:L$990,MATCH(' TVA M'!A550,'Base de données'!A$4:A$990,0),2),"")</f>
        <v/>
      </c>
      <c r="C545" s="55" t="str">
        <f>IF(A545&lt;&gt;"",INDEX('Base de données'!A$4:L$990,MATCH(' TVA M'!A550,'Base de données'!A$4:A$990,0),12),"")</f>
        <v/>
      </c>
    </row>
    <row r="546" spans="2:3" hidden="1" x14ac:dyDescent="0.25">
      <c r="B546" s="55" t="str">
        <f>IF(A546&lt;&gt;"",INDEX('Base de données'!A$4:L$990,MATCH(' TVA M'!A551,'Base de données'!A$4:A$990,0),2),"")</f>
        <v/>
      </c>
      <c r="C546" s="55" t="str">
        <f>IF(A546&lt;&gt;"",INDEX('Base de données'!A$4:L$990,MATCH(' TVA M'!A551,'Base de données'!A$4:A$990,0),12),"")</f>
        <v/>
      </c>
    </row>
    <row r="547" spans="2:3" hidden="1" x14ac:dyDescent="0.25">
      <c r="B547" s="55" t="str">
        <f>IF(A547&lt;&gt;"",INDEX('Base de données'!A$4:L$990,MATCH(' TVA M'!A552,'Base de données'!A$4:A$990,0),2),"")</f>
        <v/>
      </c>
      <c r="C547" s="55" t="str">
        <f>IF(A547&lt;&gt;"",INDEX('Base de données'!A$4:L$990,MATCH(' TVA M'!A552,'Base de données'!A$4:A$990,0),12),"")</f>
        <v/>
      </c>
    </row>
    <row r="548" spans="2:3" hidden="1" x14ac:dyDescent="0.25">
      <c r="B548" s="55" t="str">
        <f>IF(A548&lt;&gt;"",INDEX('Base de données'!A$4:L$990,MATCH(' TVA M'!A553,'Base de données'!A$4:A$990,0),2),"")</f>
        <v/>
      </c>
      <c r="C548" s="55" t="str">
        <f>IF(A548&lt;&gt;"",INDEX('Base de données'!A$4:L$990,MATCH(' TVA M'!A553,'Base de données'!A$4:A$990,0),12),"")</f>
        <v/>
      </c>
    </row>
    <row r="549" spans="2:3" hidden="1" x14ac:dyDescent="0.25">
      <c r="B549" s="55" t="str">
        <f>IF(A549&lt;&gt;"",INDEX('Base de données'!A$4:L$990,MATCH(' TVA M'!A554,'Base de données'!A$4:A$990,0),2),"")</f>
        <v/>
      </c>
      <c r="C549" s="55" t="str">
        <f>IF(A549&lt;&gt;"",INDEX('Base de données'!A$4:L$990,MATCH(' TVA M'!A554,'Base de données'!A$4:A$990,0),12),"")</f>
        <v/>
      </c>
    </row>
    <row r="550" spans="2:3" hidden="1" x14ac:dyDescent="0.25">
      <c r="B550" s="55" t="str">
        <f>IF(A550&lt;&gt;"",INDEX('Base de données'!A$4:L$990,MATCH(' TVA M'!A555,'Base de données'!A$4:A$990,0),2),"")</f>
        <v/>
      </c>
      <c r="C550" s="55" t="str">
        <f>IF(A550&lt;&gt;"",INDEX('Base de données'!A$4:L$990,MATCH(' TVA M'!A555,'Base de données'!A$4:A$990,0),12),"")</f>
        <v/>
      </c>
    </row>
    <row r="551" spans="2:3" hidden="1" x14ac:dyDescent="0.25">
      <c r="B551" s="55" t="str">
        <f>IF(A551&lt;&gt;"",INDEX('Base de données'!A$4:L$990,MATCH(' TVA M'!A556,'Base de données'!A$4:A$990,0),2),"")</f>
        <v/>
      </c>
      <c r="C551" s="55" t="str">
        <f>IF(A551&lt;&gt;"",INDEX('Base de données'!A$4:L$990,MATCH(' TVA M'!A556,'Base de données'!A$4:A$990,0),12),"")</f>
        <v/>
      </c>
    </row>
    <row r="552" spans="2:3" hidden="1" x14ac:dyDescent="0.25">
      <c r="B552" s="55" t="str">
        <f>IF(A552&lt;&gt;"",INDEX('Base de données'!A$4:L$990,MATCH(' TVA M'!A557,'Base de données'!A$4:A$990,0),2),"")</f>
        <v/>
      </c>
      <c r="C552" s="55" t="str">
        <f>IF(A552&lt;&gt;"",INDEX('Base de données'!A$4:L$990,MATCH(' TVA M'!A557,'Base de données'!A$4:A$990,0),12),"")</f>
        <v/>
      </c>
    </row>
    <row r="553" spans="2:3" hidden="1" x14ac:dyDescent="0.25">
      <c r="B553" s="55" t="str">
        <f>IF(A553&lt;&gt;"",INDEX('Base de données'!A$4:L$990,MATCH(' TVA M'!A558,'Base de données'!A$4:A$990,0),2),"")</f>
        <v/>
      </c>
      <c r="C553" s="55" t="str">
        <f>IF(A553&lt;&gt;"",INDEX('Base de données'!A$4:L$990,MATCH(' TVA M'!A558,'Base de données'!A$4:A$990,0),12),"")</f>
        <v/>
      </c>
    </row>
    <row r="554" spans="2:3" hidden="1" x14ac:dyDescent="0.25">
      <c r="B554" s="55" t="str">
        <f>IF(A554&lt;&gt;"",INDEX('Base de données'!A$4:L$990,MATCH(' TVA M'!A559,'Base de données'!A$4:A$990,0),2),"")</f>
        <v/>
      </c>
      <c r="C554" s="55" t="str">
        <f>IF(A554&lt;&gt;"",INDEX('Base de données'!A$4:L$990,MATCH(' TVA M'!A559,'Base de données'!A$4:A$990,0),12),"")</f>
        <v/>
      </c>
    </row>
    <row r="555" spans="2:3" hidden="1" x14ac:dyDescent="0.25">
      <c r="B555" s="55" t="str">
        <f>IF(A555&lt;&gt;"",INDEX('Base de données'!A$4:L$990,MATCH(' TVA M'!A560,'Base de données'!A$4:A$990,0),2),"")</f>
        <v/>
      </c>
      <c r="C555" s="55" t="str">
        <f>IF(A555&lt;&gt;"",INDEX('Base de données'!A$4:L$990,MATCH(' TVA M'!A560,'Base de données'!A$4:A$990,0),12),"")</f>
        <v/>
      </c>
    </row>
    <row r="556" spans="2:3" hidden="1" x14ac:dyDescent="0.25">
      <c r="B556" s="55" t="str">
        <f>IF(A556&lt;&gt;"",INDEX('Base de données'!A$4:L$990,MATCH(' TVA M'!A561,'Base de données'!A$4:A$990,0),2),"")</f>
        <v/>
      </c>
      <c r="C556" s="55" t="str">
        <f>IF(A556&lt;&gt;"",INDEX('Base de données'!A$4:L$990,MATCH(' TVA M'!A561,'Base de données'!A$4:A$990,0),12),"")</f>
        <v/>
      </c>
    </row>
    <row r="557" spans="2:3" hidden="1" x14ac:dyDescent="0.25">
      <c r="B557" s="55" t="str">
        <f>IF(A557&lt;&gt;"",INDEX('Base de données'!A$4:L$990,MATCH(' TVA M'!A562,'Base de données'!A$4:A$990,0),2),"")</f>
        <v/>
      </c>
      <c r="C557" s="55" t="str">
        <f>IF(A557&lt;&gt;"",INDEX('Base de données'!A$4:L$990,MATCH(' TVA M'!A562,'Base de données'!A$4:A$990,0),12),"")</f>
        <v/>
      </c>
    </row>
    <row r="558" spans="2:3" hidden="1" x14ac:dyDescent="0.25">
      <c r="B558" s="55" t="str">
        <f>IF(A558&lt;&gt;"",INDEX('Base de données'!A$4:L$990,MATCH(' TVA M'!A563,'Base de données'!A$4:A$990,0),2),"")</f>
        <v/>
      </c>
      <c r="C558" s="55" t="str">
        <f>IF(A558&lt;&gt;"",INDEX('Base de données'!A$4:L$990,MATCH(' TVA M'!A563,'Base de données'!A$4:A$990,0),12),"")</f>
        <v/>
      </c>
    </row>
    <row r="559" spans="2:3" hidden="1" x14ac:dyDescent="0.25">
      <c r="B559" s="55" t="str">
        <f>IF(A559&lt;&gt;"",INDEX('Base de données'!A$4:L$990,MATCH(' TVA M'!A564,'Base de données'!A$4:A$990,0),2),"")</f>
        <v/>
      </c>
      <c r="C559" s="55" t="str">
        <f>IF(A559&lt;&gt;"",INDEX('Base de données'!A$4:L$990,MATCH(' TVA M'!A564,'Base de données'!A$4:A$990,0),12),"")</f>
        <v/>
      </c>
    </row>
    <row r="560" spans="2:3" hidden="1" x14ac:dyDescent="0.25">
      <c r="B560" s="55" t="str">
        <f>IF(A560&lt;&gt;"",INDEX('Base de données'!A$4:L$990,MATCH(' TVA M'!A565,'Base de données'!A$4:A$990,0),2),"")</f>
        <v/>
      </c>
      <c r="C560" s="55" t="str">
        <f>IF(A560&lt;&gt;"",INDEX('Base de données'!A$4:L$990,MATCH(' TVA M'!A565,'Base de données'!A$4:A$990,0),12),"")</f>
        <v/>
      </c>
    </row>
    <row r="561" spans="2:3" hidden="1" x14ac:dyDescent="0.25">
      <c r="B561" s="55" t="str">
        <f>IF(A561&lt;&gt;"",INDEX('Base de données'!A$4:L$990,MATCH(' TVA M'!A566,'Base de données'!A$4:A$990,0),2),"")</f>
        <v/>
      </c>
      <c r="C561" s="55" t="str">
        <f>IF(A561&lt;&gt;"",INDEX('Base de données'!A$4:L$990,MATCH(' TVA M'!A566,'Base de données'!A$4:A$990,0),12),"")</f>
        <v/>
      </c>
    </row>
    <row r="562" spans="2:3" hidden="1" x14ac:dyDescent="0.25">
      <c r="B562" s="55" t="str">
        <f>IF(A562&lt;&gt;"",INDEX('Base de données'!A$4:L$990,MATCH(' TVA M'!A567,'Base de données'!A$4:A$990,0),2),"")</f>
        <v/>
      </c>
      <c r="C562" s="55" t="str">
        <f>IF(A562&lt;&gt;"",INDEX('Base de données'!A$4:L$990,MATCH(' TVA M'!A567,'Base de données'!A$4:A$990,0),12),"")</f>
        <v/>
      </c>
    </row>
    <row r="563" spans="2:3" hidden="1" x14ac:dyDescent="0.25">
      <c r="B563" s="55" t="str">
        <f>IF(A563&lt;&gt;"",INDEX('Base de données'!A$4:L$990,MATCH(' TVA M'!A568,'Base de données'!A$4:A$990,0),2),"")</f>
        <v/>
      </c>
      <c r="C563" s="55" t="str">
        <f>IF(A563&lt;&gt;"",INDEX('Base de données'!A$4:L$990,MATCH(' TVA M'!A568,'Base de données'!A$4:A$990,0),12),"")</f>
        <v/>
      </c>
    </row>
    <row r="564" spans="2:3" hidden="1" x14ac:dyDescent="0.25">
      <c r="B564" s="55" t="str">
        <f>IF(A564&lt;&gt;"",INDEX('Base de données'!A$4:L$990,MATCH(' TVA M'!A569,'Base de données'!A$4:A$990,0),2),"")</f>
        <v/>
      </c>
      <c r="C564" s="55" t="str">
        <f>IF(A564&lt;&gt;"",INDEX('Base de données'!A$4:L$990,MATCH(' TVA M'!A569,'Base de données'!A$4:A$990,0),12),"")</f>
        <v/>
      </c>
    </row>
    <row r="565" spans="2:3" hidden="1" x14ac:dyDescent="0.25">
      <c r="B565" s="55" t="str">
        <f>IF(A565&lt;&gt;"",INDEX('Base de données'!A$4:L$990,MATCH(' TVA M'!A570,'Base de données'!A$4:A$990,0),2),"")</f>
        <v/>
      </c>
      <c r="C565" s="55" t="str">
        <f>IF(A565&lt;&gt;"",INDEX('Base de données'!A$4:L$990,MATCH(' TVA M'!A570,'Base de données'!A$4:A$990,0),12),"")</f>
        <v/>
      </c>
    </row>
    <row r="566" spans="2:3" hidden="1" x14ac:dyDescent="0.25">
      <c r="B566" s="55" t="str">
        <f>IF(A566&lt;&gt;"",INDEX('Base de données'!A$4:L$990,MATCH(' TVA M'!A571,'Base de données'!A$4:A$990,0),2),"")</f>
        <v/>
      </c>
      <c r="C566" s="55" t="str">
        <f>IF(A566&lt;&gt;"",INDEX('Base de données'!A$4:L$990,MATCH(' TVA M'!A571,'Base de données'!A$4:A$990,0),12),"")</f>
        <v/>
      </c>
    </row>
    <row r="567" spans="2:3" hidden="1" x14ac:dyDescent="0.25">
      <c r="B567" s="55" t="str">
        <f>IF(A567&lt;&gt;"",INDEX('Base de données'!A$4:L$990,MATCH(' TVA M'!A572,'Base de données'!A$4:A$990,0),2),"")</f>
        <v/>
      </c>
      <c r="C567" s="55" t="str">
        <f>IF(A567&lt;&gt;"",INDEX('Base de données'!A$4:L$990,MATCH(' TVA M'!A572,'Base de données'!A$4:A$990,0),12),"")</f>
        <v/>
      </c>
    </row>
    <row r="568" spans="2:3" hidden="1" x14ac:dyDescent="0.25">
      <c r="B568" s="55" t="str">
        <f>IF(A568&lt;&gt;"",INDEX('Base de données'!A$4:L$990,MATCH(' TVA M'!A573,'Base de données'!A$4:A$990,0),2),"")</f>
        <v/>
      </c>
      <c r="C568" s="55" t="str">
        <f>IF(A568&lt;&gt;"",INDEX('Base de données'!A$4:L$990,MATCH(' TVA M'!A573,'Base de données'!A$4:A$990,0),12),"")</f>
        <v/>
      </c>
    </row>
    <row r="569" spans="2:3" hidden="1" x14ac:dyDescent="0.25">
      <c r="B569" s="55" t="str">
        <f>IF(A569&lt;&gt;"",INDEX('Base de données'!A$4:L$990,MATCH(' TVA M'!A574,'Base de données'!A$4:A$990,0),2),"")</f>
        <v/>
      </c>
      <c r="C569" s="55" t="str">
        <f>IF(A569&lt;&gt;"",INDEX('Base de données'!A$4:L$990,MATCH(' TVA M'!A574,'Base de données'!A$4:A$990,0),12),"")</f>
        <v/>
      </c>
    </row>
    <row r="570" spans="2:3" hidden="1" x14ac:dyDescent="0.25">
      <c r="B570" s="55" t="str">
        <f>IF(A570&lt;&gt;"",INDEX('Base de données'!A$4:L$990,MATCH(' TVA M'!A575,'Base de données'!A$4:A$990,0),2),"")</f>
        <v/>
      </c>
      <c r="C570" s="55" t="str">
        <f>IF(A570&lt;&gt;"",INDEX('Base de données'!A$4:L$990,MATCH(' TVA M'!A575,'Base de données'!A$4:A$990,0),12),"")</f>
        <v/>
      </c>
    </row>
    <row r="571" spans="2:3" hidden="1" x14ac:dyDescent="0.25">
      <c r="B571" s="55" t="str">
        <f>IF(A571&lt;&gt;"",INDEX('Base de données'!A$4:L$990,MATCH(' TVA M'!A576,'Base de données'!A$4:A$990,0),2),"")</f>
        <v/>
      </c>
      <c r="C571" s="55" t="str">
        <f>IF(A571&lt;&gt;"",INDEX('Base de données'!A$4:L$990,MATCH(' TVA M'!A576,'Base de données'!A$4:A$990,0),12),"")</f>
        <v/>
      </c>
    </row>
    <row r="572" spans="2:3" hidden="1" x14ac:dyDescent="0.25">
      <c r="B572" s="55" t="str">
        <f>IF(A572&lt;&gt;"",INDEX('Base de données'!A$4:L$990,MATCH(' TVA M'!A577,'Base de données'!A$4:A$990,0),2),"")</f>
        <v/>
      </c>
      <c r="C572" s="55" t="str">
        <f>IF(A572&lt;&gt;"",INDEX('Base de données'!A$4:L$990,MATCH(' TVA M'!A577,'Base de données'!A$4:A$990,0),12),"")</f>
        <v/>
      </c>
    </row>
    <row r="573" spans="2:3" hidden="1" x14ac:dyDescent="0.25">
      <c r="B573" s="55" t="str">
        <f>IF(A573&lt;&gt;"",INDEX('Base de données'!A$4:L$990,MATCH(' TVA M'!A578,'Base de données'!A$4:A$990,0),2),"")</f>
        <v/>
      </c>
      <c r="C573" s="55" t="str">
        <f>IF(A573&lt;&gt;"",INDEX('Base de données'!A$4:L$990,MATCH(' TVA M'!A578,'Base de données'!A$4:A$990,0),12),"")</f>
        <v/>
      </c>
    </row>
    <row r="574" spans="2:3" hidden="1" x14ac:dyDescent="0.25">
      <c r="B574" s="55" t="str">
        <f>IF(A574&lt;&gt;"",INDEX('Base de données'!A$4:L$990,MATCH(' TVA M'!A579,'Base de données'!A$4:A$990,0),2),"")</f>
        <v/>
      </c>
      <c r="C574" s="55" t="str">
        <f>IF(A574&lt;&gt;"",INDEX('Base de données'!A$4:L$990,MATCH(' TVA M'!A579,'Base de données'!A$4:A$990,0),12),"")</f>
        <v/>
      </c>
    </row>
    <row r="575" spans="2:3" hidden="1" x14ac:dyDescent="0.25">
      <c r="B575" s="55" t="str">
        <f>IF(A575&lt;&gt;"",INDEX('Base de données'!A$4:L$990,MATCH(' TVA M'!A580,'Base de données'!A$4:A$990,0),2),"")</f>
        <v/>
      </c>
      <c r="C575" s="55" t="str">
        <f>IF(A575&lt;&gt;"",INDEX('Base de données'!A$4:L$990,MATCH(' TVA M'!A580,'Base de données'!A$4:A$990,0),12),"")</f>
        <v/>
      </c>
    </row>
    <row r="576" spans="2:3" hidden="1" x14ac:dyDescent="0.25">
      <c r="B576" s="55" t="str">
        <f>IF(A576&lt;&gt;"",INDEX('Base de données'!A$4:L$990,MATCH(' TVA M'!A581,'Base de données'!A$4:A$990,0),2),"")</f>
        <v/>
      </c>
      <c r="C576" s="55" t="str">
        <f>IF(A576&lt;&gt;"",INDEX('Base de données'!A$4:L$990,MATCH(' TVA M'!A581,'Base de données'!A$4:A$990,0),12),"")</f>
        <v/>
      </c>
    </row>
    <row r="577" spans="2:3" hidden="1" x14ac:dyDescent="0.25">
      <c r="B577" s="55" t="str">
        <f>IF(A577&lt;&gt;"",INDEX('Base de données'!A$4:L$990,MATCH(' TVA M'!A582,'Base de données'!A$4:A$990,0),2),"")</f>
        <v/>
      </c>
      <c r="C577" s="55" t="str">
        <f>IF(A577&lt;&gt;"",INDEX('Base de données'!A$4:L$990,MATCH(' TVA M'!A582,'Base de données'!A$4:A$990,0),12),"")</f>
        <v/>
      </c>
    </row>
    <row r="578" spans="2:3" hidden="1" x14ac:dyDescent="0.25">
      <c r="B578" s="55" t="str">
        <f>IF(A578&lt;&gt;"",INDEX('Base de données'!A$4:L$990,MATCH(' TVA M'!A583,'Base de données'!A$4:A$990,0),2),"")</f>
        <v/>
      </c>
      <c r="C578" s="55" t="str">
        <f>IF(A578&lt;&gt;"",INDEX('Base de données'!A$4:L$990,MATCH(' TVA M'!A583,'Base de données'!A$4:A$990,0),12),"")</f>
        <v/>
      </c>
    </row>
    <row r="579" spans="2:3" hidden="1" x14ac:dyDescent="0.25">
      <c r="B579" s="55" t="str">
        <f>IF(A579&lt;&gt;"",INDEX('Base de données'!A$4:L$990,MATCH(' TVA M'!A584,'Base de données'!A$4:A$990,0),2),"")</f>
        <v/>
      </c>
      <c r="C579" s="55" t="str">
        <f>IF(A579&lt;&gt;"",INDEX('Base de données'!A$4:L$990,MATCH(' TVA M'!A584,'Base de données'!A$4:A$990,0),12),"")</f>
        <v/>
      </c>
    </row>
    <row r="580" spans="2:3" hidden="1" x14ac:dyDescent="0.25">
      <c r="B580" s="55" t="str">
        <f>IF(A580&lt;&gt;"",INDEX('Base de données'!A$4:L$990,MATCH(' TVA M'!A585,'Base de données'!A$4:A$990,0),2),"")</f>
        <v/>
      </c>
      <c r="C580" s="55" t="str">
        <f>IF(A580&lt;&gt;"",INDEX('Base de données'!A$4:L$990,MATCH(' TVA M'!A585,'Base de données'!A$4:A$990,0),12),"")</f>
        <v/>
      </c>
    </row>
    <row r="581" spans="2:3" hidden="1" x14ac:dyDescent="0.25">
      <c r="B581" s="55" t="str">
        <f>IF(A581&lt;&gt;"",INDEX('Base de données'!A$4:L$990,MATCH(' TVA M'!A586,'Base de données'!A$4:A$990,0),2),"")</f>
        <v/>
      </c>
      <c r="C581" s="55" t="str">
        <f>IF(A581&lt;&gt;"",INDEX('Base de données'!A$4:L$990,MATCH(' TVA M'!A586,'Base de données'!A$4:A$990,0),12),"")</f>
        <v/>
      </c>
    </row>
    <row r="582" spans="2:3" hidden="1" x14ac:dyDescent="0.25">
      <c r="B582" s="55" t="str">
        <f>IF(A582&lt;&gt;"",INDEX('Base de données'!A$4:L$990,MATCH(' TVA M'!A587,'Base de données'!A$4:A$990,0),2),"")</f>
        <v/>
      </c>
      <c r="C582" s="55" t="str">
        <f>IF(A582&lt;&gt;"",INDEX('Base de données'!A$4:L$990,MATCH(' TVA M'!A587,'Base de données'!A$4:A$990,0),12),"")</f>
        <v/>
      </c>
    </row>
    <row r="583" spans="2:3" hidden="1" x14ac:dyDescent="0.25">
      <c r="B583" s="55" t="str">
        <f>IF(A583&lt;&gt;"",INDEX('Base de données'!A$4:L$990,MATCH(' TVA M'!A588,'Base de données'!A$4:A$990,0),2),"")</f>
        <v/>
      </c>
      <c r="C583" s="55" t="str">
        <f>IF(A583&lt;&gt;"",INDEX('Base de données'!A$4:L$990,MATCH(' TVA M'!A588,'Base de données'!A$4:A$990,0),12),"")</f>
        <v/>
      </c>
    </row>
    <row r="584" spans="2:3" hidden="1" x14ac:dyDescent="0.25">
      <c r="B584" s="55" t="str">
        <f>IF(A584&lt;&gt;"",INDEX('Base de données'!A$4:L$990,MATCH(' TVA M'!A589,'Base de données'!A$4:A$990,0),2),"")</f>
        <v/>
      </c>
      <c r="C584" s="55" t="str">
        <f>IF(A584&lt;&gt;"",INDEX('Base de données'!A$4:L$990,MATCH(' TVA M'!A589,'Base de données'!A$4:A$990,0),12),"")</f>
        <v/>
      </c>
    </row>
    <row r="585" spans="2:3" hidden="1" x14ac:dyDescent="0.25">
      <c r="B585" s="55" t="str">
        <f>IF(A585&lt;&gt;"",INDEX('Base de données'!A$4:L$990,MATCH(' TVA M'!A590,'Base de données'!A$4:A$990,0),2),"")</f>
        <v/>
      </c>
      <c r="C585" s="55" t="str">
        <f>IF(A585&lt;&gt;"",INDEX('Base de données'!A$4:L$990,MATCH(' TVA M'!A590,'Base de données'!A$4:A$990,0),12),"")</f>
        <v/>
      </c>
    </row>
    <row r="586" spans="2:3" hidden="1" x14ac:dyDescent="0.25">
      <c r="B586" s="55" t="str">
        <f>IF(A586&lt;&gt;"",INDEX('Base de données'!A$4:L$990,MATCH(' TVA M'!A591,'Base de données'!A$4:A$990,0),2),"")</f>
        <v/>
      </c>
      <c r="C586" s="55" t="str">
        <f>IF(A586&lt;&gt;"",INDEX('Base de données'!A$4:L$990,MATCH(' TVA M'!A591,'Base de données'!A$4:A$990,0),12),"")</f>
        <v/>
      </c>
    </row>
    <row r="587" spans="2:3" hidden="1" x14ac:dyDescent="0.25">
      <c r="B587" s="55" t="str">
        <f>IF(A587&lt;&gt;"",INDEX('Base de données'!A$4:L$990,MATCH(' TVA M'!A592,'Base de données'!A$4:A$990,0),2),"")</f>
        <v/>
      </c>
      <c r="C587" s="55" t="str">
        <f>IF(A587&lt;&gt;"",INDEX('Base de données'!A$4:L$990,MATCH(' TVA M'!A592,'Base de données'!A$4:A$990,0),12),"")</f>
        <v/>
      </c>
    </row>
    <row r="588" spans="2:3" hidden="1" x14ac:dyDescent="0.25">
      <c r="B588" s="55" t="str">
        <f>IF(A588&lt;&gt;"",INDEX('Base de données'!A$4:L$990,MATCH(' TVA M'!A593,'Base de données'!A$4:A$990,0),2),"")</f>
        <v/>
      </c>
      <c r="C588" s="55" t="str">
        <f>IF(A588&lt;&gt;"",INDEX('Base de données'!A$4:L$990,MATCH(' TVA M'!A593,'Base de données'!A$4:A$990,0),12),"")</f>
        <v/>
      </c>
    </row>
    <row r="589" spans="2:3" hidden="1" x14ac:dyDescent="0.25">
      <c r="B589" s="55" t="str">
        <f>IF(A589&lt;&gt;"",INDEX('Base de données'!A$4:L$990,MATCH(' TVA M'!A594,'Base de données'!A$4:A$990,0),2),"")</f>
        <v/>
      </c>
      <c r="C589" s="55" t="str">
        <f>IF(A589&lt;&gt;"",INDEX('Base de données'!A$4:L$990,MATCH(' TVA M'!A594,'Base de données'!A$4:A$990,0),12),"")</f>
        <v/>
      </c>
    </row>
    <row r="590" spans="2:3" hidden="1" x14ac:dyDescent="0.25">
      <c r="B590" s="55" t="str">
        <f>IF(A590&lt;&gt;"",INDEX('Base de données'!A$4:L$990,MATCH(' TVA M'!A595,'Base de données'!A$4:A$990,0),2),"")</f>
        <v/>
      </c>
      <c r="C590" s="55" t="str">
        <f>IF(A590&lt;&gt;"",INDEX('Base de données'!A$4:L$990,MATCH(' TVA M'!A595,'Base de données'!A$4:A$990,0),12),"")</f>
        <v/>
      </c>
    </row>
    <row r="591" spans="2:3" hidden="1" x14ac:dyDescent="0.25">
      <c r="B591" s="55" t="str">
        <f>IF(A591&lt;&gt;"",INDEX('Base de données'!A$4:L$990,MATCH(' TVA M'!A596,'Base de données'!A$4:A$990,0),2),"")</f>
        <v/>
      </c>
      <c r="C591" s="55" t="str">
        <f>IF(A591&lt;&gt;"",INDEX('Base de données'!A$4:L$990,MATCH(' TVA M'!A596,'Base de données'!A$4:A$990,0),12),"")</f>
        <v/>
      </c>
    </row>
    <row r="592" spans="2:3" hidden="1" x14ac:dyDescent="0.25">
      <c r="B592" s="55" t="str">
        <f>IF(A592&lt;&gt;"",INDEX('Base de données'!A$4:L$990,MATCH(' TVA M'!A597,'Base de données'!A$4:A$990,0),2),"")</f>
        <v/>
      </c>
      <c r="C592" s="55" t="str">
        <f>IF(A592&lt;&gt;"",INDEX('Base de données'!A$4:L$990,MATCH(' TVA M'!A597,'Base de données'!A$4:A$990,0),12),"")</f>
        <v/>
      </c>
    </row>
    <row r="593" spans="2:3" hidden="1" x14ac:dyDescent="0.25">
      <c r="B593" s="55" t="str">
        <f>IF(A593&lt;&gt;"",INDEX('Base de données'!A$4:L$990,MATCH(' TVA M'!A598,'Base de données'!A$4:A$990,0),2),"")</f>
        <v/>
      </c>
      <c r="C593" s="55" t="str">
        <f>IF(A593&lt;&gt;"",INDEX('Base de données'!A$4:L$990,MATCH(' TVA M'!A598,'Base de données'!A$4:A$990,0),12),"")</f>
        <v/>
      </c>
    </row>
    <row r="594" spans="2:3" hidden="1" x14ac:dyDescent="0.25">
      <c r="B594" s="55" t="str">
        <f>IF(A594&lt;&gt;"",INDEX('Base de données'!A$4:L$990,MATCH(' TVA M'!A599,'Base de données'!A$4:A$990,0),2),"")</f>
        <v/>
      </c>
      <c r="C594" s="55" t="str">
        <f>IF(A594&lt;&gt;"",INDEX('Base de données'!A$4:L$990,MATCH(' TVA M'!A599,'Base de données'!A$4:A$990,0),12),"")</f>
        <v/>
      </c>
    </row>
    <row r="595" spans="2:3" hidden="1" x14ac:dyDescent="0.25">
      <c r="B595" s="55" t="str">
        <f>IF(A595&lt;&gt;"",INDEX('Base de données'!A$4:L$990,MATCH(' TVA M'!A600,'Base de données'!A$4:A$990,0),2),"")</f>
        <v/>
      </c>
      <c r="C595" s="55" t="str">
        <f>IF(A595&lt;&gt;"",INDEX('Base de données'!A$4:L$990,MATCH(' TVA M'!A600,'Base de données'!A$4:A$990,0),12),"")</f>
        <v/>
      </c>
    </row>
    <row r="596" spans="2:3" hidden="1" x14ac:dyDescent="0.25">
      <c r="B596" s="55" t="str">
        <f>IF(A596&lt;&gt;"",INDEX('Base de données'!A$4:L$990,MATCH(' TVA M'!A601,'Base de données'!A$4:A$990,0),2),"")</f>
        <v/>
      </c>
      <c r="C596" s="55" t="str">
        <f>IF(A596&lt;&gt;"",INDEX('Base de données'!A$4:L$990,MATCH(' TVA M'!A601,'Base de données'!A$4:A$990,0),12),"")</f>
        <v/>
      </c>
    </row>
    <row r="597" spans="2:3" hidden="1" x14ac:dyDescent="0.25">
      <c r="B597" s="55" t="str">
        <f>IF(A597&lt;&gt;"",INDEX('Base de données'!A$4:L$990,MATCH(' TVA M'!A602,'Base de données'!A$4:A$990,0),2),"")</f>
        <v/>
      </c>
      <c r="C597" s="55" t="str">
        <f>IF(A597&lt;&gt;"",INDEX('Base de données'!A$4:L$990,MATCH(' TVA M'!A602,'Base de données'!A$4:A$990,0),12),"")</f>
        <v/>
      </c>
    </row>
    <row r="598" spans="2:3" hidden="1" x14ac:dyDescent="0.25">
      <c r="B598" s="55" t="str">
        <f>IF(A598&lt;&gt;"",INDEX('Base de données'!A$4:L$990,MATCH(' TVA M'!A603,'Base de données'!A$4:A$990,0),2),"")</f>
        <v/>
      </c>
      <c r="C598" s="55" t="str">
        <f>IF(A598&lt;&gt;"",INDEX('Base de données'!A$4:L$990,MATCH(' TVA M'!A603,'Base de données'!A$4:A$990,0),12),"")</f>
        <v/>
      </c>
    </row>
    <row r="599" spans="2:3" hidden="1" x14ac:dyDescent="0.25">
      <c r="B599" s="55" t="str">
        <f>IF(A599&lt;&gt;"",INDEX('Base de données'!A$4:L$990,MATCH(' TVA M'!A604,'Base de données'!A$4:A$990,0),2),"")</f>
        <v/>
      </c>
      <c r="C599" s="55" t="str">
        <f>IF(A599&lt;&gt;"",INDEX('Base de données'!A$4:L$990,MATCH(' TVA M'!A604,'Base de données'!A$4:A$990,0),12),"")</f>
        <v/>
      </c>
    </row>
    <row r="600" spans="2:3" hidden="1" x14ac:dyDescent="0.25">
      <c r="B600" s="55" t="str">
        <f>IF(A600&lt;&gt;"",INDEX('Base de données'!A$4:L$990,MATCH(' TVA M'!A605,'Base de données'!A$4:A$990,0),2),"")</f>
        <v/>
      </c>
      <c r="C600" s="55" t="str">
        <f>IF(A600&lt;&gt;"",INDEX('Base de données'!A$4:L$990,MATCH(' TVA M'!A605,'Base de données'!A$4:A$990,0),12),"")</f>
        <v/>
      </c>
    </row>
    <row r="601" spans="2:3" hidden="1" x14ac:dyDescent="0.25">
      <c r="B601" s="55" t="str">
        <f>IF(A601&lt;&gt;"",INDEX('Base de données'!A$4:L$990,MATCH(' TVA M'!A606,'Base de données'!A$4:A$990,0),2),"")</f>
        <v/>
      </c>
      <c r="C601" s="55" t="str">
        <f>IF(A601&lt;&gt;"",INDEX('Base de données'!A$4:L$990,MATCH(' TVA M'!A606,'Base de données'!A$4:A$990,0),12),"")</f>
        <v/>
      </c>
    </row>
    <row r="602" spans="2:3" hidden="1" x14ac:dyDescent="0.25">
      <c r="B602" s="55" t="str">
        <f>IF(A602&lt;&gt;"",INDEX('Base de données'!A$4:L$990,MATCH(' TVA M'!A607,'Base de données'!A$4:A$990,0),2),"")</f>
        <v/>
      </c>
      <c r="C602" s="55" t="str">
        <f>IF(A602&lt;&gt;"",INDEX('Base de données'!A$4:L$990,MATCH(' TVA M'!A607,'Base de données'!A$4:A$990,0),12),"")</f>
        <v/>
      </c>
    </row>
    <row r="603" spans="2:3" hidden="1" x14ac:dyDescent="0.25">
      <c r="B603" s="55" t="str">
        <f>IF(A603&lt;&gt;"",INDEX('Base de données'!A$4:L$990,MATCH(' TVA M'!A608,'Base de données'!A$4:A$990,0),2),"")</f>
        <v/>
      </c>
      <c r="C603" s="55" t="str">
        <f>IF(A603&lt;&gt;"",INDEX('Base de données'!A$4:L$990,MATCH(' TVA M'!A608,'Base de données'!A$4:A$990,0),12),"")</f>
        <v/>
      </c>
    </row>
    <row r="604" spans="2:3" hidden="1" x14ac:dyDescent="0.25">
      <c r="B604" s="55" t="str">
        <f>IF(A604&lt;&gt;"",INDEX('Base de données'!A$4:L$990,MATCH(' TVA M'!A609,'Base de données'!A$4:A$990,0),2),"")</f>
        <v/>
      </c>
      <c r="C604" s="55" t="str">
        <f>IF(A604&lt;&gt;"",INDEX('Base de données'!A$4:L$990,MATCH(' TVA M'!A609,'Base de données'!A$4:A$990,0),12),"")</f>
        <v/>
      </c>
    </row>
    <row r="605" spans="2:3" hidden="1" x14ac:dyDescent="0.25">
      <c r="B605" s="55" t="str">
        <f>IF(A605&lt;&gt;"",INDEX('Base de données'!A$4:L$990,MATCH(' TVA M'!A610,'Base de données'!A$4:A$990,0),2),"")</f>
        <v/>
      </c>
      <c r="C605" s="55" t="str">
        <f>IF(A605&lt;&gt;"",INDEX('Base de données'!A$4:L$990,MATCH(' TVA M'!A610,'Base de données'!A$4:A$990,0),12),"")</f>
        <v/>
      </c>
    </row>
    <row r="606" spans="2:3" hidden="1" x14ac:dyDescent="0.25">
      <c r="B606" s="55" t="str">
        <f>IF(A606&lt;&gt;"",INDEX('Base de données'!A$4:L$990,MATCH(' TVA M'!A611,'Base de données'!A$4:A$990,0),2),"")</f>
        <v/>
      </c>
      <c r="C606" s="55" t="str">
        <f>IF(A606&lt;&gt;"",INDEX('Base de données'!A$4:L$990,MATCH(' TVA M'!A611,'Base de données'!A$4:A$990,0),12),"")</f>
        <v/>
      </c>
    </row>
    <row r="607" spans="2:3" hidden="1" x14ac:dyDescent="0.25">
      <c r="B607" s="55" t="str">
        <f>IF(A607&lt;&gt;"",INDEX('Base de données'!A$4:L$990,MATCH(' TVA M'!A612,'Base de données'!A$4:A$990,0),2),"")</f>
        <v/>
      </c>
      <c r="C607" s="55" t="str">
        <f>IF(A607&lt;&gt;"",INDEX('Base de données'!A$4:L$990,MATCH(' TVA M'!A612,'Base de données'!A$4:A$990,0),12),"")</f>
        <v/>
      </c>
    </row>
    <row r="608" spans="2:3" hidden="1" x14ac:dyDescent="0.25">
      <c r="B608" s="55" t="str">
        <f>IF(A608&lt;&gt;"",INDEX('Base de données'!A$4:L$990,MATCH(' TVA M'!A613,'Base de données'!A$4:A$990,0),2),"")</f>
        <v/>
      </c>
      <c r="C608" s="55" t="str">
        <f>IF(A608&lt;&gt;"",INDEX('Base de données'!A$4:L$990,MATCH(' TVA M'!A613,'Base de données'!A$4:A$990,0),12),"")</f>
        <v/>
      </c>
    </row>
    <row r="609" spans="2:3" hidden="1" x14ac:dyDescent="0.25">
      <c r="B609" s="55" t="str">
        <f>IF(A609&lt;&gt;"",INDEX('Base de données'!A$4:L$990,MATCH(' TVA M'!A614,'Base de données'!A$4:A$990,0),2),"")</f>
        <v/>
      </c>
      <c r="C609" s="55" t="str">
        <f>IF(A609&lt;&gt;"",INDEX('Base de données'!A$4:L$990,MATCH(' TVA M'!A614,'Base de données'!A$4:A$990,0),12),"")</f>
        <v/>
      </c>
    </row>
    <row r="610" spans="2:3" hidden="1" x14ac:dyDescent="0.25">
      <c r="B610" s="55" t="str">
        <f>IF(A610&lt;&gt;"",INDEX('Base de données'!A$4:L$990,MATCH(' TVA M'!A615,'Base de données'!A$4:A$990,0),2),"")</f>
        <v/>
      </c>
      <c r="C610" s="55" t="str">
        <f>IF(A610&lt;&gt;"",INDEX('Base de données'!A$4:L$990,MATCH(' TVA M'!A615,'Base de données'!A$4:A$990,0),12),"")</f>
        <v/>
      </c>
    </row>
    <row r="611" spans="2:3" hidden="1" x14ac:dyDescent="0.25">
      <c r="B611" s="55" t="str">
        <f>IF(A611&lt;&gt;"",INDEX('Base de données'!A$4:L$990,MATCH(' TVA M'!A616,'Base de données'!A$4:A$990,0),2),"")</f>
        <v/>
      </c>
      <c r="C611" s="55" t="str">
        <f>IF(A611&lt;&gt;"",INDEX('Base de données'!A$4:L$990,MATCH(' TVA M'!A616,'Base de données'!A$4:A$990,0),12),"")</f>
        <v/>
      </c>
    </row>
    <row r="612" spans="2:3" hidden="1" x14ac:dyDescent="0.25">
      <c r="B612" s="55" t="str">
        <f>IF(A612&lt;&gt;"",INDEX('Base de données'!A$4:L$990,MATCH(' TVA M'!A617,'Base de données'!A$4:A$990,0),2),"")</f>
        <v/>
      </c>
      <c r="C612" s="55" t="str">
        <f>IF(A612&lt;&gt;"",INDEX('Base de données'!A$4:L$990,MATCH(' TVA M'!A617,'Base de données'!A$4:A$990,0),12),"")</f>
        <v/>
      </c>
    </row>
    <row r="613" spans="2:3" hidden="1" x14ac:dyDescent="0.25">
      <c r="B613" s="55" t="str">
        <f>IF(A613&lt;&gt;"",INDEX('Base de données'!A$4:L$990,MATCH(' TVA M'!A618,'Base de données'!A$4:A$990,0),2),"")</f>
        <v/>
      </c>
      <c r="C613" s="55" t="str">
        <f>IF(A613&lt;&gt;"",INDEX('Base de données'!A$4:L$990,MATCH(' TVA M'!A618,'Base de données'!A$4:A$990,0),12),"")</f>
        <v/>
      </c>
    </row>
    <row r="614" spans="2:3" hidden="1" x14ac:dyDescent="0.25">
      <c r="B614" s="55" t="str">
        <f>IF(A614&lt;&gt;"",INDEX('Base de données'!A$4:L$990,MATCH(' TVA M'!A619,'Base de données'!A$4:A$990,0),2),"")</f>
        <v/>
      </c>
      <c r="C614" s="55" t="str">
        <f>IF(A614&lt;&gt;"",INDEX('Base de données'!A$4:L$990,MATCH(' TVA M'!A619,'Base de données'!A$4:A$990,0),12),"")</f>
        <v/>
      </c>
    </row>
    <row r="615" spans="2:3" hidden="1" x14ac:dyDescent="0.25">
      <c r="B615" s="55" t="str">
        <f>IF(A615&lt;&gt;"",INDEX('Base de données'!A$4:L$990,MATCH(' TVA M'!A620,'Base de données'!A$4:A$990,0),2),"")</f>
        <v/>
      </c>
      <c r="C615" s="55" t="str">
        <f>IF(A615&lt;&gt;"",INDEX('Base de données'!A$4:L$990,MATCH(' TVA M'!A620,'Base de données'!A$4:A$990,0),12),"")</f>
        <v/>
      </c>
    </row>
    <row r="616" spans="2:3" hidden="1" x14ac:dyDescent="0.25">
      <c r="B616" s="55" t="str">
        <f>IF(A616&lt;&gt;"",INDEX('Base de données'!A$4:L$990,MATCH(' TVA M'!A621,'Base de données'!A$4:A$990,0),2),"")</f>
        <v/>
      </c>
      <c r="C616" s="55" t="str">
        <f>IF(A616&lt;&gt;"",INDEX('Base de données'!A$4:L$990,MATCH(' TVA M'!A621,'Base de données'!A$4:A$990,0),12),"")</f>
        <v/>
      </c>
    </row>
    <row r="617" spans="2:3" hidden="1" x14ac:dyDescent="0.25">
      <c r="B617" s="55" t="str">
        <f>IF(A617&lt;&gt;"",INDEX('Base de données'!A$4:L$990,MATCH(' TVA M'!A622,'Base de données'!A$4:A$990,0),2),"")</f>
        <v/>
      </c>
      <c r="C617" s="55" t="str">
        <f>IF(A617&lt;&gt;"",INDEX('Base de données'!A$4:L$990,MATCH(' TVA M'!A622,'Base de données'!A$4:A$990,0),12),"")</f>
        <v/>
      </c>
    </row>
    <row r="618" spans="2:3" hidden="1" x14ac:dyDescent="0.25">
      <c r="B618" s="55" t="str">
        <f>IF(A618&lt;&gt;"",INDEX('Base de données'!A$4:L$990,MATCH(' TVA M'!A623,'Base de données'!A$4:A$990,0),2),"")</f>
        <v/>
      </c>
      <c r="C618" s="55" t="str">
        <f>IF(A618&lt;&gt;"",INDEX('Base de données'!A$4:L$990,MATCH(' TVA M'!A623,'Base de données'!A$4:A$990,0),12),"")</f>
        <v/>
      </c>
    </row>
    <row r="619" spans="2:3" hidden="1" x14ac:dyDescent="0.25">
      <c r="B619" s="55" t="str">
        <f>IF(A619&lt;&gt;"",INDEX('Base de données'!A$4:L$990,MATCH(' TVA M'!A624,'Base de données'!A$4:A$990,0),2),"")</f>
        <v/>
      </c>
      <c r="C619" s="55" t="str">
        <f>IF(A619&lt;&gt;"",INDEX('Base de données'!A$4:L$990,MATCH(' TVA M'!A624,'Base de données'!A$4:A$990,0),12),"")</f>
        <v/>
      </c>
    </row>
    <row r="620" spans="2:3" hidden="1" x14ac:dyDescent="0.25">
      <c r="B620" s="55" t="str">
        <f>IF(A620&lt;&gt;"",INDEX('Base de données'!A$4:L$990,MATCH(' TVA M'!A625,'Base de données'!A$4:A$990,0),2),"")</f>
        <v/>
      </c>
      <c r="C620" s="55" t="str">
        <f>IF(A620&lt;&gt;"",INDEX('Base de données'!A$4:L$990,MATCH(' TVA M'!A625,'Base de données'!A$4:A$990,0),12),"")</f>
        <v/>
      </c>
    </row>
    <row r="621" spans="2:3" hidden="1" x14ac:dyDescent="0.25">
      <c r="B621" s="55" t="str">
        <f>IF(A621&lt;&gt;"",INDEX('Base de données'!A$4:L$990,MATCH(' TVA M'!A626,'Base de données'!A$4:A$990,0),2),"")</f>
        <v/>
      </c>
      <c r="C621" s="55" t="str">
        <f>IF(A621&lt;&gt;"",INDEX('Base de données'!A$4:L$990,MATCH(' TVA M'!A626,'Base de données'!A$4:A$990,0),12),"")</f>
        <v/>
      </c>
    </row>
    <row r="622" spans="2:3" hidden="1" x14ac:dyDescent="0.25">
      <c r="B622" s="55" t="str">
        <f>IF(A622&lt;&gt;"",INDEX('Base de données'!A$4:L$990,MATCH(' TVA M'!A627,'Base de données'!A$4:A$990,0),2),"")</f>
        <v/>
      </c>
      <c r="C622" s="55" t="str">
        <f>IF(A622&lt;&gt;"",INDEX('Base de données'!A$4:L$990,MATCH(' TVA M'!A627,'Base de données'!A$4:A$990,0),12),"")</f>
        <v/>
      </c>
    </row>
    <row r="623" spans="2:3" hidden="1" x14ac:dyDescent="0.25">
      <c r="B623" s="55" t="str">
        <f>IF(A623&lt;&gt;"",INDEX('Base de données'!A$4:L$990,MATCH(' TVA M'!A628,'Base de données'!A$4:A$990,0),2),"")</f>
        <v/>
      </c>
      <c r="C623" s="55" t="str">
        <f>IF(A623&lt;&gt;"",INDEX('Base de données'!A$4:L$990,MATCH(' TVA M'!A628,'Base de données'!A$4:A$990,0),12),"")</f>
        <v/>
      </c>
    </row>
    <row r="624" spans="2:3" hidden="1" x14ac:dyDescent="0.25">
      <c r="B624" s="55" t="str">
        <f>IF(A624&lt;&gt;"",INDEX('Base de données'!A$4:L$990,MATCH(' TVA M'!A629,'Base de données'!A$4:A$990,0),2),"")</f>
        <v/>
      </c>
      <c r="C624" s="55" t="str">
        <f>IF(A624&lt;&gt;"",INDEX('Base de données'!A$4:L$990,MATCH(' TVA M'!A629,'Base de données'!A$4:A$990,0),12),"")</f>
        <v/>
      </c>
    </row>
    <row r="625" spans="2:3" hidden="1" x14ac:dyDescent="0.25">
      <c r="B625" s="55" t="str">
        <f>IF(A625&lt;&gt;"",INDEX('Base de données'!A$4:L$990,MATCH(' TVA M'!A630,'Base de données'!A$4:A$990,0),2),"")</f>
        <v/>
      </c>
      <c r="C625" s="55" t="str">
        <f>IF(A625&lt;&gt;"",INDEX('Base de données'!A$4:L$990,MATCH(' TVA M'!A630,'Base de données'!A$4:A$990,0),12),"")</f>
        <v/>
      </c>
    </row>
    <row r="626" spans="2:3" hidden="1" x14ac:dyDescent="0.25">
      <c r="B626" s="55" t="str">
        <f>IF(A626&lt;&gt;"",INDEX('Base de données'!A$4:L$990,MATCH(' TVA M'!A631,'Base de données'!A$4:A$990,0),2),"")</f>
        <v/>
      </c>
      <c r="C626" s="55" t="str">
        <f>IF(A626&lt;&gt;"",INDEX('Base de données'!A$4:L$990,MATCH(' TVA M'!A631,'Base de données'!A$4:A$990,0),12),"")</f>
        <v/>
      </c>
    </row>
    <row r="627" spans="2:3" hidden="1" x14ac:dyDescent="0.25">
      <c r="B627" s="55" t="str">
        <f>IF(A627&lt;&gt;"",INDEX('Base de données'!A$4:L$990,MATCH(' TVA M'!A632,'Base de données'!A$4:A$990,0),2),"")</f>
        <v/>
      </c>
      <c r="C627" s="55" t="str">
        <f>IF(A627&lt;&gt;"",INDEX('Base de données'!A$4:L$990,MATCH(' TVA M'!A632,'Base de données'!A$4:A$990,0),12),"")</f>
        <v/>
      </c>
    </row>
    <row r="628" spans="2:3" hidden="1" x14ac:dyDescent="0.25">
      <c r="B628" s="55" t="str">
        <f>IF(A628&lt;&gt;"",INDEX('Base de données'!A$4:L$990,MATCH(' TVA M'!A633,'Base de données'!A$4:A$990,0),2),"")</f>
        <v/>
      </c>
      <c r="C628" s="55" t="str">
        <f>IF(A628&lt;&gt;"",INDEX('Base de données'!A$4:L$990,MATCH(' TVA M'!A633,'Base de données'!A$4:A$990,0),12),"")</f>
        <v/>
      </c>
    </row>
    <row r="629" spans="2:3" hidden="1" x14ac:dyDescent="0.25">
      <c r="B629" s="55" t="str">
        <f>IF(A629&lt;&gt;"",INDEX('Base de données'!A$4:L$990,MATCH(' TVA M'!A634,'Base de données'!A$4:A$990,0),2),"")</f>
        <v/>
      </c>
      <c r="C629" s="55" t="str">
        <f>IF(A629&lt;&gt;"",INDEX('Base de données'!A$4:L$990,MATCH(' TVA M'!A634,'Base de données'!A$4:A$990,0),12),"")</f>
        <v/>
      </c>
    </row>
    <row r="630" spans="2:3" hidden="1" x14ac:dyDescent="0.25">
      <c r="B630" s="55" t="str">
        <f>IF(A630&lt;&gt;"",INDEX('Base de données'!A$4:L$990,MATCH(' TVA M'!A635,'Base de données'!A$4:A$990,0),2),"")</f>
        <v/>
      </c>
      <c r="C630" s="55" t="str">
        <f>IF(A630&lt;&gt;"",INDEX('Base de données'!A$4:L$990,MATCH(' TVA M'!A635,'Base de données'!A$4:A$990,0),12),"")</f>
        <v/>
      </c>
    </row>
    <row r="631" spans="2:3" hidden="1" x14ac:dyDescent="0.25">
      <c r="B631" s="55" t="str">
        <f>IF(A631&lt;&gt;"",INDEX('Base de données'!A$4:L$990,MATCH(' TVA M'!A636,'Base de données'!A$4:A$990,0),2),"")</f>
        <v/>
      </c>
      <c r="C631" s="55" t="str">
        <f>IF(A631&lt;&gt;"",INDEX('Base de données'!A$4:L$990,MATCH(' TVA M'!A636,'Base de données'!A$4:A$990,0),12),"")</f>
        <v/>
      </c>
    </row>
    <row r="632" spans="2:3" hidden="1" x14ac:dyDescent="0.25">
      <c r="B632" s="55" t="str">
        <f>IF(A632&lt;&gt;"",INDEX('Base de données'!A$4:L$990,MATCH(' TVA M'!A637,'Base de données'!A$4:A$990,0),2),"")</f>
        <v/>
      </c>
      <c r="C632" s="55" t="str">
        <f>IF(A632&lt;&gt;"",INDEX('Base de données'!A$4:L$990,MATCH(' TVA M'!A637,'Base de données'!A$4:A$990,0),12),"")</f>
        <v/>
      </c>
    </row>
    <row r="633" spans="2:3" hidden="1" x14ac:dyDescent="0.25">
      <c r="B633" s="55" t="str">
        <f>IF(A633&lt;&gt;"",INDEX('Base de données'!A$4:L$990,MATCH(' TVA M'!A638,'Base de données'!A$4:A$990,0),2),"")</f>
        <v/>
      </c>
      <c r="C633" s="55" t="str">
        <f>IF(A633&lt;&gt;"",INDEX('Base de données'!A$4:L$990,MATCH(' TVA M'!A638,'Base de données'!A$4:A$990,0),12),"")</f>
        <v/>
      </c>
    </row>
    <row r="634" spans="2:3" hidden="1" x14ac:dyDescent="0.25">
      <c r="B634" s="55" t="str">
        <f>IF(A634&lt;&gt;"",INDEX('Base de données'!A$4:L$990,MATCH(' TVA M'!A639,'Base de données'!A$4:A$990,0),2),"")</f>
        <v/>
      </c>
      <c r="C634" s="55" t="str">
        <f>IF(A634&lt;&gt;"",INDEX('Base de données'!A$4:L$990,MATCH(' TVA M'!A639,'Base de données'!A$4:A$990,0),12),"")</f>
        <v/>
      </c>
    </row>
    <row r="635" spans="2:3" hidden="1" x14ac:dyDescent="0.25">
      <c r="B635" s="55" t="str">
        <f>IF(A635&lt;&gt;"",INDEX('Base de données'!A$4:L$990,MATCH(' TVA M'!A640,'Base de données'!A$4:A$990,0),2),"")</f>
        <v/>
      </c>
      <c r="C635" s="55" t="str">
        <f>IF(A635&lt;&gt;"",INDEX('Base de données'!A$4:L$990,MATCH(' TVA M'!A640,'Base de données'!A$4:A$990,0),12),"")</f>
        <v/>
      </c>
    </row>
    <row r="636" spans="2:3" hidden="1" x14ac:dyDescent="0.25">
      <c r="B636" s="55" t="str">
        <f>IF(A636&lt;&gt;"",INDEX('Base de données'!A$4:L$990,MATCH(' TVA M'!A641,'Base de données'!A$4:A$990,0),2),"")</f>
        <v/>
      </c>
      <c r="C636" s="55" t="str">
        <f>IF(A636&lt;&gt;"",INDEX('Base de données'!A$4:L$990,MATCH(' TVA M'!A641,'Base de données'!A$4:A$990,0),12),"")</f>
        <v/>
      </c>
    </row>
    <row r="637" spans="2:3" hidden="1" x14ac:dyDescent="0.25">
      <c r="B637" s="55" t="str">
        <f>IF(A637&lt;&gt;"",INDEX('Base de données'!A$4:L$990,MATCH(' TVA M'!A642,'Base de données'!A$4:A$990,0),2),"")</f>
        <v/>
      </c>
      <c r="C637" s="55" t="str">
        <f>IF(A637&lt;&gt;"",INDEX('Base de données'!A$4:L$990,MATCH(' TVA M'!A642,'Base de données'!A$4:A$990,0),12),"")</f>
        <v/>
      </c>
    </row>
    <row r="638" spans="2:3" hidden="1" x14ac:dyDescent="0.25">
      <c r="B638" s="55" t="str">
        <f>IF(A638&lt;&gt;"",INDEX('Base de données'!A$4:L$990,MATCH(' TVA M'!A643,'Base de données'!A$4:A$990,0),2),"")</f>
        <v/>
      </c>
      <c r="C638" s="55" t="str">
        <f>IF(A638&lt;&gt;"",INDEX('Base de données'!A$4:L$990,MATCH(' TVA M'!A643,'Base de données'!A$4:A$990,0),12),"")</f>
        <v/>
      </c>
    </row>
    <row r="639" spans="2:3" hidden="1" x14ac:dyDescent="0.25">
      <c r="B639" s="55" t="str">
        <f>IF(A639&lt;&gt;"",INDEX('Base de données'!A$4:L$990,MATCH(' TVA M'!A644,'Base de données'!A$4:A$990,0),2),"")</f>
        <v/>
      </c>
      <c r="C639" s="55" t="str">
        <f>IF(A639&lt;&gt;"",INDEX('Base de données'!A$4:L$990,MATCH(' TVA M'!A644,'Base de données'!A$4:A$990,0),12),"")</f>
        <v/>
      </c>
    </row>
    <row r="640" spans="2:3" hidden="1" x14ac:dyDescent="0.25">
      <c r="B640" s="55" t="str">
        <f>IF(A640&lt;&gt;"",INDEX('Base de données'!A$4:L$990,MATCH(' TVA M'!A645,'Base de données'!A$4:A$990,0),2),"")</f>
        <v/>
      </c>
      <c r="C640" s="55" t="str">
        <f>IF(A640&lt;&gt;"",INDEX('Base de données'!A$4:L$990,MATCH(' TVA M'!A645,'Base de données'!A$4:A$990,0),12),"")</f>
        <v/>
      </c>
    </row>
    <row r="641" spans="2:3" hidden="1" x14ac:dyDescent="0.25">
      <c r="B641" s="55" t="str">
        <f>IF(A641&lt;&gt;"",INDEX('Base de données'!A$4:L$990,MATCH(' TVA M'!A646,'Base de données'!A$4:A$990,0),2),"")</f>
        <v/>
      </c>
      <c r="C641" s="55" t="str">
        <f>IF(A641&lt;&gt;"",INDEX('Base de données'!A$4:L$990,MATCH(' TVA M'!A646,'Base de données'!A$4:A$990,0),12),"")</f>
        <v/>
      </c>
    </row>
    <row r="642" spans="2:3" hidden="1" x14ac:dyDescent="0.25">
      <c r="B642" s="55" t="str">
        <f>IF(A642&lt;&gt;"",INDEX('Base de données'!A$4:L$990,MATCH(' TVA M'!A647,'Base de données'!A$4:A$990,0),2),"")</f>
        <v/>
      </c>
      <c r="C642" s="55" t="str">
        <f>IF(A642&lt;&gt;"",INDEX('Base de données'!A$4:L$990,MATCH(' TVA M'!A647,'Base de données'!A$4:A$990,0),12),"")</f>
        <v/>
      </c>
    </row>
    <row r="643" spans="2:3" hidden="1" x14ac:dyDescent="0.25">
      <c r="B643" s="55" t="str">
        <f>IF(A643&lt;&gt;"",INDEX('Base de données'!A$4:L$990,MATCH(' TVA M'!A648,'Base de données'!A$4:A$990,0),2),"")</f>
        <v/>
      </c>
      <c r="C643" s="55" t="str">
        <f>IF(A643&lt;&gt;"",INDEX('Base de données'!A$4:L$990,MATCH(' TVA M'!A648,'Base de données'!A$4:A$990,0),12),"")</f>
        <v/>
      </c>
    </row>
    <row r="644" spans="2:3" hidden="1" x14ac:dyDescent="0.25">
      <c r="B644" s="55" t="str">
        <f>IF(A644&lt;&gt;"",INDEX('Base de données'!A$4:L$990,MATCH(' TVA M'!A649,'Base de données'!A$4:A$990,0),2),"")</f>
        <v/>
      </c>
      <c r="C644" s="55" t="str">
        <f>IF(A644&lt;&gt;"",INDEX('Base de données'!A$4:L$990,MATCH(' TVA M'!A649,'Base de données'!A$4:A$990,0),12),"")</f>
        <v/>
      </c>
    </row>
    <row r="645" spans="2:3" hidden="1" x14ac:dyDescent="0.25">
      <c r="B645" s="55" t="str">
        <f>IF(A645&lt;&gt;"",INDEX('Base de données'!A$4:L$990,MATCH(' TVA M'!A650,'Base de données'!A$4:A$990,0),2),"")</f>
        <v/>
      </c>
      <c r="C645" s="55" t="str">
        <f>IF(A645&lt;&gt;"",INDEX('Base de données'!A$4:L$990,MATCH(' TVA M'!A650,'Base de données'!A$4:A$990,0),12),"")</f>
        <v/>
      </c>
    </row>
    <row r="646" spans="2:3" hidden="1" x14ac:dyDescent="0.25">
      <c r="B646" s="55" t="str">
        <f>IF(A646&lt;&gt;"",INDEX('Base de données'!A$4:L$990,MATCH(' TVA M'!A651,'Base de données'!A$4:A$990,0),2),"")</f>
        <v/>
      </c>
      <c r="C646" s="55" t="str">
        <f>IF(A646&lt;&gt;"",INDEX('Base de données'!A$4:L$990,MATCH(' TVA M'!A651,'Base de données'!A$4:A$990,0),12),"")</f>
        <v/>
      </c>
    </row>
    <row r="647" spans="2:3" hidden="1" x14ac:dyDescent="0.25">
      <c r="B647" s="55" t="str">
        <f>IF(A647&lt;&gt;"",INDEX('Base de données'!A$4:L$990,MATCH(' TVA M'!A652,'Base de données'!A$4:A$990,0),2),"")</f>
        <v/>
      </c>
      <c r="C647" s="55" t="str">
        <f>IF(A647&lt;&gt;"",INDEX('Base de données'!A$4:L$990,MATCH(' TVA M'!A652,'Base de données'!A$4:A$990,0),12),"")</f>
        <v/>
      </c>
    </row>
    <row r="648" spans="2:3" hidden="1" x14ac:dyDescent="0.25">
      <c r="B648" s="55" t="str">
        <f>IF(A648&lt;&gt;"",INDEX('Base de données'!A$4:L$990,MATCH(' TVA M'!A653,'Base de données'!A$4:A$990,0),2),"")</f>
        <v/>
      </c>
      <c r="C648" s="55" t="str">
        <f>IF(A648&lt;&gt;"",INDEX('Base de données'!A$4:L$990,MATCH(' TVA M'!A653,'Base de données'!A$4:A$990,0),12),"")</f>
        <v/>
      </c>
    </row>
    <row r="649" spans="2:3" hidden="1" x14ac:dyDescent="0.25">
      <c r="B649" s="55" t="str">
        <f>IF(A649&lt;&gt;"",INDEX('Base de données'!A$4:L$990,MATCH(' TVA M'!A654,'Base de données'!A$4:A$990,0),2),"")</f>
        <v/>
      </c>
      <c r="C649" s="55" t="str">
        <f>IF(A649&lt;&gt;"",INDEX('Base de données'!A$4:L$990,MATCH(' TVA M'!A654,'Base de données'!A$4:A$990,0),12),"")</f>
        <v/>
      </c>
    </row>
    <row r="650" spans="2:3" hidden="1" x14ac:dyDescent="0.25">
      <c r="B650" s="55" t="str">
        <f>IF(A650&lt;&gt;"",INDEX('Base de données'!A$4:L$990,MATCH(' TVA M'!A655,'Base de données'!A$4:A$990,0),2),"")</f>
        <v/>
      </c>
      <c r="C650" s="55" t="str">
        <f>IF(A650&lt;&gt;"",INDEX('Base de données'!A$4:L$990,MATCH(' TVA M'!A655,'Base de données'!A$4:A$990,0),12),"")</f>
        <v/>
      </c>
    </row>
    <row r="651" spans="2:3" hidden="1" x14ac:dyDescent="0.25">
      <c r="B651" s="55" t="str">
        <f>IF(A651&lt;&gt;"",INDEX('Base de données'!A$4:L$990,MATCH(' TVA M'!A656,'Base de données'!A$4:A$990,0),2),"")</f>
        <v/>
      </c>
      <c r="C651" s="55" t="str">
        <f>IF(A651&lt;&gt;"",INDEX('Base de données'!A$4:L$990,MATCH(' TVA M'!A656,'Base de données'!A$4:A$990,0),12),"")</f>
        <v/>
      </c>
    </row>
    <row r="652" spans="2:3" hidden="1" x14ac:dyDescent="0.25">
      <c r="B652" s="55" t="str">
        <f>IF(A652&lt;&gt;"",INDEX('Base de données'!A$4:L$990,MATCH(' TVA M'!A657,'Base de données'!A$4:A$990,0),2),"")</f>
        <v/>
      </c>
      <c r="C652" s="55" t="str">
        <f>IF(A652&lt;&gt;"",INDEX('Base de données'!A$4:L$990,MATCH(' TVA M'!A657,'Base de données'!A$4:A$990,0),12),"")</f>
        <v/>
      </c>
    </row>
    <row r="653" spans="2:3" hidden="1" x14ac:dyDescent="0.25">
      <c r="B653" s="55" t="str">
        <f>IF(A653&lt;&gt;"",INDEX('Base de données'!A$4:L$990,MATCH(' TVA M'!A658,'Base de données'!A$4:A$990,0),2),"")</f>
        <v/>
      </c>
      <c r="C653" s="55" t="str">
        <f>IF(A653&lt;&gt;"",INDEX('Base de données'!A$4:L$990,MATCH(' TVA M'!A658,'Base de données'!A$4:A$990,0),12),"")</f>
        <v/>
      </c>
    </row>
    <row r="654" spans="2:3" hidden="1" x14ac:dyDescent="0.25">
      <c r="B654" s="55" t="str">
        <f>IF(A654&lt;&gt;"",INDEX('Base de données'!A$4:L$990,MATCH(' TVA M'!A659,'Base de données'!A$4:A$990,0),2),"")</f>
        <v/>
      </c>
      <c r="C654" s="55" t="str">
        <f>IF(A654&lt;&gt;"",INDEX('Base de données'!A$4:L$990,MATCH(' TVA M'!A659,'Base de données'!A$4:A$990,0),12),"")</f>
        <v/>
      </c>
    </row>
    <row r="655" spans="2:3" hidden="1" x14ac:dyDescent="0.25">
      <c r="B655" s="55" t="str">
        <f>IF(A655&lt;&gt;"",INDEX('Base de données'!A$4:L$990,MATCH(' TVA M'!A660,'Base de données'!A$4:A$990,0),2),"")</f>
        <v/>
      </c>
      <c r="C655" s="55" t="str">
        <f>IF(A655&lt;&gt;"",INDEX('Base de données'!A$4:L$990,MATCH(' TVA M'!A660,'Base de données'!A$4:A$990,0),12),"")</f>
        <v/>
      </c>
    </row>
    <row r="656" spans="2:3" hidden="1" x14ac:dyDescent="0.25">
      <c r="B656" s="55" t="str">
        <f>IF(A656&lt;&gt;"",INDEX('Base de données'!A$4:L$990,MATCH(' TVA M'!A661,'Base de données'!A$4:A$990,0),2),"")</f>
        <v/>
      </c>
      <c r="C656" s="55" t="str">
        <f>IF(A656&lt;&gt;"",INDEX('Base de données'!A$4:L$990,MATCH(' TVA M'!A661,'Base de données'!A$4:A$990,0),12),"")</f>
        <v/>
      </c>
    </row>
    <row r="657" spans="2:3" hidden="1" x14ac:dyDescent="0.25">
      <c r="B657" s="55" t="str">
        <f>IF(A657&lt;&gt;"",INDEX('Base de données'!A$4:L$990,MATCH(' TVA M'!A662,'Base de données'!A$4:A$990,0),2),"")</f>
        <v/>
      </c>
      <c r="C657" s="55" t="str">
        <f>IF(A657&lt;&gt;"",INDEX('Base de données'!A$4:L$990,MATCH(' TVA M'!A662,'Base de données'!A$4:A$990,0),12),"")</f>
        <v/>
      </c>
    </row>
    <row r="658" spans="2:3" hidden="1" x14ac:dyDescent="0.25">
      <c r="B658" s="55" t="str">
        <f>IF(A658&lt;&gt;"",INDEX('Base de données'!A$4:L$990,MATCH(' TVA M'!A663,'Base de données'!A$4:A$990,0),2),"")</f>
        <v/>
      </c>
      <c r="C658" s="55" t="str">
        <f>IF(A658&lt;&gt;"",INDEX('Base de données'!A$4:L$990,MATCH(' TVA M'!A663,'Base de données'!A$4:A$990,0),12),"")</f>
        <v/>
      </c>
    </row>
    <row r="659" spans="2:3" hidden="1" x14ac:dyDescent="0.25">
      <c r="B659" s="55" t="str">
        <f>IF(A659&lt;&gt;"",INDEX('Base de données'!A$4:L$990,MATCH(' TVA M'!A664,'Base de données'!A$4:A$990,0),2),"")</f>
        <v/>
      </c>
      <c r="C659" s="55" t="str">
        <f>IF(A659&lt;&gt;"",INDEX('Base de données'!A$4:L$990,MATCH(' TVA M'!A664,'Base de données'!A$4:A$990,0),12),"")</f>
        <v/>
      </c>
    </row>
    <row r="660" spans="2:3" hidden="1" x14ac:dyDescent="0.25">
      <c r="B660" s="55" t="str">
        <f>IF(A660&lt;&gt;"",INDEX('Base de données'!A$4:L$990,MATCH(' TVA M'!A665,'Base de données'!A$4:A$990,0),2),"")</f>
        <v/>
      </c>
      <c r="C660" s="55" t="str">
        <f>IF(A660&lt;&gt;"",INDEX('Base de données'!A$4:L$990,MATCH(' TVA M'!A665,'Base de données'!A$4:A$990,0),12),"")</f>
        <v/>
      </c>
    </row>
    <row r="661" spans="2:3" hidden="1" x14ac:dyDescent="0.25">
      <c r="B661" s="55" t="str">
        <f>IF(A661&lt;&gt;"",INDEX('Base de données'!A$4:L$990,MATCH(' TVA M'!A666,'Base de données'!A$4:A$990,0),2),"")</f>
        <v/>
      </c>
      <c r="C661" s="55" t="str">
        <f>IF(A661&lt;&gt;"",INDEX('Base de données'!A$4:L$990,MATCH(' TVA M'!A666,'Base de données'!A$4:A$990,0),12),"")</f>
        <v/>
      </c>
    </row>
    <row r="662" spans="2:3" hidden="1" x14ac:dyDescent="0.25">
      <c r="B662" s="55" t="str">
        <f>IF(A662&lt;&gt;"",INDEX('Base de données'!A$4:L$990,MATCH(' TVA M'!A667,'Base de données'!A$4:A$990,0),2),"")</f>
        <v/>
      </c>
      <c r="C662" s="55" t="str">
        <f>IF(A662&lt;&gt;"",INDEX('Base de données'!A$4:L$990,MATCH(' TVA M'!A667,'Base de données'!A$4:A$990,0),12),"")</f>
        <v/>
      </c>
    </row>
    <row r="663" spans="2:3" hidden="1" x14ac:dyDescent="0.25">
      <c r="B663" s="55" t="str">
        <f>IF(A663&lt;&gt;"",INDEX('Base de données'!A$4:L$990,MATCH(' TVA M'!A668,'Base de données'!A$4:A$990,0),2),"")</f>
        <v/>
      </c>
      <c r="C663" s="55" t="str">
        <f>IF(A663&lt;&gt;"",INDEX('Base de données'!A$4:L$990,MATCH(' TVA M'!A668,'Base de données'!A$4:A$990,0),12),"")</f>
        <v/>
      </c>
    </row>
    <row r="664" spans="2:3" hidden="1" x14ac:dyDescent="0.25">
      <c r="B664" s="55" t="str">
        <f>IF(A664&lt;&gt;"",INDEX('Base de données'!A$4:L$990,MATCH(' TVA M'!A669,'Base de données'!A$4:A$990,0),2),"")</f>
        <v/>
      </c>
      <c r="C664" s="55" t="str">
        <f>IF(A664&lt;&gt;"",INDEX('Base de données'!A$4:L$990,MATCH(' TVA M'!A669,'Base de données'!A$4:A$990,0),12),"")</f>
        <v/>
      </c>
    </row>
    <row r="665" spans="2:3" hidden="1" x14ac:dyDescent="0.25">
      <c r="B665" s="55" t="str">
        <f>IF(A665&lt;&gt;"",INDEX('Base de données'!A$4:L$990,MATCH(' TVA M'!A670,'Base de données'!A$4:A$990,0),2),"")</f>
        <v/>
      </c>
      <c r="C665" s="55" t="str">
        <f>IF(A665&lt;&gt;"",INDEX('Base de données'!A$4:L$990,MATCH(' TVA M'!A670,'Base de données'!A$4:A$990,0),12),"")</f>
        <v/>
      </c>
    </row>
    <row r="666" spans="2:3" hidden="1" x14ac:dyDescent="0.25">
      <c r="B666" s="55" t="str">
        <f>IF(A666&lt;&gt;"",INDEX('Base de données'!A$4:L$990,MATCH(' TVA M'!A671,'Base de données'!A$4:A$990,0),2),"")</f>
        <v/>
      </c>
      <c r="C666" s="55" t="str">
        <f>IF(A666&lt;&gt;"",INDEX('Base de données'!A$4:L$990,MATCH(' TVA M'!A671,'Base de données'!A$4:A$990,0),12),"")</f>
        <v/>
      </c>
    </row>
    <row r="667" spans="2:3" hidden="1" x14ac:dyDescent="0.25">
      <c r="B667" s="55" t="str">
        <f>IF(A667&lt;&gt;"",INDEX('Base de données'!A$4:L$990,MATCH(' TVA M'!A672,'Base de données'!A$4:A$990,0),2),"")</f>
        <v/>
      </c>
      <c r="C667" s="55" t="str">
        <f>IF(A667&lt;&gt;"",INDEX('Base de données'!A$4:L$990,MATCH(' TVA M'!A672,'Base de données'!A$4:A$990,0),12),"")</f>
        <v/>
      </c>
    </row>
    <row r="668" spans="2:3" hidden="1" x14ac:dyDescent="0.25">
      <c r="B668" s="55" t="str">
        <f>IF(A668&lt;&gt;"",INDEX('Base de données'!A$4:L$990,MATCH(' TVA M'!A673,'Base de données'!A$4:A$990,0),2),"")</f>
        <v/>
      </c>
      <c r="C668" s="55" t="str">
        <f>IF(A668&lt;&gt;"",INDEX('Base de données'!A$4:L$990,MATCH(' TVA M'!A673,'Base de données'!A$4:A$990,0),12),"")</f>
        <v/>
      </c>
    </row>
    <row r="669" spans="2:3" hidden="1" x14ac:dyDescent="0.25">
      <c r="B669" s="55" t="str">
        <f>IF(A669&lt;&gt;"",INDEX('Base de données'!A$4:L$990,MATCH(' TVA M'!A674,'Base de données'!A$4:A$990,0),2),"")</f>
        <v/>
      </c>
      <c r="C669" s="55" t="str">
        <f>IF(A669&lt;&gt;"",INDEX('Base de données'!A$4:L$990,MATCH(' TVA M'!A674,'Base de données'!A$4:A$990,0),12),"")</f>
        <v/>
      </c>
    </row>
    <row r="670" spans="2:3" hidden="1" x14ac:dyDescent="0.25">
      <c r="B670" s="55" t="str">
        <f>IF(A670&lt;&gt;"",INDEX('Base de données'!A$4:L$990,MATCH(' TVA M'!A675,'Base de données'!A$4:A$990,0),2),"")</f>
        <v/>
      </c>
      <c r="C670" s="55" t="str">
        <f>IF(A670&lt;&gt;"",INDEX('Base de données'!A$4:L$990,MATCH(' TVA M'!A675,'Base de données'!A$4:A$990,0),12),"")</f>
        <v/>
      </c>
    </row>
    <row r="671" spans="2:3" hidden="1" x14ac:dyDescent="0.25">
      <c r="B671" s="55" t="str">
        <f>IF(A671&lt;&gt;"",INDEX('Base de données'!A$4:L$990,MATCH(' TVA M'!A676,'Base de données'!A$4:A$990,0),2),"")</f>
        <v/>
      </c>
      <c r="C671" s="55" t="str">
        <f>IF(A671&lt;&gt;"",INDEX('Base de données'!A$4:L$990,MATCH(' TVA M'!A676,'Base de données'!A$4:A$990,0),12),"")</f>
        <v/>
      </c>
    </row>
    <row r="672" spans="2:3" hidden="1" x14ac:dyDescent="0.25">
      <c r="B672" s="55" t="str">
        <f>IF(A672&lt;&gt;"",INDEX('Base de données'!A$4:L$990,MATCH(' TVA M'!A677,'Base de données'!A$4:A$990,0),2),"")</f>
        <v/>
      </c>
      <c r="C672" s="55" t="str">
        <f>IF(A672&lt;&gt;"",INDEX('Base de données'!A$4:L$990,MATCH(' TVA M'!A677,'Base de données'!A$4:A$990,0),12),"")</f>
        <v/>
      </c>
    </row>
    <row r="673" spans="2:3" hidden="1" x14ac:dyDescent="0.25">
      <c r="B673" s="55" t="str">
        <f>IF(A673&lt;&gt;"",INDEX('Base de données'!A$4:L$990,MATCH(' TVA M'!A678,'Base de données'!A$4:A$990,0),2),"")</f>
        <v/>
      </c>
      <c r="C673" s="55" t="str">
        <f>IF(A673&lt;&gt;"",INDEX('Base de données'!A$4:L$990,MATCH(' TVA M'!A678,'Base de données'!A$4:A$990,0),12),"")</f>
        <v/>
      </c>
    </row>
    <row r="674" spans="2:3" hidden="1" x14ac:dyDescent="0.25">
      <c r="B674" s="55" t="str">
        <f>IF(A674&lt;&gt;"",INDEX('Base de données'!A$4:L$990,MATCH(' TVA M'!A679,'Base de données'!A$4:A$990,0),2),"")</f>
        <v/>
      </c>
      <c r="C674" s="55" t="str">
        <f>IF(A674&lt;&gt;"",INDEX('Base de données'!A$4:L$990,MATCH(' TVA M'!A679,'Base de données'!A$4:A$990,0),12),"")</f>
        <v/>
      </c>
    </row>
    <row r="675" spans="2:3" hidden="1" x14ac:dyDescent="0.25">
      <c r="B675" s="55" t="str">
        <f>IF(A675&lt;&gt;"",INDEX('Base de données'!A$4:L$990,MATCH(' TVA M'!A680,'Base de données'!A$4:A$990,0),2),"")</f>
        <v/>
      </c>
      <c r="C675" s="55" t="str">
        <f>IF(A675&lt;&gt;"",INDEX('Base de données'!A$4:L$990,MATCH(' TVA M'!A680,'Base de données'!A$4:A$990,0),12),"")</f>
        <v/>
      </c>
    </row>
    <row r="676" spans="2:3" hidden="1" x14ac:dyDescent="0.25">
      <c r="B676" s="55" t="str">
        <f>IF(A676&lt;&gt;"",INDEX('Base de données'!A$4:L$990,MATCH(' TVA M'!A681,'Base de données'!A$4:A$990,0),2),"")</f>
        <v/>
      </c>
      <c r="C676" s="55" t="str">
        <f>IF(A676&lt;&gt;"",INDEX('Base de données'!A$4:L$990,MATCH(' TVA M'!A681,'Base de données'!A$4:A$990,0),12),"")</f>
        <v/>
      </c>
    </row>
    <row r="677" spans="2:3" hidden="1" x14ac:dyDescent="0.25">
      <c r="B677" s="55" t="str">
        <f>IF(A677&lt;&gt;"",INDEX('Base de données'!A$4:L$990,MATCH(' TVA M'!A682,'Base de données'!A$4:A$990,0),2),"")</f>
        <v/>
      </c>
      <c r="C677" s="55" t="str">
        <f>IF(A677&lt;&gt;"",INDEX('Base de données'!A$4:L$990,MATCH(' TVA M'!A682,'Base de données'!A$4:A$990,0),12),"")</f>
        <v/>
      </c>
    </row>
    <row r="678" spans="2:3" hidden="1" x14ac:dyDescent="0.25">
      <c r="B678" s="55" t="str">
        <f>IF(A678&lt;&gt;"",INDEX('Base de données'!A$4:L$990,MATCH(' TVA M'!A683,'Base de données'!A$4:A$990,0),2),"")</f>
        <v/>
      </c>
      <c r="C678" s="55" t="str">
        <f>IF(A678&lt;&gt;"",INDEX('Base de données'!A$4:L$990,MATCH(' TVA M'!A683,'Base de données'!A$4:A$990,0),12),"")</f>
        <v/>
      </c>
    </row>
    <row r="679" spans="2:3" hidden="1" x14ac:dyDescent="0.25">
      <c r="B679" s="55" t="str">
        <f>IF(A679&lt;&gt;"",INDEX('Base de données'!A$4:L$990,MATCH(' TVA M'!A684,'Base de données'!A$4:A$990,0),2),"")</f>
        <v/>
      </c>
      <c r="C679" s="55" t="str">
        <f>IF(A679&lt;&gt;"",INDEX('Base de données'!A$4:L$990,MATCH(' TVA M'!A684,'Base de données'!A$4:A$990,0),12),"")</f>
        <v/>
      </c>
    </row>
    <row r="680" spans="2:3" hidden="1" x14ac:dyDescent="0.25">
      <c r="B680" s="55" t="str">
        <f>IF(A680&lt;&gt;"",INDEX('Base de données'!A$4:L$990,MATCH(' TVA M'!A685,'Base de données'!A$4:A$990,0),2),"")</f>
        <v/>
      </c>
      <c r="C680" s="55" t="str">
        <f>IF(A680&lt;&gt;"",INDEX('Base de données'!A$4:L$990,MATCH(' TVA M'!A685,'Base de données'!A$4:A$990,0),12),"")</f>
        <v/>
      </c>
    </row>
    <row r="681" spans="2:3" hidden="1" x14ac:dyDescent="0.25">
      <c r="B681" s="55" t="str">
        <f>IF(A681&lt;&gt;"",INDEX('Base de données'!A$4:L$990,MATCH(' TVA M'!A686,'Base de données'!A$4:A$990,0),2),"")</f>
        <v/>
      </c>
      <c r="C681" s="55" t="str">
        <f>IF(A681&lt;&gt;"",INDEX('Base de données'!A$4:L$990,MATCH(' TVA M'!A686,'Base de données'!A$4:A$990,0),12),"")</f>
        <v/>
      </c>
    </row>
    <row r="682" spans="2:3" hidden="1" x14ac:dyDescent="0.25">
      <c r="B682" s="55" t="str">
        <f>IF(A682&lt;&gt;"",INDEX('Base de données'!A$4:L$990,MATCH(' TVA M'!A687,'Base de données'!A$4:A$990,0),2),"")</f>
        <v/>
      </c>
      <c r="C682" s="55" t="str">
        <f>IF(A682&lt;&gt;"",INDEX('Base de données'!A$4:L$990,MATCH(' TVA M'!A687,'Base de données'!A$4:A$990,0),12),"")</f>
        <v/>
      </c>
    </row>
    <row r="683" spans="2:3" hidden="1" x14ac:dyDescent="0.25">
      <c r="B683" s="55" t="str">
        <f>IF(A683&lt;&gt;"",INDEX('Base de données'!A$4:L$990,MATCH(' TVA M'!A688,'Base de données'!A$4:A$990,0),2),"")</f>
        <v/>
      </c>
      <c r="C683" s="55" t="str">
        <f>IF(A683&lt;&gt;"",INDEX('Base de données'!A$4:L$990,MATCH(' TVA M'!A688,'Base de données'!A$4:A$990,0),12),"")</f>
        <v/>
      </c>
    </row>
    <row r="684" spans="2:3" hidden="1" x14ac:dyDescent="0.25">
      <c r="B684" s="55" t="str">
        <f>IF(A684&lt;&gt;"",INDEX('Base de données'!A$4:L$990,MATCH(' TVA M'!A689,'Base de données'!A$4:A$990,0),2),"")</f>
        <v/>
      </c>
      <c r="C684" s="55" t="str">
        <f>IF(A684&lt;&gt;"",INDEX('Base de données'!A$4:L$990,MATCH(' TVA M'!A689,'Base de données'!A$4:A$990,0),12),"")</f>
        <v/>
      </c>
    </row>
    <row r="685" spans="2:3" hidden="1" x14ac:dyDescent="0.25">
      <c r="B685" s="55" t="str">
        <f>IF(A685&lt;&gt;"",INDEX('Base de données'!A$4:L$990,MATCH(' TVA M'!A690,'Base de données'!A$4:A$990,0),2),"")</f>
        <v/>
      </c>
      <c r="C685" s="55" t="str">
        <f>IF(A685&lt;&gt;"",INDEX('Base de données'!A$4:L$990,MATCH(' TVA M'!A690,'Base de données'!A$4:A$990,0),12),"")</f>
        <v/>
      </c>
    </row>
    <row r="686" spans="2:3" hidden="1" x14ac:dyDescent="0.25">
      <c r="B686" s="55" t="str">
        <f>IF(A686&lt;&gt;"",INDEX('Base de données'!A$4:L$990,MATCH(' TVA M'!A691,'Base de données'!A$4:A$990,0),2),"")</f>
        <v/>
      </c>
      <c r="C686" s="55" t="str">
        <f>IF(A686&lt;&gt;"",INDEX('Base de données'!A$4:L$990,MATCH(' TVA M'!A691,'Base de données'!A$4:A$990,0),12),"")</f>
        <v/>
      </c>
    </row>
    <row r="687" spans="2:3" hidden="1" x14ac:dyDescent="0.25">
      <c r="B687" s="55" t="str">
        <f>IF(A687&lt;&gt;"",INDEX('Base de données'!A$4:L$990,MATCH(' TVA M'!A692,'Base de données'!A$4:A$990,0),2),"")</f>
        <v/>
      </c>
      <c r="C687" s="55" t="str">
        <f>IF(A687&lt;&gt;"",INDEX('Base de données'!A$4:L$990,MATCH(' TVA M'!A692,'Base de données'!A$4:A$990,0),12),"")</f>
        <v/>
      </c>
    </row>
    <row r="688" spans="2:3" hidden="1" x14ac:dyDescent="0.25">
      <c r="B688" s="55" t="str">
        <f>IF(A688&lt;&gt;"",INDEX('Base de données'!A$4:L$990,MATCH(' TVA M'!A693,'Base de données'!A$4:A$990,0),2),"")</f>
        <v/>
      </c>
      <c r="C688" s="55" t="str">
        <f>IF(A688&lt;&gt;"",INDEX('Base de données'!A$4:L$990,MATCH(' TVA M'!A693,'Base de données'!A$4:A$990,0),12),"")</f>
        <v/>
      </c>
    </row>
    <row r="689" spans="2:3" hidden="1" x14ac:dyDescent="0.25">
      <c r="B689" s="55" t="str">
        <f>IF(A689&lt;&gt;"",INDEX('Base de données'!A$4:L$990,MATCH(' TVA M'!A694,'Base de données'!A$4:A$990,0),2),"")</f>
        <v/>
      </c>
      <c r="C689" s="55" t="str">
        <f>IF(A689&lt;&gt;"",INDEX('Base de données'!A$4:L$990,MATCH(' TVA M'!A694,'Base de données'!A$4:A$990,0),12),"")</f>
        <v/>
      </c>
    </row>
    <row r="690" spans="2:3" hidden="1" x14ac:dyDescent="0.25">
      <c r="B690" s="55" t="str">
        <f>IF(A690&lt;&gt;"",INDEX('Base de données'!A$4:L$990,MATCH(' TVA M'!A695,'Base de données'!A$4:A$990,0),2),"")</f>
        <v/>
      </c>
      <c r="C690" s="55" t="str">
        <f>IF(A690&lt;&gt;"",INDEX('Base de données'!A$4:L$990,MATCH(' TVA M'!A695,'Base de données'!A$4:A$990,0),12),"")</f>
        <v/>
      </c>
    </row>
    <row r="691" spans="2:3" hidden="1" x14ac:dyDescent="0.25">
      <c r="B691" s="55" t="str">
        <f>IF(A691&lt;&gt;"",INDEX('Base de données'!A$4:L$990,MATCH(' TVA M'!A696,'Base de données'!A$4:A$990,0),2),"")</f>
        <v/>
      </c>
      <c r="C691" s="55" t="str">
        <f>IF(A691&lt;&gt;"",INDEX('Base de données'!A$4:L$990,MATCH(' TVA M'!A696,'Base de données'!A$4:A$990,0),12),"")</f>
        <v/>
      </c>
    </row>
    <row r="692" spans="2:3" hidden="1" x14ac:dyDescent="0.25">
      <c r="B692" s="55" t="str">
        <f>IF(A692&lt;&gt;"",INDEX('Base de données'!A$4:L$990,MATCH(' TVA M'!A697,'Base de données'!A$4:A$990,0),2),"")</f>
        <v/>
      </c>
      <c r="C692" s="55" t="str">
        <f>IF(A692&lt;&gt;"",INDEX('Base de données'!A$4:L$990,MATCH(' TVA M'!A697,'Base de données'!A$4:A$990,0),12),"")</f>
        <v/>
      </c>
    </row>
    <row r="693" spans="2:3" hidden="1" x14ac:dyDescent="0.25">
      <c r="B693" s="55" t="str">
        <f>IF(A693&lt;&gt;"",INDEX('Base de données'!A$4:L$990,MATCH(' TVA M'!A698,'Base de données'!A$4:A$990,0),2),"")</f>
        <v/>
      </c>
      <c r="C693" s="55" t="str">
        <f>IF(A693&lt;&gt;"",INDEX('Base de données'!A$4:L$990,MATCH(' TVA M'!A698,'Base de données'!A$4:A$990,0),12),"")</f>
        <v/>
      </c>
    </row>
    <row r="694" spans="2:3" hidden="1" x14ac:dyDescent="0.25">
      <c r="B694" s="55" t="str">
        <f>IF(A694&lt;&gt;"",INDEX('Base de données'!A$4:L$990,MATCH(' TVA M'!A699,'Base de données'!A$4:A$990,0),2),"")</f>
        <v/>
      </c>
      <c r="C694" s="55" t="str">
        <f>IF(A694&lt;&gt;"",INDEX('Base de données'!A$4:L$990,MATCH(' TVA M'!A699,'Base de données'!A$4:A$990,0),12),"")</f>
        <v/>
      </c>
    </row>
    <row r="695" spans="2:3" hidden="1" x14ac:dyDescent="0.25">
      <c r="B695" s="55" t="str">
        <f>IF(A695&lt;&gt;"",INDEX('Base de données'!A$4:L$990,MATCH(' TVA M'!A700,'Base de données'!A$4:A$990,0),2),"")</f>
        <v/>
      </c>
      <c r="C695" s="55" t="str">
        <f>IF(A695&lt;&gt;"",INDEX('Base de données'!A$4:L$990,MATCH(' TVA M'!A700,'Base de données'!A$4:A$990,0),12),"")</f>
        <v/>
      </c>
    </row>
    <row r="696" spans="2:3" hidden="1" x14ac:dyDescent="0.25">
      <c r="B696" s="55" t="str">
        <f>IF(A696&lt;&gt;"",INDEX('Base de données'!A$4:L$990,MATCH(' TVA M'!A701,'Base de données'!A$4:A$990,0),2),"")</f>
        <v/>
      </c>
      <c r="C696" s="55" t="str">
        <f>IF(A696&lt;&gt;"",INDEX('Base de données'!A$4:L$990,MATCH(' TVA M'!A701,'Base de données'!A$4:A$990,0),12),"")</f>
        <v/>
      </c>
    </row>
    <row r="697" spans="2:3" hidden="1" x14ac:dyDescent="0.25">
      <c r="B697" s="55" t="str">
        <f>IF(A697&lt;&gt;"",INDEX('Base de données'!A$4:L$990,MATCH(' TVA M'!A702,'Base de données'!A$4:A$990,0),2),"")</f>
        <v/>
      </c>
      <c r="C697" s="55" t="str">
        <f>IF(A697&lt;&gt;"",INDEX('Base de données'!A$4:L$990,MATCH(' TVA M'!A702,'Base de données'!A$4:A$990,0),12),"")</f>
        <v/>
      </c>
    </row>
    <row r="698" spans="2:3" hidden="1" x14ac:dyDescent="0.25">
      <c r="B698" s="55" t="str">
        <f>IF(A698&lt;&gt;"",INDEX('Base de données'!A$4:L$990,MATCH(' TVA M'!A703,'Base de données'!A$4:A$990,0),2),"")</f>
        <v/>
      </c>
      <c r="C698" s="55" t="str">
        <f>IF(A698&lt;&gt;"",INDEX('Base de données'!A$4:L$990,MATCH(' TVA M'!A703,'Base de données'!A$4:A$990,0),12),"")</f>
        <v/>
      </c>
    </row>
    <row r="699" spans="2:3" hidden="1" x14ac:dyDescent="0.25">
      <c r="B699" s="55" t="str">
        <f>IF(A699&lt;&gt;"",INDEX('Base de données'!A$4:L$990,MATCH(' TVA M'!A704,'Base de données'!A$4:A$990,0),2),"")</f>
        <v/>
      </c>
      <c r="C699" s="55" t="str">
        <f>IF(A699&lt;&gt;"",INDEX('Base de données'!A$4:L$990,MATCH(' TVA M'!A704,'Base de données'!A$4:A$990,0),12),"")</f>
        <v/>
      </c>
    </row>
    <row r="700" spans="2:3" hidden="1" x14ac:dyDescent="0.25">
      <c r="B700" s="55" t="str">
        <f>IF(A700&lt;&gt;"",INDEX('Base de données'!A$4:L$990,MATCH(' TVA M'!A705,'Base de données'!A$4:A$990,0),2),"")</f>
        <v/>
      </c>
      <c r="C700" s="55" t="str">
        <f>IF(A700&lt;&gt;"",INDEX('Base de données'!A$4:L$990,MATCH(' TVA M'!A705,'Base de données'!A$4:A$990,0),12),"")</f>
        <v/>
      </c>
    </row>
    <row r="701" spans="2:3" hidden="1" x14ac:dyDescent="0.25">
      <c r="B701" s="55" t="str">
        <f>IF(A701&lt;&gt;"",INDEX('Base de données'!A$4:L$990,MATCH(' TVA M'!A706,'Base de données'!A$4:A$990,0),2),"")</f>
        <v/>
      </c>
      <c r="C701" s="55" t="str">
        <f>IF(A701&lt;&gt;"",INDEX('Base de données'!A$4:L$990,MATCH(' TVA M'!A706,'Base de données'!A$4:A$990,0),12),"")</f>
        <v/>
      </c>
    </row>
    <row r="702" spans="2:3" hidden="1" x14ac:dyDescent="0.25">
      <c r="B702" s="55" t="str">
        <f>IF(A702&lt;&gt;"",INDEX('Base de données'!A$4:L$990,MATCH(' TVA M'!A707,'Base de données'!A$4:A$990,0),2),"")</f>
        <v/>
      </c>
      <c r="C702" s="55" t="str">
        <f>IF(A702&lt;&gt;"",INDEX('Base de données'!A$4:L$990,MATCH(' TVA M'!A707,'Base de données'!A$4:A$990,0),12),"")</f>
        <v/>
      </c>
    </row>
    <row r="703" spans="2:3" hidden="1" x14ac:dyDescent="0.25">
      <c r="B703" s="55" t="str">
        <f>IF(A703&lt;&gt;"",INDEX('Base de données'!A$4:L$990,MATCH(' TVA M'!A708,'Base de données'!A$4:A$990,0),2),"")</f>
        <v/>
      </c>
      <c r="C703" s="55" t="str">
        <f>IF(A703&lt;&gt;"",INDEX('Base de données'!A$4:L$990,MATCH(' TVA M'!A708,'Base de données'!A$4:A$990,0),12),"")</f>
        <v/>
      </c>
    </row>
    <row r="704" spans="2:3" hidden="1" x14ac:dyDescent="0.25">
      <c r="B704" s="55" t="str">
        <f>IF(A704&lt;&gt;"",INDEX('Base de données'!A$4:L$990,MATCH(' TVA M'!A709,'Base de données'!A$4:A$990,0),2),"")</f>
        <v/>
      </c>
      <c r="C704" s="55" t="str">
        <f>IF(A704&lt;&gt;"",INDEX('Base de données'!A$4:L$990,MATCH(' TVA M'!A709,'Base de données'!A$4:A$990,0),12),"")</f>
        <v/>
      </c>
    </row>
    <row r="705" spans="2:3" hidden="1" x14ac:dyDescent="0.25">
      <c r="B705" s="55" t="str">
        <f>IF(A705&lt;&gt;"",INDEX('Base de données'!A$4:L$990,MATCH(' TVA M'!A710,'Base de données'!A$4:A$990,0),2),"")</f>
        <v/>
      </c>
      <c r="C705" s="55" t="str">
        <f>IF(A705&lt;&gt;"",INDEX('Base de données'!A$4:L$990,MATCH(' TVA M'!A710,'Base de données'!A$4:A$990,0),12),"")</f>
        <v/>
      </c>
    </row>
    <row r="706" spans="2:3" hidden="1" x14ac:dyDescent="0.25">
      <c r="B706" s="55" t="str">
        <f>IF(A706&lt;&gt;"",INDEX('Base de données'!A$4:L$990,MATCH(' TVA M'!A711,'Base de données'!A$4:A$990,0),2),"")</f>
        <v/>
      </c>
      <c r="C706" s="55" t="str">
        <f>IF(A706&lt;&gt;"",INDEX('Base de données'!A$4:L$990,MATCH(' TVA M'!A711,'Base de données'!A$4:A$990,0),12),"")</f>
        <v/>
      </c>
    </row>
    <row r="707" spans="2:3" hidden="1" x14ac:dyDescent="0.25">
      <c r="B707" s="55" t="str">
        <f>IF(A707&lt;&gt;"",INDEX('Base de données'!A$4:L$990,MATCH(' TVA M'!A712,'Base de données'!A$4:A$990,0),2),"")</f>
        <v/>
      </c>
      <c r="C707" s="55" t="str">
        <f>IF(A707&lt;&gt;"",INDEX('Base de données'!A$4:L$990,MATCH(' TVA M'!A712,'Base de données'!A$4:A$990,0),12),"")</f>
        <v/>
      </c>
    </row>
    <row r="708" spans="2:3" hidden="1" x14ac:dyDescent="0.25">
      <c r="B708" s="55" t="str">
        <f>IF(A708&lt;&gt;"",INDEX('Base de données'!A$4:L$990,MATCH(' TVA M'!A713,'Base de données'!A$4:A$990,0),2),"")</f>
        <v/>
      </c>
      <c r="C708" s="55" t="str">
        <f>IF(A708&lt;&gt;"",INDEX('Base de données'!A$4:L$990,MATCH(' TVA M'!A713,'Base de données'!A$4:A$990,0),12),"")</f>
        <v/>
      </c>
    </row>
    <row r="709" spans="2:3" hidden="1" x14ac:dyDescent="0.25">
      <c r="B709" s="55" t="str">
        <f>IF(A709&lt;&gt;"",INDEX('Base de données'!A$4:L$990,MATCH(' TVA M'!A714,'Base de données'!A$4:A$990,0),2),"")</f>
        <v/>
      </c>
      <c r="C709" s="55" t="str">
        <f>IF(A709&lt;&gt;"",INDEX('Base de données'!A$4:L$990,MATCH(' TVA M'!A714,'Base de données'!A$4:A$990,0),12),"")</f>
        <v/>
      </c>
    </row>
    <row r="710" spans="2:3" hidden="1" x14ac:dyDescent="0.25">
      <c r="B710" s="55" t="str">
        <f>IF(A710&lt;&gt;"",INDEX('Base de données'!A$4:L$990,MATCH(' TVA M'!A715,'Base de données'!A$4:A$990,0),2),"")</f>
        <v/>
      </c>
      <c r="C710" s="55" t="str">
        <f>IF(A710&lt;&gt;"",INDEX('Base de données'!A$4:L$990,MATCH(' TVA M'!A715,'Base de données'!A$4:A$990,0),12),"")</f>
        <v/>
      </c>
    </row>
    <row r="711" spans="2:3" hidden="1" x14ac:dyDescent="0.25">
      <c r="B711" s="55" t="str">
        <f>IF(A711&lt;&gt;"",INDEX('Base de données'!A$4:L$990,MATCH(' TVA M'!A716,'Base de données'!A$4:A$990,0),2),"")</f>
        <v/>
      </c>
      <c r="C711" s="55" t="str">
        <f>IF(A711&lt;&gt;"",INDEX('Base de données'!A$4:L$990,MATCH(' TVA M'!A716,'Base de données'!A$4:A$990,0),12),"")</f>
        <v/>
      </c>
    </row>
    <row r="712" spans="2:3" hidden="1" x14ac:dyDescent="0.25">
      <c r="B712" s="55" t="str">
        <f>IF(A712&lt;&gt;"",INDEX('Base de données'!A$4:L$990,MATCH(' TVA M'!A717,'Base de données'!A$4:A$990,0),2),"")</f>
        <v/>
      </c>
      <c r="C712" s="55" t="str">
        <f>IF(A712&lt;&gt;"",INDEX('Base de données'!A$4:L$990,MATCH(' TVA M'!A717,'Base de données'!A$4:A$990,0),12),"")</f>
        <v/>
      </c>
    </row>
    <row r="713" spans="2:3" hidden="1" x14ac:dyDescent="0.25">
      <c r="B713" s="55" t="str">
        <f>IF(A713&lt;&gt;"",INDEX('Base de données'!A$4:L$990,MATCH(' TVA M'!A718,'Base de données'!A$4:A$990,0),2),"")</f>
        <v/>
      </c>
      <c r="C713" s="55" t="str">
        <f>IF(A713&lt;&gt;"",INDEX('Base de données'!A$4:L$990,MATCH(' TVA M'!A718,'Base de données'!A$4:A$990,0),12),"")</f>
        <v/>
      </c>
    </row>
    <row r="714" spans="2:3" hidden="1" x14ac:dyDescent="0.25">
      <c r="B714" s="55" t="str">
        <f>IF(A714&lt;&gt;"",INDEX('Base de données'!A$4:L$990,MATCH(' TVA M'!A719,'Base de données'!A$4:A$990,0),2),"")</f>
        <v/>
      </c>
      <c r="C714" s="55" t="str">
        <f>IF(A714&lt;&gt;"",INDEX('Base de données'!A$4:L$990,MATCH(' TVA M'!A719,'Base de données'!A$4:A$990,0),12),"")</f>
        <v/>
      </c>
    </row>
    <row r="715" spans="2:3" hidden="1" x14ac:dyDescent="0.25">
      <c r="B715" s="55" t="str">
        <f>IF(A715&lt;&gt;"",INDEX('Base de données'!A$4:L$990,MATCH(' TVA M'!A720,'Base de données'!A$4:A$990,0),2),"")</f>
        <v/>
      </c>
      <c r="C715" s="55" t="str">
        <f>IF(A715&lt;&gt;"",INDEX('Base de données'!A$4:L$990,MATCH(' TVA M'!A720,'Base de données'!A$4:A$990,0),12),"")</f>
        <v/>
      </c>
    </row>
    <row r="716" spans="2:3" hidden="1" x14ac:dyDescent="0.25">
      <c r="B716" s="55" t="str">
        <f>IF(A716&lt;&gt;"",INDEX('Base de données'!A$4:L$990,MATCH(' TVA M'!A721,'Base de données'!A$4:A$990,0),2),"")</f>
        <v/>
      </c>
      <c r="C716" s="55" t="str">
        <f>IF(A716&lt;&gt;"",INDEX('Base de données'!A$4:L$990,MATCH(' TVA M'!A721,'Base de données'!A$4:A$990,0),12),"")</f>
        <v/>
      </c>
    </row>
    <row r="717" spans="2:3" hidden="1" x14ac:dyDescent="0.25">
      <c r="B717" s="55" t="str">
        <f>IF(A717&lt;&gt;"",INDEX('Base de données'!A$4:L$990,MATCH(' TVA M'!A722,'Base de données'!A$4:A$990,0),2),"")</f>
        <v/>
      </c>
      <c r="C717" s="55" t="str">
        <f>IF(A717&lt;&gt;"",INDEX('Base de données'!A$4:L$990,MATCH(' TVA M'!A722,'Base de données'!A$4:A$990,0),12),"")</f>
        <v/>
      </c>
    </row>
    <row r="718" spans="2:3" hidden="1" x14ac:dyDescent="0.25">
      <c r="B718" s="55" t="str">
        <f>IF(A718&lt;&gt;"",INDEX('Base de données'!A$4:L$990,MATCH(' TVA M'!A723,'Base de données'!A$4:A$990,0),2),"")</f>
        <v/>
      </c>
      <c r="C718" s="55" t="str">
        <f>IF(A718&lt;&gt;"",INDEX('Base de données'!A$4:L$990,MATCH(' TVA M'!A723,'Base de données'!A$4:A$990,0),12),"")</f>
        <v/>
      </c>
    </row>
    <row r="719" spans="2:3" hidden="1" x14ac:dyDescent="0.25">
      <c r="B719" s="55" t="str">
        <f>IF(A719&lt;&gt;"",INDEX('Base de données'!A$4:L$990,MATCH(' TVA M'!A724,'Base de données'!A$4:A$990,0),2),"")</f>
        <v/>
      </c>
      <c r="C719" s="55" t="str">
        <f>IF(A719&lt;&gt;"",INDEX('Base de données'!A$4:L$990,MATCH(' TVA M'!A724,'Base de données'!A$4:A$990,0),12),"")</f>
        <v/>
      </c>
    </row>
    <row r="720" spans="2:3" hidden="1" x14ac:dyDescent="0.25">
      <c r="B720" s="55" t="str">
        <f>IF(A720&lt;&gt;"",INDEX('Base de données'!A$4:L$990,MATCH(' TVA M'!A725,'Base de données'!A$4:A$990,0),2),"")</f>
        <v/>
      </c>
      <c r="C720" s="55" t="str">
        <f>IF(A720&lt;&gt;"",INDEX('Base de données'!A$4:L$990,MATCH(' TVA M'!A725,'Base de données'!A$4:A$990,0),12),"")</f>
        <v/>
      </c>
    </row>
    <row r="721" spans="2:3" hidden="1" x14ac:dyDescent="0.25">
      <c r="B721" s="55" t="str">
        <f>IF(A721&lt;&gt;"",INDEX('Base de données'!A$4:L$990,MATCH(' TVA M'!A726,'Base de données'!A$4:A$990,0),2),"")</f>
        <v/>
      </c>
      <c r="C721" s="55" t="str">
        <f>IF(A721&lt;&gt;"",INDEX('Base de données'!A$4:L$990,MATCH(' TVA M'!A726,'Base de données'!A$4:A$990,0),12),"")</f>
        <v/>
      </c>
    </row>
    <row r="722" spans="2:3" hidden="1" x14ac:dyDescent="0.25">
      <c r="B722" s="55" t="str">
        <f>IF(A722&lt;&gt;"",INDEX('Base de données'!A$4:L$990,MATCH(' TVA M'!A727,'Base de données'!A$4:A$990,0),2),"")</f>
        <v/>
      </c>
      <c r="C722" s="55" t="str">
        <f>IF(A722&lt;&gt;"",INDEX('Base de données'!A$4:L$990,MATCH(' TVA M'!A727,'Base de données'!A$4:A$990,0),12),"")</f>
        <v/>
      </c>
    </row>
    <row r="723" spans="2:3" hidden="1" x14ac:dyDescent="0.25">
      <c r="B723" s="55" t="str">
        <f>IF(A723&lt;&gt;"",INDEX('Base de données'!A$4:L$990,MATCH(' TVA M'!A728,'Base de données'!A$4:A$990,0),2),"")</f>
        <v/>
      </c>
      <c r="C723" s="55" t="str">
        <f>IF(A723&lt;&gt;"",INDEX('Base de données'!A$4:L$990,MATCH(' TVA M'!A728,'Base de données'!A$4:A$990,0),12),"")</f>
        <v/>
      </c>
    </row>
    <row r="724" spans="2:3" hidden="1" x14ac:dyDescent="0.25">
      <c r="B724" s="55" t="str">
        <f>IF(A724&lt;&gt;"",INDEX('Base de données'!A$4:L$990,MATCH(' TVA M'!A729,'Base de données'!A$4:A$990,0),2),"")</f>
        <v/>
      </c>
      <c r="C724" s="55" t="str">
        <f>IF(A724&lt;&gt;"",INDEX('Base de données'!A$4:L$990,MATCH(' TVA M'!A729,'Base de données'!A$4:A$990,0),12),"")</f>
        <v/>
      </c>
    </row>
    <row r="725" spans="2:3" hidden="1" x14ac:dyDescent="0.25">
      <c r="B725" s="55" t="str">
        <f>IF(A725&lt;&gt;"",INDEX('Base de données'!A$4:L$990,MATCH(' TVA M'!A730,'Base de données'!A$4:A$990,0),2),"")</f>
        <v/>
      </c>
      <c r="C725" s="55" t="str">
        <f>IF(A725&lt;&gt;"",INDEX('Base de données'!A$4:L$990,MATCH(' TVA M'!A730,'Base de données'!A$4:A$990,0),12),"")</f>
        <v/>
      </c>
    </row>
    <row r="726" spans="2:3" hidden="1" x14ac:dyDescent="0.25">
      <c r="B726" s="55" t="str">
        <f>IF(A726&lt;&gt;"",INDEX('Base de données'!A$4:L$990,MATCH(' TVA M'!A731,'Base de données'!A$4:A$990,0),2),"")</f>
        <v/>
      </c>
      <c r="C726" s="55" t="str">
        <f>IF(A726&lt;&gt;"",INDEX('Base de données'!A$4:L$990,MATCH(' TVA M'!A731,'Base de données'!A$4:A$990,0),12),"")</f>
        <v/>
      </c>
    </row>
    <row r="727" spans="2:3" hidden="1" x14ac:dyDescent="0.25">
      <c r="B727" s="55" t="str">
        <f>IF(A727&lt;&gt;"",INDEX('Base de données'!A$4:L$990,MATCH(' TVA M'!A732,'Base de données'!A$4:A$990,0),2),"")</f>
        <v/>
      </c>
      <c r="C727" s="55" t="str">
        <f>IF(A727&lt;&gt;"",INDEX('Base de données'!A$4:L$990,MATCH(' TVA M'!A732,'Base de données'!A$4:A$990,0),12),"")</f>
        <v/>
      </c>
    </row>
    <row r="728" spans="2:3" hidden="1" x14ac:dyDescent="0.25">
      <c r="B728" s="55" t="str">
        <f>IF(A728&lt;&gt;"",INDEX('Base de données'!A$4:L$990,MATCH(' TVA M'!A733,'Base de données'!A$4:A$990,0),2),"")</f>
        <v/>
      </c>
      <c r="C728" s="55" t="str">
        <f>IF(A728&lt;&gt;"",INDEX('Base de données'!A$4:L$990,MATCH(' TVA M'!A733,'Base de données'!A$4:A$990,0),12),"")</f>
        <v/>
      </c>
    </row>
    <row r="729" spans="2:3" hidden="1" x14ac:dyDescent="0.25">
      <c r="B729" s="55" t="str">
        <f>IF(A729&lt;&gt;"",INDEX('Base de données'!A$4:L$990,MATCH(' TVA M'!A734,'Base de données'!A$4:A$990,0),2),"")</f>
        <v/>
      </c>
      <c r="C729" s="55" t="str">
        <f>IF(A729&lt;&gt;"",INDEX('Base de données'!A$4:L$990,MATCH(' TVA M'!A734,'Base de données'!A$4:A$990,0),12),"")</f>
        <v/>
      </c>
    </row>
    <row r="730" spans="2:3" hidden="1" x14ac:dyDescent="0.25">
      <c r="B730" s="55" t="str">
        <f>IF(A730&lt;&gt;"",INDEX('Base de données'!A$4:L$990,MATCH(' TVA M'!A735,'Base de données'!A$4:A$990,0),2),"")</f>
        <v/>
      </c>
      <c r="C730" s="55" t="str">
        <f>IF(A730&lt;&gt;"",INDEX('Base de données'!A$4:L$990,MATCH(' TVA M'!A735,'Base de données'!A$4:A$990,0),12),"")</f>
        <v/>
      </c>
    </row>
    <row r="731" spans="2:3" hidden="1" x14ac:dyDescent="0.25">
      <c r="B731" s="55" t="str">
        <f>IF(A731&lt;&gt;"",INDEX('Base de données'!A$4:L$990,MATCH(' TVA M'!A736,'Base de données'!A$4:A$990,0),2),"")</f>
        <v/>
      </c>
      <c r="C731" s="55" t="str">
        <f>IF(A731&lt;&gt;"",INDEX('Base de données'!A$4:L$990,MATCH(' TVA M'!A736,'Base de données'!A$4:A$990,0),12),"")</f>
        <v/>
      </c>
    </row>
    <row r="732" spans="2:3" hidden="1" x14ac:dyDescent="0.25">
      <c r="B732" s="55" t="str">
        <f>IF(A732&lt;&gt;"",INDEX('Base de données'!A$4:L$990,MATCH(' TVA M'!A737,'Base de données'!A$4:A$990,0),2),"")</f>
        <v/>
      </c>
      <c r="C732" s="55" t="str">
        <f>IF(A732&lt;&gt;"",INDEX('Base de données'!A$4:L$990,MATCH(' TVA M'!A737,'Base de données'!A$4:A$990,0),12),"")</f>
        <v/>
      </c>
    </row>
    <row r="733" spans="2:3" hidden="1" x14ac:dyDescent="0.25">
      <c r="B733" s="55" t="str">
        <f>IF(A733&lt;&gt;"",INDEX('Base de données'!A$4:L$990,MATCH(' TVA M'!A738,'Base de données'!A$4:A$990,0),2),"")</f>
        <v/>
      </c>
      <c r="C733" s="55" t="str">
        <f>IF(A733&lt;&gt;"",INDEX('Base de données'!A$4:L$990,MATCH(' TVA M'!A738,'Base de données'!A$4:A$990,0),12),"")</f>
        <v/>
      </c>
    </row>
    <row r="734" spans="2:3" hidden="1" x14ac:dyDescent="0.25">
      <c r="B734" s="55" t="str">
        <f>IF(A734&lt;&gt;"",INDEX('Base de données'!A$4:L$990,MATCH(' TVA M'!A739,'Base de données'!A$4:A$990,0),2),"")</f>
        <v/>
      </c>
      <c r="C734" s="55" t="str">
        <f>IF(A734&lt;&gt;"",INDEX('Base de données'!A$4:L$990,MATCH(' TVA M'!A739,'Base de données'!A$4:A$990,0),12),"")</f>
        <v/>
      </c>
    </row>
    <row r="735" spans="2:3" hidden="1" x14ac:dyDescent="0.25">
      <c r="B735" s="55" t="str">
        <f>IF(A735&lt;&gt;"",INDEX('Base de données'!A$4:L$990,MATCH(' TVA M'!A740,'Base de données'!A$4:A$990,0),2),"")</f>
        <v/>
      </c>
      <c r="C735" s="55" t="str">
        <f>IF(A735&lt;&gt;"",INDEX('Base de données'!A$4:L$990,MATCH(' TVA M'!A740,'Base de données'!A$4:A$990,0),12),"")</f>
        <v/>
      </c>
    </row>
    <row r="736" spans="2:3" hidden="1" x14ac:dyDescent="0.25">
      <c r="B736" s="55" t="str">
        <f>IF(A736&lt;&gt;"",INDEX('Base de données'!A$4:L$990,MATCH(' TVA M'!A741,'Base de données'!A$4:A$990,0),2),"")</f>
        <v/>
      </c>
      <c r="C736" s="55" t="str">
        <f>IF(A736&lt;&gt;"",INDEX('Base de données'!A$4:L$990,MATCH(' TVA M'!A741,'Base de données'!A$4:A$990,0),12),"")</f>
        <v/>
      </c>
    </row>
    <row r="737" spans="2:3" hidden="1" x14ac:dyDescent="0.25">
      <c r="B737" s="55" t="str">
        <f>IF(A737&lt;&gt;"",INDEX('Base de données'!A$4:L$990,MATCH(' TVA M'!A742,'Base de données'!A$4:A$990,0),2),"")</f>
        <v/>
      </c>
      <c r="C737" s="55" t="str">
        <f>IF(A737&lt;&gt;"",INDEX('Base de données'!A$4:L$990,MATCH(' TVA M'!A742,'Base de données'!A$4:A$990,0),12),"")</f>
        <v/>
      </c>
    </row>
    <row r="738" spans="2:3" hidden="1" x14ac:dyDescent="0.25">
      <c r="B738" s="55" t="str">
        <f>IF(A738&lt;&gt;"",INDEX('Base de données'!A$4:L$990,MATCH(' TVA M'!A743,'Base de données'!A$4:A$990,0),2),"")</f>
        <v/>
      </c>
      <c r="C738" s="55" t="str">
        <f>IF(A738&lt;&gt;"",INDEX('Base de données'!A$4:L$990,MATCH(' TVA M'!A743,'Base de données'!A$4:A$990,0),12),"")</f>
        <v/>
      </c>
    </row>
    <row r="739" spans="2:3" hidden="1" x14ac:dyDescent="0.25">
      <c r="B739" s="55" t="str">
        <f>IF(A739&lt;&gt;"",INDEX('Base de données'!A$4:L$990,MATCH(' TVA M'!A744,'Base de données'!A$4:A$990,0),2),"")</f>
        <v/>
      </c>
      <c r="C739" s="55" t="str">
        <f>IF(A739&lt;&gt;"",INDEX('Base de données'!A$4:L$990,MATCH(' TVA M'!A744,'Base de données'!A$4:A$990,0),12),"")</f>
        <v/>
      </c>
    </row>
    <row r="740" spans="2:3" hidden="1" x14ac:dyDescent="0.25">
      <c r="B740" s="55" t="str">
        <f>IF(A740&lt;&gt;"",INDEX('Base de données'!A$4:L$990,MATCH(' TVA M'!A745,'Base de données'!A$4:A$990,0),2),"")</f>
        <v/>
      </c>
      <c r="C740" s="55" t="str">
        <f>IF(A740&lt;&gt;"",INDEX('Base de données'!A$4:L$990,MATCH(' TVA M'!A745,'Base de données'!A$4:A$990,0),12),"")</f>
        <v/>
      </c>
    </row>
    <row r="741" spans="2:3" hidden="1" x14ac:dyDescent="0.25">
      <c r="B741" s="55" t="str">
        <f>IF(A741&lt;&gt;"",INDEX('Base de données'!A$4:L$990,MATCH(' TVA M'!A746,'Base de données'!A$4:A$990,0),2),"")</f>
        <v/>
      </c>
      <c r="C741" s="55" t="str">
        <f>IF(A741&lt;&gt;"",INDEX('Base de données'!A$4:L$990,MATCH(' TVA M'!A746,'Base de données'!A$4:A$990,0),12),"")</f>
        <v/>
      </c>
    </row>
    <row r="742" spans="2:3" hidden="1" x14ac:dyDescent="0.25">
      <c r="B742" s="55" t="str">
        <f>IF(A742&lt;&gt;"",INDEX('Base de données'!A$4:L$990,MATCH(' TVA M'!A747,'Base de données'!A$4:A$990,0),2),"")</f>
        <v/>
      </c>
      <c r="C742" s="55" t="str">
        <f>IF(A742&lt;&gt;"",INDEX('Base de données'!A$4:L$990,MATCH(' TVA M'!A747,'Base de données'!A$4:A$990,0),12),"")</f>
        <v/>
      </c>
    </row>
    <row r="743" spans="2:3" hidden="1" x14ac:dyDescent="0.25">
      <c r="B743" s="55" t="str">
        <f>IF(A743&lt;&gt;"",INDEX('Base de données'!A$4:L$990,MATCH(' TVA M'!A748,'Base de données'!A$4:A$990,0),2),"")</f>
        <v/>
      </c>
      <c r="C743" s="55" t="str">
        <f>IF(A743&lt;&gt;"",INDEX('Base de données'!A$4:L$990,MATCH(' TVA M'!A748,'Base de données'!A$4:A$990,0),12),"")</f>
        <v/>
      </c>
    </row>
    <row r="744" spans="2:3" hidden="1" x14ac:dyDescent="0.25">
      <c r="B744" s="55" t="str">
        <f>IF(A744&lt;&gt;"",INDEX('Base de données'!A$4:L$990,MATCH(' TVA M'!A749,'Base de données'!A$4:A$990,0),2),"")</f>
        <v/>
      </c>
      <c r="C744" s="55" t="str">
        <f>IF(A744&lt;&gt;"",INDEX('Base de données'!A$4:L$990,MATCH(' TVA M'!A749,'Base de données'!A$4:A$990,0),12),"")</f>
        <v/>
      </c>
    </row>
    <row r="745" spans="2:3" hidden="1" x14ac:dyDescent="0.25">
      <c r="B745" s="55" t="str">
        <f>IF(A745&lt;&gt;"",INDEX('Base de données'!A$4:L$990,MATCH(' TVA M'!A750,'Base de données'!A$4:A$990,0),2),"")</f>
        <v/>
      </c>
      <c r="C745" s="55" t="str">
        <f>IF(A745&lt;&gt;"",INDEX('Base de données'!A$4:L$990,MATCH(' TVA M'!A750,'Base de données'!A$4:A$990,0),12),"")</f>
        <v/>
      </c>
    </row>
    <row r="746" spans="2:3" hidden="1" x14ac:dyDescent="0.25">
      <c r="B746" s="55" t="str">
        <f>IF(A746&lt;&gt;"",INDEX('Base de données'!A$4:L$990,MATCH(' TVA M'!A751,'Base de données'!A$4:A$990,0),2),"")</f>
        <v/>
      </c>
      <c r="C746" s="55" t="str">
        <f>IF(A746&lt;&gt;"",INDEX('Base de données'!A$4:L$990,MATCH(' TVA M'!A751,'Base de données'!A$4:A$990,0),12),"")</f>
        <v/>
      </c>
    </row>
    <row r="747" spans="2:3" hidden="1" x14ac:dyDescent="0.25">
      <c r="B747" s="55" t="str">
        <f>IF(A747&lt;&gt;"",INDEX('Base de données'!A$4:L$990,MATCH(' TVA M'!A752,'Base de données'!A$4:A$990,0),2),"")</f>
        <v/>
      </c>
      <c r="C747" s="55" t="str">
        <f>IF(A747&lt;&gt;"",INDEX('Base de données'!A$4:L$990,MATCH(' TVA M'!A752,'Base de données'!A$4:A$990,0),12),"")</f>
        <v/>
      </c>
    </row>
    <row r="748" spans="2:3" hidden="1" x14ac:dyDescent="0.25">
      <c r="B748" s="55" t="str">
        <f>IF(A748&lt;&gt;"",INDEX('Base de données'!A$4:L$990,MATCH(' TVA M'!A753,'Base de données'!A$4:A$990,0),2),"")</f>
        <v/>
      </c>
      <c r="C748" s="55" t="str">
        <f>IF(A748&lt;&gt;"",INDEX('Base de données'!A$4:L$990,MATCH(' TVA M'!A753,'Base de données'!A$4:A$990,0),12),"")</f>
        <v/>
      </c>
    </row>
    <row r="749" spans="2:3" hidden="1" x14ac:dyDescent="0.25">
      <c r="B749" s="55" t="str">
        <f>IF(A749&lt;&gt;"",INDEX('Base de données'!A$4:L$990,MATCH(' TVA M'!A754,'Base de données'!A$4:A$990,0),2),"")</f>
        <v/>
      </c>
      <c r="C749" s="55" t="str">
        <f>IF(A749&lt;&gt;"",INDEX('Base de données'!A$4:L$990,MATCH(' TVA M'!A754,'Base de données'!A$4:A$990,0),12),"")</f>
        <v/>
      </c>
    </row>
    <row r="750" spans="2:3" hidden="1" x14ac:dyDescent="0.25">
      <c r="B750" s="55" t="str">
        <f>IF(A750&lt;&gt;"",INDEX('Base de données'!A$4:L$990,MATCH(' TVA M'!A755,'Base de données'!A$4:A$990,0),2),"")</f>
        <v/>
      </c>
      <c r="C750" s="55" t="str">
        <f>IF(A750&lt;&gt;"",INDEX('Base de données'!A$4:L$990,MATCH(' TVA M'!A755,'Base de données'!A$4:A$990,0),12),"")</f>
        <v/>
      </c>
    </row>
    <row r="751" spans="2:3" hidden="1" x14ac:dyDescent="0.25">
      <c r="B751" s="55" t="str">
        <f>IF(A751&lt;&gt;"",INDEX('Base de données'!A$4:L$990,MATCH(' TVA M'!A756,'Base de données'!A$4:A$990,0),2),"")</f>
        <v/>
      </c>
      <c r="C751" s="55" t="str">
        <f>IF(A751&lt;&gt;"",INDEX('Base de données'!A$4:L$990,MATCH(' TVA M'!A756,'Base de données'!A$4:A$990,0),12),"")</f>
        <v/>
      </c>
    </row>
    <row r="752" spans="2:3" hidden="1" x14ac:dyDescent="0.25">
      <c r="B752" s="55" t="str">
        <f>IF(A752&lt;&gt;"",INDEX('Base de données'!A$4:L$990,MATCH(' TVA M'!A757,'Base de données'!A$4:A$990,0),2),"")</f>
        <v/>
      </c>
      <c r="C752" s="55" t="str">
        <f>IF(A752&lt;&gt;"",INDEX('Base de données'!A$4:L$990,MATCH(' TVA M'!A757,'Base de données'!A$4:A$990,0),12),"")</f>
        <v/>
      </c>
    </row>
    <row r="753" spans="2:3" hidden="1" x14ac:dyDescent="0.25">
      <c r="B753" s="55" t="str">
        <f>IF(A753&lt;&gt;"",INDEX('Base de données'!A$4:L$990,MATCH(' TVA M'!A758,'Base de données'!A$4:A$990,0),2),"")</f>
        <v/>
      </c>
      <c r="C753" s="55" t="str">
        <f>IF(A753&lt;&gt;"",INDEX('Base de données'!A$4:L$990,MATCH(' TVA M'!A758,'Base de données'!A$4:A$990,0),12),"")</f>
        <v/>
      </c>
    </row>
    <row r="754" spans="2:3" hidden="1" x14ac:dyDescent="0.25">
      <c r="B754" s="55" t="str">
        <f>IF(A754&lt;&gt;"",INDEX('Base de données'!A$4:L$990,MATCH(' TVA M'!A759,'Base de données'!A$4:A$990,0),2),"")</f>
        <v/>
      </c>
      <c r="C754" s="55" t="str">
        <f>IF(A754&lt;&gt;"",INDEX('Base de données'!A$4:L$990,MATCH(' TVA M'!A759,'Base de données'!A$4:A$990,0),12),"")</f>
        <v/>
      </c>
    </row>
    <row r="755" spans="2:3" hidden="1" x14ac:dyDescent="0.25">
      <c r="B755" s="55" t="str">
        <f>IF(A755&lt;&gt;"",INDEX('Base de données'!A$4:L$990,MATCH(' TVA M'!A760,'Base de données'!A$4:A$990,0),2),"")</f>
        <v/>
      </c>
      <c r="C755" s="55" t="str">
        <f>IF(A755&lt;&gt;"",INDEX('Base de données'!A$4:L$990,MATCH(' TVA M'!A760,'Base de données'!A$4:A$990,0),12),"")</f>
        <v/>
      </c>
    </row>
    <row r="756" spans="2:3" hidden="1" x14ac:dyDescent="0.25">
      <c r="B756" s="55" t="str">
        <f>IF(A756&lt;&gt;"",INDEX('Base de données'!A$4:L$990,MATCH(' TVA M'!A761,'Base de données'!A$4:A$990,0),2),"")</f>
        <v/>
      </c>
      <c r="C756" s="55" t="str">
        <f>IF(A756&lt;&gt;"",INDEX('Base de données'!A$4:L$990,MATCH(' TVA M'!A761,'Base de données'!A$4:A$990,0),12),"")</f>
        <v/>
      </c>
    </row>
    <row r="757" spans="2:3" hidden="1" x14ac:dyDescent="0.25">
      <c r="B757" s="55" t="str">
        <f>IF(A757&lt;&gt;"",INDEX('Base de données'!A$4:L$990,MATCH(' TVA M'!A762,'Base de données'!A$4:A$990,0),2),"")</f>
        <v/>
      </c>
      <c r="C757" s="55" t="str">
        <f>IF(A757&lt;&gt;"",INDEX('Base de données'!A$4:L$990,MATCH(' TVA M'!A762,'Base de données'!A$4:A$990,0),12),"")</f>
        <v/>
      </c>
    </row>
    <row r="758" spans="2:3" hidden="1" x14ac:dyDescent="0.25">
      <c r="B758" s="55" t="str">
        <f>IF(A758&lt;&gt;"",INDEX('Base de données'!A$4:L$990,MATCH(' TVA M'!A763,'Base de données'!A$4:A$990,0),2),"")</f>
        <v/>
      </c>
      <c r="C758" s="55" t="str">
        <f>IF(A758&lt;&gt;"",INDEX('Base de données'!A$4:L$990,MATCH(' TVA M'!A763,'Base de données'!A$4:A$990,0),12),"")</f>
        <v/>
      </c>
    </row>
    <row r="759" spans="2:3" hidden="1" x14ac:dyDescent="0.25">
      <c r="B759" s="55" t="str">
        <f>IF(A759&lt;&gt;"",INDEX('Base de données'!A$4:L$990,MATCH(' TVA M'!A764,'Base de données'!A$4:A$990,0),2),"")</f>
        <v/>
      </c>
      <c r="C759" s="55" t="str">
        <f>IF(A759&lt;&gt;"",INDEX('Base de données'!A$4:L$990,MATCH(' TVA M'!A764,'Base de données'!A$4:A$990,0),12),"")</f>
        <v/>
      </c>
    </row>
    <row r="760" spans="2:3" hidden="1" x14ac:dyDescent="0.25">
      <c r="B760" s="55" t="str">
        <f>IF(A760&lt;&gt;"",INDEX('Base de données'!A$4:L$990,MATCH(' TVA M'!A765,'Base de données'!A$4:A$990,0),2),"")</f>
        <v/>
      </c>
      <c r="C760" s="55" t="str">
        <f>IF(A760&lt;&gt;"",INDEX('Base de données'!A$4:L$990,MATCH(' TVA M'!A765,'Base de données'!A$4:A$990,0),12),"")</f>
        <v/>
      </c>
    </row>
    <row r="761" spans="2:3" hidden="1" x14ac:dyDescent="0.25">
      <c r="B761" s="55" t="str">
        <f>IF(A761&lt;&gt;"",INDEX('Base de données'!A$4:L$990,MATCH(' TVA M'!A766,'Base de données'!A$4:A$990,0),2),"")</f>
        <v/>
      </c>
      <c r="C761" s="55" t="str">
        <f>IF(A761&lt;&gt;"",INDEX('Base de données'!A$4:L$990,MATCH(' TVA M'!A766,'Base de données'!A$4:A$990,0),12),"")</f>
        <v/>
      </c>
    </row>
    <row r="762" spans="2:3" hidden="1" x14ac:dyDescent="0.25">
      <c r="B762" s="55" t="str">
        <f>IF(A762&lt;&gt;"",INDEX('Base de données'!A$4:L$990,MATCH(' TVA M'!A767,'Base de données'!A$4:A$990,0),2),"")</f>
        <v/>
      </c>
      <c r="C762" s="55" t="str">
        <f>IF(A762&lt;&gt;"",INDEX('Base de données'!A$4:L$990,MATCH(' TVA M'!A767,'Base de données'!A$4:A$990,0),12),"")</f>
        <v/>
      </c>
    </row>
    <row r="763" spans="2:3" hidden="1" x14ac:dyDescent="0.25">
      <c r="B763" s="55" t="str">
        <f>IF(A763&lt;&gt;"",INDEX('Base de données'!A$4:L$990,MATCH(' TVA M'!A768,'Base de données'!A$4:A$990,0),2),"")</f>
        <v/>
      </c>
      <c r="C763" s="55" t="str">
        <f>IF(A763&lt;&gt;"",INDEX('Base de données'!A$4:L$990,MATCH(' TVA M'!A768,'Base de données'!A$4:A$990,0),12),"")</f>
        <v/>
      </c>
    </row>
    <row r="764" spans="2:3" hidden="1" x14ac:dyDescent="0.25">
      <c r="B764" s="55" t="str">
        <f>IF(A764&lt;&gt;"",INDEX('Base de données'!A$4:L$990,MATCH(' TVA M'!A769,'Base de données'!A$4:A$990,0),2),"")</f>
        <v/>
      </c>
      <c r="C764" s="55" t="str">
        <f>IF(A764&lt;&gt;"",INDEX('Base de données'!A$4:L$990,MATCH(' TVA M'!A769,'Base de données'!A$4:A$990,0),12),"")</f>
        <v/>
      </c>
    </row>
    <row r="765" spans="2:3" hidden="1" x14ac:dyDescent="0.25">
      <c r="B765" s="55" t="str">
        <f>IF(A765&lt;&gt;"",INDEX('Base de données'!A$4:L$990,MATCH(' TVA M'!A770,'Base de données'!A$4:A$990,0),2),"")</f>
        <v/>
      </c>
      <c r="C765" s="55" t="str">
        <f>IF(A765&lt;&gt;"",INDEX('Base de données'!A$4:L$990,MATCH(' TVA M'!A770,'Base de données'!A$4:A$990,0),12),"")</f>
        <v/>
      </c>
    </row>
    <row r="766" spans="2:3" hidden="1" x14ac:dyDescent="0.25">
      <c r="B766" s="55" t="str">
        <f>IF(A766&lt;&gt;"",INDEX('Base de données'!A$4:L$990,MATCH(' TVA M'!A771,'Base de données'!A$4:A$990,0),2),"")</f>
        <v/>
      </c>
      <c r="C766" s="55" t="str">
        <f>IF(A766&lt;&gt;"",INDEX('Base de données'!A$4:L$990,MATCH(' TVA M'!A771,'Base de données'!A$4:A$990,0),12),"")</f>
        <v/>
      </c>
    </row>
    <row r="767" spans="2:3" hidden="1" x14ac:dyDescent="0.25">
      <c r="B767" s="55" t="str">
        <f>IF(A767&lt;&gt;"",INDEX('Base de données'!A$4:L$990,MATCH(' TVA M'!A772,'Base de données'!A$4:A$990,0),2),"")</f>
        <v/>
      </c>
      <c r="C767" s="55" t="str">
        <f>IF(A767&lt;&gt;"",INDEX('Base de données'!A$4:L$990,MATCH(' TVA M'!A772,'Base de données'!A$4:A$990,0),12),"")</f>
        <v/>
      </c>
    </row>
    <row r="768" spans="2:3" hidden="1" x14ac:dyDescent="0.25">
      <c r="B768" s="55" t="str">
        <f>IF(A768&lt;&gt;"",INDEX('Base de données'!A$4:L$990,MATCH(' TVA M'!A773,'Base de données'!A$4:A$990,0),2),"")</f>
        <v/>
      </c>
      <c r="C768" s="55" t="str">
        <f>IF(A768&lt;&gt;"",INDEX('Base de données'!A$4:L$990,MATCH(' TVA M'!A773,'Base de données'!A$4:A$990,0),12),"")</f>
        <v/>
      </c>
    </row>
    <row r="769" spans="2:3" hidden="1" x14ac:dyDescent="0.25">
      <c r="B769" s="55" t="str">
        <f>IF(A769&lt;&gt;"",INDEX('Base de données'!A$4:L$990,MATCH(' TVA M'!A774,'Base de données'!A$4:A$990,0),2),"")</f>
        <v/>
      </c>
      <c r="C769" s="55" t="str">
        <f>IF(A769&lt;&gt;"",INDEX('Base de données'!A$4:L$990,MATCH(' TVA M'!A774,'Base de données'!A$4:A$990,0),12),"")</f>
        <v/>
      </c>
    </row>
    <row r="770" spans="2:3" hidden="1" x14ac:dyDescent="0.25">
      <c r="B770" s="55" t="str">
        <f>IF(A770&lt;&gt;"",INDEX('Base de données'!A$4:L$990,MATCH(' TVA M'!A775,'Base de données'!A$4:A$990,0),2),"")</f>
        <v/>
      </c>
      <c r="C770" s="55" t="str">
        <f>IF(A770&lt;&gt;"",INDEX('Base de données'!A$4:L$990,MATCH(' TVA M'!A775,'Base de données'!A$4:A$990,0),12),"")</f>
        <v/>
      </c>
    </row>
    <row r="771" spans="2:3" hidden="1" x14ac:dyDescent="0.25">
      <c r="B771" s="55" t="str">
        <f>IF(A771&lt;&gt;"",INDEX('Base de données'!A$4:L$990,MATCH(' TVA M'!A776,'Base de données'!A$4:A$990,0),2),"")</f>
        <v/>
      </c>
      <c r="C771" s="55" t="str">
        <f>IF(A771&lt;&gt;"",INDEX('Base de données'!A$4:L$990,MATCH(' TVA M'!A776,'Base de données'!A$4:A$990,0),12),"")</f>
        <v/>
      </c>
    </row>
    <row r="772" spans="2:3" hidden="1" x14ac:dyDescent="0.25">
      <c r="B772" s="55" t="str">
        <f>IF(A772&lt;&gt;"",INDEX('Base de données'!A$4:L$990,MATCH(' TVA M'!A777,'Base de données'!A$4:A$990,0),2),"")</f>
        <v/>
      </c>
      <c r="C772" s="55" t="str">
        <f>IF(A772&lt;&gt;"",INDEX('Base de données'!A$4:L$990,MATCH(' TVA M'!A777,'Base de données'!A$4:A$990,0),12),"")</f>
        <v/>
      </c>
    </row>
    <row r="773" spans="2:3" hidden="1" x14ac:dyDescent="0.25">
      <c r="B773" s="55" t="str">
        <f>IF(A773&lt;&gt;"",INDEX('Base de données'!A$4:L$990,MATCH(' TVA M'!A778,'Base de données'!A$4:A$990,0),2),"")</f>
        <v/>
      </c>
      <c r="C773" s="55" t="str">
        <f>IF(A773&lt;&gt;"",INDEX('Base de données'!A$4:L$990,MATCH(' TVA M'!A778,'Base de données'!A$4:A$990,0),12),"")</f>
        <v/>
      </c>
    </row>
    <row r="774" spans="2:3" hidden="1" x14ac:dyDescent="0.25">
      <c r="B774" s="55" t="str">
        <f>IF(A774&lt;&gt;"",INDEX('Base de données'!A$4:L$990,MATCH(' TVA M'!A779,'Base de données'!A$4:A$990,0),2),"")</f>
        <v/>
      </c>
      <c r="C774" s="55" t="str">
        <f>IF(A774&lt;&gt;"",INDEX('Base de données'!A$4:L$990,MATCH(' TVA M'!A779,'Base de données'!A$4:A$990,0),12),"")</f>
        <v/>
      </c>
    </row>
    <row r="775" spans="2:3" hidden="1" x14ac:dyDescent="0.25">
      <c r="B775" s="55" t="str">
        <f>IF(A775&lt;&gt;"",INDEX('Base de données'!A$4:L$990,MATCH(' TVA M'!A780,'Base de données'!A$4:A$990,0),2),"")</f>
        <v/>
      </c>
      <c r="C775" s="55" t="str">
        <f>IF(A775&lt;&gt;"",INDEX('Base de données'!A$4:L$990,MATCH(' TVA M'!A780,'Base de données'!A$4:A$990,0),12),"")</f>
        <v/>
      </c>
    </row>
    <row r="776" spans="2:3" hidden="1" x14ac:dyDescent="0.25">
      <c r="B776" s="55" t="str">
        <f>IF(A776&lt;&gt;"",INDEX('Base de données'!A$4:L$990,MATCH(' TVA M'!A781,'Base de données'!A$4:A$990,0),2),"")</f>
        <v/>
      </c>
      <c r="C776" s="55" t="str">
        <f>IF(A776&lt;&gt;"",INDEX('Base de données'!A$4:L$990,MATCH(' TVA M'!A781,'Base de données'!A$4:A$990,0),12),"")</f>
        <v/>
      </c>
    </row>
    <row r="777" spans="2:3" hidden="1" x14ac:dyDescent="0.25">
      <c r="B777" s="55" t="str">
        <f>IF(A777&lt;&gt;"",INDEX('Base de données'!A$4:L$990,MATCH(' TVA M'!A782,'Base de données'!A$4:A$990,0),2),"")</f>
        <v/>
      </c>
      <c r="C777" s="55" t="str">
        <f>IF(A777&lt;&gt;"",INDEX('Base de données'!A$4:L$990,MATCH(' TVA M'!A782,'Base de données'!A$4:A$990,0),12),"")</f>
        <v/>
      </c>
    </row>
    <row r="778" spans="2:3" hidden="1" x14ac:dyDescent="0.25">
      <c r="B778" s="55" t="str">
        <f>IF(A778&lt;&gt;"",INDEX('Base de données'!A$4:L$990,MATCH(' TVA M'!A783,'Base de données'!A$4:A$990,0),2),"")</f>
        <v/>
      </c>
      <c r="C778" s="55" t="str">
        <f>IF(A778&lt;&gt;"",INDEX('Base de données'!A$4:L$990,MATCH(' TVA M'!A783,'Base de données'!A$4:A$990,0),12),"")</f>
        <v/>
      </c>
    </row>
    <row r="779" spans="2:3" hidden="1" x14ac:dyDescent="0.25">
      <c r="B779" s="55" t="str">
        <f>IF(A779&lt;&gt;"",INDEX('Base de données'!A$4:L$990,MATCH(' TVA M'!A784,'Base de données'!A$4:A$990,0),2),"")</f>
        <v/>
      </c>
      <c r="C779" s="55" t="str">
        <f>IF(A779&lt;&gt;"",INDEX('Base de données'!A$4:L$990,MATCH(' TVA M'!A784,'Base de données'!A$4:A$990,0),12),"")</f>
        <v/>
      </c>
    </row>
    <row r="780" spans="2:3" hidden="1" x14ac:dyDescent="0.25">
      <c r="B780" s="55" t="str">
        <f>IF(A780&lt;&gt;"",INDEX('Base de données'!A$4:L$990,MATCH(' TVA M'!A785,'Base de données'!A$4:A$990,0),2),"")</f>
        <v/>
      </c>
      <c r="C780" s="55" t="str">
        <f>IF(A780&lt;&gt;"",INDEX('Base de données'!A$4:L$990,MATCH(' TVA M'!A785,'Base de données'!A$4:A$990,0),12),"")</f>
        <v/>
      </c>
    </row>
    <row r="781" spans="2:3" hidden="1" x14ac:dyDescent="0.25">
      <c r="B781" s="55" t="str">
        <f>IF(A781&lt;&gt;"",INDEX('Base de données'!A$4:L$990,MATCH(' TVA M'!A786,'Base de données'!A$4:A$990,0),2),"")</f>
        <v/>
      </c>
      <c r="C781" s="55" t="str">
        <f>IF(A781&lt;&gt;"",INDEX('Base de données'!A$4:L$990,MATCH(' TVA M'!A786,'Base de données'!A$4:A$990,0),12),"")</f>
        <v/>
      </c>
    </row>
    <row r="782" spans="2:3" hidden="1" x14ac:dyDescent="0.25">
      <c r="B782" s="55" t="str">
        <f>IF(A782&lt;&gt;"",INDEX('Base de données'!A$4:L$990,MATCH(' TVA M'!A787,'Base de données'!A$4:A$990,0),2),"")</f>
        <v/>
      </c>
      <c r="C782" s="55" t="str">
        <f>IF(A782&lt;&gt;"",INDEX('Base de données'!A$4:L$990,MATCH(' TVA M'!A787,'Base de données'!A$4:A$990,0),12),"")</f>
        <v/>
      </c>
    </row>
    <row r="783" spans="2:3" hidden="1" x14ac:dyDescent="0.25">
      <c r="B783" s="55" t="str">
        <f>IF(A783&lt;&gt;"",INDEX('Base de données'!A$4:L$990,MATCH(' TVA M'!A788,'Base de données'!A$4:A$990,0),2),"")</f>
        <v/>
      </c>
      <c r="C783" s="55" t="str">
        <f>IF(A783&lt;&gt;"",INDEX('Base de données'!A$4:L$990,MATCH(' TVA M'!A788,'Base de données'!A$4:A$990,0),12),"")</f>
        <v/>
      </c>
    </row>
    <row r="784" spans="2:3" hidden="1" x14ac:dyDescent="0.25">
      <c r="B784" s="55" t="str">
        <f>IF(A784&lt;&gt;"",INDEX('Base de données'!A$4:L$990,MATCH(' TVA M'!A789,'Base de données'!A$4:A$990,0),2),"")</f>
        <v/>
      </c>
      <c r="C784" s="55" t="str">
        <f>IF(A784&lt;&gt;"",INDEX('Base de données'!A$4:L$990,MATCH(' TVA M'!A789,'Base de données'!A$4:A$990,0),12),"")</f>
        <v/>
      </c>
    </row>
    <row r="785" spans="2:3" hidden="1" x14ac:dyDescent="0.25">
      <c r="B785" s="55" t="str">
        <f>IF(A785&lt;&gt;"",INDEX('Base de données'!A$4:L$990,MATCH(' TVA M'!A790,'Base de données'!A$4:A$990,0),2),"")</f>
        <v/>
      </c>
      <c r="C785" s="55" t="str">
        <f>IF(A785&lt;&gt;"",INDEX('Base de données'!A$4:L$990,MATCH(' TVA M'!A790,'Base de données'!A$4:A$990,0),12),"")</f>
        <v/>
      </c>
    </row>
    <row r="786" spans="2:3" hidden="1" x14ac:dyDescent="0.25">
      <c r="B786" s="55" t="str">
        <f>IF(A786&lt;&gt;"",INDEX('Base de données'!A$4:L$990,MATCH(' TVA M'!A791,'Base de données'!A$4:A$990,0),2),"")</f>
        <v/>
      </c>
      <c r="C786" s="55" t="str">
        <f>IF(A786&lt;&gt;"",INDEX('Base de données'!A$4:L$990,MATCH(' TVA M'!A791,'Base de données'!A$4:A$990,0),12),"")</f>
        <v/>
      </c>
    </row>
    <row r="787" spans="2:3" hidden="1" x14ac:dyDescent="0.25">
      <c r="B787" s="55" t="str">
        <f>IF(A787&lt;&gt;"",INDEX('Base de données'!A$4:L$990,MATCH(' TVA M'!A792,'Base de données'!A$4:A$990,0),2),"")</f>
        <v/>
      </c>
      <c r="C787" s="55" t="str">
        <f>IF(A787&lt;&gt;"",INDEX('Base de données'!A$4:L$990,MATCH(' TVA M'!A792,'Base de données'!A$4:A$990,0),12),"")</f>
        <v/>
      </c>
    </row>
    <row r="788" spans="2:3" hidden="1" x14ac:dyDescent="0.25">
      <c r="B788" s="55" t="str">
        <f>IF(A788&lt;&gt;"",INDEX('Base de données'!A$4:L$990,MATCH(' TVA M'!A793,'Base de données'!A$4:A$990,0),2),"")</f>
        <v/>
      </c>
      <c r="C788" s="55" t="str">
        <f>IF(A788&lt;&gt;"",INDEX('Base de données'!A$4:L$990,MATCH(' TVA M'!A793,'Base de données'!A$4:A$990,0),12),"")</f>
        <v/>
      </c>
    </row>
    <row r="789" spans="2:3" hidden="1" x14ac:dyDescent="0.25">
      <c r="B789" s="55" t="str">
        <f>IF(A789&lt;&gt;"",INDEX('Base de données'!A$4:L$990,MATCH(' TVA M'!A794,'Base de données'!A$4:A$990,0),2),"")</f>
        <v/>
      </c>
      <c r="C789" s="55" t="str">
        <f>IF(A789&lt;&gt;"",INDEX('Base de données'!A$4:L$990,MATCH(' TVA M'!A794,'Base de données'!A$4:A$990,0),12),"")</f>
        <v/>
      </c>
    </row>
    <row r="790" spans="2:3" hidden="1" x14ac:dyDescent="0.25">
      <c r="B790" s="55" t="str">
        <f>IF(A790&lt;&gt;"",INDEX('Base de données'!A$4:L$990,MATCH(' TVA M'!A795,'Base de données'!A$4:A$990,0),2),"")</f>
        <v/>
      </c>
      <c r="C790" s="55" t="str">
        <f>IF(A790&lt;&gt;"",INDEX('Base de données'!A$4:L$990,MATCH(' TVA M'!A795,'Base de données'!A$4:A$990,0),12),"")</f>
        <v/>
      </c>
    </row>
    <row r="791" spans="2:3" hidden="1" x14ac:dyDescent="0.25">
      <c r="B791" s="55" t="str">
        <f>IF(A791&lt;&gt;"",INDEX('Base de données'!A$4:L$990,MATCH(' TVA M'!A796,'Base de données'!A$4:A$990,0),2),"")</f>
        <v/>
      </c>
      <c r="C791" s="55" t="str">
        <f>IF(A791&lt;&gt;"",INDEX('Base de données'!A$4:L$990,MATCH(' TVA M'!A796,'Base de données'!A$4:A$990,0),12),"")</f>
        <v/>
      </c>
    </row>
    <row r="792" spans="2:3" hidden="1" x14ac:dyDescent="0.25">
      <c r="B792" s="55" t="str">
        <f>IF(A792&lt;&gt;"",INDEX('Base de données'!A$4:L$990,MATCH(' TVA M'!A797,'Base de données'!A$4:A$990,0),2),"")</f>
        <v/>
      </c>
      <c r="C792" s="55" t="str">
        <f>IF(A792&lt;&gt;"",INDEX('Base de données'!A$4:L$990,MATCH(' TVA M'!A797,'Base de données'!A$4:A$990,0),12),"")</f>
        <v/>
      </c>
    </row>
    <row r="793" spans="2:3" hidden="1" x14ac:dyDescent="0.25">
      <c r="B793" s="55" t="str">
        <f>IF(A793&lt;&gt;"",INDEX('Base de données'!A$4:L$990,MATCH(' TVA M'!A798,'Base de données'!A$4:A$990,0),2),"")</f>
        <v/>
      </c>
      <c r="C793" s="55" t="str">
        <f>IF(A793&lt;&gt;"",INDEX('Base de données'!A$4:L$990,MATCH(' TVA M'!A798,'Base de données'!A$4:A$990,0),12),"")</f>
        <v/>
      </c>
    </row>
    <row r="794" spans="2:3" hidden="1" x14ac:dyDescent="0.25">
      <c r="B794" s="55" t="str">
        <f>IF(A794&lt;&gt;"",INDEX('Base de données'!A$4:L$990,MATCH(' TVA M'!A799,'Base de données'!A$4:A$990,0),2),"")</f>
        <v/>
      </c>
      <c r="C794" s="55" t="str">
        <f>IF(A794&lt;&gt;"",INDEX('Base de données'!A$4:L$990,MATCH(' TVA M'!A799,'Base de données'!A$4:A$990,0),12),"")</f>
        <v/>
      </c>
    </row>
    <row r="795" spans="2:3" hidden="1" x14ac:dyDescent="0.25">
      <c r="B795" s="55" t="str">
        <f>IF(A795&lt;&gt;"",INDEX('Base de données'!A$4:L$990,MATCH(' TVA M'!A800,'Base de données'!A$4:A$990,0),2),"")</f>
        <v/>
      </c>
      <c r="C795" s="55" t="str">
        <f>IF(A795&lt;&gt;"",INDEX('Base de données'!A$4:L$990,MATCH(' TVA M'!A800,'Base de données'!A$4:A$990,0),12),"")</f>
        <v/>
      </c>
    </row>
    <row r="796" spans="2:3" hidden="1" x14ac:dyDescent="0.25">
      <c r="B796" s="55" t="str">
        <f>IF(A796&lt;&gt;"",INDEX('Base de données'!A$4:L$990,MATCH(' TVA M'!A801,'Base de données'!A$4:A$990,0),2),"")</f>
        <v/>
      </c>
      <c r="C796" s="55" t="str">
        <f>IF(A796&lt;&gt;"",INDEX('Base de données'!A$4:L$990,MATCH(' TVA M'!A801,'Base de données'!A$4:A$990,0),12),"")</f>
        <v/>
      </c>
    </row>
    <row r="797" spans="2:3" hidden="1" x14ac:dyDescent="0.25">
      <c r="B797" s="55" t="str">
        <f>IF(A797&lt;&gt;"",INDEX('Base de données'!A$4:L$990,MATCH(' TVA M'!A802,'Base de données'!A$4:A$990,0),2),"")</f>
        <v/>
      </c>
      <c r="C797" s="55" t="str">
        <f>IF(A797&lt;&gt;"",INDEX('Base de données'!A$4:L$990,MATCH(' TVA M'!A802,'Base de données'!A$4:A$990,0),12),"")</f>
        <v/>
      </c>
    </row>
    <row r="798" spans="2:3" hidden="1" x14ac:dyDescent="0.25">
      <c r="B798" s="55" t="str">
        <f>IF(A798&lt;&gt;"",INDEX('Base de données'!A$4:L$990,MATCH(' TVA M'!A803,'Base de données'!A$4:A$990,0),2),"")</f>
        <v/>
      </c>
      <c r="C798" s="55" t="str">
        <f>IF(A798&lt;&gt;"",INDEX('Base de données'!A$4:L$990,MATCH(' TVA M'!A803,'Base de données'!A$4:A$990,0),12),"")</f>
        <v/>
      </c>
    </row>
    <row r="799" spans="2:3" hidden="1" x14ac:dyDescent="0.25">
      <c r="B799" s="55" t="str">
        <f>IF(A799&lt;&gt;"",INDEX('Base de données'!A$4:L$990,MATCH(' TVA M'!A804,'Base de données'!A$4:A$990,0),2),"")</f>
        <v/>
      </c>
      <c r="C799" s="55" t="str">
        <f>IF(A799&lt;&gt;"",INDEX('Base de données'!A$4:L$990,MATCH(' TVA M'!A804,'Base de données'!A$4:A$990,0),12),"")</f>
        <v/>
      </c>
    </row>
    <row r="800" spans="2:3" hidden="1" x14ac:dyDescent="0.25">
      <c r="B800" s="55" t="str">
        <f>IF(A800&lt;&gt;"",INDEX('Base de données'!A$4:L$990,MATCH(' TVA M'!A805,'Base de données'!A$4:A$990,0),2),"")</f>
        <v/>
      </c>
      <c r="C800" s="55" t="str">
        <f>IF(A800&lt;&gt;"",INDEX('Base de données'!A$4:L$990,MATCH(' TVA M'!A805,'Base de données'!A$4:A$990,0),12),"")</f>
        <v/>
      </c>
    </row>
    <row r="801" spans="2:3" hidden="1" x14ac:dyDescent="0.25">
      <c r="B801" s="55" t="str">
        <f>IF(A801&lt;&gt;"",INDEX('Base de données'!A$4:L$990,MATCH(' TVA M'!A806,'Base de données'!A$4:A$990,0),2),"")</f>
        <v/>
      </c>
      <c r="C801" s="55" t="str">
        <f>IF(A801&lt;&gt;"",INDEX('Base de données'!A$4:L$990,MATCH(' TVA M'!A806,'Base de données'!A$4:A$990,0),12),"")</f>
        <v/>
      </c>
    </row>
    <row r="802" spans="2:3" hidden="1" x14ac:dyDescent="0.25">
      <c r="B802" s="55" t="str">
        <f>IF(A802&lt;&gt;"",INDEX('Base de données'!A$4:L$990,MATCH(' TVA M'!A807,'Base de données'!A$4:A$990,0),2),"")</f>
        <v/>
      </c>
      <c r="C802" s="55" t="str">
        <f>IF(A802&lt;&gt;"",INDEX('Base de données'!A$4:L$990,MATCH(' TVA M'!A807,'Base de données'!A$4:A$990,0),12),"")</f>
        <v/>
      </c>
    </row>
    <row r="803" spans="2:3" hidden="1" x14ac:dyDescent="0.25">
      <c r="B803" s="55" t="str">
        <f>IF(A803&lt;&gt;"",INDEX('Base de données'!A$4:L$990,MATCH(' TVA M'!A808,'Base de données'!A$4:A$990,0),2),"")</f>
        <v/>
      </c>
      <c r="C803" s="55" t="str">
        <f>IF(A803&lt;&gt;"",INDEX('Base de données'!A$4:L$990,MATCH(' TVA M'!A808,'Base de données'!A$4:A$990,0),12),"")</f>
        <v/>
      </c>
    </row>
    <row r="804" spans="2:3" hidden="1" x14ac:dyDescent="0.25">
      <c r="B804" s="55" t="str">
        <f>IF(A804&lt;&gt;"",INDEX('Base de données'!A$4:L$990,MATCH(' TVA M'!A809,'Base de données'!A$4:A$990,0),2),"")</f>
        <v/>
      </c>
      <c r="C804" s="55" t="str">
        <f>IF(A804&lt;&gt;"",INDEX('Base de données'!A$4:L$990,MATCH(' TVA M'!A809,'Base de données'!A$4:A$990,0),12),"")</f>
        <v/>
      </c>
    </row>
    <row r="805" spans="2:3" hidden="1" x14ac:dyDescent="0.25">
      <c r="B805" s="55" t="str">
        <f>IF(A805&lt;&gt;"",INDEX('Base de données'!A$4:L$990,MATCH(' TVA M'!A810,'Base de données'!A$4:A$990,0),2),"")</f>
        <v/>
      </c>
      <c r="C805" s="55" t="str">
        <f>IF(A805&lt;&gt;"",INDEX('Base de données'!A$4:L$990,MATCH(' TVA M'!A810,'Base de données'!A$4:A$990,0),12),"")</f>
        <v/>
      </c>
    </row>
    <row r="806" spans="2:3" hidden="1" x14ac:dyDescent="0.25">
      <c r="B806" s="55" t="str">
        <f>IF(A806&lt;&gt;"",INDEX('Base de données'!A$4:L$990,MATCH(' TVA M'!A811,'Base de données'!A$4:A$990,0),2),"")</f>
        <v/>
      </c>
      <c r="C806" s="55" t="str">
        <f>IF(A806&lt;&gt;"",INDEX('Base de données'!A$4:L$990,MATCH(' TVA M'!A811,'Base de données'!A$4:A$990,0),12),"")</f>
        <v/>
      </c>
    </row>
    <row r="807" spans="2:3" hidden="1" x14ac:dyDescent="0.25">
      <c r="B807" s="55" t="str">
        <f>IF(A807&lt;&gt;"",INDEX('Base de données'!A$4:L$990,MATCH(' TVA M'!A812,'Base de données'!A$4:A$990,0),2),"")</f>
        <v/>
      </c>
      <c r="C807" s="55" t="str">
        <f>IF(A807&lt;&gt;"",INDEX('Base de données'!A$4:L$990,MATCH(' TVA M'!A812,'Base de données'!A$4:A$990,0),12),"")</f>
        <v/>
      </c>
    </row>
    <row r="808" spans="2:3" hidden="1" x14ac:dyDescent="0.25">
      <c r="B808" s="55" t="str">
        <f>IF(A808&lt;&gt;"",INDEX('Base de données'!A$4:L$990,MATCH(' TVA M'!A813,'Base de données'!A$4:A$990,0),2),"")</f>
        <v/>
      </c>
      <c r="C808" s="55" t="str">
        <f>IF(A808&lt;&gt;"",INDEX('Base de données'!A$4:L$990,MATCH(' TVA M'!A813,'Base de données'!A$4:A$990,0),12),"")</f>
        <v/>
      </c>
    </row>
    <row r="809" spans="2:3" hidden="1" x14ac:dyDescent="0.25">
      <c r="B809" s="55" t="str">
        <f>IF(A809&lt;&gt;"",INDEX('Base de données'!A$4:L$990,MATCH(' TVA M'!A814,'Base de données'!A$4:A$990,0),2),"")</f>
        <v/>
      </c>
      <c r="C809" s="55" t="str">
        <f>IF(A809&lt;&gt;"",INDEX('Base de données'!A$4:L$990,MATCH(' TVA M'!A814,'Base de données'!A$4:A$990,0),12),"")</f>
        <v/>
      </c>
    </row>
    <row r="810" spans="2:3" hidden="1" x14ac:dyDescent="0.25">
      <c r="B810" s="55" t="str">
        <f>IF(A810&lt;&gt;"",INDEX('Base de données'!A$4:L$990,MATCH(' TVA M'!A815,'Base de données'!A$4:A$990,0),2),"")</f>
        <v/>
      </c>
      <c r="C810" s="55" t="str">
        <f>IF(A810&lt;&gt;"",INDEX('Base de données'!A$4:L$990,MATCH(' TVA M'!A815,'Base de données'!A$4:A$990,0),12),"")</f>
        <v/>
      </c>
    </row>
    <row r="811" spans="2:3" hidden="1" x14ac:dyDescent="0.25">
      <c r="B811" s="55" t="str">
        <f>IF(A811&lt;&gt;"",INDEX('Base de données'!A$4:L$990,MATCH(' TVA M'!A816,'Base de données'!A$4:A$990,0),2),"")</f>
        <v/>
      </c>
      <c r="C811" s="55" t="str">
        <f>IF(A811&lt;&gt;"",INDEX('Base de données'!A$4:L$990,MATCH(' TVA M'!A816,'Base de données'!A$4:A$990,0),12),"")</f>
        <v/>
      </c>
    </row>
    <row r="812" spans="2:3" hidden="1" x14ac:dyDescent="0.25">
      <c r="B812" s="55" t="str">
        <f>IF(A812&lt;&gt;"",INDEX('Base de données'!A$4:L$990,MATCH(' TVA M'!A817,'Base de données'!A$4:A$990,0),2),"")</f>
        <v/>
      </c>
      <c r="C812" s="55" t="str">
        <f>IF(A812&lt;&gt;"",INDEX('Base de données'!A$4:L$990,MATCH(' TVA M'!A817,'Base de données'!A$4:A$990,0),12),"")</f>
        <v/>
      </c>
    </row>
    <row r="813" spans="2:3" hidden="1" x14ac:dyDescent="0.25">
      <c r="B813" s="55" t="str">
        <f>IF(A813&lt;&gt;"",INDEX('Base de données'!A$4:L$990,MATCH(' TVA M'!A818,'Base de données'!A$4:A$990,0),2),"")</f>
        <v/>
      </c>
      <c r="C813" s="55" t="str">
        <f>IF(A813&lt;&gt;"",INDEX('Base de données'!A$4:L$990,MATCH(' TVA M'!A818,'Base de données'!A$4:A$990,0),12),"")</f>
        <v/>
      </c>
    </row>
    <row r="814" spans="2:3" hidden="1" x14ac:dyDescent="0.25">
      <c r="B814" s="55" t="str">
        <f>IF(A814&lt;&gt;"",INDEX('Base de données'!A$4:L$990,MATCH(' TVA M'!A819,'Base de données'!A$4:A$990,0),2),"")</f>
        <v/>
      </c>
      <c r="C814" s="55" t="str">
        <f>IF(A814&lt;&gt;"",INDEX('Base de données'!A$4:L$990,MATCH(' TVA M'!A819,'Base de données'!A$4:A$990,0),12),"")</f>
        <v/>
      </c>
    </row>
    <row r="815" spans="2:3" hidden="1" x14ac:dyDescent="0.25">
      <c r="B815" s="55" t="str">
        <f>IF(A815&lt;&gt;"",INDEX('Base de données'!A$4:L$990,MATCH(' TVA M'!A820,'Base de données'!A$4:A$990,0),2),"")</f>
        <v/>
      </c>
      <c r="C815" s="55" t="str">
        <f>IF(A815&lt;&gt;"",INDEX('Base de données'!A$4:L$990,MATCH(' TVA M'!A820,'Base de données'!A$4:A$990,0),12),"")</f>
        <v/>
      </c>
    </row>
    <row r="816" spans="2:3" hidden="1" x14ac:dyDescent="0.25">
      <c r="B816" s="55" t="str">
        <f>IF(A816&lt;&gt;"",INDEX('Base de données'!A$4:L$990,MATCH(' TVA M'!A821,'Base de données'!A$4:A$990,0),2),"")</f>
        <v/>
      </c>
      <c r="C816" s="55" t="str">
        <f>IF(A816&lt;&gt;"",INDEX('Base de données'!A$4:L$990,MATCH(' TVA M'!A821,'Base de données'!A$4:A$990,0),12),"")</f>
        <v/>
      </c>
    </row>
    <row r="817" spans="2:3" hidden="1" x14ac:dyDescent="0.25">
      <c r="B817" s="55" t="str">
        <f>IF(A817&lt;&gt;"",INDEX('Base de données'!A$4:L$990,MATCH(' TVA M'!A822,'Base de données'!A$4:A$990,0),2),"")</f>
        <v/>
      </c>
      <c r="C817" s="55" t="str">
        <f>IF(A817&lt;&gt;"",INDEX('Base de données'!A$4:L$990,MATCH(' TVA M'!A822,'Base de données'!A$4:A$990,0),12),"")</f>
        <v/>
      </c>
    </row>
    <row r="818" spans="2:3" hidden="1" x14ac:dyDescent="0.25">
      <c r="B818" s="55" t="str">
        <f>IF(A818&lt;&gt;"",INDEX('Base de données'!A$4:L$990,MATCH(' TVA M'!A823,'Base de données'!A$4:A$990,0),2),"")</f>
        <v/>
      </c>
      <c r="C818" s="55" t="str">
        <f>IF(A818&lt;&gt;"",INDEX('Base de données'!A$4:L$990,MATCH(' TVA M'!A823,'Base de données'!A$4:A$990,0),12),"")</f>
        <v/>
      </c>
    </row>
    <row r="819" spans="2:3" hidden="1" x14ac:dyDescent="0.25">
      <c r="B819" s="55" t="str">
        <f>IF(A819&lt;&gt;"",INDEX('Base de données'!A$4:L$990,MATCH(' TVA M'!A824,'Base de données'!A$4:A$990,0),2),"")</f>
        <v/>
      </c>
      <c r="C819" s="55" t="str">
        <f>IF(A819&lt;&gt;"",INDEX('Base de données'!A$4:L$990,MATCH(' TVA M'!A824,'Base de données'!A$4:A$990,0),12),"")</f>
        <v/>
      </c>
    </row>
    <row r="820" spans="2:3" hidden="1" x14ac:dyDescent="0.25">
      <c r="B820" s="55" t="str">
        <f>IF(A820&lt;&gt;"",INDEX('Base de données'!A$4:L$990,MATCH(' TVA M'!A825,'Base de données'!A$4:A$990,0),2),"")</f>
        <v/>
      </c>
      <c r="C820" s="55" t="str">
        <f>IF(A820&lt;&gt;"",INDEX('Base de données'!A$4:L$990,MATCH(' TVA M'!A825,'Base de données'!A$4:A$990,0),12),"")</f>
        <v/>
      </c>
    </row>
    <row r="821" spans="2:3" hidden="1" x14ac:dyDescent="0.25">
      <c r="B821" s="55" t="str">
        <f>IF(A821&lt;&gt;"",INDEX('Base de données'!A$4:L$990,MATCH(' TVA M'!A826,'Base de données'!A$4:A$990,0),2),"")</f>
        <v/>
      </c>
      <c r="C821" s="55" t="str">
        <f>IF(A821&lt;&gt;"",INDEX('Base de données'!A$4:L$990,MATCH(' TVA M'!A826,'Base de données'!A$4:A$990,0),12),"")</f>
        <v/>
      </c>
    </row>
    <row r="822" spans="2:3" hidden="1" x14ac:dyDescent="0.25">
      <c r="B822" s="55" t="str">
        <f>IF(A822&lt;&gt;"",INDEX('Base de données'!A$4:L$990,MATCH(' TVA M'!A827,'Base de données'!A$4:A$990,0),2),"")</f>
        <v/>
      </c>
      <c r="C822" s="55" t="str">
        <f>IF(A822&lt;&gt;"",INDEX('Base de données'!A$4:L$990,MATCH(' TVA M'!A827,'Base de données'!A$4:A$990,0),12),"")</f>
        <v/>
      </c>
    </row>
    <row r="823" spans="2:3" hidden="1" x14ac:dyDescent="0.25">
      <c r="B823" s="55" t="str">
        <f>IF(A823&lt;&gt;"",INDEX('Base de données'!A$4:L$990,MATCH(' TVA M'!A828,'Base de données'!A$4:A$990,0),2),"")</f>
        <v/>
      </c>
      <c r="C823" s="55" t="str">
        <f>IF(A823&lt;&gt;"",INDEX('Base de données'!A$4:L$990,MATCH(' TVA M'!A828,'Base de données'!A$4:A$990,0),12),"")</f>
        <v/>
      </c>
    </row>
    <row r="824" spans="2:3" hidden="1" x14ac:dyDescent="0.25">
      <c r="B824" s="55" t="str">
        <f>IF(A824&lt;&gt;"",INDEX('Base de données'!A$4:L$990,MATCH(' TVA M'!A829,'Base de données'!A$4:A$990,0),2),"")</f>
        <v/>
      </c>
      <c r="C824" s="55" t="str">
        <f>IF(A824&lt;&gt;"",INDEX('Base de données'!A$4:L$990,MATCH(' TVA M'!A829,'Base de données'!A$4:A$990,0),12),"")</f>
        <v/>
      </c>
    </row>
    <row r="825" spans="2:3" hidden="1" x14ac:dyDescent="0.25">
      <c r="B825" s="55" t="str">
        <f>IF(A825&lt;&gt;"",INDEX('Base de données'!A$4:L$990,MATCH(' TVA M'!A830,'Base de données'!A$4:A$990,0),2),"")</f>
        <v/>
      </c>
      <c r="C825" s="55" t="str">
        <f>IF(A825&lt;&gt;"",INDEX('Base de données'!A$4:L$990,MATCH(' TVA M'!A830,'Base de données'!A$4:A$990,0),12),"")</f>
        <v/>
      </c>
    </row>
    <row r="826" spans="2:3" hidden="1" x14ac:dyDescent="0.25">
      <c r="B826" s="55" t="str">
        <f>IF(A826&lt;&gt;"",INDEX('Base de données'!A$4:L$990,MATCH(' TVA M'!A831,'Base de données'!A$4:A$990,0),2),"")</f>
        <v/>
      </c>
      <c r="C826" s="55" t="str">
        <f>IF(A826&lt;&gt;"",INDEX('Base de données'!A$4:L$990,MATCH(' TVA M'!A831,'Base de données'!A$4:A$990,0),12),"")</f>
        <v/>
      </c>
    </row>
    <row r="827" spans="2:3" hidden="1" x14ac:dyDescent="0.25">
      <c r="B827" s="55" t="str">
        <f>IF(A827&lt;&gt;"",INDEX('Base de données'!A$4:L$990,MATCH(' TVA M'!A832,'Base de données'!A$4:A$990,0),2),"")</f>
        <v/>
      </c>
      <c r="C827" s="55" t="str">
        <f>IF(A827&lt;&gt;"",INDEX('Base de données'!A$4:L$990,MATCH(' TVA M'!A832,'Base de données'!A$4:A$990,0),12),"")</f>
        <v/>
      </c>
    </row>
    <row r="828" spans="2:3" hidden="1" x14ac:dyDescent="0.25">
      <c r="B828" s="55" t="str">
        <f>IF(A828&lt;&gt;"",INDEX('Base de données'!A$4:L$990,MATCH(' TVA M'!A833,'Base de données'!A$4:A$990,0),2),"")</f>
        <v/>
      </c>
      <c r="C828" s="55" t="str">
        <f>IF(A828&lt;&gt;"",INDEX('Base de données'!A$4:L$990,MATCH(' TVA M'!A833,'Base de données'!A$4:A$990,0),12),"")</f>
        <v/>
      </c>
    </row>
    <row r="829" spans="2:3" hidden="1" x14ac:dyDescent="0.25">
      <c r="B829" s="55" t="str">
        <f>IF(A829&lt;&gt;"",INDEX('Base de données'!A$4:L$990,MATCH(' TVA M'!A834,'Base de données'!A$4:A$990,0),2),"")</f>
        <v/>
      </c>
      <c r="C829" s="55" t="str">
        <f>IF(A829&lt;&gt;"",INDEX('Base de données'!A$4:L$990,MATCH(' TVA M'!A834,'Base de données'!A$4:A$990,0),12),"")</f>
        <v/>
      </c>
    </row>
    <row r="830" spans="2:3" hidden="1" x14ac:dyDescent="0.25">
      <c r="B830" s="55" t="str">
        <f>IF(A830&lt;&gt;"",INDEX('Base de données'!A$4:L$990,MATCH(' TVA M'!A835,'Base de données'!A$4:A$990,0),2),"")</f>
        <v/>
      </c>
      <c r="C830" s="55" t="str">
        <f>IF(A830&lt;&gt;"",INDEX('Base de données'!A$4:L$990,MATCH(' TVA M'!A835,'Base de données'!A$4:A$990,0),12),"")</f>
        <v/>
      </c>
    </row>
    <row r="831" spans="2:3" hidden="1" x14ac:dyDescent="0.25">
      <c r="B831" s="55" t="str">
        <f>IF(A831&lt;&gt;"",INDEX('Base de données'!A$4:L$990,MATCH(' TVA M'!A836,'Base de données'!A$4:A$990,0),2),"")</f>
        <v/>
      </c>
      <c r="C831" s="55" t="str">
        <f>IF(A831&lt;&gt;"",INDEX('Base de données'!A$4:L$990,MATCH(' TVA M'!A836,'Base de données'!A$4:A$990,0),12),"")</f>
        <v/>
      </c>
    </row>
    <row r="832" spans="2:3" hidden="1" x14ac:dyDescent="0.25">
      <c r="B832" s="55" t="str">
        <f>IF(A832&lt;&gt;"",INDEX('Base de données'!A$4:L$990,MATCH(' TVA M'!A837,'Base de données'!A$4:A$990,0),2),"")</f>
        <v/>
      </c>
      <c r="C832" s="55" t="str">
        <f>IF(A832&lt;&gt;"",INDEX('Base de données'!A$4:L$990,MATCH(' TVA M'!A837,'Base de données'!A$4:A$990,0),12),"")</f>
        <v/>
      </c>
    </row>
    <row r="833" spans="2:3" hidden="1" x14ac:dyDescent="0.25">
      <c r="B833" s="55" t="str">
        <f>IF(A833&lt;&gt;"",INDEX('Base de données'!A$4:L$990,MATCH(' TVA M'!A838,'Base de données'!A$4:A$990,0),2),"")</f>
        <v/>
      </c>
      <c r="C833" s="55" t="str">
        <f>IF(A833&lt;&gt;"",INDEX('Base de données'!A$4:L$990,MATCH(' TVA M'!A838,'Base de données'!A$4:A$990,0),12),"")</f>
        <v/>
      </c>
    </row>
    <row r="834" spans="2:3" hidden="1" x14ac:dyDescent="0.25">
      <c r="B834" s="55" t="str">
        <f>IF(A834&lt;&gt;"",INDEX('Base de données'!A$4:L$990,MATCH(' TVA M'!A839,'Base de données'!A$4:A$990,0),2),"")</f>
        <v/>
      </c>
      <c r="C834" s="55" t="str">
        <f>IF(A834&lt;&gt;"",INDEX('Base de données'!A$4:L$990,MATCH(' TVA M'!A839,'Base de données'!A$4:A$990,0),12),"")</f>
        <v/>
      </c>
    </row>
    <row r="835" spans="2:3" hidden="1" x14ac:dyDescent="0.25">
      <c r="B835" s="55" t="str">
        <f>IF(A835&lt;&gt;"",INDEX('Base de données'!A$4:L$990,MATCH(' TVA M'!A840,'Base de données'!A$4:A$990,0),2),"")</f>
        <v/>
      </c>
      <c r="C835" s="55" t="str">
        <f>IF(A835&lt;&gt;"",INDEX('Base de données'!A$4:L$990,MATCH(' TVA M'!A840,'Base de données'!A$4:A$990,0),12),"")</f>
        <v/>
      </c>
    </row>
    <row r="836" spans="2:3" hidden="1" x14ac:dyDescent="0.25">
      <c r="B836" s="55" t="str">
        <f>IF(A836&lt;&gt;"",INDEX('Base de données'!A$4:L$990,MATCH(' TVA M'!A841,'Base de données'!A$4:A$990,0),2),"")</f>
        <v/>
      </c>
      <c r="C836" s="55" t="str">
        <f>IF(A836&lt;&gt;"",INDEX('Base de données'!A$4:L$990,MATCH(' TVA M'!A841,'Base de données'!A$4:A$990,0),12),"")</f>
        <v/>
      </c>
    </row>
    <row r="837" spans="2:3" hidden="1" x14ac:dyDescent="0.25">
      <c r="B837" s="55" t="str">
        <f>IF(A837&lt;&gt;"",INDEX('Base de données'!A$4:L$990,MATCH(' TVA M'!A842,'Base de données'!A$4:A$990,0),2),"")</f>
        <v/>
      </c>
      <c r="C837" s="55" t="str">
        <f>IF(A837&lt;&gt;"",INDEX('Base de données'!A$4:L$990,MATCH(' TVA M'!A842,'Base de données'!A$4:A$990,0),12),"")</f>
        <v/>
      </c>
    </row>
    <row r="838" spans="2:3" hidden="1" x14ac:dyDescent="0.25">
      <c r="B838" s="55" t="str">
        <f>IF(A838&lt;&gt;"",INDEX('Base de données'!A$4:L$990,MATCH(' TVA M'!A843,'Base de données'!A$4:A$990,0),2),"")</f>
        <v/>
      </c>
      <c r="C838" s="55" t="str">
        <f>IF(A838&lt;&gt;"",INDEX('Base de données'!A$4:L$990,MATCH(' TVA M'!A843,'Base de données'!A$4:A$990,0),12),"")</f>
        <v/>
      </c>
    </row>
    <row r="839" spans="2:3" hidden="1" x14ac:dyDescent="0.25">
      <c r="B839" s="55" t="str">
        <f>IF(A839&lt;&gt;"",INDEX('Base de données'!A$4:L$990,MATCH(' TVA M'!A844,'Base de données'!A$4:A$990,0),2),"")</f>
        <v/>
      </c>
      <c r="C839" s="55" t="str">
        <f>IF(A839&lt;&gt;"",INDEX('Base de données'!A$4:L$990,MATCH(' TVA M'!A844,'Base de données'!A$4:A$990,0),12),"")</f>
        <v/>
      </c>
    </row>
    <row r="840" spans="2:3" hidden="1" x14ac:dyDescent="0.25">
      <c r="B840" s="55" t="str">
        <f>IF(A840&lt;&gt;"",INDEX('Base de données'!A$4:L$990,MATCH(' TVA M'!A845,'Base de données'!A$4:A$990,0),2),"")</f>
        <v/>
      </c>
      <c r="C840" s="55" t="str">
        <f>IF(A840&lt;&gt;"",INDEX('Base de données'!A$4:L$990,MATCH(' TVA M'!A845,'Base de données'!A$4:A$990,0),12),"")</f>
        <v/>
      </c>
    </row>
    <row r="841" spans="2:3" hidden="1" x14ac:dyDescent="0.25">
      <c r="B841" s="55" t="str">
        <f>IF(A841&lt;&gt;"",INDEX('Base de données'!A$4:L$990,MATCH(' TVA M'!A846,'Base de données'!A$4:A$990,0),2),"")</f>
        <v/>
      </c>
      <c r="C841" s="55" t="str">
        <f>IF(A841&lt;&gt;"",INDEX('Base de données'!A$4:L$990,MATCH(' TVA M'!A846,'Base de données'!A$4:A$990,0),12),"")</f>
        <v/>
      </c>
    </row>
    <row r="842" spans="2:3" hidden="1" x14ac:dyDescent="0.25">
      <c r="B842" s="55" t="str">
        <f>IF(A842&lt;&gt;"",INDEX('Base de données'!A$4:L$990,MATCH(' TVA M'!A847,'Base de données'!A$4:A$990,0),2),"")</f>
        <v/>
      </c>
      <c r="C842" s="55" t="str">
        <f>IF(A842&lt;&gt;"",INDEX('Base de données'!A$4:L$990,MATCH(' TVA M'!A847,'Base de données'!A$4:A$990,0),12),"")</f>
        <v/>
      </c>
    </row>
    <row r="843" spans="2:3" hidden="1" x14ac:dyDescent="0.25">
      <c r="B843" s="55" t="str">
        <f>IF(A843&lt;&gt;"",INDEX('Base de données'!A$4:L$990,MATCH(' TVA M'!A848,'Base de données'!A$4:A$990,0),2),"")</f>
        <v/>
      </c>
      <c r="C843" s="55" t="str">
        <f>IF(A843&lt;&gt;"",INDEX('Base de données'!A$4:L$990,MATCH(' TVA M'!A848,'Base de données'!A$4:A$990,0),12),"")</f>
        <v/>
      </c>
    </row>
    <row r="844" spans="2:3" hidden="1" x14ac:dyDescent="0.25">
      <c r="B844" s="55" t="str">
        <f>IF(A844&lt;&gt;"",INDEX('Base de données'!A$4:L$990,MATCH(' TVA M'!A849,'Base de données'!A$4:A$990,0),2),"")</f>
        <v/>
      </c>
      <c r="C844" s="55" t="str">
        <f>IF(A844&lt;&gt;"",INDEX('Base de données'!A$4:L$990,MATCH(' TVA M'!A849,'Base de données'!A$4:A$990,0),12),"")</f>
        <v/>
      </c>
    </row>
    <row r="845" spans="2:3" hidden="1" x14ac:dyDescent="0.25">
      <c r="B845" s="55" t="str">
        <f>IF(A845&lt;&gt;"",INDEX('Base de données'!A$4:L$990,MATCH(' TVA M'!A850,'Base de données'!A$4:A$990,0),2),"")</f>
        <v/>
      </c>
      <c r="C845" s="55" t="str">
        <f>IF(A845&lt;&gt;"",INDEX('Base de données'!A$4:L$990,MATCH(' TVA M'!A850,'Base de données'!A$4:A$990,0),12),"")</f>
        <v/>
      </c>
    </row>
    <row r="846" spans="2:3" hidden="1" x14ac:dyDescent="0.25">
      <c r="B846" s="55" t="str">
        <f>IF(A846&lt;&gt;"",INDEX('Base de données'!A$4:L$990,MATCH(' TVA M'!A851,'Base de données'!A$4:A$990,0),2),"")</f>
        <v/>
      </c>
      <c r="C846" s="55" t="str">
        <f>IF(A846&lt;&gt;"",INDEX('Base de données'!A$4:L$990,MATCH(' TVA M'!A851,'Base de données'!A$4:A$990,0),12),"")</f>
        <v/>
      </c>
    </row>
    <row r="847" spans="2:3" hidden="1" x14ac:dyDescent="0.25">
      <c r="B847" s="55" t="str">
        <f>IF(A847&lt;&gt;"",INDEX('Base de données'!A$4:L$990,MATCH(' TVA M'!A852,'Base de données'!A$4:A$990,0),2),"")</f>
        <v/>
      </c>
      <c r="C847" s="55" t="str">
        <f>IF(A847&lt;&gt;"",INDEX('Base de données'!A$4:L$990,MATCH(' TVA M'!A852,'Base de données'!A$4:A$990,0),12),"")</f>
        <v/>
      </c>
    </row>
    <row r="848" spans="2:3" hidden="1" x14ac:dyDescent="0.25">
      <c r="B848" s="55" t="str">
        <f>IF(A848&lt;&gt;"",INDEX('Base de données'!A$4:L$990,MATCH(' TVA M'!A853,'Base de données'!A$4:A$990,0),2),"")</f>
        <v/>
      </c>
      <c r="C848" s="55" t="str">
        <f>IF(A848&lt;&gt;"",INDEX('Base de données'!A$4:L$990,MATCH(' TVA M'!A853,'Base de données'!A$4:A$990,0),12),"")</f>
        <v/>
      </c>
    </row>
    <row r="849" spans="2:3" hidden="1" x14ac:dyDescent="0.25">
      <c r="B849" s="55" t="str">
        <f>IF(A849&lt;&gt;"",INDEX('Base de données'!A$4:L$990,MATCH(' TVA M'!A854,'Base de données'!A$4:A$990,0),2),"")</f>
        <v/>
      </c>
      <c r="C849" s="55" t="str">
        <f>IF(A849&lt;&gt;"",INDEX('Base de données'!A$4:L$990,MATCH(' TVA M'!A854,'Base de données'!A$4:A$990,0),12),"")</f>
        <v/>
      </c>
    </row>
    <row r="850" spans="2:3" hidden="1" x14ac:dyDescent="0.25">
      <c r="B850" s="55" t="str">
        <f>IF(A850&lt;&gt;"",INDEX('Base de données'!A$4:L$990,MATCH(' TVA M'!A855,'Base de données'!A$4:A$990,0),2),"")</f>
        <v/>
      </c>
      <c r="C850" s="55" t="str">
        <f>IF(A850&lt;&gt;"",INDEX('Base de données'!A$4:L$990,MATCH(' TVA M'!A855,'Base de données'!A$4:A$990,0),12),"")</f>
        <v/>
      </c>
    </row>
    <row r="851" spans="2:3" hidden="1" x14ac:dyDescent="0.25">
      <c r="B851" s="55" t="str">
        <f>IF(A851&lt;&gt;"",INDEX('Base de données'!A$4:L$990,MATCH(' TVA M'!A856,'Base de données'!A$4:A$990,0),2),"")</f>
        <v/>
      </c>
      <c r="C851" s="55" t="str">
        <f>IF(A851&lt;&gt;"",INDEX('Base de données'!A$4:L$990,MATCH(' TVA M'!A856,'Base de données'!A$4:A$990,0),12),"")</f>
        <v/>
      </c>
    </row>
    <row r="852" spans="2:3" hidden="1" x14ac:dyDescent="0.25">
      <c r="B852" s="55" t="str">
        <f>IF(A852&lt;&gt;"",INDEX('Base de données'!A$4:L$990,MATCH(' TVA M'!A857,'Base de données'!A$4:A$990,0),2),"")</f>
        <v/>
      </c>
      <c r="C852" s="55" t="str">
        <f>IF(A852&lt;&gt;"",INDEX('Base de données'!A$4:L$990,MATCH(' TVA M'!A857,'Base de données'!A$4:A$990,0),12),"")</f>
        <v/>
      </c>
    </row>
    <row r="853" spans="2:3" hidden="1" x14ac:dyDescent="0.25">
      <c r="B853" s="55" t="str">
        <f>IF(A853&lt;&gt;"",INDEX('Base de données'!A$4:L$990,MATCH(' TVA M'!A858,'Base de données'!A$4:A$990,0),2),"")</f>
        <v/>
      </c>
      <c r="C853" s="55" t="str">
        <f>IF(A853&lt;&gt;"",INDEX('Base de données'!A$4:L$990,MATCH(' TVA M'!A858,'Base de données'!A$4:A$990,0),12),"")</f>
        <v/>
      </c>
    </row>
    <row r="854" spans="2:3" hidden="1" x14ac:dyDescent="0.25">
      <c r="B854" s="55" t="str">
        <f>IF(A854&lt;&gt;"",INDEX('Base de données'!A$4:L$990,MATCH(' TVA M'!A859,'Base de données'!A$4:A$990,0),2),"")</f>
        <v/>
      </c>
      <c r="C854" s="55" t="str">
        <f>IF(A854&lt;&gt;"",INDEX('Base de données'!A$4:L$990,MATCH(' TVA M'!A859,'Base de données'!A$4:A$990,0),12),"")</f>
        <v/>
      </c>
    </row>
    <row r="855" spans="2:3" hidden="1" x14ac:dyDescent="0.25">
      <c r="B855" s="55" t="str">
        <f>IF(A855&lt;&gt;"",INDEX('Base de données'!A$4:L$990,MATCH(' TVA M'!A860,'Base de données'!A$4:A$990,0),2),"")</f>
        <v/>
      </c>
      <c r="C855" s="55" t="str">
        <f>IF(A855&lt;&gt;"",INDEX('Base de données'!A$4:L$990,MATCH(' TVA M'!A860,'Base de données'!A$4:A$990,0),12),"")</f>
        <v/>
      </c>
    </row>
    <row r="856" spans="2:3" hidden="1" x14ac:dyDescent="0.25">
      <c r="B856" s="55" t="str">
        <f>IF(A856&lt;&gt;"",INDEX('Base de données'!A$4:L$990,MATCH(' TVA M'!A861,'Base de données'!A$4:A$990,0),2),"")</f>
        <v/>
      </c>
      <c r="C856" s="55" t="str">
        <f>IF(A856&lt;&gt;"",INDEX('Base de données'!A$4:L$990,MATCH(' TVA M'!A861,'Base de données'!A$4:A$990,0),12),"")</f>
        <v/>
      </c>
    </row>
    <row r="857" spans="2:3" hidden="1" x14ac:dyDescent="0.25">
      <c r="B857" s="55" t="str">
        <f>IF(A857&lt;&gt;"",INDEX('Base de données'!A$4:L$990,MATCH(' TVA M'!A862,'Base de données'!A$4:A$990,0),2),"")</f>
        <v/>
      </c>
      <c r="C857" s="55" t="str">
        <f>IF(A857&lt;&gt;"",INDEX('Base de données'!A$4:L$990,MATCH(' TVA M'!A862,'Base de données'!A$4:A$990,0),12),"")</f>
        <v/>
      </c>
    </row>
    <row r="858" spans="2:3" hidden="1" x14ac:dyDescent="0.25">
      <c r="B858" s="55" t="str">
        <f>IF(A858&lt;&gt;"",INDEX('Base de données'!A$4:L$990,MATCH(' TVA M'!A863,'Base de données'!A$4:A$990,0),2),"")</f>
        <v/>
      </c>
      <c r="C858" s="55" t="str">
        <f>IF(A858&lt;&gt;"",INDEX('Base de données'!A$4:L$990,MATCH(' TVA M'!A863,'Base de données'!A$4:A$990,0),12),"")</f>
        <v/>
      </c>
    </row>
    <row r="859" spans="2:3" hidden="1" x14ac:dyDescent="0.25">
      <c r="B859" s="55" t="str">
        <f>IF(A859&lt;&gt;"",INDEX('Base de données'!A$4:L$990,MATCH(' TVA M'!A864,'Base de données'!A$4:A$990,0),2),"")</f>
        <v/>
      </c>
      <c r="C859" s="55" t="str">
        <f>IF(A859&lt;&gt;"",INDEX('Base de données'!A$4:L$990,MATCH(' TVA M'!A864,'Base de données'!A$4:A$990,0),12),"")</f>
        <v/>
      </c>
    </row>
    <row r="860" spans="2:3" hidden="1" x14ac:dyDescent="0.25">
      <c r="B860" s="55" t="str">
        <f>IF(A860&lt;&gt;"",INDEX('Base de données'!A$4:L$990,MATCH(' TVA M'!A865,'Base de données'!A$4:A$990,0),2),"")</f>
        <v/>
      </c>
      <c r="C860" s="55" t="str">
        <f>IF(A860&lt;&gt;"",INDEX('Base de données'!A$4:L$990,MATCH(' TVA M'!A865,'Base de données'!A$4:A$990,0),12),"")</f>
        <v/>
      </c>
    </row>
    <row r="861" spans="2:3" hidden="1" x14ac:dyDescent="0.25">
      <c r="B861" s="55" t="str">
        <f>IF(A861&lt;&gt;"",INDEX('Base de données'!A$4:L$990,MATCH(' TVA M'!A866,'Base de données'!A$4:A$990,0),2),"")</f>
        <v/>
      </c>
      <c r="C861" s="55" t="str">
        <f>IF(A861&lt;&gt;"",INDEX('Base de données'!A$4:L$990,MATCH(' TVA M'!A866,'Base de données'!A$4:A$990,0),12),"")</f>
        <v/>
      </c>
    </row>
    <row r="862" spans="2:3" hidden="1" x14ac:dyDescent="0.25">
      <c r="B862" s="55" t="str">
        <f>IF(A862&lt;&gt;"",INDEX('Base de données'!A$4:L$990,MATCH(' TVA M'!A867,'Base de données'!A$4:A$990,0),2),"")</f>
        <v/>
      </c>
      <c r="C862" s="55" t="str">
        <f>IF(A862&lt;&gt;"",INDEX('Base de données'!A$4:L$990,MATCH(' TVA M'!A867,'Base de données'!A$4:A$990,0),12),"")</f>
        <v/>
      </c>
    </row>
    <row r="863" spans="2:3" hidden="1" x14ac:dyDescent="0.25">
      <c r="B863" s="55" t="str">
        <f>IF(A863&lt;&gt;"",INDEX('Base de données'!A$4:L$990,MATCH(' TVA M'!A868,'Base de données'!A$4:A$990,0),2),"")</f>
        <v/>
      </c>
      <c r="C863" s="55" t="str">
        <f>IF(A863&lt;&gt;"",INDEX('Base de données'!A$4:L$990,MATCH(' TVA M'!A868,'Base de données'!A$4:A$990,0),12),"")</f>
        <v/>
      </c>
    </row>
    <row r="864" spans="2:3" hidden="1" x14ac:dyDescent="0.25">
      <c r="B864" s="55" t="str">
        <f>IF(A864&lt;&gt;"",INDEX('Base de données'!A$4:L$990,MATCH(' TVA M'!A869,'Base de données'!A$4:A$990,0),2),"")</f>
        <v/>
      </c>
      <c r="C864" s="55" t="str">
        <f>IF(A864&lt;&gt;"",INDEX('Base de données'!A$4:L$990,MATCH(' TVA M'!A869,'Base de données'!A$4:A$990,0),12),"")</f>
        <v/>
      </c>
    </row>
    <row r="865" spans="2:3" hidden="1" x14ac:dyDescent="0.25">
      <c r="B865" s="55" t="str">
        <f>IF(A865&lt;&gt;"",INDEX('Base de données'!A$4:L$990,MATCH(' TVA M'!A870,'Base de données'!A$4:A$990,0),2),"")</f>
        <v/>
      </c>
      <c r="C865" s="55" t="str">
        <f>IF(A865&lt;&gt;"",INDEX('Base de données'!A$4:L$990,MATCH(' TVA M'!A870,'Base de données'!A$4:A$990,0),12),"")</f>
        <v/>
      </c>
    </row>
    <row r="866" spans="2:3" hidden="1" x14ac:dyDescent="0.25">
      <c r="B866" s="55" t="str">
        <f>IF(A866&lt;&gt;"",INDEX('Base de données'!A$4:L$990,MATCH(' TVA M'!A871,'Base de données'!A$4:A$990,0),2),"")</f>
        <v/>
      </c>
      <c r="C866" s="55" t="str">
        <f>IF(A866&lt;&gt;"",INDEX('Base de données'!A$4:L$990,MATCH(' TVA M'!A871,'Base de données'!A$4:A$990,0),12),"")</f>
        <v/>
      </c>
    </row>
    <row r="867" spans="2:3" hidden="1" x14ac:dyDescent="0.25">
      <c r="B867" s="55" t="str">
        <f>IF(A867&lt;&gt;"",INDEX('Base de données'!A$4:L$990,MATCH(' TVA M'!A872,'Base de données'!A$4:A$990,0),2),"")</f>
        <v/>
      </c>
      <c r="C867" s="55" t="str">
        <f>IF(A867&lt;&gt;"",INDEX('Base de données'!A$4:L$990,MATCH(' TVA M'!A872,'Base de données'!A$4:A$990,0),12),"")</f>
        <v/>
      </c>
    </row>
    <row r="868" spans="2:3" hidden="1" x14ac:dyDescent="0.25">
      <c r="B868" s="55" t="str">
        <f>IF(A868&lt;&gt;"",INDEX('Base de données'!A$4:L$990,MATCH(' TVA M'!A873,'Base de données'!A$4:A$990,0),2),"")</f>
        <v/>
      </c>
      <c r="C868" s="55" t="str">
        <f>IF(A868&lt;&gt;"",INDEX('Base de données'!A$4:L$990,MATCH(' TVA M'!A873,'Base de données'!A$4:A$990,0),12),"")</f>
        <v/>
      </c>
    </row>
    <row r="869" spans="2:3" hidden="1" x14ac:dyDescent="0.25">
      <c r="B869" s="55" t="str">
        <f>IF(A869&lt;&gt;"",INDEX('Base de données'!A$4:L$990,MATCH(' TVA M'!A874,'Base de données'!A$4:A$990,0),2),"")</f>
        <v/>
      </c>
      <c r="C869" s="55" t="str">
        <f>IF(A869&lt;&gt;"",INDEX('Base de données'!A$4:L$990,MATCH(' TVA M'!A874,'Base de données'!A$4:A$990,0),12),"")</f>
        <v/>
      </c>
    </row>
    <row r="870" spans="2:3" hidden="1" x14ac:dyDescent="0.25">
      <c r="B870" s="55" t="str">
        <f>IF(A870&lt;&gt;"",INDEX('Base de données'!A$4:L$990,MATCH(' TVA M'!A875,'Base de données'!A$4:A$990,0),2),"")</f>
        <v/>
      </c>
      <c r="C870" s="55" t="str">
        <f>IF(A870&lt;&gt;"",INDEX('Base de données'!A$4:L$990,MATCH(' TVA M'!A875,'Base de données'!A$4:A$990,0),12),"")</f>
        <v/>
      </c>
    </row>
    <row r="871" spans="2:3" hidden="1" x14ac:dyDescent="0.25">
      <c r="B871" s="55" t="str">
        <f>IF(A871&lt;&gt;"",INDEX('Base de données'!A$4:L$990,MATCH(' TVA M'!A876,'Base de données'!A$4:A$990,0),2),"")</f>
        <v/>
      </c>
      <c r="C871" s="55" t="str">
        <f>IF(A871&lt;&gt;"",INDEX('Base de données'!A$4:L$990,MATCH(' TVA M'!A876,'Base de données'!A$4:A$990,0),12),"")</f>
        <v/>
      </c>
    </row>
    <row r="872" spans="2:3" hidden="1" x14ac:dyDescent="0.25">
      <c r="B872" s="55" t="str">
        <f>IF(A872&lt;&gt;"",INDEX('Base de données'!A$4:L$990,MATCH(' TVA M'!A877,'Base de données'!A$4:A$990,0),2),"")</f>
        <v/>
      </c>
      <c r="C872" s="55" t="str">
        <f>IF(A872&lt;&gt;"",INDEX('Base de données'!A$4:L$990,MATCH(' TVA M'!A877,'Base de données'!A$4:A$990,0),12),"")</f>
        <v/>
      </c>
    </row>
    <row r="873" spans="2:3" hidden="1" x14ac:dyDescent="0.25">
      <c r="B873" s="55" t="str">
        <f>IF(A873&lt;&gt;"",INDEX('Base de données'!A$4:L$990,MATCH(' TVA M'!A878,'Base de données'!A$4:A$990,0),2),"")</f>
        <v/>
      </c>
      <c r="C873" s="55" t="str">
        <f>IF(A873&lt;&gt;"",INDEX('Base de données'!A$4:L$990,MATCH(' TVA M'!A878,'Base de données'!A$4:A$990,0),12),"")</f>
        <v/>
      </c>
    </row>
    <row r="874" spans="2:3" hidden="1" x14ac:dyDescent="0.25">
      <c r="B874" s="55" t="str">
        <f>IF(A874&lt;&gt;"",INDEX('Base de données'!A$4:L$990,MATCH(' TVA M'!A879,'Base de données'!A$4:A$990,0),2),"")</f>
        <v/>
      </c>
      <c r="C874" s="55" t="str">
        <f>IF(A874&lt;&gt;"",INDEX('Base de données'!A$4:L$990,MATCH(' TVA M'!A879,'Base de données'!A$4:A$990,0),12),"")</f>
        <v/>
      </c>
    </row>
    <row r="875" spans="2:3" hidden="1" x14ac:dyDescent="0.25">
      <c r="B875" s="55" t="str">
        <f>IF(A875&lt;&gt;"",INDEX('Base de données'!A$4:L$990,MATCH(' TVA M'!A880,'Base de données'!A$4:A$990,0),2),"")</f>
        <v/>
      </c>
      <c r="C875" s="55" t="str">
        <f>IF(A875&lt;&gt;"",INDEX('Base de données'!A$4:L$990,MATCH(' TVA M'!A880,'Base de données'!A$4:A$990,0),12),"")</f>
        <v/>
      </c>
    </row>
    <row r="876" spans="2:3" hidden="1" x14ac:dyDescent="0.25">
      <c r="B876" s="55" t="str">
        <f>IF(A876&lt;&gt;"",INDEX('Base de données'!A$4:L$990,MATCH(' TVA M'!A881,'Base de données'!A$4:A$990,0),2),"")</f>
        <v/>
      </c>
      <c r="C876" s="55" t="str">
        <f>IF(A876&lt;&gt;"",INDEX('Base de données'!A$4:L$990,MATCH(' TVA M'!A881,'Base de données'!A$4:A$990,0),12),"")</f>
        <v/>
      </c>
    </row>
    <row r="877" spans="2:3" hidden="1" x14ac:dyDescent="0.25">
      <c r="B877" s="55" t="str">
        <f>IF(A877&lt;&gt;"",INDEX('Base de données'!A$4:L$990,MATCH(' TVA M'!A882,'Base de données'!A$4:A$990,0),2),"")</f>
        <v/>
      </c>
      <c r="C877" s="55" t="str">
        <f>IF(A877&lt;&gt;"",INDEX('Base de données'!A$4:L$990,MATCH(' TVA M'!A882,'Base de données'!A$4:A$990,0),12),"")</f>
        <v/>
      </c>
    </row>
    <row r="878" spans="2:3" hidden="1" x14ac:dyDescent="0.25">
      <c r="B878" s="55" t="str">
        <f>IF(A878&lt;&gt;"",INDEX('Base de données'!A$4:L$990,MATCH(' TVA M'!A883,'Base de données'!A$4:A$990,0),2),"")</f>
        <v/>
      </c>
      <c r="C878" s="55" t="str">
        <f>IF(A878&lt;&gt;"",INDEX('Base de données'!A$4:L$990,MATCH(' TVA M'!A883,'Base de données'!A$4:A$990,0),12),"")</f>
        <v/>
      </c>
    </row>
    <row r="879" spans="2:3" hidden="1" x14ac:dyDescent="0.25">
      <c r="B879" s="55" t="str">
        <f>IF(A879&lt;&gt;"",INDEX('Base de données'!A$4:L$990,MATCH(' TVA M'!A884,'Base de données'!A$4:A$990,0),2),"")</f>
        <v/>
      </c>
      <c r="C879" s="55" t="str">
        <f>IF(A879&lt;&gt;"",INDEX('Base de données'!A$4:L$990,MATCH(' TVA M'!A884,'Base de données'!A$4:A$990,0),12),"")</f>
        <v/>
      </c>
    </row>
    <row r="880" spans="2:3" hidden="1" x14ac:dyDescent="0.25">
      <c r="B880" s="55" t="str">
        <f>IF(A880&lt;&gt;"",INDEX('Base de données'!A$4:L$990,MATCH(' TVA M'!A885,'Base de données'!A$4:A$990,0),2),"")</f>
        <v/>
      </c>
      <c r="C880" s="55" t="str">
        <f>IF(A880&lt;&gt;"",INDEX('Base de données'!A$4:L$990,MATCH(' TVA M'!A885,'Base de données'!A$4:A$990,0),12),"")</f>
        <v/>
      </c>
    </row>
    <row r="881" spans="2:3" hidden="1" x14ac:dyDescent="0.25">
      <c r="B881" s="55" t="str">
        <f>IF(A881&lt;&gt;"",INDEX('Base de données'!A$4:L$990,MATCH(' TVA M'!A886,'Base de données'!A$4:A$990,0),2),"")</f>
        <v/>
      </c>
      <c r="C881" s="55" t="str">
        <f>IF(A881&lt;&gt;"",INDEX('Base de données'!A$4:L$990,MATCH(' TVA M'!A886,'Base de données'!A$4:A$990,0),12),"")</f>
        <v/>
      </c>
    </row>
    <row r="882" spans="2:3" hidden="1" x14ac:dyDescent="0.25">
      <c r="B882" s="55" t="str">
        <f>IF(A882&lt;&gt;"",INDEX('Base de données'!A$4:L$990,MATCH(' TVA M'!A887,'Base de données'!A$4:A$990,0),2),"")</f>
        <v/>
      </c>
      <c r="C882" s="55" t="str">
        <f>IF(A882&lt;&gt;"",INDEX('Base de données'!A$4:L$990,MATCH(' TVA M'!A887,'Base de données'!A$4:A$990,0),12),"")</f>
        <v/>
      </c>
    </row>
    <row r="883" spans="2:3" hidden="1" x14ac:dyDescent="0.25">
      <c r="B883" s="55" t="str">
        <f>IF(A883&lt;&gt;"",INDEX('Base de données'!A$4:L$990,MATCH(' TVA M'!A888,'Base de données'!A$4:A$990,0),2),"")</f>
        <v/>
      </c>
      <c r="C883" s="55" t="str">
        <f>IF(A883&lt;&gt;"",INDEX('Base de données'!A$4:L$990,MATCH(' TVA M'!A888,'Base de données'!A$4:A$990,0),12),"")</f>
        <v/>
      </c>
    </row>
    <row r="884" spans="2:3" hidden="1" x14ac:dyDescent="0.25">
      <c r="B884" s="55" t="str">
        <f>IF(A884&lt;&gt;"",INDEX('Base de données'!A$4:L$990,MATCH(' TVA M'!A889,'Base de données'!A$4:A$990,0),2),"")</f>
        <v/>
      </c>
      <c r="C884" s="55" t="str">
        <f>IF(A884&lt;&gt;"",INDEX('Base de données'!A$4:L$990,MATCH(' TVA M'!A889,'Base de données'!A$4:A$990,0),12),"")</f>
        <v/>
      </c>
    </row>
    <row r="885" spans="2:3" hidden="1" x14ac:dyDescent="0.25">
      <c r="B885" s="55" t="str">
        <f>IF(A885&lt;&gt;"",INDEX('Base de données'!A$4:L$990,MATCH(' TVA M'!A890,'Base de données'!A$4:A$990,0),2),"")</f>
        <v/>
      </c>
      <c r="C885" s="55" t="str">
        <f>IF(A885&lt;&gt;"",INDEX('Base de données'!A$4:L$990,MATCH(' TVA M'!A890,'Base de données'!A$4:A$990,0),12),"")</f>
        <v/>
      </c>
    </row>
    <row r="886" spans="2:3" hidden="1" x14ac:dyDescent="0.25">
      <c r="B886" s="55" t="str">
        <f>IF(A886&lt;&gt;"",INDEX('Base de données'!A$4:L$990,MATCH(' TVA M'!A891,'Base de données'!A$4:A$990,0),2),"")</f>
        <v/>
      </c>
      <c r="C886" s="55" t="str">
        <f>IF(A886&lt;&gt;"",INDEX('Base de données'!A$4:L$990,MATCH(' TVA M'!A891,'Base de données'!A$4:A$990,0),12),"")</f>
        <v/>
      </c>
    </row>
    <row r="887" spans="2:3" hidden="1" x14ac:dyDescent="0.25">
      <c r="B887" s="55" t="str">
        <f>IF(A887&lt;&gt;"",INDEX('Base de données'!A$4:L$990,MATCH(' TVA M'!A892,'Base de données'!A$4:A$990,0),2),"")</f>
        <v/>
      </c>
      <c r="C887" s="55" t="str">
        <f>IF(A887&lt;&gt;"",INDEX('Base de données'!A$4:L$990,MATCH(' TVA M'!A892,'Base de données'!A$4:A$990,0),12),"")</f>
        <v/>
      </c>
    </row>
    <row r="888" spans="2:3" hidden="1" x14ac:dyDescent="0.25">
      <c r="B888" s="55" t="str">
        <f>IF(A888&lt;&gt;"",INDEX('Base de données'!A$4:L$990,MATCH(' TVA M'!A893,'Base de données'!A$4:A$990,0),2),"")</f>
        <v/>
      </c>
      <c r="C888" s="55" t="str">
        <f>IF(A888&lt;&gt;"",INDEX('Base de données'!A$4:L$990,MATCH(' TVA M'!A893,'Base de données'!A$4:A$990,0),12),"")</f>
        <v/>
      </c>
    </row>
    <row r="889" spans="2:3" hidden="1" x14ac:dyDescent="0.25">
      <c r="B889" s="55" t="str">
        <f>IF(A889&lt;&gt;"",INDEX('Base de données'!A$4:L$990,MATCH(' TVA M'!A894,'Base de données'!A$4:A$990,0),2),"")</f>
        <v/>
      </c>
      <c r="C889" s="55" t="str">
        <f>IF(A889&lt;&gt;"",INDEX('Base de données'!A$4:L$990,MATCH(' TVA M'!A894,'Base de données'!A$4:A$990,0),12),"")</f>
        <v/>
      </c>
    </row>
    <row r="890" spans="2:3" hidden="1" x14ac:dyDescent="0.25">
      <c r="B890" s="55" t="str">
        <f>IF(A890&lt;&gt;"",INDEX('Base de données'!A$4:L$990,MATCH(' TVA M'!A895,'Base de données'!A$4:A$990,0),2),"")</f>
        <v/>
      </c>
      <c r="C890" s="55" t="str">
        <f>IF(A890&lt;&gt;"",INDEX('Base de données'!A$4:L$990,MATCH(' TVA M'!A895,'Base de données'!A$4:A$990,0),12),"")</f>
        <v/>
      </c>
    </row>
    <row r="891" spans="2:3" hidden="1" x14ac:dyDescent="0.25">
      <c r="B891" s="55" t="str">
        <f>IF(A891&lt;&gt;"",INDEX('Base de données'!A$4:L$990,MATCH(' TVA M'!A896,'Base de données'!A$4:A$990,0),2),"")</f>
        <v/>
      </c>
      <c r="C891" s="55" t="str">
        <f>IF(A891&lt;&gt;"",INDEX('Base de données'!A$4:L$990,MATCH(' TVA M'!A896,'Base de données'!A$4:A$990,0),12),"")</f>
        <v/>
      </c>
    </row>
    <row r="892" spans="2:3" hidden="1" x14ac:dyDescent="0.25">
      <c r="B892" s="55" t="str">
        <f>IF(A892&lt;&gt;"",INDEX('Base de données'!A$4:L$990,MATCH(' TVA M'!A897,'Base de données'!A$4:A$990,0),2),"")</f>
        <v/>
      </c>
      <c r="C892" s="55" t="str">
        <f>IF(A892&lt;&gt;"",INDEX('Base de données'!A$4:L$990,MATCH(' TVA M'!A897,'Base de données'!A$4:A$990,0),12),"")</f>
        <v/>
      </c>
    </row>
    <row r="893" spans="2:3" hidden="1" x14ac:dyDescent="0.25">
      <c r="B893" s="55" t="str">
        <f>IF(A893&lt;&gt;"",INDEX('Base de données'!A$4:L$990,MATCH(' TVA M'!A898,'Base de données'!A$4:A$990,0),2),"")</f>
        <v/>
      </c>
      <c r="C893" s="55" t="str">
        <f>IF(A893&lt;&gt;"",INDEX('Base de données'!A$4:L$990,MATCH(' TVA M'!A898,'Base de données'!A$4:A$990,0),12),"")</f>
        <v/>
      </c>
    </row>
    <row r="894" spans="2:3" hidden="1" x14ac:dyDescent="0.25">
      <c r="B894" s="55" t="str">
        <f>IF(A894&lt;&gt;"",INDEX('Base de données'!A$4:L$990,MATCH(' TVA M'!A899,'Base de données'!A$4:A$990,0),2),"")</f>
        <v/>
      </c>
      <c r="C894" s="55" t="str">
        <f>IF(A894&lt;&gt;"",INDEX('Base de données'!A$4:L$990,MATCH(' TVA M'!A899,'Base de données'!A$4:A$990,0),12),"")</f>
        <v/>
      </c>
    </row>
    <row r="895" spans="2:3" hidden="1" x14ac:dyDescent="0.25">
      <c r="B895" s="55" t="str">
        <f>IF(A895&lt;&gt;"",INDEX('Base de données'!A$4:L$990,MATCH(' TVA M'!A900,'Base de données'!A$4:A$990,0),2),"")</f>
        <v/>
      </c>
      <c r="C895" s="55" t="str">
        <f>IF(A895&lt;&gt;"",INDEX('Base de données'!A$4:L$990,MATCH(' TVA M'!A900,'Base de données'!A$4:A$990,0),12),"")</f>
        <v/>
      </c>
    </row>
    <row r="896" spans="2:3" hidden="1" x14ac:dyDescent="0.25">
      <c r="B896" s="55" t="str">
        <f>IF(A896&lt;&gt;"",INDEX('Base de données'!A$4:L$990,MATCH(' TVA M'!A901,'Base de données'!A$4:A$990,0),2),"")</f>
        <v/>
      </c>
      <c r="C896" s="55" t="str">
        <f>IF(A896&lt;&gt;"",INDEX('Base de données'!A$4:L$990,MATCH(' TVA M'!A901,'Base de données'!A$4:A$990,0),12),"")</f>
        <v/>
      </c>
    </row>
    <row r="897" spans="2:3" hidden="1" x14ac:dyDescent="0.25">
      <c r="B897" s="55" t="str">
        <f>IF(A897&lt;&gt;"",INDEX('Base de données'!A$4:L$990,MATCH(' TVA M'!A902,'Base de données'!A$4:A$990,0),2),"")</f>
        <v/>
      </c>
      <c r="C897" s="55" t="str">
        <f>IF(A897&lt;&gt;"",INDEX('Base de données'!A$4:L$990,MATCH(' TVA M'!A902,'Base de données'!A$4:A$990,0),12),"")</f>
        <v/>
      </c>
    </row>
    <row r="898" spans="2:3" hidden="1" x14ac:dyDescent="0.25">
      <c r="B898" s="55" t="str">
        <f>IF(A898&lt;&gt;"",INDEX('Base de données'!A$4:L$990,MATCH(' TVA M'!A903,'Base de données'!A$4:A$990,0),2),"")</f>
        <v/>
      </c>
      <c r="C898" s="55" t="str">
        <f>IF(A898&lt;&gt;"",INDEX('Base de données'!A$4:L$990,MATCH(' TVA M'!A903,'Base de données'!A$4:A$990,0),12),"")</f>
        <v/>
      </c>
    </row>
    <row r="899" spans="2:3" hidden="1" x14ac:dyDescent="0.25">
      <c r="B899" s="55" t="str">
        <f>IF(A899&lt;&gt;"",INDEX('Base de données'!A$4:L$990,MATCH(' TVA M'!A904,'Base de données'!A$4:A$990,0),2),"")</f>
        <v/>
      </c>
      <c r="C899" s="55" t="str">
        <f>IF(A899&lt;&gt;"",INDEX('Base de données'!A$4:L$990,MATCH(' TVA M'!A904,'Base de données'!A$4:A$990,0),12),"")</f>
        <v/>
      </c>
    </row>
    <row r="900" spans="2:3" hidden="1" x14ac:dyDescent="0.25">
      <c r="B900" s="55" t="str">
        <f>IF(A900&lt;&gt;"",INDEX('Base de données'!A$4:L$990,MATCH(' TVA M'!A905,'Base de données'!A$4:A$990,0),2),"")</f>
        <v/>
      </c>
      <c r="C900" s="55" t="str">
        <f>IF(A900&lt;&gt;"",INDEX('Base de données'!A$4:L$990,MATCH(' TVA M'!A905,'Base de données'!A$4:A$990,0),12),"")</f>
        <v/>
      </c>
    </row>
    <row r="901" spans="2:3" hidden="1" x14ac:dyDescent="0.25">
      <c r="B901" s="55" t="str">
        <f>IF(A901&lt;&gt;"",INDEX('Base de données'!A$4:L$990,MATCH(' TVA M'!A906,'Base de données'!A$4:A$990,0),2),"")</f>
        <v/>
      </c>
      <c r="C901" s="55" t="str">
        <f>IF(A901&lt;&gt;"",INDEX('Base de données'!A$4:L$990,MATCH(' TVA M'!A906,'Base de données'!A$4:A$990,0),12),"")</f>
        <v/>
      </c>
    </row>
    <row r="902" spans="2:3" hidden="1" x14ac:dyDescent="0.25">
      <c r="B902" s="55" t="str">
        <f>IF(A902&lt;&gt;"",INDEX('Base de données'!A$4:L$990,MATCH(' TVA M'!A907,'Base de données'!A$4:A$990,0),2),"")</f>
        <v/>
      </c>
      <c r="C902" s="55" t="str">
        <f>IF(A902&lt;&gt;"",INDEX('Base de données'!A$4:L$990,MATCH(' TVA M'!A907,'Base de données'!A$4:A$990,0),12),"")</f>
        <v/>
      </c>
    </row>
    <row r="903" spans="2:3" hidden="1" x14ac:dyDescent="0.25">
      <c r="B903" s="55" t="str">
        <f>IF(A903&lt;&gt;"",INDEX('Base de données'!A$4:L$990,MATCH(' TVA M'!A908,'Base de données'!A$4:A$990,0),2),"")</f>
        <v/>
      </c>
      <c r="C903" s="55" t="str">
        <f>IF(A903&lt;&gt;"",INDEX('Base de données'!A$4:L$990,MATCH(' TVA M'!A908,'Base de données'!A$4:A$990,0),12),"")</f>
        <v/>
      </c>
    </row>
    <row r="904" spans="2:3" hidden="1" x14ac:dyDescent="0.25">
      <c r="B904" s="55" t="str">
        <f>IF(A904&lt;&gt;"",INDEX('Base de données'!A$4:L$990,MATCH(' TVA M'!A909,'Base de données'!A$4:A$990,0),2),"")</f>
        <v/>
      </c>
      <c r="C904" s="55" t="str">
        <f>IF(A904&lt;&gt;"",INDEX('Base de données'!A$4:L$990,MATCH(' TVA M'!A909,'Base de données'!A$4:A$990,0),12),"")</f>
        <v/>
      </c>
    </row>
    <row r="905" spans="2:3" hidden="1" x14ac:dyDescent="0.25">
      <c r="B905" s="55" t="str">
        <f>IF(A905&lt;&gt;"",INDEX('Base de données'!A$4:L$990,MATCH(' TVA M'!A910,'Base de données'!A$4:A$990,0),2),"")</f>
        <v/>
      </c>
      <c r="C905" s="55" t="str">
        <f>IF(A905&lt;&gt;"",INDEX('Base de données'!A$4:L$990,MATCH(' TVA M'!A910,'Base de données'!A$4:A$990,0),12),"")</f>
        <v/>
      </c>
    </row>
    <row r="906" spans="2:3" hidden="1" x14ac:dyDescent="0.25">
      <c r="B906" s="55" t="str">
        <f>IF(A906&lt;&gt;"",INDEX('Base de données'!A$4:L$990,MATCH(' TVA M'!A911,'Base de données'!A$4:A$990,0),2),"")</f>
        <v/>
      </c>
      <c r="C906" s="55" t="str">
        <f>IF(A906&lt;&gt;"",INDEX('Base de données'!A$4:L$990,MATCH(' TVA M'!A911,'Base de données'!A$4:A$990,0),12),"")</f>
        <v/>
      </c>
    </row>
    <row r="907" spans="2:3" hidden="1" x14ac:dyDescent="0.25">
      <c r="B907" s="55" t="str">
        <f>IF(A907&lt;&gt;"",INDEX('Base de données'!A$4:L$990,MATCH(' TVA M'!A912,'Base de données'!A$4:A$990,0),2),"")</f>
        <v/>
      </c>
      <c r="C907" s="55" t="str">
        <f>IF(A907&lt;&gt;"",INDEX('Base de données'!A$4:L$990,MATCH(' TVA M'!A912,'Base de données'!A$4:A$990,0),12),"")</f>
        <v/>
      </c>
    </row>
    <row r="908" spans="2:3" hidden="1" x14ac:dyDescent="0.25">
      <c r="B908" s="55" t="str">
        <f>IF(A908&lt;&gt;"",INDEX('Base de données'!A$4:L$990,MATCH(' TVA M'!A913,'Base de données'!A$4:A$990,0),2),"")</f>
        <v/>
      </c>
      <c r="C908" s="55" t="str">
        <f>IF(A908&lt;&gt;"",INDEX('Base de données'!A$4:L$990,MATCH(' TVA M'!A913,'Base de données'!A$4:A$990,0),12),"")</f>
        <v/>
      </c>
    </row>
    <row r="909" spans="2:3" hidden="1" x14ac:dyDescent="0.25">
      <c r="B909" s="55" t="str">
        <f>IF(A909&lt;&gt;"",INDEX('Base de données'!A$4:L$990,MATCH(' TVA M'!A914,'Base de données'!A$4:A$990,0),2),"")</f>
        <v/>
      </c>
      <c r="C909" s="55" t="str">
        <f>IF(A909&lt;&gt;"",INDEX('Base de données'!A$4:L$990,MATCH(' TVA M'!A914,'Base de données'!A$4:A$990,0),12),"")</f>
        <v/>
      </c>
    </row>
    <row r="910" spans="2:3" hidden="1" x14ac:dyDescent="0.25">
      <c r="B910" s="55" t="str">
        <f>IF(A910&lt;&gt;"",INDEX('Base de données'!A$4:L$990,MATCH(' TVA M'!A915,'Base de données'!A$4:A$990,0),2),"")</f>
        <v/>
      </c>
      <c r="C910" s="55" t="str">
        <f>IF(A910&lt;&gt;"",INDEX('Base de données'!A$4:L$990,MATCH(' TVA M'!A915,'Base de données'!A$4:A$990,0),12),"")</f>
        <v/>
      </c>
    </row>
    <row r="911" spans="2:3" hidden="1" x14ac:dyDescent="0.25">
      <c r="B911" s="55" t="str">
        <f>IF(A911&lt;&gt;"",INDEX('Base de données'!A$4:L$990,MATCH(' TVA M'!A916,'Base de données'!A$4:A$990,0),2),"")</f>
        <v/>
      </c>
      <c r="C911" s="55" t="str">
        <f>IF(A911&lt;&gt;"",INDEX('Base de données'!A$4:L$990,MATCH(' TVA M'!A916,'Base de données'!A$4:A$990,0),12),"")</f>
        <v/>
      </c>
    </row>
    <row r="912" spans="2:3" hidden="1" x14ac:dyDescent="0.25">
      <c r="B912" s="55" t="str">
        <f>IF(A912&lt;&gt;"",INDEX('Base de données'!A$4:L$990,MATCH(' TVA M'!A917,'Base de données'!A$4:A$990,0),2),"")</f>
        <v/>
      </c>
      <c r="C912" s="55" t="str">
        <f>IF(A912&lt;&gt;"",INDEX('Base de données'!A$4:L$990,MATCH(' TVA M'!A917,'Base de données'!A$4:A$990,0),12),"")</f>
        <v/>
      </c>
    </row>
    <row r="913" spans="2:3" hidden="1" x14ac:dyDescent="0.25">
      <c r="B913" s="55" t="str">
        <f>IF(A913&lt;&gt;"",INDEX('Base de données'!A$4:L$990,MATCH(' TVA M'!A918,'Base de données'!A$4:A$990,0),2),"")</f>
        <v/>
      </c>
      <c r="C913" s="55" t="str">
        <f>IF(A913&lt;&gt;"",INDEX('Base de données'!A$4:L$990,MATCH(' TVA M'!A918,'Base de données'!A$4:A$990,0),12),"")</f>
        <v/>
      </c>
    </row>
    <row r="914" spans="2:3" hidden="1" x14ac:dyDescent="0.25">
      <c r="B914" s="55" t="str">
        <f>IF(A914&lt;&gt;"",INDEX('Base de données'!A$4:L$990,MATCH(' TVA M'!A919,'Base de données'!A$4:A$990,0),2),"")</f>
        <v/>
      </c>
      <c r="C914" s="55" t="str">
        <f>IF(A914&lt;&gt;"",INDEX('Base de données'!A$4:L$990,MATCH(' TVA M'!A919,'Base de données'!A$4:A$990,0),12),"")</f>
        <v/>
      </c>
    </row>
    <row r="915" spans="2:3" hidden="1" x14ac:dyDescent="0.25">
      <c r="B915" s="55" t="str">
        <f>IF(A915&lt;&gt;"",INDEX('Base de données'!A$4:L$990,MATCH(' TVA M'!A920,'Base de données'!A$4:A$990,0),2),"")</f>
        <v/>
      </c>
      <c r="C915" s="55" t="str">
        <f>IF(A915&lt;&gt;"",INDEX('Base de données'!A$4:L$990,MATCH(' TVA M'!A920,'Base de données'!A$4:A$990,0),12),"")</f>
        <v/>
      </c>
    </row>
    <row r="916" spans="2:3" hidden="1" x14ac:dyDescent="0.25">
      <c r="B916" s="55" t="str">
        <f>IF(A916&lt;&gt;"",INDEX('Base de données'!A$4:L$990,MATCH(' TVA M'!A921,'Base de données'!A$4:A$990,0),2),"")</f>
        <v/>
      </c>
      <c r="C916" s="55" t="str">
        <f>IF(A916&lt;&gt;"",INDEX('Base de données'!A$4:L$990,MATCH(' TVA M'!A921,'Base de données'!A$4:A$990,0),12),"")</f>
        <v/>
      </c>
    </row>
    <row r="917" spans="2:3" hidden="1" x14ac:dyDescent="0.25">
      <c r="B917" s="55" t="str">
        <f>IF(A917&lt;&gt;"",INDEX('Base de données'!A$4:L$990,MATCH(' TVA M'!A922,'Base de données'!A$4:A$990,0),2),"")</f>
        <v/>
      </c>
      <c r="C917" s="55" t="str">
        <f>IF(A917&lt;&gt;"",INDEX('Base de données'!A$4:L$990,MATCH(' TVA M'!A922,'Base de données'!A$4:A$990,0),12),"")</f>
        <v/>
      </c>
    </row>
    <row r="918" spans="2:3" hidden="1" x14ac:dyDescent="0.25">
      <c r="B918" s="55" t="str">
        <f>IF(A918&lt;&gt;"",INDEX('Base de données'!A$4:L$990,MATCH(' TVA M'!A923,'Base de données'!A$4:A$990,0),2),"")</f>
        <v/>
      </c>
      <c r="C918" s="55" t="str">
        <f>IF(A918&lt;&gt;"",INDEX('Base de données'!A$4:L$990,MATCH(' TVA M'!A923,'Base de données'!A$4:A$990,0),12),"")</f>
        <v/>
      </c>
    </row>
    <row r="919" spans="2:3" hidden="1" x14ac:dyDescent="0.25">
      <c r="B919" s="55" t="str">
        <f>IF(A919&lt;&gt;"",INDEX('Base de données'!A$4:L$990,MATCH(' TVA M'!A924,'Base de données'!A$4:A$990,0),2),"")</f>
        <v/>
      </c>
      <c r="C919" s="55" t="str">
        <f>IF(A919&lt;&gt;"",INDEX('Base de données'!A$4:L$990,MATCH(' TVA M'!A924,'Base de données'!A$4:A$990,0),12),"")</f>
        <v/>
      </c>
    </row>
    <row r="920" spans="2:3" hidden="1" x14ac:dyDescent="0.25">
      <c r="B920" s="55" t="str">
        <f>IF(A920&lt;&gt;"",INDEX('Base de données'!A$4:L$990,MATCH(' TVA M'!A925,'Base de données'!A$4:A$990,0),2),"")</f>
        <v/>
      </c>
      <c r="C920" s="55" t="str">
        <f>IF(A920&lt;&gt;"",INDEX('Base de données'!A$4:L$990,MATCH(' TVA M'!A925,'Base de données'!A$4:A$990,0),12),"")</f>
        <v/>
      </c>
    </row>
    <row r="921" spans="2:3" hidden="1" x14ac:dyDescent="0.25">
      <c r="B921" s="55" t="str">
        <f>IF(A921&lt;&gt;"",INDEX('Base de données'!A$4:L$990,MATCH(' TVA M'!A926,'Base de données'!A$4:A$990,0),2),"")</f>
        <v/>
      </c>
      <c r="C921" s="55" t="str">
        <f>IF(A921&lt;&gt;"",INDEX('Base de données'!A$4:L$990,MATCH(' TVA M'!A926,'Base de données'!A$4:A$990,0),12),"")</f>
        <v/>
      </c>
    </row>
    <row r="922" spans="2:3" hidden="1" x14ac:dyDescent="0.25">
      <c r="B922" s="55" t="str">
        <f>IF(A922&lt;&gt;"",INDEX('Base de données'!A$4:L$990,MATCH(' TVA M'!A927,'Base de données'!A$4:A$990,0),2),"")</f>
        <v/>
      </c>
      <c r="C922" s="55" t="str">
        <f>IF(A922&lt;&gt;"",INDEX('Base de données'!A$4:L$990,MATCH(' TVA M'!A927,'Base de données'!A$4:A$990,0),12),"")</f>
        <v/>
      </c>
    </row>
    <row r="923" spans="2:3" hidden="1" x14ac:dyDescent="0.25">
      <c r="B923" s="55" t="str">
        <f>IF(A923&lt;&gt;"",INDEX('Base de données'!A$4:L$990,MATCH(' TVA M'!A928,'Base de données'!A$4:A$990,0),2),"")</f>
        <v/>
      </c>
      <c r="C923" s="55" t="str">
        <f>IF(A923&lt;&gt;"",INDEX('Base de données'!A$4:L$990,MATCH(' TVA M'!A928,'Base de données'!A$4:A$990,0),12),"")</f>
        <v/>
      </c>
    </row>
    <row r="924" spans="2:3" hidden="1" x14ac:dyDescent="0.25">
      <c r="B924" s="55" t="str">
        <f>IF(A924&lt;&gt;"",INDEX('Base de données'!A$4:L$990,MATCH(' TVA M'!A929,'Base de données'!A$4:A$990,0),2),"")</f>
        <v/>
      </c>
      <c r="C924" s="55" t="str">
        <f>IF(A924&lt;&gt;"",INDEX('Base de données'!A$4:L$990,MATCH(' TVA M'!A929,'Base de données'!A$4:A$990,0),12),"")</f>
        <v/>
      </c>
    </row>
    <row r="925" spans="2:3" hidden="1" x14ac:dyDescent="0.25">
      <c r="B925" s="55" t="str">
        <f>IF(A925&lt;&gt;"",INDEX('Base de données'!A$4:L$990,MATCH(' TVA M'!A930,'Base de données'!A$4:A$990,0),2),"")</f>
        <v/>
      </c>
      <c r="C925" s="55" t="str">
        <f>IF(A925&lt;&gt;"",INDEX('Base de données'!A$4:L$990,MATCH(' TVA M'!A930,'Base de données'!A$4:A$990,0),12),"")</f>
        <v/>
      </c>
    </row>
    <row r="926" spans="2:3" hidden="1" x14ac:dyDescent="0.25">
      <c r="B926" s="55" t="str">
        <f>IF(A926&lt;&gt;"",INDEX('Base de données'!A$4:L$990,MATCH(' TVA M'!A931,'Base de données'!A$4:A$990,0),2),"")</f>
        <v/>
      </c>
      <c r="C926" s="55" t="str">
        <f>IF(A926&lt;&gt;"",INDEX('Base de données'!A$4:L$990,MATCH(' TVA M'!A931,'Base de données'!A$4:A$990,0),12),"")</f>
        <v/>
      </c>
    </row>
    <row r="927" spans="2:3" hidden="1" x14ac:dyDescent="0.25">
      <c r="B927" s="55" t="str">
        <f>IF(A927&lt;&gt;"",INDEX('Base de données'!A$4:L$990,MATCH(' TVA M'!A932,'Base de données'!A$4:A$990,0),2),"")</f>
        <v/>
      </c>
      <c r="C927" s="55" t="str">
        <f>IF(A927&lt;&gt;"",INDEX('Base de données'!A$4:L$990,MATCH(' TVA M'!A932,'Base de données'!A$4:A$990,0),12),"")</f>
        <v/>
      </c>
    </row>
    <row r="928" spans="2:3" hidden="1" x14ac:dyDescent="0.25">
      <c r="B928" s="55" t="str">
        <f>IF(A928&lt;&gt;"",INDEX('Base de données'!A$4:L$990,MATCH(' TVA M'!A933,'Base de données'!A$4:A$990,0),2),"")</f>
        <v/>
      </c>
      <c r="C928" s="55" t="str">
        <f>IF(A928&lt;&gt;"",INDEX('Base de données'!A$4:L$990,MATCH(' TVA M'!A933,'Base de données'!A$4:A$990,0),12),"")</f>
        <v/>
      </c>
    </row>
    <row r="929" spans="2:3" hidden="1" x14ac:dyDescent="0.25">
      <c r="B929" s="55" t="str">
        <f>IF(A929&lt;&gt;"",INDEX('Base de données'!A$4:L$990,MATCH(' TVA M'!A934,'Base de données'!A$4:A$990,0),2),"")</f>
        <v/>
      </c>
      <c r="C929" s="55" t="str">
        <f>IF(A929&lt;&gt;"",INDEX('Base de données'!A$4:L$990,MATCH(' TVA M'!A934,'Base de données'!A$4:A$990,0),12),"")</f>
        <v/>
      </c>
    </row>
    <row r="930" spans="2:3" hidden="1" x14ac:dyDescent="0.25">
      <c r="B930" s="55" t="str">
        <f>IF(A930&lt;&gt;"",INDEX('Base de données'!A$4:L$990,MATCH(' TVA M'!A935,'Base de données'!A$4:A$990,0),2),"")</f>
        <v/>
      </c>
      <c r="C930" s="55" t="str">
        <f>IF(A930&lt;&gt;"",INDEX('Base de données'!A$4:L$990,MATCH(' TVA M'!A935,'Base de données'!A$4:A$990,0),12),"")</f>
        <v/>
      </c>
    </row>
    <row r="931" spans="2:3" hidden="1" x14ac:dyDescent="0.25">
      <c r="B931" s="55" t="str">
        <f>IF(A931&lt;&gt;"",INDEX('Base de données'!A$4:L$990,MATCH(' TVA M'!A936,'Base de données'!A$4:A$990,0),2),"")</f>
        <v/>
      </c>
      <c r="C931" s="55" t="str">
        <f>IF(A931&lt;&gt;"",INDEX('Base de données'!A$4:L$990,MATCH(' TVA M'!A936,'Base de données'!A$4:A$990,0),12),"")</f>
        <v/>
      </c>
    </row>
    <row r="932" spans="2:3" hidden="1" x14ac:dyDescent="0.25">
      <c r="B932" s="55" t="str">
        <f>IF(A932&lt;&gt;"",INDEX('Base de données'!A$4:L$990,MATCH(' TVA M'!A937,'Base de données'!A$4:A$990,0),2),"")</f>
        <v/>
      </c>
      <c r="C932" s="55" t="str">
        <f>IF(A932&lt;&gt;"",INDEX('Base de données'!A$4:L$990,MATCH(' TVA M'!A937,'Base de données'!A$4:A$990,0),12),"")</f>
        <v/>
      </c>
    </row>
    <row r="933" spans="2:3" hidden="1" x14ac:dyDescent="0.25">
      <c r="B933" s="55" t="str">
        <f>IF(A933&lt;&gt;"",INDEX('Base de données'!A$4:L$990,MATCH(' TVA M'!A938,'Base de données'!A$4:A$990,0),2),"")</f>
        <v/>
      </c>
      <c r="C933" s="55" t="str">
        <f>IF(A933&lt;&gt;"",INDEX('Base de données'!A$4:L$990,MATCH(' TVA M'!A938,'Base de données'!A$4:A$990,0),12),"")</f>
        <v/>
      </c>
    </row>
    <row r="934" spans="2:3" hidden="1" x14ac:dyDescent="0.25">
      <c r="B934" s="55" t="str">
        <f>IF(A934&lt;&gt;"",INDEX('Base de données'!A$4:L$990,MATCH(' TVA M'!A939,'Base de données'!A$4:A$990,0),2),"")</f>
        <v/>
      </c>
      <c r="C934" s="55" t="str">
        <f>IF(A934&lt;&gt;"",INDEX('Base de données'!A$4:L$990,MATCH(' TVA M'!A939,'Base de données'!A$4:A$990,0),12),"")</f>
        <v/>
      </c>
    </row>
    <row r="935" spans="2:3" hidden="1" x14ac:dyDescent="0.25">
      <c r="B935" s="55" t="str">
        <f>IF(A935&lt;&gt;"",INDEX('Base de données'!A$4:L$990,MATCH(' TVA M'!A940,'Base de données'!A$4:A$990,0),2),"")</f>
        <v/>
      </c>
      <c r="C935" s="55" t="str">
        <f>IF(A935&lt;&gt;"",INDEX('Base de données'!A$4:L$990,MATCH(' TVA M'!A940,'Base de données'!A$4:A$990,0),12),"")</f>
        <v/>
      </c>
    </row>
    <row r="936" spans="2:3" hidden="1" x14ac:dyDescent="0.25">
      <c r="B936" s="55" t="str">
        <f>IF(A936&lt;&gt;"",INDEX('Base de données'!A$4:L$990,MATCH(' TVA M'!A941,'Base de données'!A$4:A$990,0),2),"")</f>
        <v/>
      </c>
      <c r="C936" s="55" t="str">
        <f>IF(A936&lt;&gt;"",INDEX('Base de données'!A$4:L$990,MATCH(' TVA M'!A941,'Base de données'!A$4:A$990,0),12),"")</f>
        <v/>
      </c>
    </row>
    <row r="937" spans="2:3" hidden="1" x14ac:dyDescent="0.25">
      <c r="B937" s="55" t="str">
        <f>IF(A937&lt;&gt;"",INDEX('Base de données'!A$4:L$990,MATCH(' TVA M'!A942,'Base de données'!A$4:A$990,0),2),"")</f>
        <v/>
      </c>
      <c r="C937" s="55" t="str">
        <f>IF(A937&lt;&gt;"",INDEX('Base de données'!A$4:L$990,MATCH(' TVA M'!A942,'Base de données'!A$4:A$990,0),12),"")</f>
        <v/>
      </c>
    </row>
    <row r="938" spans="2:3" hidden="1" x14ac:dyDescent="0.25">
      <c r="B938" s="55" t="str">
        <f>IF(A938&lt;&gt;"",INDEX('Base de données'!A$4:L$990,MATCH(' TVA M'!A943,'Base de données'!A$4:A$990,0),2),"")</f>
        <v/>
      </c>
      <c r="C938" s="55" t="str">
        <f>IF(A938&lt;&gt;"",INDEX('Base de données'!A$4:L$990,MATCH(' TVA M'!A943,'Base de données'!A$4:A$990,0),12),"")</f>
        <v/>
      </c>
    </row>
    <row r="939" spans="2:3" hidden="1" x14ac:dyDescent="0.25">
      <c r="B939" s="55" t="str">
        <f>IF(A939&lt;&gt;"",INDEX('Base de données'!A$4:L$990,MATCH(' TVA M'!A944,'Base de données'!A$4:A$990,0),2),"")</f>
        <v/>
      </c>
      <c r="C939" s="55" t="str">
        <f>IF(A939&lt;&gt;"",INDEX('Base de données'!A$4:L$990,MATCH(' TVA M'!A944,'Base de données'!A$4:A$990,0),12),"")</f>
        <v/>
      </c>
    </row>
    <row r="940" spans="2:3" hidden="1" x14ac:dyDescent="0.25">
      <c r="B940" s="55" t="str">
        <f>IF(A940&lt;&gt;"",INDEX('Base de données'!A$4:L$990,MATCH(' TVA M'!A945,'Base de données'!A$4:A$990,0),2),"")</f>
        <v/>
      </c>
      <c r="C940" s="55" t="str">
        <f>IF(A940&lt;&gt;"",INDEX('Base de données'!A$4:L$990,MATCH(' TVA M'!A945,'Base de données'!A$4:A$990,0),12),"")</f>
        <v/>
      </c>
    </row>
    <row r="941" spans="2:3" hidden="1" x14ac:dyDescent="0.25">
      <c r="B941" s="55" t="str">
        <f>IF(A941&lt;&gt;"",INDEX('Base de données'!A$4:L$990,MATCH(' TVA M'!A946,'Base de données'!A$4:A$990,0),2),"")</f>
        <v/>
      </c>
      <c r="C941" s="55" t="str">
        <f>IF(A941&lt;&gt;"",INDEX('Base de données'!A$4:L$990,MATCH(' TVA M'!A946,'Base de données'!A$4:A$990,0),12),"")</f>
        <v/>
      </c>
    </row>
    <row r="942" spans="2:3" hidden="1" x14ac:dyDescent="0.25">
      <c r="B942" s="55" t="str">
        <f>IF(A942&lt;&gt;"",INDEX('Base de données'!A$4:L$990,MATCH(' TVA M'!A947,'Base de données'!A$4:A$990,0),2),"")</f>
        <v/>
      </c>
      <c r="C942" s="55" t="str">
        <f>IF(A942&lt;&gt;"",INDEX('Base de données'!A$4:L$990,MATCH(' TVA M'!A947,'Base de données'!A$4:A$990,0),12),"")</f>
        <v/>
      </c>
    </row>
    <row r="943" spans="2:3" hidden="1" x14ac:dyDescent="0.25">
      <c r="B943" s="55" t="str">
        <f>IF(A943&lt;&gt;"",INDEX('Base de données'!A$4:L$990,MATCH(' TVA M'!A948,'Base de données'!A$4:A$990,0),2),"")</f>
        <v/>
      </c>
      <c r="C943" s="55" t="str">
        <f>IF(A943&lt;&gt;"",INDEX('Base de données'!A$4:L$990,MATCH(' TVA M'!A948,'Base de données'!A$4:A$990,0),12),"")</f>
        <v/>
      </c>
    </row>
    <row r="944" spans="2:3" hidden="1" x14ac:dyDescent="0.25">
      <c r="B944" s="55" t="str">
        <f>IF(A944&lt;&gt;"",INDEX('Base de données'!A$4:L$990,MATCH(' TVA M'!A949,'Base de données'!A$4:A$990,0),2),"")</f>
        <v/>
      </c>
      <c r="C944" s="55" t="str">
        <f>IF(A944&lt;&gt;"",INDEX('Base de données'!A$4:L$990,MATCH(' TVA M'!A949,'Base de données'!A$4:A$990,0),12),"")</f>
        <v/>
      </c>
    </row>
    <row r="945" spans="2:3" hidden="1" x14ac:dyDescent="0.25">
      <c r="B945" s="55" t="str">
        <f>IF(A945&lt;&gt;"",INDEX('Base de données'!A$4:L$990,MATCH(' TVA M'!A950,'Base de données'!A$4:A$990,0),2),"")</f>
        <v/>
      </c>
      <c r="C945" s="55" t="str">
        <f>IF(A945&lt;&gt;"",INDEX('Base de données'!A$4:L$990,MATCH(' TVA M'!A950,'Base de données'!A$4:A$990,0),12),"")</f>
        <v/>
      </c>
    </row>
    <row r="946" spans="2:3" hidden="1" x14ac:dyDescent="0.25">
      <c r="B946" s="55" t="str">
        <f>IF(A946&lt;&gt;"",INDEX('Base de données'!A$4:L$990,MATCH(' TVA M'!A951,'Base de données'!A$4:A$990,0),2),"")</f>
        <v/>
      </c>
      <c r="C946" s="55" t="str">
        <f>IF(A946&lt;&gt;"",INDEX('Base de données'!A$4:L$990,MATCH(' TVA M'!A951,'Base de données'!A$4:A$990,0),12),"")</f>
        <v/>
      </c>
    </row>
    <row r="947" spans="2:3" hidden="1" x14ac:dyDescent="0.25">
      <c r="B947" s="55" t="str">
        <f>IF(A947&lt;&gt;"",INDEX('Base de données'!A$4:L$990,MATCH(' TVA M'!A952,'Base de données'!A$4:A$990,0),2),"")</f>
        <v/>
      </c>
      <c r="C947" s="55" t="str">
        <f>IF(A947&lt;&gt;"",INDEX('Base de données'!A$4:L$990,MATCH(' TVA M'!A952,'Base de données'!A$4:A$990,0),12),"")</f>
        <v/>
      </c>
    </row>
    <row r="948" spans="2:3" hidden="1" x14ac:dyDescent="0.25">
      <c r="B948" s="55" t="str">
        <f>IF(A948&lt;&gt;"",INDEX('Base de données'!A$4:L$990,MATCH(' TVA M'!A953,'Base de données'!A$4:A$990,0),2),"")</f>
        <v/>
      </c>
      <c r="C948" s="55" t="str">
        <f>IF(A948&lt;&gt;"",INDEX('Base de données'!A$4:L$990,MATCH(' TVA M'!A953,'Base de données'!A$4:A$990,0),12),"")</f>
        <v/>
      </c>
    </row>
    <row r="949" spans="2:3" hidden="1" x14ac:dyDescent="0.25">
      <c r="B949" s="55" t="str">
        <f>IF(A949&lt;&gt;"",INDEX('Base de données'!A$4:L$990,MATCH(' TVA M'!A954,'Base de données'!A$4:A$990,0),2),"")</f>
        <v/>
      </c>
      <c r="C949" s="55" t="str">
        <f>IF(A949&lt;&gt;"",INDEX('Base de données'!A$4:L$990,MATCH(' TVA M'!A954,'Base de données'!A$4:A$990,0),12),"")</f>
        <v/>
      </c>
    </row>
    <row r="950" spans="2:3" hidden="1" x14ac:dyDescent="0.25">
      <c r="B950" s="55" t="str">
        <f>IF(A950&lt;&gt;"",INDEX('Base de données'!A$4:L$990,MATCH(' TVA M'!A955,'Base de données'!A$4:A$990,0),2),"")</f>
        <v/>
      </c>
      <c r="C950" s="55" t="str">
        <f>IF(A950&lt;&gt;"",INDEX('Base de données'!A$4:L$990,MATCH(' TVA M'!A955,'Base de données'!A$4:A$990,0),12),"")</f>
        <v/>
      </c>
    </row>
    <row r="951" spans="2:3" hidden="1" x14ac:dyDescent="0.25">
      <c r="B951" s="55" t="str">
        <f>IF(A951&lt;&gt;"",INDEX('Base de données'!A$4:L$990,MATCH(' TVA M'!A956,'Base de données'!A$4:A$990,0),2),"")</f>
        <v/>
      </c>
      <c r="C951" s="55" t="str">
        <f>IF(A951&lt;&gt;"",INDEX('Base de données'!A$4:L$990,MATCH(' TVA M'!A956,'Base de données'!A$4:A$990,0),12),"")</f>
        <v/>
      </c>
    </row>
    <row r="952" spans="2:3" hidden="1" x14ac:dyDescent="0.25">
      <c r="B952" s="55" t="str">
        <f>IF(A952&lt;&gt;"",INDEX('Base de données'!A$4:L$990,MATCH(' TVA M'!A957,'Base de données'!A$4:A$990,0),2),"")</f>
        <v/>
      </c>
      <c r="C952" s="55" t="str">
        <f>IF(A952&lt;&gt;"",INDEX('Base de données'!A$4:L$990,MATCH(' TVA M'!A957,'Base de données'!A$4:A$990,0),12),"")</f>
        <v/>
      </c>
    </row>
    <row r="953" spans="2:3" hidden="1" x14ac:dyDescent="0.25">
      <c r="B953" s="55" t="str">
        <f>IF(A953&lt;&gt;"",INDEX('Base de données'!A$4:L$990,MATCH(' TVA M'!A958,'Base de données'!A$4:A$990,0),2),"")</f>
        <v/>
      </c>
      <c r="C953" s="55" t="str">
        <f>IF(A953&lt;&gt;"",INDEX('Base de données'!A$4:L$990,MATCH(' TVA M'!A958,'Base de données'!A$4:A$990,0),12),"")</f>
        <v/>
      </c>
    </row>
    <row r="954" spans="2:3" hidden="1" x14ac:dyDescent="0.25">
      <c r="B954" s="55" t="str">
        <f>IF(A954&lt;&gt;"",INDEX('Base de données'!A$4:L$990,MATCH(' TVA M'!A959,'Base de données'!A$4:A$990,0),2),"")</f>
        <v/>
      </c>
      <c r="C954" s="55" t="str">
        <f>IF(A954&lt;&gt;"",INDEX('Base de données'!A$4:L$990,MATCH(' TVA M'!A959,'Base de données'!A$4:A$990,0),12),"")</f>
        <v/>
      </c>
    </row>
    <row r="955" spans="2:3" hidden="1" x14ac:dyDescent="0.25">
      <c r="B955" s="55" t="str">
        <f>IF(A955&lt;&gt;"",INDEX('Base de données'!A$4:L$990,MATCH(' TVA M'!A960,'Base de données'!A$4:A$990,0),2),"")</f>
        <v/>
      </c>
      <c r="C955" s="55" t="str">
        <f>IF(A955&lt;&gt;"",INDEX('Base de données'!A$4:L$990,MATCH(' TVA M'!A960,'Base de données'!A$4:A$990,0),12),"")</f>
        <v/>
      </c>
    </row>
    <row r="956" spans="2:3" hidden="1" x14ac:dyDescent="0.25">
      <c r="B956" s="55" t="str">
        <f>IF(A956&lt;&gt;"",INDEX('Base de données'!A$4:L$990,MATCH(' TVA M'!A961,'Base de données'!A$4:A$990,0),2),"")</f>
        <v/>
      </c>
      <c r="C956" s="55" t="str">
        <f>IF(A956&lt;&gt;"",INDEX('Base de données'!A$4:L$990,MATCH(' TVA M'!A961,'Base de données'!A$4:A$990,0),12),"")</f>
        <v/>
      </c>
    </row>
    <row r="957" spans="2:3" hidden="1" x14ac:dyDescent="0.25">
      <c r="B957" s="55" t="str">
        <f>IF(A957&lt;&gt;"",INDEX('Base de données'!A$4:L$990,MATCH(' TVA M'!A962,'Base de données'!A$4:A$990,0),2),"")</f>
        <v/>
      </c>
      <c r="C957" s="55" t="str">
        <f>IF(A957&lt;&gt;"",INDEX('Base de données'!A$4:L$990,MATCH(' TVA M'!A962,'Base de données'!A$4:A$990,0),12),"")</f>
        <v/>
      </c>
    </row>
    <row r="958" spans="2:3" hidden="1" x14ac:dyDescent="0.25">
      <c r="B958" s="55" t="str">
        <f>IF(A958&lt;&gt;"",INDEX('Base de données'!A$4:L$990,MATCH(' TVA M'!A963,'Base de données'!A$4:A$990,0),2),"")</f>
        <v/>
      </c>
      <c r="C958" s="55" t="str">
        <f>IF(A958&lt;&gt;"",INDEX('Base de données'!A$4:L$990,MATCH(' TVA M'!A963,'Base de données'!A$4:A$990,0),12),"")</f>
        <v/>
      </c>
    </row>
    <row r="959" spans="2:3" hidden="1" x14ac:dyDescent="0.25">
      <c r="B959" s="55" t="str">
        <f>IF(A959&lt;&gt;"",INDEX('Base de données'!A$4:L$990,MATCH(' TVA M'!A964,'Base de données'!A$4:A$990,0),2),"")</f>
        <v/>
      </c>
      <c r="C959" s="55" t="str">
        <f>IF(A959&lt;&gt;"",INDEX('Base de données'!A$4:L$990,MATCH(' TVA M'!A964,'Base de données'!A$4:A$990,0),12),"")</f>
        <v/>
      </c>
    </row>
    <row r="960" spans="2:3" hidden="1" x14ac:dyDescent="0.25">
      <c r="B960" s="55" t="str">
        <f>IF(A960&lt;&gt;"",INDEX('Base de données'!A$4:L$990,MATCH(' TVA M'!A965,'Base de données'!A$4:A$990,0),2),"")</f>
        <v/>
      </c>
      <c r="C960" s="55" t="str">
        <f>IF(A960&lt;&gt;"",INDEX('Base de données'!A$4:L$990,MATCH(' TVA M'!A965,'Base de données'!A$4:A$990,0),12),"")</f>
        <v/>
      </c>
    </row>
    <row r="961" spans="2:3" hidden="1" x14ac:dyDescent="0.25">
      <c r="B961" s="55" t="str">
        <f>IF(A961&lt;&gt;"",INDEX('Base de données'!A$4:L$990,MATCH(' TVA M'!A966,'Base de données'!A$4:A$990,0),2),"")</f>
        <v/>
      </c>
      <c r="C961" s="55" t="str">
        <f>IF(A961&lt;&gt;"",INDEX('Base de données'!A$4:L$990,MATCH(' TVA M'!A966,'Base de données'!A$4:A$990,0),12),"")</f>
        <v/>
      </c>
    </row>
    <row r="962" spans="2:3" hidden="1" x14ac:dyDescent="0.25">
      <c r="B962" s="55" t="str">
        <f>IF(A962&lt;&gt;"",INDEX('Base de données'!A$4:L$990,MATCH(' TVA M'!A967,'Base de données'!A$4:A$990,0),2),"")</f>
        <v/>
      </c>
      <c r="C962" s="55" t="str">
        <f>IF(A962&lt;&gt;"",INDEX('Base de données'!A$4:L$990,MATCH(' TVA M'!A967,'Base de données'!A$4:A$990,0),12),"")</f>
        <v/>
      </c>
    </row>
    <row r="963" spans="2:3" hidden="1" x14ac:dyDescent="0.25">
      <c r="B963" s="55" t="str">
        <f>IF(A963&lt;&gt;"",INDEX('Base de données'!A$4:L$990,MATCH(' TVA M'!A968,'Base de données'!A$4:A$990,0),2),"")</f>
        <v/>
      </c>
      <c r="C963" s="55" t="str">
        <f>IF(A963&lt;&gt;"",INDEX('Base de données'!A$4:L$990,MATCH(' TVA M'!A968,'Base de données'!A$4:A$990,0),12),"")</f>
        <v/>
      </c>
    </row>
    <row r="964" spans="2:3" hidden="1" x14ac:dyDescent="0.25">
      <c r="B964" s="55" t="str">
        <f>IF(A964&lt;&gt;"",INDEX('Base de données'!A$4:L$990,MATCH(' TVA M'!A969,'Base de données'!A$4:A$990,0),2),"")</f>
        <v/>
      </c>
      <c r="C964" s="55" t="str">
        <f>IF(A964&lt;&gt;"",INDEX('Base de données'!A$4:L$990,MATCH(' TVA M'!A969,'Base de données'!A$4:A$990,0),12),"")</f>
        <v/>
      </c>
    </row>
    <row r="965" spans="2:3" hidden="1" x14ac:dyDescent="0.25">
      <c r="B965" s="55" t="str">
        <f>IF(A965&lt;&gt;"",INDEX('Base de données'!A$4:L$990,MATCH(' TVA M'!A970,'Base de données'!A$4:A$990,0),2),"")</f>
        <v/>
      </c>
      <c r="C965" s="55" t="str">
        <f>IF(A965&lt;&gt;"",INDEX('Base de données'!A$4:L$990,MATCH(' TVA M'!A970,'Base de données'!A$4:A$990,0),12),"")</f>
        <v/>
      </c>
    </row>
    <row r="966" spans="2:3" hidden="1" x14ac:dyDescent="0.25">
      <c r="B966" s="55" t="str">
        <f>IF(A966&lt;&gt;"",INDEX('Base de données'!A$4:L$990,MATCH(' TVA M'!A971,'Base de données'!A$4:A$990,0),2),"")</f>
        <v/>
      </c>
      <c r="C966" s="55" t="str">
        <f>IF(A966&lt;&gt;"",INDEX('Base de données'!A$4:L$990,MATCH(' TVA M'!A971,'Base de données'!A$4:A$990,0),12),"")</f>
        <v/>
      </c>
    </row>
    <row r="967" spans="2:3" hidden="1" x14ac:dyDescent="0.25">
      <c r="B967" s="55" t="str">
        <f>IF(A967&lt;&gt;"",INDEX('Base de données'!A$4:L$990,MATCH(' TVA M'!A972,'Base de données'!A$4:A$990,0),2),"")</f>
        <v/>
      </c>
      <c r="C967" s="55" t="str">
        <f>IF(A967&lt;&gt;"",INDEX('Base de données'!A$4:L$990,MATCH(' TVA M'!A972,'Base de données'!A$4:A$990,0),12),"")</f>
        <v/>
      </c>
    </row>
    <row r="968" spans="2:3" hidden="1" x14ac:dyDescent="0.25">
      <c r="B968" s="55" t="str">
        <f>IF(A968&lt;&gt;"",INDEX('Base de données'!A$4:L$990,MATCH(' TVA M'!A973,'Base de données'!A$4:A$990,0),2),"")</f>
        <v/>
      </c>
      <c r="C968" s="55" t="str">
        <f>IF(A968&lt;&gt;"",INDEX('Base de données'!A$4:L$990,MATCH(' TVA M'!A973,'Base de données'!A$4:A$990,0),12),"")</f>
        <v/>
      </c>
    </row>
    <row r="969" spans="2:3" hidden="1" x14ac:dyDescent="0.25">
      <c r="B969" s="55" t="str">
        <f>IF(A969&lt;&gt;"",INDEX('Base de données'!A$4:L$990,MATCH(' TVA M'!A974,'Base de données'!A$4:A$990,0),2),"")</f>
        <v/>
      </c>
      <c r="C969" s="55" t="str">
        <f>IF(A969&lt;&gt;"",INDEX('Base de données'!A$4:L$990,MATCH(' TVA M'!A974,'Base de données'!A$4:A$990,0),12),"")</f>
        <v/>
      </c>
    </row>
    <row r="970" spans="2:3" hidden="1" x14ac:dyDescent="0.25">
      <c r="B970" s="55" t="str">
        <f>IF(A970&lt;&gt;"",INDEX('Base de données'!A$4:L$990,MATCH(' TVA M'!A975,'Base de données'!A$4:A$990,0),2),"")</f>
        <v/>
      </c>
      <c r="C970" s="55" t="str">
        <f>IF(A970&lt;&gt;"",INDEX('Base de données'!A$4:L$990,MATCH(' TVA M'!A975,'Base de données'!A$4:A$990,0),12),"")</f>
        <v/>
      </c>
    </row>
    <row r="971" spans="2:3" hidden="1" x14ac:dyDescent="0.25">
      <c r="B971" s="55" t="str">
        <f>IF(A971&lt;&gt;"",INDEX('Base de données'!A$4:L$990,MATCH(' TVA M'!A976,'Base de données'!A$4:A$990,0),2),"")</f>
        <v/>
      </c>
      <c r="C971" s="55" t="str">
        <f>IF(A971&lt;&gt;"",INDEX('Base de données'!A$4:L$990,MATCH(' TVA M'!A976,'Base de données'!A$4:A$990,0),12),"")</f>
        <v/>
      </c>
    </row>
    <row r="972" spans="2:3" hidden="1" x14ac:dyDescent="0.25">
      <c r="B972" s="55" t="str">
        <f>IF(A972&lt;&gt;"",INDEX('Base de données'!A$4:L$990,MATCH(' TVA M'!A977,'Base de données'!A$4:A$990,0),2),"")</f>
        <v/>
      </c>
      <c r="C972" s="55" t="str">
        <f>IF(A972&lt;&gt;"",INDEX('Base de données'!A$4:L$990,MATCH(' TVA M'!A977,'Base de données'!A$4:A$990,0),12),"")</f>
        <v/>
      </c>
    </row>
    <row r="973" spans="2:3" hidden="1" x14ac:dyDescent="0.25">
      <c r="B973" s="55" t="str">
        <f>IF(A973&lt;&gt;"",INDEX('Base de données'!A$4:L$990,MATCH(' TVA M'!A978,'Base de données'!A$4:A$990,0),2),"")</f>
        <v/>
      </c>
      <c r="C973" s="55" t="str">
        <f>IF(A973&lt;&gt;"",INDEX('Base de données'!A$4:L$990,MATCH(' TVA M'!A978,'Base de données'!A$4:A$990,0),12),"")</f>
        <v/>
      </c>
    </row>
    <row r="974" spans="2:3" hidden="1" x14ac:dyDescent="0.25">
      <c r="B974" s="55" t="str">
        <f>IF(A974&lt;&gt;"",INDEX('Base de données'!A$4:L$990,MATCH(' TVA M'!A979,'Base de données'!A$4:A$990,0),2),"")</f>
        <v/>
      </c>
      <c r="C974" s="55" t="str">
        <f>IF(A974&lt;&gt;"",INDEX('Base de données'!A$4:L$990,MATCH(' TVA M'!A979,'Base de données'!A$4:A$990,0),12),"")</f>
        <v/>
      </c>
    </row>
    <row r="975" spans="2:3" hidden="1" x14ac:dyDescent="0.25">
      <c r="B975" s="55" t="str">
        <f>IF(A975&lt;&gt;"",INDEX('Base de données'!A$4:L$990,MATCH(' TVA M'!A980,'Base de données'!A$4:A$990,0),2),"")</f>
        <v/>
      </c>
      <c r="C975" s="55" t="str">
        <f>IF(A975&lt;&gt;"",INDEX('Base de données'!A$4:L$990,MATCH(' TVA M'!A980,'Base de données'!A$4:A$990,0),12),"")</f>
        <v/>
      </c>
    </row>
    <row r="976" spans="2:3" hidden="1" x14ac:dyDescent="0.25">
      <c r="B976" s="55" t="str">
        <f>IF(A976&lt;&gt;"",INDEX('Base de données'!A$4:L$990,MATCH(' TVA M'!A981,'Base de données'!A$4:A$990,0),2),"")</f>
        <v/>
      </c>
      <c r="C976" s="55" t="str">
        <f>IF(A976&lt;&gt;"",INDEX('Base de données'!A$4:L$990,MATCH(' TVA M'!A981,'Base de données'!A$4:A$990,0),12),"")</f>
        <v/>
      </c>
    </row>
    <row r="977" spans="2:3" hidden="1" x14ac:dyDescent="0.25">
      <c r="B977" s="55" t="str">
        <f>IF(A977&lt;&gt;"",INDEX('Base de données'!A$4:L$990,MATCH(' TVA M'!A982,'Base de données'!A$4:A$990,0),2),"")</f>
        <v/>
      </c>
      <c r="C977" s="55" t="str">
        <f>IF(A977&lt;&gt;"",INDEX('Base de données'!A$4:L$990,MATCH(' TVA M'!A982,'Base de données'!A$4:A$990,0),12),"")</f>
        <v/>
      </c>
    </row>
    <row r="978" spans="2:3" hidden="1" x14ac:dyDescent="0.25">
      <c r="B978" s="55" t="str">
        <f>IF(A978&lt;&gt;"",INDEX('Base de données'!A$4:L$990,MATCH(' TVA M'!A983,'Base de données'!A$4:A$990,0),2),"")</f>
        <v/>
      </c>
      <c r="C978" s="55" t="str">
        <f>IF(A978&lt;&gt;"",INDEX('Base de données'!A$4:L$990,MATCH(' TVA M'!A983,'Base de données'!A$4:A$990,0),12),"")</f>
        <v/>
      </c>
    </row>
    <row r="979" spans="2:3" hidden="1" x14ac:dyDescent="0.25">
      <c r="B979" s="55" t="str">
        <f>IF(A979&lt;&gt;"",INDEX('Base de données'!A$4:L$990,MATCH(' TVA M'!A984,'Base de données'!A$4:A$990,0),2),"")</f>
        <v/>
      </c>
      <c r="C979" s="55" t="str">
        <f>IF(A979&lt;&gt;"",INDEX('Base de données'!A$4:L$990,MATCH(' TVA M'!A984,'Base de données'!A$4:A$990,0),12),"")</f>
        <v/>
      </c>
    </row>
    <row r="980" spans="2:3" hidden="1" x14ac:dyDescent="0.25">
      <c r="B980" s="55" t="str">
        <f>IF(A980&lt;&gt;"",INDEX('Base de données'!A$4:L$990,MATCH(' TVA M'!A985,'Base de données'!A$4:A$990,0),2),"")</f>
        <v/>
      </c>
      <c r="C980" s="55" t="str">
        <f>IF(A980&lt;&gt;"",INDEX('Base de données'!A$4:L$990,MATCH(' TVA M'!A985,'Base de données'!A$4:A$990,0),12),"")</f>
        <v/>
      </c>
    </row>
    <row r="981" spans="2:3" hidden="1" x14ac:dyDescent="0.25">
      <c r="B981" s="55" t="str">
        <f>IF(A981&lt;&gt;"",INDEX('Base de données'!A$4:L$990,MATCH(' TVA M'!A986,'Base de données'!A$4:A$990,0),2),"")</f>
        <v/>
      </c>
      <c r="C981" s="55" t="str">
        <f>IF(A981&lt;&gt;"",INDEX('Base de données'!A$4:L$990,MATCH(' TVA M'!A986,'Base de données'!A$4:A$990,0),12),"")</f>
        <v/>
      </c>
    </row>
    <row r="982" spans="2:3" hidden="1" x14ac:dyDescent="0.25">
      <c r="B982" s="55" t="str">
        <f>IF(A982&lt;&gt;"",INDEX('Base de données'!A$4:L$990,MATCH(' TVA M'!A987,'Base de données'!A$4:A$990,0),2),"")</f>
        <v/>
      </c>
      <c r="C982" s="55" t="str">
        <f>IF(A982&lt;&gt;"",INDEX('Base de données'!A$4:L$990,MATCH(' TVA M'!A987,'Base de données'!A$4:A$990,0),12),"")</f>
        <v/>
      </c>
    </row>
    <row r="983" spans="2:3" hidden="1" x14ac:dyDescent="0.25">
      <c r="B983" s="55" t="str">
        <f>IF(A983&lt;&gt;"",INDEX('Base de données'!A$4:L$990,MATCH(' TVA M'!A988,'Base de données'!A$4:A$990,0),2),"")</f>
        <v/>
      </c>
      <c r="C983" s="55" t="str">
        <f>IF(A983&lt;&gt;"",INDEX('Base de données'!A$4:L$990,MATCH(' TVA M'!A988,'Base de données'!A$4:A$990,0),12),"")</f>
        <v/>
      </c>
    </row>
    <row r="984" spans="2:3" hidden="1" x14ac:dyDescent="0.25">
      <c r="B984" s="55" t="str">
        <f>IF(A984&lt;&gt;"",INDEX('Base de données'!A$4:L$990,MATCH(' TVA M'!A989,'Base de données'!A$4:A$990,0),2),"")</f>
        <v/>
      </c>
      <c r="C984" s="55" t="str">
        <f>IF(A984&lt;&gt;"",INDEX('Base de données'!A$4:L$990,MATCH(' TVA M'!A989,'Base de données'!A$4:A$990,0),12),"")</f>
        <v/>
      </c>
    </row>
    <row r="985" spans="2:3" hidden="1" x14ac:dyDescent="0.25">
      <c r="B985" s="55" t="str">
        <f>IF(A985&lt;&gt;"",INDEX('Base de données'!A$4:L$990,MATCH(' TVA M'!A990,'Base de données'!A$4:A$990,0),2),"")</f>
        <v/>
      </c>
      <c r="C985" s="55" t="str">
        <f>IF(A985&lt;&gt;"",INDEX('Base de données'!A$4:L$990,MATCH(' TVA M'!A990,'Base de données'!A$4:A$990,0),12),"")</f>
        <v/>
      </c>
    </row>
    <row r="986" spans="2:3" hidden="1" x14ac:dyDescent="0.25">
      <c r="B986" s="55" t="str">
        <f>IF(A986&lt;&gt;"",INDEX('Base de données'!A$4:L$990,MATCH(' TVA M'!A991,'Base de données'!A$4:A$990,0),2),"")</f>
        <v/>
      </c>
      <c r="C986" s="55" t="str">
        <f>IF(A986&lt;&gt;"",INDEX('Base de données'!A$4:L$990,MATCH(' TVA M'!A991,'Base de données'!A$4:A$990,0),12),"")</f>
        <v/>
      </c>
    </row>
    <row r="987" spans="2:3" hidden="1" x14ac:dyDescent="0.25">
      <c r="B987" s="55" t="str">
        <f>IF(A987&lt;&gt;"",INDEX('Base de données'!A$4:L$990,MATCH(' TVA M'!A992,'Base de données'!A$4:A$990,0),2),"")</f>
        <v/>
      </c>
      <c r="C987" s="55" t="str">
        <f>IF(A987&lt;&gt;"",INDEX('Base de données'!A$4:L$990,MATCH(' TVA M'!A992,'Base de données'!A$4:A$990,0),12),"")</f>
        <v/>
      </c>
    </row>
    <row r="988" spans="2:3" hidden="1" x14ac:dyDescent="0.25">
      <c r="B988" s="55" t="str">
        <f>IF(A988&lt;&gt;"",INDEX('Base de données'!A$4:L$990,MATCH(' TVA M'!A993,'Base de données'!A$4:A$990,0),2),"")</f>
        <v/>
      </c>
      <c r="C988" s="55" t="str">
        <f>IF(A988&lt;&gt;"",INDEX('Base de données'!A$4:L$990,MATCH(' TVA M'!A993,'Base de données'!A$4:A$990,0),12),"")</f>
        <v/>
      </c>
    </row>
    <row r="989" spans="2:3" hidden="1" x14ac:dyDescent="0.25">
      <c r="B989" s="55" t="str">
        <f>IF(A989&lt;&gt;"",INDEX('Base de données'!A$4:L$990,MATCH(' TVA M'!A994,'Base de données'!A$4:A$990,0),2),"")</f>
        <v/>
      </c>
      <c r="C989" s="55" t="str">
        <f>IF(A989&lt;&gt;"",INDEX('Base de données'!A$4:L$990,MATCH(' TVA M'!A994,'Base de données'!A$4:A$990,0),12),"")</f>
        <v/>
      </c>
    </row>
    <row r="990" spans="2:3" hidden="1" x14ac:dyDescent="0.25">
      <c r="B990" s="55" t="str">
        <f>IF(A990&lt;&gt;"",INDEX('Base de données'!A$4:L$990,MATCH(' TVA M'!A995,'Base de données'!A$4:A$990,0),2),"")</f>
        <v/>
      </c>
      <c r="C990" s="55" t="str">
        <f>IF(A990&lt;&gt;"",INDEX('Base de données'!A$4:L$990,MATCH(' TVA M'!A995,'Base de données'!A$4:A$990,0),12),"")</f>
        <v/>
      </c>
    </row>
    <row r="991" spans="2:3" hidden="1" x14ac:dyDescent="0.25">
      <c r="B991" s="55" t="str">
        <f>IF(A991&lt;&gt;"",INDEX('Base de données'!A$4:L$990,MATCH(' TVA M'!A996,'Base de données'!A$4:A$990,0),2),"")</f>
        <v/>
      </c>
      <c r="C991" s="55" t="str">
        <f>IF(A991&lt;&gt;"",INDEX('Base de données'!A$4:L$990,MATCH(' TVA M'!A996,'Base de données'!A$4:A$990,0),12),"")</f>
        <v/>
      </c>
    </row>
    <row r="992" spans="2:3" hidden="1" x14ac:dyDescent="0.25">
      <c r="B992" s="55" t="str">
        <f>IF(A992&lt;&gt;"",INDEX('Base de données'!A$4:L$990,MATCH(' TVA M'!A997,'Base de données'!A$4:A$990,0),2),"")</f>
        <v/>
      </c>
      <c r="C992" s="55" t="str">
        <f>IF(A992&lt;&gt;"",INDEX('Base de données'!A$4:L$990,MATCH(' TVA M'!A997,'Base de données'!A$4:A$990,0),12),"")</f>
        <v/>
      </c>
    </row>
    <row r="993" spans="2:3" hidden="1" x14ac:dyDescent="0.25">
      <c r="B993" s="55" t="str">
        <f>IF(A993&lt;&gt;"",INDEX('Base de données'!A$4:L$990,MATCH(' TVA M'!A998,'Base de données'!A$4:A$990,0),2),"")</f>
        <v/>
      </c>
      <c r="C993" s="55" t="str">
        <f>IF(A993&lt;&gt;"",INDEX('Base de données'!A$4:L$990,MATCH(' TVA M'!A998,'Base de données'!A$4:A$990,0),12),"")</f>
        <v/>
      </c>
    </row>
    <row r="994" spans="2:3" hidden="1" x14ac:dyDescent="0.25">
      <c r="B994" s="55" t="str">
        <f>IF(A994&lt;&gt;"",INDEX('Base de données'!A$4:L$990,MATCH(' TVA M'!A999,'Base de données'!A$4:A$990,0),2),"")</f>
        <v/>
      </c>
      <c r="C994" s="55" t="str">
        <f>IF(A994&lt;&gt;"",INDEX('Base de données'!A$4:L$990,MATCH(' TVA M'!A999,'Base de données'!A$4:A$990,0),12),"")</f>
        <v/>
      </c>
    </row>
    <row r="995" spans="2:3" hidden="1" x14ac:dyDescent="0.25">
      <c r="B995" s="55" t="str">
        <f>IF(A995&lt;&gt;"",INDEX('Base de données'!A$4:L$990,MATCH(' TVA M'!A1000,'Base de données'!A$4:A$990,0),2),"")</f>
        <v/>
      </c>
      <c r="C995" s="55" t="str">
        <f>IF(A995&lt;&gt;"",INDEX('Base de données'!A$4:L$990,MATCH(' TVA M'!A1000,'Base de données'!A$4:A$990,0),12),"")</f>
        <v/>
      </c>
    </row>
    <row r="996" spans="2:3" hidden="1" x14ac:dyDescent="0.25">
      <c r="B996" s="55" t="str">
        <f>IF(A996&lt;&gt;"",INDEX('Base de données'!A$4:L$990,MATCH(' TVA M'!A1001,'Base de données'!A$4:A$990,0),2),"")</f>
        <v/>
      </c>
      <c r="C996" s="55" t="str">
        <f>IF(A996&lt;&gt;"",INDEX('Base de données'!A$4:L$990,MATCH(' TVA M'!A1001,'Base de données'!A$4:A$990,0),12),"")</f>
        <v/>
      </c>
    </row>
    <row r="997" spans="2:3" hidden="1" x14ac:dyDescent="0.25">
      <c r="B997" s="55" t="str">
        <f>IF(A997&lt;&gt;"",INDEX('Base de données'!A$4:L$990,MATCH(' TVA M'!A1002,'Base de données'!A$4:A$990,0),2),"")</f>
        <v/>
      </c>
      <c r="C997" s="55" t="str">
        <f>IF(A997&lt;&gt;"",INDEX('Base de données'!A$4:L$990,MATCH(' TVA M'!A1002,'Base de données'!A$4:A$990,0),12),"")</f>
        <v/>
      </c>
    </row>
    <row r="998" spans="2:3" hidden="1" x14ac:dyDescent="0.25">
      <c r="B998" s="55" t="str">
        <f>IF(A998&lt;&gt;"",INDEX('Base de données'!A$4:L$990,MATCH(' TVA M'!A1003,'Base de données'!A$4:A$990,0),2),"")</f>
        <v/>
      </c>
      <c r="C998" s="55" t="str">
        <f>IF(A998&lt;&gt;"",INDEX('Base de données'!A$4:L$990,MATCH(' TVA M'!A1003,'Base de données'!A$4:A$990,0),12),"")</f>
        <v/>
      </c>
    </row>
    <row r="999" spans="2:3" hidden="1" x14ac:dyDescent="0.25">
      <c r="B999" s="55" t="str">
        <f>IF(A999&lt;&gt;"",INDEX('Base de données'!A$4:L$990,MATCH(' TVA M'!A1004,'Base de données'!A$4:A$990,0),2),"")</f>
        <v/>
      </c>
      <c r="C999" s="55" t="str">
        <f>IF(A999&lt;&gt;"",INDEX('Base de données'!A$4:L$990,MATCH(' TVA M'!A1004,'Base de données'!A$4:A$990,0),12),"")</f>
        <v/>
      </c>
    </row>
    <row r="1000" spans="2:3" hidden="1" x14ac:dyDescent="0.25">
      <c r="B1000" s="55" t="str">
        <f>IF(A1000&lt;&gt;"",INDEX('Base de données'!A$4:L$990,MATCH(' TVA M'!A1005,'Base de données'!A$4:A$990,0),2),"")</f>
        <v/>
      </c>
      <c r="C1000" s="55" t="str">
        <f>IF(A1000&lt;&gt;"",INDEX('Base de données'!A$4:L$990,MATCH(' TVA M'!A1005,'Base de données'!A$4:A$990,0),12),"")</f>
        <v/>
      </c>
    </row>
    <row r="1001" spans="2:3" hidden="1" x14ac:dyDescent="0.25">
      <c r="B1001" s="55" t="str">
        <f>IF(A1001&lt;&gt;"",INDEX('Base de données'!A$4:L$990,MATCH(' TVA M'!A1006,'Base de données'!A$4:A$990,0),2),"")</f>
        <v/>
      </c>
      <c r="C1001" s="55" t="str">
        <f>IF(A1001&lt;&gt;"",INDEX('Base de données'!A$4:L$990,MATCH(' TVA M'!A1006,'Base de données'!A$4:A$990,0),12),"")</f>
        <v/>
      </c>
    </row>
    <row r="1002" spans="2:3" hidden="1" x14ac:dyDescent="0.25">
      <c r="B1002" s="55" t="str">
        <f>IF(A1002&lt;&gt;"",INDEX('Base de données'!A$4:L$990,MATCH(' TVA M'!A1007,'Base de données'!A$4:A$990,0),2),"")</f>
        <v/>
      </c>
      <c r="C1002" s="55" t="str">
        <f>IF(A1002&lt;&gt;"",INDEX('Base de données'!A$4:L$990,MATCH(' TVA M'!A1007,'Base de données'!A$4:A$990,0),12),"")</f>
        <v/>
      </c>
    </row>
    <row r="1003" spans="2:3" hidden="1" x14ac:dyDescent="0.25">
      <c r="B1003" s="55" t="str">
        <f>IF(A1003&lt;&gt;"",INDEX('Base de données'!A$4:L$990,MATCH(' TVA M'!A1008,'Base de données'!A$4:A$990,0),2),"")</f>
        <v/>
      </c>
      <c r="C1003" s="55" t="str">
        <f>IF(A1003&lt;&gt;"",INDEX('Base de données'!A$4:L$990,MATCH(' TVA M'!A1008,'Base de données'!A$4:A$990,0),12),"")</f>
        <v/>
      </c>
    </row>
    <row r="1004" spans="2:3" hidden="1" x14ac:dyDescent="0.25">
      <c r="B1004" s="55" t="str">
        <f>IF(A1004&lt;&gt;"",INDEX('Base de données'!A$4:L$990,MATCH(' TVA M'!A1009,'Base de données'!A$4:A$990,0),2),"")</f>
        <v/>
      </c>
      <c r="C1004" s="55" t="str">
        <f>IF(A1004&lt;&gt;"",INDEX('Base de données'!A$4:L$990,MATCH(' TVA M'!A1009,'Base de données'!A$4:A$990,0),12),"")</f>
        <v/>
      </c>
    </row>
    <row r="1005" spans="2:3" hidden="1" x14ac:dyDescent="0.25">
      <c r="B1005" s="55" t="str">
        <f>IF(A1005&lt;&gt;"",INDEX('Base de données'!A$4:L$990,MATCH(' TVA M'!A1010,'Base de données'!A$4:A$990,0),2),"")</f>
        <v/>
      </c>
      <c r="C1005" s="55" t="str">
        <f>IF(A1005&lt;&gt;"",INDEX('Base de données'!A$4:L$990,MATCH(' TVA M'!A1010,'Base de données'!A$4:A$990,0),12),"")</f>
        <v/>
      </c>
    </row>
    <row r="1006" spans="2:3" hidden="1" x14ac:dyDescent="0.25">
      <c r="B1006" s="55" t="str">
        <f>IF(A1006&lt;&gt;"",INDEX('Base de données'!A$4:L$990,MATCH(' TVA M'!A1011,'Base de données'!A$4:A$990,0),2),"")</f>
        <v/>
      </c>
      <c r="C1006" s="55" t="str">
        <f>IF(A1006&lt;&gt;"",INDEX('Base de données'!A$4:L$990,MATCH(' TVA M'!A1011,'Base de données'!A$4:A$990,0),12),"")</f>
        <v/>
      </c>
    </row>
    <row r="1007" spans="2:3" hidden="1" x14ac:dyDescent="0.25">
      <c r="B1007" s="55" t="str">
        <f>IF(A1007&lt;&gt;"",INDEX('Base de données'!A$4:L$990,MATCH(' TVA M'!A1012,'Base de données'!A$4:A$990,0),2),"")</f>
        <v/>
      </c>
      <c r="C1007" s="55" t="str">
        <f>IF(A1007&lt;&gt;"",INDEX('Base de données'!A$4:L$990,MATCH(' TVA M'!A1012,'Base de données'!A$4:A$990,0),12),"")</f>
        <v/>
      </c>
    </row>
    <row r="1008" spans="2:3" hidden="1" x14ac:dyDescent="0.25">
      <c r="B1008" s="55" t="str">
        <f>IF(A1008&lt;&gt;"",INDEX('Base de données'!A$4:L$990,MATCH(' TVA M'!A1013,'Base de données'!A$4:A$990,0),2),"")</f>
        <v/>
      </c>
      <c r="C1008" s="55" t="str">
        <f>IF(A1008&lt;&gt;"",INDEX('Base de données'!A$4:L$990,MATCH(' TVA M'!A1013,'Base de données'!A$4:A$990,0),12),"")</f>
        <v/>
      </c>
    </row>
    <row r="1009" spans="2:3" hidden="1" x14ac:dyDescent="0.25">
      <c r="B1009" s="55" t="str">
        <f>IF(A1009&lt;&gt;"",INDEX('Base de données'!A$4:L$990,MATCH(' TVA M'!A1014,'Base de données'!A$4:A$990,0),2),"")</f>
        <v/>
      </c>
      <c r="C1009" s="55" t="str">
        <f>IF(A1009&lt;&gt;"",INDEX('Base de données'!A$4:L$990,MATCH(' TVA M'!A1014,'Base de données'!A$4:A$990,0),12),"")</f>
        <v/>
      </c>
    </row>
    <row r="1010" spans="2:3" hidden="1" x14ac:dyDescent="0.25">
      <c r="B1010" s="55" t="str">
        <f>IF(A1010&lt;&gt;"",INDEX('Base de données'!A$4:L$990,MATCH(' TVA M'!A1015,'Base de données'!A$4:A$990,0),2),"")</f>
        <v/>
      </c>
      <c r="C1010" s="55" t="str">
        <f>IF(A1010&lt;&gt;"",INDEX('Base de données'!A$4:L$990,MATCH(' TVA M'!A1015,'Base de données'!A$4:A$990,0),12),"")</f>
        <v/>
      </c>
    </row>
    <row r="1011" spans="2:3" hidden="1" x14ac:dyDescent="0.25">
      <c r="B1011" s="55" t="str">
        <f>IF(A1011&lt;&gt;"",INDEX('Base de données'!A$4:L$990,MATCH(' TVA M'!A1016,'Base de données'!A$4:A$990,0),2),"")</f>
        <v/>
      </c>
      <c r="C1011" s="55" t="str">
        <f>IF(A1011&lt;&gt;"",INDEX('Base de données'!A$4:L$990,MATCH(' TVA M'!A1016,'Base de données'!A$4:A$990,0),12),"")</f>
        <v/>
      </c>
    </row>
    <row r="1012" spans="2:3" hidden="1" x14ac:dyDescent="0.25">
      <c r="B1012" s="55" t="str">
        <f>IF(A1012&lt;&gt;"",INDEX('Base de données'!A$4:L$990,MATCH(' TVA M'!A1017,'Base de données'!A$4:A$990,0),2),"")</f>
        <v/>
      </c>
      <c r="C1012" s="55" t="str">
        <f>IF(A1012&lt;&gt;"",INDEX('Base de données'!A$4:L$990,MATCH(' TVA M'!A1017,'Base de données'!A$4:A$990,0),12),"")</f>
        <v/>
      </c>
    </row>
    <row r="1013" spans="2:3" hidden="1" x14ac:dyDescent="0.25">
      <c r="B1013" s="55" t="str">
        <f>IF(A1013&lt;&gt;"",INDEX('Base de données'!A$4:L$990,MATCH(' TVA M'!A1018,'Base de données'!A$4:A$990,0),2),"")</f>
        <v/>
      </c>
      <c r="C1013" s="55" t="str">
        <f>IF(A1013&lt;&gt;"",INDEX('Base de données'!A$4:L$990,MATCH(' TVA M'!A1018,'Base de données'!A$4:A$990,0),12),"")</f>
        <v/>
      </c>
    </row>
    <row r="1014" spans="2:3" hidden="1" x14ac:dyDescent="0.25">
      <c r="B1014" s="55" t="str">
        <f>IF(A1014&lt;&gt;"",INDEX('Base de données'!A$4:L$990,MATCH(' TVA M'!A1019,'Base de données'!A$4:A$990,0),2),"")</f>
        <v/>
      </c>
      <c r="C1014" s="55" t="str">
        <f>IF(A1014&lt;&gt;"",INDEX('Base de données'!A$4:L$990,MATCH(' TVA M'!A1019,'Base de données'!A$4:A$990,0),12),"")</f>
        <v/>
      </c>
    </row>
    <row r="1015" spans="2:3" hidden="1" x14ac:dyDescent="0.25">
      <c r="B1015" s="55" t="str">
        <f>IF(A1015&lt;&gt;"",INDEX('Base de données'!A$4:L$990,MATCH(' TVA M'!A1020,'Base de données'!A$4:A$990,0),2),"")</f>
        <v/>
      </c>
      <c r="C1015" s="55" t="str">
        <f>IF(A1015&lt;&gt;"",INDEX('Base de données'!A$4:L$990,MATCH(' TVA M'!A1020,'Base de données'!A$4:A$990,0),12),"")</f>
        <v/>
      </c>
    </row>
    <row r="1016" spans="2:3" hidden="1" x14ac:dyDescent="0.25">
      <c r="B1016" s="55" t="str">
        <f>IF(A1016&lt;&gt;"",INDEX('Base de données'!A$4:L$990,MATCH(' TVA M'!A1021,'Base de données'!A$4:A$990,0),2),"")</f>
        <v/>
      </c>
      <c r="C1016" s="55" t="str">
        <f>IF(A1016&lt;&gt;"",INDEX('Base de données'!A$4:L$990,MATCH(' TVA M'!A1021,'Base de données'!A$4:A$990,0),12),"")</f>
        <v/>
      </c>
    </row>
    <row r="1017" spans="2:3" hidden="1" x14ac:dyDescent="0.25">
      <c r="B1017" s="55" t="str">
        <f>IF(A1017&lt;&gt;"",INDEX('Base de données'!A$4:L$990,MATCH(' TVA M'!A1022,'Base de données'!A$4:A$990,0),2),"")</f>
        <v/>
      </c>
      <c r="C1017" s="55" t="str">
        <f>IF(A1017&lt;&gt;"",INDEX('Base de données'!A$4:L$990,MATCH(' TVA M'!A1022,'Base de données'!A$4:A$990,0),12),"")</f>
        <v/>
      </c>
    </row>
    <row r="1018" spans="2:3" hidden="1" x14ac:dyDescent="0.25">
      <c r="B1018" s="55" t="str">
        <f>IF(A1018&lt;&gt;"",INDEX('Base de données'!A$4:L$990,MATCH(' TVA M'!A1023,'Base de données'!A$4:A$990,0),2),"")</f>
        <v/>
      </c>
      <c r="C1018" s="55" t="str">
        <f>IF(A1018&lt;&gt;"",INDEX('Base de données'!A$4:L$990,MATCH(' TVA M'!A1023,'Base de données'!A$4:A$990,0),12),"")</f>
        <v/>
      </c>
    </row>
    <row r="1019" spans="2:3" hidden="1" x14ac:dyDescent="0.25">
      <c r="B1019" s="55" t="str">
        <f>IF(A1019&lt;&gt;"",INDEX('Base de données'!A$4:L$990,MATCH(' TVA M'!A1024,'Base de données'!A$4:A$990,0),2),"")</f>
        <v/>
      </c>
      <c r="C1019" s="55" t="str">
        <f>IF(A1019&lt;&gt;"",INDEX('Base de données'!A$4:L$990,MATCH(' TVA M'!A1024,'Base de données'!A$4:A$990,0),12),"")</f>
        <v/>
      </c>
    </row>
    <row r="1020" spans="2:3" hidden="1" x14ac:dyDescent="0.25">
      <c r="B1020" s="55" t="str">
        <f>IF(A1020&lt;&gt;"",INDEX('Base de données'!A$4:L$990,MATCH(' TVA M'!A1025,'Base de données'!A$4:A$990,0),2),"")</f>
        <v/>
      </c>
      <c r="C1020" s="55" t="str">
        <f>IF(A1020&lt;&gt;"",INDEX('Base de données'!A$4:L$990,MATCH(' TVA M'!A1025,'Base de données'!A$4:A$990,0),12),"")</f>
        <v/>
      </c>
    </row>
    <row r="1021" spans="2:3" hidden="1" x14ac:dyDescent="0.25">
      <c r="B1021" s="55" t="str">
        <f>IF(A1021&lt;&gt;"",INDEX('Base de données'!A$4:L$990,MATCH(' TVA M'!A1026,'Base de données'!A$4:A$990,0),2),"")</f>
        <v/>
      </c>
      <c r="C1021" s="55" t="str">
        <f>IF(A1021&lt;&gt;"",INDEX('Base de données'!A$4:L$990,MATCH(' TVA M'!A1026,'Base de données'!A$4:A$990,0),12),"")</f>
        <v/>
      </c>
    </row>
    <row r="1022" spans="2:3" hidden="1" x14ac:dyDescent="0.25">
      <c r="B1022" s="55" t="str">
        <f>IF(A1022&lt;&gt;"",INDEX('Base de données'!A$4:L$990,MATCH(' TVA M'!A1027,'Base de données'!A$4:A$990,0),2),"")</f>
        <v/>
      </c>
      <c r="C1022" s="55" t="str">
        <f>IF(A1022&lt;&gt;"",INDEX('Base de données'!A$4:L$990,MATCH(' TVA M'!A1027,'Base de données'!A$4:A$990,0),12),"")</f>
        <v/>
      </c>
    </row>
    <row r="1023" spans="2:3" hidden="1" x14ac:dyDescent="0.25">
      <c r="B1023" s="55" t="str">
        <f>IF(A1023&lt;&gt;"",INDEX('Base de données'!A$4:L$990,MATCH(' TVA M'!A1028,'Base de données'!A$4:A$990,0),2),"")</f>
        <v/>
      </c>
      <c r="C1023" s="55" t="str">
        <f>IF(A1023&lt;&gt;"",INDEX('Base de données'!A$4:L$990,MATCH(' TVA M'!A1028,'Base de données'!A$4:A$990,0),12),"")</f>
        <v/>
      </c>
    </row>
    <row r="1024" spans="2:3" hidden="1" x14ac:dyDescent="0.25">
      <c r="B1024" s="55" t="str">
        <f>IF(A1024&lt;&gt;"",INDEX('Base de données'!A$4:L$990,MATCH(' TVA M'!A1029,'Base de données'!A$4:A$990,0),2),"")</f>
        <v/>
      </c>
      <c r="C1024" s="55" t="str">
        <f>IF(A1024&lt;&gt;"",INDEX('Base de données'!A$4:L$990,MATCH(' TVA M'!A1029,'Base de données'!A$4:A$990,0),12),"")</f>
        <v/>
      </c>
    </row>
    <row r="1025" spans="2:3" hidden="1" x14ac:dyDescent="0.25">
      <c r="B1025" s="55" t="str">
        <f>IF(A1025&lt;&gt;"",INDEX('Base de données'!A$4:L$990,MATCH(' TVA M'!A1030,'Base de données'!A$4:A$990,0),2),"")</f>
        <v/>
      </c>
      <c r="C1025" s="55" t="str">
        <f>IF(A1025&lt;&gt;"",INDEX('Base de données'!A$4:L$990,MATCH(' TVA M'!A1030,'Base de données'!A$4:A$990,0),12),"")</f>
        <v/>
      </c>
    </row>
    <row r="1026" spans="2:3" hidden="1" x14ac:dyDescent="0.25">
      <c r="B1026" s="55" t="str">
        <f>IF(A1026&lt;&gt;"",INDEX('Base de données'!A$4:L$990,MATCH(' TVA M'!A1031,'Base de données'!A$4:A$990,0),2),"")</f>
        <v/>
      </c>
      <c r="C1026" s="55" t="str">
        <f>IF(A1026&lt;&gt;"",INDEX('Base de données'!A$4:L$990,MATCH(' TVA M'!A1031,'Base de données'!A$4:A$990,0),12),"")</f>
        <v/>
      </c>
    </row>
    <row r="1027" spans="2:3" hidden="1" x14ac:dyDescent="0.25">
      <c r="B1027" s="55" t="str">
        <f>IF(A1027&lt;&gt;"",INDEX('Base de données'!A$4:L$990,MATCH(' TVA M'!A1032,'Base de données'!A$4:A$990,0),2),"")</f>
        <v/>
      </c>
      <c r="C1027" s="55" t="str">
        <f>IF(A1027&lt;&gt;"",INDEX('Base de données'!A$4:L$990,MATCH(' TVA M'!A1032,'Base de données'!A$4:A$990,0),12),"")</f>
        <v/>
      </c>
    </row>
    <row r="1028" spans="2:3" hidden="1" x14ac:dyDescent="0.25">
      <c r="B1028" s="55" t="str">
        <f>IF(A1028&lt;&gt;"",INDEX('Base de données'!A$4:L$990,MATCH(' TVA M'!A1033,'Base de données'!A$4:A$990,0),2),"")</f>
        <v/>
      </c>
      <c r="C1028" s="55" t="str">
        <f>IF(A1028&lt;&gt;"",INDEX('Base de données'!A$4:L$990,MATCH(' TVA M'!A1033,'Base de données'!A$4:A$990,0),12),"")</f>
        <v/>
      </c>
    </row>
    <row r="1029" spans="2:3" hidden="1" x14ac:dyDescent="0.25">
      <c r="B1029" s="55" t="str">
        <f>IF(A1029&lt;&gt;"",INDEX('Base de données'!A$4:L$990,MATCH(' TVA M'!A1034,'Base de données'!A$4:A$990,0),2),"")</f>
        <v/>
      </c>
      <c r="C1029" s="55" t="str">
        <f>IF(A1029&lt;&gt;"",INDEX('Base de données'!A$4:L$990,MATCH(' TVA M'!A1034,'Base de données'!A$4:A$990,0),12),"")</f>
        <v/>
      </c>
    </row>
    <row r="1030" spans="2:3" hidden="1" x14ac:dyDescent="0.25">
      <c r="B1030" s="55" t="str">
        <f>IF(A1030&lt;&gt;"",INDEX('Base de données'!A$4:L$990,MATCH(' TVA M'!A1035,'Base de données'!A$4:A$990,0),2),"")</f>
        <v/>
      </c>
      <c r="C1030" s="55" t="str">
        <f>IF(A1030&lt;&gt;"",INDEX('Base de données'!A$4:L$990,MATCH(' TVA M'!A1035,'Base de données'!A$4:A$990,0),12),"")</f>
        <v/>
      </c>
    </row>
    <row r="1031" spans="2:3" hidden="1" x14ac:dyDescent="0.25">
      <c r="B1031" s="55" t="str">
        <f>IF(A1031&lt;&gt;"",INDEX('Base de données'!A$4:L$990,MATCH(' TVA M'!A1036,'Base de données'!A$4:A$990,0),2),"")</f>
        <v/>
      </c>
      <c r="C1031" s="55" t="str">
        <f>IF(A1031&lt;&gt;"",INDEX('Base de données'!A$4:L$990,MATCH(' TVA M'!A1036,'Base de données'!A$4:A$990,0),12),"")</f>
        <v/>
      </c>
    </row>
    <row r="1032" spans="2:3" hidden="1" x14ac:dyDescent="0.25">
      <c r="B1032" s="55" t="str">
        <f>IF(A1032&lt;&gt;"",INDEX('Base de données'!A$4:L$990,MATCH(' TVA M'!A1037,'Base de données'!A$4:A$990,0),2),"")</f>
        <v/>
      </c>
      <c r="C1032" s="55" t="str">
        <f>IF(A1032&lt;&gt;"",INDEX('Base de données'!A$4:L$990,MATCH(' TVA M'!A1037,'Base de données'!A$4:A$990,0),12),"")</f>
        <v/>
      </c>
    </row>
    <row r="1033" spans="2:3" hidden="1" x14ac:dyDescent="0.25">
      <c r="B1033" s="55" t="str">
        <f>IF(A1033&lt;&gt;"",INDEX('Base de données'!A$4:L$990,MATCH(' TVA M'!A1038,'Base de données'!A$4:A$990,0),2),"")</f>
        <v/>
      </c>
      <c r="C1033" s="55" t="str">
        <f>IF(A1033&lt;&gt;"",INDEX('Base de données'!A$4:L$990,MATCH(' TVA M'!A1038,'Base de données'!A$4:A$990,0),12),"")</f>
        <v/>
      </c>
    </row>
    <row r="1034" spans="2:3" hidden="1" x14ac:dyDescent="0.25">
      <c r="B1034" s="55" t="str">
        <f>IF(A1034&lt;&gt;"",INDEX('Base de données'!A$4:L$990,MATCH(' TVA M'!A1039,'Base de données'!A$4:A$990,0),2),"")</f>
        <v/>
      </c>
      <c r="C1034" s="55" t="str">
        <f>IF(A1034&lt;&gt;"",INDEX('Base de données'!A$4:L$990,MATCH(' TVA M'!A1039,'Base de données'!A$4:A$990,0),12),"")</f>
        <v/>
      </c>
    </row>
    <row r="1035" spans="2:3" hidden="1" x14ac:dyDescent="0.25">
      <c r="B1035" s="55" t="str">
        <f>IF(A1035&lt;&gt;"",INDEX('Base de données'!A$4:L$990,MATCH(' TVA M'!A1040,'Base de données'!A$4:A$990,0),2),"")</f>
        <v/>
      </c>
      <c r="C1035" s="55" t="str">
        <f>IF(A1035&lt;&gt;"",INDEX('Base de données'!A$4:L$990,MATCH(' TVA M'!A1040,'Base de données'!A$4:A$990,0),12),"")</f>
        <v/>
      </c>
    </row>
    <row r="1036" spans="2:3" hidden="1" x14ac:dyDescent="0.25">
      <c r="B1036" s="55" t="str">
        <f>IF(A1036&lt;&gt;"",INDEX('Base de données'!A$4:L$990,MATCH(' TVA M'!A1041,'Base de données'!A$4:A$990,0),2),"")</f>
        <v/>
      </c>
      <c r="C1036" s="55" t="str">
        <f>IF(A1036&lt;&gt;"",INDEX('Base de données'!A$4:L$990,MATCH(' TVA M'!A1041,'Base de données'!A$4:A$990,0),12),"")</f>
        <v/>
      </c>
    </row>
    <row r="1037" spans="2:3" hidden="1" x14ac:dyDescent="0.25">
      <c r="B1037" s="55" t="str">
        <f>IF(A1037&lt;&gt;"",INDEX('Base de données'!A$4:L$990,MATCH(' TVA M'!A1042,'Base de données'!A$4:A$990,0),2),"")</f>
        <v/>
      </c>
      <c r="C1037" s="55" t="str">
        <f>IF(A1037&lt;&gt;"",INDEX('Base de données'!A$4:L$990,MATCH(' TVA M'!A1042,'Base de données'!A$4:A$990,0),12),"")</f>
        <v/>
      </c>
    </row>
    <row r="1038" spans="2:3" hidden="1" x14ac:dyDescent="0.25">
      <c r="B1038" s="55" t="str">
        <f>IF(A1038&lt;&gt;"",INDEX('Base de données'!A$4:L$990,MATCH(' TVA M'!A1043,'Base de données'!A$4:A$990,0),2),"")</f>
        <v/>
      </c>
      <c r="C1038" s="55" t="str">
        <f>IF(A1038&lt;&gt;"",INDEX('Base de données'!A$4:L$990,MATCH(' TVA M'!A1043,'Base de données'!A$4:A$990,0),12),"")</f>
        <v/>
      </c>
    </row>
    <row r="1039" spans="2:3" hidden="1" x14ac:dyDescent="0.25">
      <c r="B1039" s="55" t="str">
        <f>IF(A1039&lt;&gt;"",INDEX('Base de données'!A$4:L$990,MATCH(' TVA M'!A1044,'Base de données'!A$4:A$990,0),2),"")</f>
        <v/>
      </c>
      <c r="C1039" s="55" t="str">
        <f>IF(A1039&lt;&gt;"",INDEX('Base de données'!A$4:L$990,MATCH(' TVA M'!A1044,'Base de données'!A$4:A$990,0),12),"")</f>
        <v/>
      </c>
    </row>
    <row r="1040" spans="2:3" hidden="1" x14ac:dyDescent="0.25">
      <c r="B1040" s="55" t="str">
        <f>IF(A1040&lt;&gt;"",INDEX('Base de données'!A$4:L$990,MATCH(' TVA M'!A1045,'Base de données'!A$4:A$990,0),2),"")</f>
        <v/>
      </c>
      <c r="C1040" s="55" t="str">
        <f>IF(A1040&lt;&gt;"",INDEX('Base de données'!A$4:L$990,MATCH(' TVA M'!A1045,'Base de données'!A$4:A$990,0),12),"")</f>
        <v/>
      </c>
    </row>
    <row r="1041" spans="2:3" hidden="1" x14ac:dyDescent="0.25">
      <c r="B1041" s="55" t="str">
        <f>IF(A1041&lt;&gt;"",INDEX('Base de données'!A$4:L$990,MATCH(' TVA M'!A1046,'Base de données'!A$4:A$990,0),2),"")</f>
        <v/>
      </c>
      <c r="C1041" s="55" t="str">
        <f>IF(A1041&lt;&gt;"",INDEX('Base de données'!A$4:L$990,MATCH(' TVA M'!A1046,'Base de données'!A$4:A$990,0),12),"")</f>
        <v/>
      </c>
    </row>
    <row r="1042" spans="2:3" hidden="1" x14ac:dyDescent="0.25">
      <c r="B1042" s="55" t="str">
        <f>IF(A1042&lt;&gt;"",INDEX('Base de données'!A$4:L$990,MATCH(' TVA M'!A1047,'Base de données'!A$4:A$990,0),2),"")</f>
        <v/>
      </c>
      <c r="C1042" s="55" t="str">
        <f>IF(A1042&lt;&gt;"",INDEX('Base de données'!A$4:L$990,MATCH(' TVA M'!A1047,'Base de données'!A$4:A$990,0),12),"")</f>
        <v/>
      </c>
    </row>
    <row r="1043" spans="2:3" hidden="1" x14ac:dyDescent="0.25">
      <c r="B1043" s="55" t="str">
        <f>IF(A1043&lt;&gt;"",INDEX('Base de données'!A$4:L$990,MATCH(' TVA M'!A1048,'Base de données'!A$4:A$990,0),2),"")</f>
        <v/>
      </c>
      <c r="C1043" s="55" t="str">
        <f>IF(A1043&lt;&gt;"",INDEX('Base de données'!A$4:L$990,MATCH(' TVA M'!A1048,'Base de données'!A$4:A$990,0),12),"")</f>
        <v/>
      </c>
    </row>
    <row r="1044" spans="2:3" hidden="1" x14ac:dyDescent="0.25">
      <c r="B1044" s="55" t="str">
        <f>IF(A1044&lt;&gt;"",INDEX('Base de données'!A$4:L$990,MATCH(' TVA M'!A1049,'Base de données'!A$4:A$990,0),2),"")</f>
        <v/>
      </c>
      <c r="C1044" s="55" t="str">
        <f>IF(A1044&lt;&gt;"",INDEX('Base de données'!A$4:L$990,MATCH(' TVA M'!A1049,'Base de données'!A$4:A$990,0),12),"")</f>
        <v/>
      </c>
    </row>
    <row r="1045" spans="2:3" hidden="1" x14ac:dyDescent="0.25">
      <c r="B1045" s="55" t="str">
        <f>IF(A1045&lt;&gt;"",INDEX('Base de données'!A$4:L$990,MATCH(' TVA M'!A1050,'Base de données'!A$4:A$990,0),2),"")</f>
        <v/>
      </c>
      <c r="C1045" s="55" t="str">
        <f>IF(A1045&lt;&gt;"",INDEX('Base de données'!A$4:L$990,MATCH(' TVA M'!A1050,'Base de données'!A$4:A$990,0),12),"")</f>
        <v/>
      </c>
    </row>
    <row r="1046" spans="2:3" hidden="1" x14ac:dyDescent="0.25">
      <c r="B1046" s="55" t="str">
        <f>IF(A1046&lt;&gt;"",INDEX('Base de données'!A$4:L$990,MATCH(' TVA M'!A1051,'Base de données'!A$4:A$990,0),2),"")</f>
        <v/>
      </c>
      <c r="C1046" s="55" t="str">
        <f>IF(A1046&lt;&gt;"",INDEX('Base de données'!A$4:L$990,MATCH(' TVA M'!A1051,'Base de données'!A$4:A$990,0),12),"")</f>
        <v/>
      </c>
    </row>
    <row r="1047" spans="2:3" hidden="1" x14ac:dyDescent="0.25">
      <c r="B1047" s="55" t="str">
        <f>IF(A1047&lt;&gt;"",INDEX('Base de données'!A$4:L$990,MATCH(' TVA M'!A1052,'Base de données'!A$4:A$990,0),2),"")</f>
        <v/>
      </c>
      <c r="C1047" s="55" t="str">
        <f>IF(A1047&lt;&gt;"",INDEX('Base de données'!A$4:L$990,MATCH(' TVA M'!A1052,'Base de données'!A$4:A$990,0),12),"")</f>
        <v/>
      </c>
    </row>
    <row r="1048" spans="2:3" hidden="1" x14ac:dyDescent="0.25">
      <c r="B1048" s="55" t="str">
        <f>IF(A1048&lt;&gt;"",INDEX('Base de données'!A$4:L$990,MATCH(' TVA M'!A1053,'Base de données'!A$4:A$990,0),2),"")</f>
        <v/>
      </c>
      <c r="C1048" s="55" t="str">
        <f>IF(A1048&lt;&gt;"",INDEX('Base de données'!A$4:L$990,MATCH(' TVA M'!A1053,'Base de données'!A$4:A$990,0),12),"")</f>
        <v/>
      </c>
    </row>
    <row r="1049" spans="2:3" hidden="1" x14ac:dyDescent="0.25">
      <c r="B1049" s="55" t="str">
        <f>IF(A1049&lt;&gt;"",INDEX('Base de données'!A$4:L$990,MATCH(' TVA M'!A1054,'Base de données'!A$4:A$990,0),2),"")</f>
        <v/>
      </c>
      <c r="C1049" s="55" t="str">
        <f>IF(A1049&lt;&gt;"",INDEX('Base de données'!A$4:L$990,MATCH(' TVA M'!A1054,'Base de données'!A$4:A$990,0),12),"")</f>
        <v/>
      </c>
    </row>
    <row r="1050" spans="2:3" hidden="1" x14ac:dyDescent="0.25">
      <c r="B1050" s="55" t="str">
        <f>IF(A1050&lt;&gt;"",INDEX('Base de données'!A$4:L$990,MATCH(' TVA M'!A1055,'Base de données'!A$4:A$990,0),2),"")</f>
        <v/>
      </c>
      <c r="C1050" s="55" t="str">
        <f>IF(A1050&lt;&gt;"",INDEX('Base de données'!A$4:L$990,MATCH(' TVA M'!A1055,'Base de données'!A$4:A$990,0),12),"")</f>
        <v/>
      </c>
    </row>
    <row r="1051" spans="2:3" hidden="1" x14ac:dyDescent="0.25">
      <c r="B1051" s="55" t="str">
        <f>IF(A1051&lt;&gt;"",INDEX('Base de données'!A$4:L$990,MATCH(' TVA M'!A1056,'Base de données'!A$4:A$990,0),2),"")</f>
        <v/>
      </c>
      <c r="C1051" s="55" t="str">
        <f>IF(A1051&lt;&gt;"",INDEX('Base de données'!A$4:L$990,MATCH(' TVA M'!A1056,'Base de données'!A$4:A$990,0),12),"")</f>
        <v/>
      </c>
    </row>
    <row r="1052" spans="2:3" hidden="1" x14ac:dyDescent="0.25">
      <c r="B1052" s="55" t="str">
        <f>IF(A1052&lt;&gt;"",INDEX('Base de données'!A$4:L$990,MATCH(' TVA M'!A1057,'Base de données'!A$4:A$990,0),2),"")</f>
        <v/>
      </c>
      <c r="C1052" s="55" t="str">
        <f>IF(A1052&lt;&gt;"",INDEX('Base de données'!A$4:L$990,MATCH(' TVA M'!A1057,'Base de données'!A$4:A$990,0),12),"")</f>
        <v/>
      </c>
    </row>
    <row r="1053" spans="2:3" hidden="1" x14ac:dyDescent="0.25">
      <c r="B1053" s="55" t="str">
        <f>IF(A1053&lt;&gt;"",INDEX('Base de données'!A$4:L$990,MATCH(' TVA M'!A1058,'Base de données'!A$4:A$990,0),2),"")</f>
        <v/>
      </c>
      <c r="C1053" s="55" t="str">
        <f>IF(A1053&lt;&gt;"",INDEX('Base de données'!A$4:L$990,MATCH(' TVA M'!A1058,'Base de données'!A$4:A$990,0),12),"")</f>
        <v/>
      </c>
    </row>
    <row r="1054" spans="2:3" hidden="1" x14ac:dyDescent="0.25">
      <c r="B1054" s="55" t="str">
        <f>IF(A1054&lt;&gt;"",INDEX('Base de données'!A$4:L$990,MATCH(' TVA M'!A1059,'Base de données'!A$4:A$990,0),2),"")</f>
        <v/>
      </c>
      <c r="C1054" s="55" t="str">
        <f>IF(A1054&lt;&gt;"",INDEX('Base de données'!A$4:L$990,MATCH(' TVA M'!A1059,'Base de données'!A$4:A$990,0),12),"")</f>
        <v/>
      </c>
    </row>
    <row r="1055" spans="2:3" hidden="1" x14ac:dyDescent="0.25">
      <c r="B1055" s="55" t="str">
        <f>IF(A1055&lt;&gt;"",INDEX('Base de données'!A$4:L$990,MATCH(' TVA M'!A1060,'Base de données'!A$4:A$990,0),2),"")</f>
        <v/>
      </c>
      <c r="C1055" s="55" t="str">
        <f>IF(A1055&lt;&gt;"",INDEX('Base de données'!A$4:L$990,MATCH(' TVA M'!A1060,'Base de données'!A$4:A$990,0),12),"")</f>
        <v/>
      </c>
    </row>
    <row r="1056" spans="2:3" hidden="1" x14ac:dyDescent="0.25">
      <c r="B1056" s="55" t="str">
        <f>IF(A1056&lt;&gt;"",INDEX('Base de données'!A$4:L$990,MATCH(' TVA M'!A1061,'Base de données'!A$4:A$990,0),2),"")</f>
        <v/>
      </c>
      <c r="C1056" s="55" t="str">
        <f>IF(A1056&lt;&gt;"",INDEX('Base de données'!A$4:L$990,MATCH(' TVA M'!A1061,'Base de données'!A$4:A$990,0),12),"")</f>
        <v/>
      </c>
    </row>
    <row r="1057" spans="2:3" hidden="1" x14ac:dyDescent="0.25">
      <c r="B1057" s="55" t="str">
        <f>IF(A1057&lt;&gt;"",INDEX('Base de données'!A$4:L$990,MATCH(' TVA M'!A1062,'Base de données'!A$4:A$990,0),2),"")</f>
        <v/>
      </c>
      <c r="C1057" s="55" t="str">
        <f>IF(A1057&lt;&gt;"",INDEX('Base de données'!A$4:L$990,MATCH(' TVA M'!A1062,'Base de données'!A$4:A$990,0),12),"")</f>
        <v/>
      </c>
    </row>
    <row r="1058" spans="2:3" hidden="1" x14ac:dyDescent="0.25">
      <c r="B1058" s="55" t="str">
        <f>IF(A1058&lt;&gt;"",INDEX('Base de données'!A$4:L$990,MATCH(' TVA M'!A1063,'Base de données'!A$4:A$990,0),2),"")</f>
        <v/>
      </c>
      <c r="C1058" s="55" t="str">
        <f>IF(A1058&lt;&gt;"",INDEX('Base de données'!A$4:L$990,MATCH(' TVA M'!A1063,'Base de données'!A$4:A$990,0),12),"")</f>
        <v/>
      </c>
    </row>
    <row r="1059" spans="2:3" hidden="1" x14ac:dyDescent="0.25">
      <c r="B1059" s="55" t="str">
        <f>IF(A1059&lt;&gt;"",INDEX('Base de données'!A$4:L$990,MATCH(' TVA M'!A1064,'Base de données'!A$4:A$990,0),2),"")</f>
        <v/>
      </c>
      <c r="C1059" s="55" t="str">
        <f>IF(A1059&lt;&gt;"",INDEX('Base de données'!A$4:L$990,MATCH(' TVA M'!A1064,'Base de données'!A$4:A$990,0),12),"")</f>
        <v/>
      </c>
    </row>
    <row r="1060" spans="2:3" hidden="1" x14ac:dyDescent="0.25">
      <c r="B1060" s="55" t="str">
        <f>IF(A1060&lt;&gt;"",INDEX('Base de données'!A$4:L$990,MATCH(' TVA M'!A1065,'Base de données'!A$4:A$990,0),2),"")</f>
        <v/>
      </c>
      <c r="C1060" s="55" t="str">
        <f>IF(A1060&lt;&gt;"",INDEX('Base de données'!A$4:L$990,MATCH(' TVA M'!A1065,'Base de données'!A$4:A$990,0),12),"")</f>
        <v/>
      </c>
    </row>
    <row r="1061" spans="2:3" hidden="1" x14ac:dyDescent="0.25">
      <c r="B1061" s="55" t="str">
        <f>IF(A1061&lt;&gt;"",INDEX('Base de données'!A$4:L$990,MATCH(' TVA M'!A1066,'Base de données'!A$4:A$990,0),2),"")</f>
        <v/>
      </c>
      <c r="C1061" s="55" t="str">
        <f>IF(A1061&lt;&gt;"",INDEX('Base de données'!A$4:L$990,MATCH(' TVA M'!A1066,'Base de données'!A$4:A$990,0),12),"")</f>
        <v/>
      </c>
    </row>
    <row r="1062" spans="2:3" hidden="1" x14ac:dyDescent="0.25">
      <c r="B1062" s="55" t="str">
        <f>IF(A1062&lt;&gt;"",INDEX('Base de données'!A$4:L$990,MATCH(' TVA M'!A1067,'Base de données'!A$4:A$990,0),2),"")</f>
        <v/>
      </c>
      <c r="C1062" s="55" t="str">
        <f>IF(A1062&lt;&gt;"",INDEX('Base de données'!A$4:L$990,MATCH(' TVA M'!A1067,'Base de données'!A$4:A$990,0),12),"")</f>
        <v/>
      </c>
    </row>
    <row r="1063" spans="2:3" hidden="1" x14ac:dyDescent="0.25">
      <c r="B1063" s="55" t="str">
        <f>IF(A1063&lt;&gt;"",INDEX('Base de données'!A$4:L$990,MATCH(' TVA M'!A1068,'Base de données'!A$4:A$990,0),2),"")</f>
        <v/>
      </c>
      <c r="C1063" s="55" t="str">
        <f>IF(A1063&lt;&gt;"",INDEX('Base de données'!A$4:L$990,MATCH(' TVA M'!A1068,'Base de données'!A$4:A$990,0),12),"")</f>
        <v/>
      </c>
    </row>
    <row r="1064" spans="2:3" hidden="1" x14ac:dyDescent="0.25">
      <c r="B1064" s="55" t="str">
        <f>IF(A1064&lt;&gt;"",INDEX('Base de données'!A$4:L$990,MATCH(' TVA M'!A1069,'Base de données'!A$4:A$990,0),2),"")</f>
        <v/>
      </c>
      <c r="C1064" s="55" t="str">
        <f>IF(A1064&lt;&gt;"",INDEX('Base de données'!A$4:L$990,MATCH(' TVA M'!A1069,'Base de données'!A$4:A$990,0),12),"")</f>
        <v/>
      </c>
    </row>
    <row r="1065" spans="2:3" hidden="1" x14ac:dyDescent="0.25">
      <c r="B1065" s="55" t="str">
        <f>IF(A1065&lt;&gt;"",INDEX('Base de données'!A$4:L$990,MATCH(' TVA M'!A1070,'Base de données'!A$4:A$990,0),2),"")</f>
        <v/>
      </c>
      <c r="C1065" s="55" t="str">
        <f>IF(A1065&lt;&gt;"",INDEX('Base de données'!A$4:L$990,MATCH(' TVA M'!A1070,'Base de données'!A$4:A$990,0),12),"")</f>
        <v/>
      </c>
    </row>
    <row r="1066" spans="2:3" hidden="1" x14ac:dyDescent="0.25">
      <c r="B1066" s="55" t="str">
        <f>IF(A1066&lt;&gt;"",INDEX('Base de données'!A$4:L$990,MATCH(' TVA M'!A1071,'Base de données'!A$4:A$990,0),2),"")</f>
        <v/>
      </c>
      <c r="C1066" s="55" t="str">
        <f>IF(A1066&lt;&gt;"",INDEX('Base de données'!A$4:L$990,MATCH(' TVA M'!A1071,'Base de données'!A$4:A$990,0),12),"")</f>
        <v/>
      </c>
    </row>
    <row r="1067" spans="2:3" hidden="1" x14ac:dyDescent="0.25">
      <c r="B1067" s="55" t="str">
        <f>IF(A1067&lt;&gt;"",INDEX('Base de données'!A$4:L$990,MATCH(' TVA M'!A1072,'Base de données'!A$4:A$990,0),2),"")</f>
        <v/>
      </c>
      <c r="C1067" s="55" t="str">
        <f>IF(A1067&lt;&gt;"",INDEX('Base de données'!A$4:L$990,MATCH(' TVA M'!A1072,'Base de données'!A$4:A$990,0),12),"")</f>
        <v/>
      </c>
    </row>
    <row r="1068" spans="2:3" hidden="1" x14ac:dyDescent="0.25">
      <c r="B1068" s="55" t="str">
        <f>IF(A1068&lt;&gt;"",INDEX('Base de données'!A$4:L$990,MATCH(' TVA M'!A1073,'Base de données'!A$4:A$990,0),2),"")</f>
        <v/>
      </c>
      <c r="C1068" s="55" t="str">
        <f>IF(A1068&lt;&gt;"",INDEX('Base de données'!A$4:L$990,MATCH(' TVA M'!A1073,'Base de données'!A$4:A$990,0),12),"")</f>
        <v/>
      </c>
    </row>
    <row r="1069" spans="2:3" hidden="1" x14ac:dyDescent="0.25">
      <c r="B1069" s="55" t="str">
        <f>IF(A1069&lt;&gt;"",INDEX('Base de données'!A$4:L$990,MATCH(' TVA M'!A1074,'Base de données'!A$4:A$990,0),2),"")</f>
        <v/>
      </c>
      <c r="C1069" s="55" t="str">
        <f>IF(A1069&lt;&gt;"",INDEX('Base de données'!A$4:L$990,MATCH(' TVA M'!A1074,'Base de données'!A$4:A$990,0),12),"")</f>
        <v/>
      </c>
    </row>
    <row r="1070" spans="2:3" hidden="1" x14ac:dyDescent="0.25">
      <c r="B1070" s="55" t="str">
        <f>IF(A1070&lt;&gt;"",INDEX('Base de données'!A$4:L$990,MATCH(' TVA M'!A1075,'Base de données'!A$4:A$990,0),2),"")</f>
        <v/>
      </c>
      <c r="C1070" s="55" t="str">
        <f>IF(A1070&lt;&gt;"",INDEX('Base de données'!A$4:L$990,MATCH(' TVA M'!A1075,'Base de données'!A$4:A$990,0),12),"")</f>
        <v/>
      </c>
    </row>
    <row r="1071" spans="2:3" hidden="1" x14ac:dyDescent="0.25">
      <c r="B1071" s="55" t="str">
        <f>IF(A1071&lt;&gt;"",INDEX('Base de données'!A$4:L$990,MATCH(' TVA M'!A1076,'Base de données'!A$4:A$990,0),2),"")</f>
        <v/>
      </c>
      <c r="C1071" s="55" t="str">
        <f>IF(A1071&lt;&gt;"",INDEX('Base de données'!A$4:L$990,MATCH(' TVA M'!A1076,'Base de données'!A$4:A$990,0),12),"")</f>
        <v/>
      </c>
    </row>
    <row r="1072" spans="2:3" hidden="1" x14ac:dyDescent="0.25">
      <c r="B1072" s="55" t="str">
        <f>IF(A1072&lt;&gt;"",INDEX('Base de données'!A$4:L$990,MATCH(' TVA M'!A1077,'Base de données'!A$4:A$990,0),2),"")</f>
        <v/>
      </c>
      <c r="C1072" s="55" t="str">
        <f>IF(A1072&lt;&gt;"",INDEX('Base de données'!A$4:L$990,MATCH(' TVA M'!A1077,'Base de données'!A$4:A$990,0),12),"")</f>
        <v/>
      </c>
    </row>
    <row r="1073" spans="2:3" hidden="1" x14ac:dyDescent="0.25">
      <c r="B1073" s="55" t="str">
        <f>IF(A1073&lt;&gt;"",INDEX('Base de données'!A$4:L$990,MATCH(' TVA M'!A1078,'Base de données'!A$4:A$990,0),2),"")</f>
        <v/>
      </c>
      <c r="C1073" s="55" t="str">
        <f>IF(A1073&lt;&gt;"",INDEX('Base de données'!A$4:L$990,MATCH(' TVA M'!A1078,'Base de données'!A$4:A$990,0),12),"")</f>
        <v/>
      </c>
    </row>
    <row r="1074" spans="2:3" hidden="1" x14ac:dyDescent="0.25">
      <c r="B1074" s="55" t="str">
        <f>IF(A1074&lt;&gt;"",INDEX('Base de données'!A$4:L$990,MATCH(' TVA M'!A1079,'Base de données'!A$4:A$990,0),2),"")</f>
        <v/>
      </c>
      <c r="C1074" s="55" t="str">
        <f>IF(A1074&lt;&gt;"",INDEX('Base de données'!A$4:L$990,MATCH(' TVA M'!A1079,'Base de données'!A$4:A$990,0),12),"")</f>
        <v/>
      </c>
    </row>
    <row r="1075" spans="2:3" hidden="1" x14ac:dyDescent="0.25">
      <c r="B1075" s="55" t="str">
        <f>IF(A1075&lt;&gt;"",INDEX('Base de données'!A$4:L$990,MATCH(' TVA M'!A1080,'Base de données'!A$4:A$990,0),2),"")</f>
        <v/>
      </c>
      <c r="C1075" s="55" t="str">
        <f>IF(A1075&lt;&gt;"",INDEX('Base de données'!A$4:L$990,MATCH(' TVA M'!A1080,'Base de données'!A$4:A$990,0),12),"")</f>
        <v/>
      </c>
    </row>
    <row r="1076" spans="2:3" hidden="1" x14ac:dyDescent="0.25">
      <c r="B1076" s="55" t="str">
        <f>IF(A1076&lt;&gt;"",INDEX('Base de données'!A$4:L$990,MATCH(' TVA M'!A1081,'Base de données'!A$4:A$990,0),2),"")</f>
        <v/>
      </c>
      <c r="C1076" s="55" t="str">
        <f>IF(A1076&lt;&gt;"",INDEX('Base de données'!A$4:L$990,MATCH(' TVA M'!A1081,'Base de données'!A$4:A$990,0),12),"")</f>
        <v/>
      </c>
    </row>
    <row r="1077" spans="2:3" hidden="1" x14ac:dyDescent="0.25">
      <c r="B1077" s="55" t="str">
        <f>IF(A1077&lt;&gt;"",INDEX('Base de données'!A$4:L$990,MATCH(' TVA M'!A1082,'Base de données'!A$4:A$990,0),2),"")</f>
        <v/>
      </c>
      <c r="C1077" s="55" t="str">
        <f>IF(A1077&lt;&gt;"",INDEX('Base de données'!A$4:L$990,MATCH(' TVA M'!A1082,'Base de données'!A$4:A$990,0),12),"")</f>
        <v/>
      </c>
    </row>
    <row r="1078" spans="2:3" hidden="1" x14ac:dyDescent="0.25">
      <c r="B1078" s="55" t="str">
        <f>IF(A1078&lt;&gt;"",INDEX('Base de données'!A$4:L$990,MATCH(' TVA M'!A1083,'Base de données'!A$4:A$990,0),2),"")</f>
        <v/>
      </c>
      <c r="C1078" s="55" t="str">
        <f>IF(A1078&lt;&gt;"",INDEX('Base de données'!A$4:L$990,MATCH(' TVA M'!A1083,'Base de données'!A$4:A$990,0),12),"")</f>
        <v/>
      </c>
    </row>
    <row r="1079" spans="2:3" hidden="1" x14ac:dyDescent="0.25">
      <c r="B1079" s="55" t="str">
        <f>IF(A1079&lt;&gt;"",INDEX('Base de données'!A$4:L$990,MATCH(' TVA M'!A1084,'Base de données'!A$4:A$990,0),2),"")</f>
        <v/>
      </c>
      <c r="C1079" s="55" t="str">
        <f>IF(A1079&lt;&gt;"",INDEX('Base de données'!A$4:L$990,MATCH(' TVA M'!A1084,'Base de données'!A$4:A$990,0),12),"")</f>
        <v/>
      </c>
    </row>
    <row r="1080" spans="2:3" hidden="1" x14ac:dyDescent="0.25">
      <c r="B1080" s="55" t="str">
        <f>IF(A1080&lt;&gt;"",INDEX('Base de données'!A$4:L$990,MATCH(' TVA M'!A1085,'Base de données'!A$4:A$990,0),2),"")</f>
        <v/>
      </c>
      <c r="C1080" s="55" t="str">
        <f>IF(A1080&lt;&gt;"",INDEX('Base de données'!A$4:L$990,MATCH(' TVA M'!A1085,'Base de données'!A$4:A$990,0),12),"")</f>
        <v/>
      </c>
    </row>
    <row r="1081" spans="2:3" hidden="1" x14ac:dyDescent="0.25">
      <c r="B1081" s="55" t="str">
        <f>IF(A1081&lt;&gt;"",INDEX('Base de données'!A$4:L$990,MATCH(' TVA M'!A1086,'Base de données'!A$4:A$990,0),2),"")</f>
        <v/>
      </c>
      <c r="C1081" s="55" t="str">
        <f>IF(A1081&lt;&gt;"",INDEX('Base de données'!A$4:L$990,MATCH(' TVA M'!A1086,'Base de données'!A$4:A$990,0),12),"")</f>
        <v/>
      </c>
    </row>
    <row r="1082" spans="2:3" hidden="1" x14ac:dyDescent="0.25">
      <c r="B1082" s="55" t="str">
        <f>IF(A1082&lt;&gt;"",INDEX('Base de données'!A$4:L$990,MATCH(' TVA M'!A1087,'Base de données'!A$4:A$990,0),2),"")</f>
        <v/>
      </c>
      <c r="C1082" s="55" t="str">
        <f>IF(A1082&lt;&gt;"",INDEX('Base de données'!A$4:L$990,MATCH(' TVA M'!A1087,'Base de données'!A$4:A$990,0),12),"")</f>
        <v/>
      </c>
    </row>
    <row r="1083" spans="2:3" hidden="1" x14ac:dyDescent="0.25">
      <c r="B1083" s="55" t="str">
        <f>IF(A1083&lt;&gt;"",INDEX('Base de données'!A$4:L$990,MATCH(' TVA M'!A1088,'Base de données'!A$4:A$990,0),2),"")</f>
        <v/>
      </c>
      <c r="C1083" s="55" t="str">
        <f>IF(A1083&lt;&gt;"",INDEX('Base de données'!A$4:L$990,MATCH(' TVA M'!A1088,'Base de données'!A$4:A$990,0),12),"")</f>
        <v/>
      </c>
    </row>
    <row r="1084" spans="2:3" hidden="1" x14ac:dyDescent="0.25">
      <c r="B1084" s="55" t="str">
        <f>IF(A1084&lt;&gt;"",INDEX('Base de données'!A$4:L$990,MATCH(' TVA M'!A1089,'Base de données'!A$4:A$990,0),2),"")</f>
        <v/>
      </c>
      <c r="C1084" s="55" t="str">
        <f>IF(A1084&lt;&gt;"",INDEX('Base de données'!A$4:L$990,MATCH(' TVA M'!A1089,'Base de données'!A$4:A$990,0),12),"")</f>
        <v/>
      </c>
    </row>
    <row r="1085" spans="2:3" hidden="1" x14ac:dyDescent="0.25">
      <c r="B1085" s="55" t="str">
        <f>IF(A1085&lt;&gt;"",INDEX('Base de données'!A$4:L$990,MATCH(' TVA M'!A1090,'Base de données'!A$4:A$990,0),2),"")</f>
        <v/>
      </c>
      <c r="C1085" s="55" t="str">
        <f>IF(A1085&lt;&gt;"",INDEX('Base de données'!A$4:L$990,MATCH(' TVA M'!A1090,'Base de données'!A$4:A$990,0),12),"")</f>
        <v/>
      </c>
    </row>
    <row r="1086" spans="2:3" hidden="1" x14ac:dyDescent="0.25">
      <c r="B1086" s="55" t="str">
        <f>IF(A1086&lt;&gt;"",INDEX('Base de données'!A$4:L$990,MATCH(' TVA M'!A1091,'Base de données'!A$4:A$990,0),2),"")</f>
        <v/>
      </c>
      <c r="C1086" s="55" t="str">
        <f>IF(A1086&lt;&gt;"",INDEX('Base de données'!A$4:L$990,MATCH(' TVA M'!A1091,'Base de données'!A$4:A$990,0),12),"")</f>
        <v/>
      </c>
    </row>
    <row r="1087" spans="2:3" hidden="1" x14ac:dyDescent="0.25">
      <c r="B1087" s="55" t="str">
        <f>IF(A1087&lt;&gt;"",INDEX('Base de données'!A$4:L$990,MATCH(' TVA M'!A1092,'Base de données'!A$4:A$990,0),2),"")</f>
        <v/>
      </c>
      <c r="C1087" s="55" t="str">
        <f>IF(A1087&lt;&gt;"",INDEX('Base de données'!A$4:L$990,MATCH(' TVA M'!A1092,'Base de données'!A$4:A$990,0),12),"")</f>
        <v/>
      </c>
    </row>
    <row r="1088" spans="2:3" hidden="1" x14ac:dyDescent="0.25">
      <c r="B1088" s="55" t="str">
        <f>IF(A1088&lt;&gt;"",INDEX('Base de données'!A$4:L$990,MATCH(' TVA M'!A1093,'Base de données'!A$4:A$990,0),2),"")</f>
        <v/>
      </c>
      <c r="C1088" s="55" t="str">
        <f>IF(A1088&lt;&gt;"",INDEX('Base de données'!A$4:L$990,MATCH(' TVA M'!A1093,'Base de données'!A$4:A$990,0),12),"")</f>
        <v/>
      </c>
    </row>
    <row r="1089" spans="2:3" hidden="1" x14ac:dyDescent="0.25">
      <c r="B1089" s="55" t="str">
        <f>IF(A1089&lt;&gt;"",INDEX('Base de données'!A$4:L$990,MATCH(' TVA M'!A1094,'Base de données'!A$4:A$990,0),2),"")</f>
        <v/>
      </c>
      <c r="C1089" s="55" t="str">
        <f>IF(A1089&lt;&gt;"",INDEX('Base de données'!A$4:L$990,MATCH(' TVA M'!A1094,'Base de données'!A$4:A$990,0),12),"")</f>
        <v/>
      </c>
    </row>
    <row r="1090" spans="2:3" hidden="1" x14ac:dyDescent="0.25">
      <c r="B1090" s="55" t="str">
        <f>IF(A1090&lt;&gt;"",INDEX('Base de données'!A$4:L$990,MATCH(' TVA M'!A1095,'Base de données'!A$4:A$990,0),2),"")</f>
        <v/>
      </c>
      <c r="C1090" s="55" t="str">
        <f>IF(A1090&lt;&gt;"",INDEX('Base de données'!A$4:L$990,MATCH(' TVA M'!A1095,'Base de données'!A$4:A$990,0),12),"")</f>
        <v/>
      </c>
    </row>
    <row r="1091" spans="2:3" hidden="1" x14ac:dyDescent="0.25">
      <c r="B1091" s="55" t="str">
        <f>IF(A1091&lt;&gt;"",INDEX('Base de données'!A$4:L$990,MATCH(' TVA M'!A1096,'Base de données'!A$4:A$990,0),2),"")</f>
        <v/>
      </c>
      <c r="C1091" s="55" t="str">
        <f>IF(A1091&lt;&gt;"",INDEX('Base de données'!A$4:L$990,MATCH(' TVA M'!A1096,'Base de données'!A$4:A$990,0),12),"")</f>
        <v/>
      </c>
    </row>
    <row r="1092" spans="2:3" hidden="1" x14ac:dyDescent="0.25">
      <c r="B1092" s="55" t="str">
        <f>IF(A1092&lt;&gt;"",INDEX('Base de données'!A$4:L$990,MATCH(' TVA M'!A1097,'Base de données'!A$4:A$990,0),2),"")</f>
        <v/>
      </c>
      <c r="C1092" s="55" t="str">
        <f>IF(A1092&lt;&gt;"",INDEX('Base de données'!A$4:L$990,MATCH(' TVA M'!A1097,'Base de données'!A$4:A$990,0),12),"")</f>
        <v/>
      </c>
    </row>
    <row r="1093" spans="2:3" hidden="1" x14ac:dyDescent="0.25">
      <c r="B1093" s="55" t="str">
        <f>IF(A1093&lt;&gt;"",INDEX('Base de données'!A$4:L$990,MATCH(' TVA M'!A1098,'Base de données'!A$4:A$990,0),2),"")</f>
        <v/>
      </c>
      <c r="C1093" s="55" t="str">
        <f>IF(A1093&lt;&gt;"",INDEX('Base de données'!A$4:L$990,MATCH(' TVA M'!A1098,'Base de données'!A$4:A$990,0),12),"")</f>
        <v/>
      </c>
    </row>
    <row r="1094" spans="2:3" hidden="1" x14ac:dyDescent="0.25">
      <c r="B1094" s="55" t="str">
        <f>IF(A1094&lt;&gt;"",INDEX('Base de données'!A$4:L$990,MATCH(' TVA M'!A1099,'Base de données'!A$4:A$990,0),2),"")</f>
        <v/>
      </c>
      <c r="C1094" s="55" t="str">
        <f>IF(A1094&lt;&gt;"",INDEX('Base de données'!A$4:L$990,MATCH(' TVA M'!A1099,'Base de données'!A$4:A$990,0),12),"")</f>
        <v/>
      </c>
    </row>
    <row r="1095" spans="2:3" hidden="1" x14ac:dyDescent="0.25">
      <c r="B1095" s="55" t="str">
        <f>IF(A1095&lt;&gt;"",INDEX('Base de données'!A$4:L$990,MATCH(' TVA M'!A1100,'Base de données'!A$4:A$990,0),2),"")</f>
        <v/>
      </c>
      <c r="C1095" s="55" t="str">
        <f>IF(A1095&lt;&gt;"",INDEX('Base de données'!A$4:L$990,MATCH(' TVA M'!A1100,'Base de données'!A$4:A$990,0),12),"")</f>
        <v/>
      </c>
    </row>
    <row r="1096" spans="2:3" hidden="1" x14ac:dyDescent="0.25">
      <c r="B1096" s="55" t="str">
        <f>IF(A1096&lt;&gt;"",INDEX('Base de données'!A$4:L$990,MATCH(' TVA M'!A1101,'Base de données'!A$4:A$990,0),2),"")</f>
        <v/>
      </c>
      <c r="C1096" s="55" t="str">
        <f>IF(A1096&lt;&gt;"",INDEX('Base de données'!A$4:L$990,MATCH(' TVA M'!A1101,'Base de données'!A$4:A$990,0),12),"")</f>
        <v/>
      </c>
    </row>
    <row r="1097" spans="2:3" hidden="1" x14ac:dyDescent="0.25">
      <c r="B1097" s="55" t="str">
        <f>IF(A1097&lt;&gt;"",INDEX('Base de données'!A$4:L$990,MATCH(' TVA M'!A1102,'Base de données'!A$4:A$990,0),2),"")</f>
        <v/>
      </c>
      <c r="C1097" s="55" t="str">
        <f>IF(A1097&lt;&gt;"",INDEX('Base de données'!A$4:L$990,MATCH(' TVA M'!A1102,'Base de données'!A$4:A$990,0),12),"")</f>
        <v/>
      </c>
    </row>
    <row r="1098" spans="2:3" hidden="1" x14ac:dyDescent="0.25">
      <c r="B1098" s="55" t="str">
        <f>IF(A1098&lt;&gt;"",INDEX('Base de données'!A$4:L$990,MATCH(' TVA M'!A1103,'Base de données'!A$4:A$990,0),2),"")</f>
        <v/>
      </c>
      <c r="C1098" s="55" t="str">
        <f>IF(A1098&lt;&gt;"",INDEX('Base de données'!A$4:L$990,MATCH(' TVA M'!A1103,'Base de données'!A$4:A$990,0),12),"")</f>
        <v/>
      </c>
    </row>
    <row r="1099" spans="2:3" hidden="1" x14ac:dyDescent="0.25">
      <c r="B1099" s="55" t="str">
        <f>IF(A1099&lt;&gt;"",INDEX('Base de données'!A$4:L$990,MATCH(' TVA M'!A1104,'Base de données'!A$4:A$990,0),2),"")</f>
        <v/>
      </c>
      <c r="C1099" s="55" t="str">
        <f>IF(A1099&lt;&gt;"",INDEX('Base de données'!A$4:L$990,MATCH(' TVA M'!A1104,'Base de données'!A$4:A$990,0),12),"")</f>
        <v/>
      </c>
    </row>
    <row r="1100" spans="2:3" hidden="1" x14ac:dyDescent="0.25">
      <c r="B1100" s="55" t="str">
        <f>IF(A1100&lt;&gt;"",INDEX('Base de données'!A$4:L$990,MATCH(' TVA M'!A1105,'Base de données'!A$4:A$990,0),2),"")</f>
        <v/>
      </c>
      <c r="C1100" s="55" t="str">
        <f>IF(A1100&lt;&gt;"",INDEX('Base de données'!A$4:L$990,MATCH(' TVA M'!A1105,'Base de données'!A$4:A$990,0),12),"")</f>
        <v/>
      </c>
    </row>
    <row r="1101" spans="2:3" hidden="1" x14ac:dyDescent="0.25">
      <c r="B1101" s="55" t="str">
        <f>IF(A1101&lt;&gt;"",INDEX('Base de données'!A$4:L$990,MATCH(' TVA M'!A1106,'Base de données'!A$4:A$990,0),2),"")</f>
        <v/>
      </c>
      <c r="C1101" s="55" t="str">
        <f>IF(A1101&lt;&gt;"",INDEX('Base de données'!A$4:L$990,MATCH(' TVA M'!A1106,'Base de données'!A$4:A$990,0),12),"")</f>
        <v/>
      </c>
    </row>
    <row r="1102" spans="2:3" hidden="1" x14ac:dyDescent="0.25">
      <c r="B1102" s="55" t="str">
        <f>IF(A1102&lt;&gt;"",INDEX('Base de données'!A$4:L$990,MATCH(' TVA M'!A1107,'Base de données'!A$4:A$990,0),2),"")</f>
        <v/>
      </c>
      <c r="C1102" s="55" t="str">
        <f>IF(A1102&lt;&gt;"",INDEX('Base de données'!A$4:L$990,MATCH(' TVA M'!A1107,'Base de données'!A$4:A$990,0),12),"")</f>
        <v/>
      </c>
    </row>
    <row r="1103" spans="2:3" hidden="1" x14ac:dyDescent="0.25">
      <c r="B1103" s="55" t="str">
        <f>IF(A1103&lt;&gt;"",INDEX('Base de données'!A$4:L$990,MATCH(' TVA M'!A1108,'Base de données'!A$4:A$990,0),2),"")</f>
        <v/>
      </c>
      <c r="C1103" s="55" t="str">
        <f>IF(A1103&lt;&gt;"",INDEX('Base de données'!A$4:L$990,MATCH(' TVA M'!A1108,'Base de données'!A$4:A$990,0),12),"")</f>
        <v/>
      </c>
    </row>
    <row r="1104" spans="2:3" hidden="1" x14ac:dyDescent="0.25">
      <c r="B1104" s="55" t="str">
        <f>IF(A1104&lt;&gt;"",INDEX('Base de données'!A$4:L$990,MATCH(' TVA M'!A1109,'Base de données'!A$4:A$990,0),2),"")</f>
        <v/>
      </c>
      <c r="C1104" s="55" t="str">
        <f>IF(A1104&lt;&gt;"",INDEX('Base de données'!A$4:L$990,MATCH(' TVA M'!A1109,'Base de données'!A$4:A$990,0),12),"")</f>
        <v/>
      </c>
    </row>
    <row r="1105" spans="2:3" hidden="1" x14ac:dyDescent="0.25">
      <c r="B1105" s="55" t="str">
        <f>IF(A1105&lt;&gt;"",INDEX('Base de données'!A$4:L$990,MATCH(' TVA M'!A1110,'Base de données'!A$4:A$990,0),2),"")</f>
        <v/>
      </c>
      <c r="C1105" s="55" t="str">
        <f>IF(A1105&lt;&gt;"",INDEX('Base de données'!A$4:L$990,MATCH(' TVA M'!A1110,'Base de données'!A$4:A$990,0),12),"")</f>
        <v/>
      </c>
    </row>
    <row r="1106" spans="2:3" hidden="1" x14ac:dyDescent="0.25">
      <c r="B1106" s="55" t="str">
        <f>IF(A1106&lt;&gt;"",INDEX('Base de données'!A$4:L$990,MATCH(' TVA M'!A1111,'Base de données'!A$4:A$990,0),2),"")</f>
        <v/>
      </c>
      <c r="C1106" s="55" t="str">
        <f>IF(A1106&lt;&gt;"",INDEX('Base de données'!A$4:L$990,MATCH(' TVA M'!A1111,'Base de données'!A$4:A$990,0),12),"")</f>
        <v/>
      </c>
    </row>
    <row r="1107" spans="2:3" hidden="1" x14ac:dyDescent="0.25">
      <c r="B1107" s="55" t="str">
        <f>IF(A1107&lt;&gt;"",INDEX('Base de données'!A$4:L$990,MATCH(' TVA M'!A1112,'Base de données'!A$4:A$990,0),2),"")</f>
        <v/>
      </c>
      <c r="C1107" s="55" t="str">
        <f>IF(A1107&lt;&gt;"",INDEX('Base de données'!A$4:L$990,MATCH(' TVA M'!A1112,'Base de données'!A$4:A$990,0),12),"")</f>
        <v/>
      </c>
    </row>
    <row r="1108" spans="2:3" hidden="1" x14ac:dyDescent="0.25">
      <c r="B1108" s="55" t="str">
        <f>IF(A1108&lt;&gt;"",INDEX('Base de données'!A$4:L$990,MATCH(' TVA M'!A1113,'Base de données'!A$4:A$990,0),2),"")</f>
        <v/>
      </c>
      <c r="C1108" s="55" t="str">
        <f>IF(A1108&lt;&gt;"",INDEX('Base de données'!A$4:L$990,MATCH(' TVA M'!A1113,'Base de données'!A$4:A$990,0),12),"")</f>
        <v/>
      </c>
    </row>
    <row r="1109" spans="2:3" hidden="1" x14ac:dyDescent="0.25">
      <c r="B1109" s="55" t="str">
        <f>IF(A1109&lt;&gt;"",INDEX('Base de données'!A$4:L$990,MATCH(' TVA M'!A1114,'Base de données'!A$4:A$990,0),2),"")</f>
        <v/>
      </c>
      <c r="C1109" s="55" t="str">
        <f>IF(A1109&lt;&gt;"",INDEX('Base de données'!A$4:L$990,MATCH(' TVA M'!A1114,'Base de données'!A$4:A$990,0),12),"")</f>
        <v/>
      </c>
    </row>
    <row r="1110" spans="2:3" hidden="1" x14ac:dyDescent="0.25">
      <c r="B1110" s="55" t="str">
        <f>IF(A1110&lt;&gt;"",INDEX('Base de données'!A$4:L$990,MATCH(' TVA M'!A1115,'Base de données'!A$4:A$990,0),2),"")</f>
        <v/>
      </c>
      <c r="C1110" s="55" t="str">
        <f>IF(A1110&lt;&gt;"",INDEX('Base de données'!A$4:L$990,MATCH(' TVA M'!A1115,'Base de données'!A$4:A$990,0),12),"")</f>
        <v/>
      </c>
    </row>
    <row r="1111" spans="2:3" hidden="1" x14ac:dyDescent="0.25">
      <c r="B1111" s="55" t="str">
        <f>IF(A1111&lt;&gt;"",INDEX('Base de données'!A$4:L$990,MATCH(' TVA M'!A1116,'Base de données'!A$4:A$990,0),2),"")</f>
        <v/>
      </c>
      <c r="C1111" s="55" t="str">
        <f>IF(A1111&lt;&gt;"",INDEX('Base de données'!A$4:L$990,MATCH(' TVA M'!A1116,'Base de données'!A$4:A$990,0),12),"")</f>
        <v/>
      </c>
    </row>
    <row r="1112" spans="2:3" hidden="1" x14ac:dyDescent="0.25">
      <c r="B1112" s="55" t="str">
        <f>IF(A1112&lt;&gt;"",INDEX('Base de données'!A$4:L$990,MATCH(' TVA M'!A1117,'Base de données'!A$4:A$990,0),2),"")</f>
        <v/>
      </c>
      <c r="C1112" s="55" t="str">
        <f>IF(A1112&lt;&gt;"",INDEX('Base de données'!A$4:L$990,MATCH(' TVA M'!A1117,'Base de données'!A$4:A$990,0),12),"")</f>
        <v/>
      </c>
    </row>
    <row r="1113" spans="2:3" hidden="1" x14ac:dyDescent="0.25">
      <c r="B1113" s="55" t="str">
        <f>IF(A1113&lt;&gt;"",INDEX('Base de données'!A$4:L$990,MATCH(' TVA M'!A1118,'Base de données'!A$4:A$990,0),2),"")</f>
        <v/>
      </c>
      <c r="C1113" s="55" t="str">
        <f>IF(A1113&lt;&gt;"",INDEX('Base de données'!A$4:L$990,MATCH(' TVA M'!A1118,'Base de données'!A$4:A$990,0),12),"")</f>
        <v/>
      </c>
    </row>
    <row r="1114" spans="2:3" hidden="1" x14ac:dyDescent="0.25">
      <c r="B1114" s="55" t="str">
        <f>IF(A1114&lt;&gt;"",INDEX('Base de données'!A$4:L$990,MATCH(' TVA M'!A1119,'Base de données'!A$4:A$990,0),2),"")</f>
        <v/>
      </c>
      <c r="C1114" s="55" t="str">
        <f>IF(A1114&lt;&gt;"",INDEX('Base de données'!A$4:L$990,MATCH(' TVA M'!A1119,'Base de données'!A$4:A$990,0),12),"")</f>
        <v/>
      </c>
    </row>
    <row r="1115" spans="2:3" hidden="1" x14ac:dyDescent="0.25">
      <c r="B1115" s="55" t="str">
        <f>IF(A1115&lt;&gt;"",INDEX('Base de données'!A$4:L$990,MATCH(' TVA M'!A1120,'Base de données'!A$4:A$990,0),2),"")</f>
        <v/>
      </c>
      <c r="C1115" s="55" t="str">
        <f>IF(A1115&lt;&gt;"",INDEX('Base de données'!A$4:L$990,MATCH(' TVA M'!A1120,'Base de données'!A$4:A$990,0),12),"")</f>
        <v/>
      </c>
    </row>
    <row r="1116" spans="2:3" hidden="1" x14ac:dyDescent="0.25">
      <c r="B1116" s="55" t="str">
        <f>IF(A1116&lt;&gt;"",INDEX('Base de données'!A$4:L$990,MATCH(' TVA M'!A1121,'Base de données'!A$4:A$990,0),2),"")</f>
        <v/>
      </c>
      <c r="C1116" s="55" t="str">
        <f>IF(A1116&lt;&gt;"",INDEX('Base de données'!A$4:L$990,MATCH(' TVA M'!A1121,'Base de données'!A$4:A$990,0),12),"")</f>
        <v/>
      </c>
    </row>
    <row r="1117" spans="2:3" hidden="1" x14ac:dyDescent="0.25">
      <c r="B1117" s="55" t="str">
        <f>IF(A1117&lt;&gt;"",INDEX('Base de données'!A$4:L$990,MATCH(' TVA M'!A1122,'Base de données'!A$4:A$990,0),2),"")</f>
        <v/>
      </c>
      <c r="C1117" s="55" t="str">
        <f>IF(A1117&lt;&gt;"",INDEX('Base de données'!A$4:L$990,MATCH(' TVA M'!A1122,'Base de données'!A$4:A$990,0),12),"")</f>
        <v/>
      </c>
    </row>
    <row r="1118" spans="2:3" hidden="1" x14ac:dyDescent="0.25">
      <c r="B1118" s="55" t="str">
        <f>IF(A1118&lt;&gt;"",INDEX('Base de données'!A$4:L$990,MATCH(' TVA M'!A1123,'Base de données'!A$4:A$990,0),2),"")</f>
        <v/>
      </c>
      <c r="C1118" s="55" t="str">
        <f>IF(A1118&lt;&gt;"",INDEX('Base de données'!A$4:L$990,MATCH(' TVA M'!A1123,'Base de données'!A$4:A$990,0),12),"")</f>
        <v/>
      </c>
    </row>
    <row r="1119" spans="2:3" hidden="1" x14ac:dyDescent="0.25">
      <c r="B1119" s="55" t="str">
        <f>IF(A1119&lt;&gt;"",INDEX('Base de données'!A$4:L$990,MATCH(' TVA M'!A1124,'Base de données'!A$4:A$990,0),2),"")</f>
        <v/>
      </c>
      <c r="C1119" s="55" t="str">
        <f>IF(A1119&lt;&gt;"",INDEX('Base de données'!A$4:L$990,MATCH(' TVA M'!A1124,'Base de données'!A$4:A$990,0),12),"")</f>
        <v/>
      </c>
    </row>
    <row r="1120" spans="2:3" hidden="1" x14ac:dyDescent="0.25">
      <c r="B1120" s="55" t="str">
        <f>IF(A1120&lt;&gt;"",INDEX('Base de données'!A$4:L$990,MATCH(' TVA M'!A1125,'Base de données'!A$4:A$990,0),2),"")</f>
        <v/>
      </c>
      <c r="C1120" s="55" t="str">
        <f>IF(A1120&lt;&gt;"",INDEX('Base de données'!A$4:L$990,MATCH(' TVA M'!A1125,'Base de données'!A$4:A$990,0),12),"")</f>
        <v/>
      </c>
    </row>
    <row r="1121" spans="2:3" hidden="1" x14ac:dyDescent="0.25">
      <c r="B1121" s="55" t="str">
        <f>IF(A1121&lt;&gt;"",INDEX('Base de données'!A$4:L$990,MATCH(' TVA M'!A1126,'Base de données'!A$4:A$990,0),2),"")</f>
        <v/>
      </c>
      <c r="C1121" s="55" t="str">
        <f>IF(A1121&lt;&gt;"",INDEX('Base de données'!A$4:L$990,MATCH(' TVA M'!A1126,'Base de données'!A$4:A$990,0),12),"")</f>
        <v/>
      </c>
    </row>
    <row r="1122" spans="2:3" hidden="1" x14ac:dyDescent="0.25">
      <c r="B1122" s="55" t="str">
        <f>IF(A1122&lt;&gt;"",INDEX('Base de données'!A$4:L$990,MATCH(' TVA M'!A1127,'Base de données'!A$4:A$990,0),2),"")</f>
        <v/>
      </c>
      <c r="C1122" s="55" t="str">
        <f>IF(A1122&lt;&gt;"",INDEX('Base de données'!A$4:L$990,MATCH(' TVA M'!A1127,'Base de données'!A$4:A$990,0),12),"")</f>
        <v/>
      </c>
    </row>
    <row r="1123" spans="2:3" hidden="1" x14ac:dyDescent="0.25">
      <c r="B1123" s="55" t="str">
        <f>IF(A1123&lt;&gt;"",INDEX('Base de données'!A$4:L$990,MATCH(' TVA M'!A1128,'Base de données'!A$4:A$990,0),2),"")</f>
        <v/>
      </c>
      <c r="C1123" s="55" t="str">
        <f>IF(A1123&lt;&gt;"",INDEX('Base de données'!A$4:L$990,MATCH(' TVA M'!A1128,'Base de données'!A$4:A$990,0),12),"")</f>
        <v/>
      </c>
    </row>
    <row r="1124" spans="2:3" hidden="1" x14ac:dyDescent="0.25">
      <c r="B1124" s="55" t="str">
        <f>IF(A1124&lt;&gt;"",INDEX('Base de données'!A$4:L$990,MATCH(' TVA M'!A1129,'Base de données'!A$4:A$990,0),2),"")</f>
        <v/>
      </c>
      <c r="C1124" s="55" t="str">
        <f>IF(A1124&lt;&gt;"",INDEX('Base de données'!A$4:L$990,MATCH(' TVA M'!A1129,'Base de données'!A$4:A$990,0),12),"")</f>
        <v/>
      </c>
    </row>
    <row r="1125" spans="2:3" hidden="1" x14ac:dyDescent="0.25">
      <c r="B1125" s="55" t="str">
        <f>IF(A1125&lt;&gt;"",INDEX('Base de données'!A$4:L$990,MATCH(' TVA M'!A1130,'Base de données'!A$4:A$990,0),2),"")</f>
        <v/>
      </c>
      <c r="C1125" s="55" t="str">
        <f>IF(A1125&lt;&gt;"",INDEX('Base de données'!A$4:L$990,MATCH(' TVA M'!A1130,'Base de données'!A$4:A$990,0),12),"")</f>
        <v/>
      </c>
    </row>
    <row r="1126" spans="2:3" hidden="1" x14ac:dyDescent="0.25">
      <c r="B1126" s="55" t="str">
        <f>IF(A1126&lt;&gt;"",INDEX('Base de données'!A$4:L$990,MATCH(' TVA M'!A1131,'Base de données'!A$4:A$990,0),2),"")</f>
        <v/>
      </c>
      <c r="C1126" s="55" t="str">
        <f>IF(A1126&lt;&gt;"",INDEX('Base de données'!A$4:L$990,MATCH(' TVA M'!A1131,'Base de données'!A$4:A$990,0),12),"")</f>
        <v/>
      </c>
    </row>
    <row r="1127" spans="2:3" hidden="1" x14ac:dyDescent="0.25">
      <c r="B1127" s="55" t="str">
        <f>IF(A1127&lt;&gt;"",INDEX('Base de données'!A$4:L$990,MATCH(' TVA M'!A1132,'Base de données'!A$4:A$990,0),2),"")</f>
        <v/>
      </c>
      <c r="C1127" s="55" t="str">
        <f>IF(A1127&lt;&gt;"",INDEX('Base de données'!A$4:L$990,MATCH(' TVA M'!A1132,'Base de données'!A$4:A$990,0),12),"")</f>
        <v/>
      </c>
    </row>
    <row r="1128" spans="2:3" hidden="1" x14ac:dyDescent="0.25">
      <c r="B1128" s="55" t="str">
        <f>IF(A1128&lt;&gt;"",INDEX('Base de données'!A$4:L$990,MATCH(' TVA M'!A1133,'Base de données'!A$4:A$990,0),2),"")</f>
        <v/>
      </c>
      <c r="C1128" s="55" t="str">
        <f>IF(A1128&lt;&gt;"",INDEX('Base de données'!A$4:L$990,MATCH(' TVA M'!A1133,'Base de données'!A$4:A$990,0),12),"")</f>
        <v/>
      </c>
    </row>
    <row r="1129" spans="2:3" hidden="1" x14ac:dyDescent="0.25">
      <c r="B1129" s="55" t="str">
        <f>IF(A1129&lt;&gt;"",INDEX('Base de données'!A$4:L$990,MATCH(' TVA M'!A1134,'Base de données'!A$4:A$990,0),2),"")</f>
        <v/>
      </c>
      <c r="C1129" s="55" t="str">
        <f>IF(A1129&lt;&gt;"",INDEX('Base de données'!A$4:L$990,MATCH(' TVA M'!A1134,'Base de données'!A$4:A$990,0),12),"")</f>
        <v/>
      </c>
    </row>
    <row r="1130" spans="2:3" hidden="1" x14ac:dyDescent="0.25">
      <c r="B1130" s="55" t="str">
        <f>IF(A1130&lt;&gt;"",INDEX('Base de données'!A$4:L$990,MATCH(' TVA M'!A1135,'Base de données'!A$4:A$990,0),2),"")</f>
        <v/>
      </c>
      <c r="C1130" s="55" t="str">
        <f>IF(A1130&lt;&gt;"",INDEX('Base de données'!A$4:L$990,MATCH(' TVA M'!A1135,'Base de données'!A$4:A$990,0),12),"")</f>
        <v/>
      </c>
    </row>
    <row r="1131" spans="2:3" hidden="1" x14ac:dyDescent="0.25">
      <c r="B1131" s="55" t="str">
        <f>IF(A1131&lt;&gt;"",INDEX('Base de données'!A$4:L$990,MATCH(' TVA M'!A1136,'Base de données'!A$4:A$990,0),2),"")</f>
        <v/>
      </c>
      <c r="C1131" s="55" t="str">
        <f>IF(A1131&lt;&gt;"",INDEX('Base de données'!A$4:L$990,MATCH(' TVA M'!A1136,'Base de données'!A$4:A$990,0),12),"")</f>
        <v/>
      </c>
    </row>
    <row r="1132" spans="2:3" hidden="1" x14ac:dyDescent="0.25">
      <c r="B1132" s="55" t="str">
        <f>IF(A1132&lt;&gt;"",INDEX('Base de données'!A$4:L$990,MATCH(' TVA M'!A1137,'Base de données'!A$4:A$990,0),2),"")</f>
        <v/>
      </c>
      <c r="C1132" s="55" t="str">
        <f>IF(A1132&lt;&gt;"",INDEX('Base de données'!A$4:L$990,MATCH(' TVA M'!A1137,'Base de données'!A$4:A$990,0),12),"")</f>
        <v/>
      </c>
    </row>
    <row r="1133" spans="2:3" hidden="1" x14ac:dyDescent="0.25">
      <c r="B1133" s="55" t="str">
        <f>IF(A1133&lt;&gt;"",INDEX('Base de données'!A$4:L$990,MATCH(' TVA M'!A1138,'Base de données'!A$4:A$990,0),2),"")</f>
        <v/>
      </c>
      <c r="C1133" s="55" t="str">
        <f>IF(A1133&lt;&gt;"",INDEX('Base de données'!A$4:L$990,MATCH(' TVA M'!A1138,'Base de données'!A$4:A$990,0),12),"")</f>
        <v/>
      </c>
    </row>
    <row r="1134" spans="2:3" hidden="1" x14ac:dyDescent="0.25">
      <c r="B1134" s="55" t="str">
        <f>IF(A1134&lt;&gt;"",INDEX('Base de données'!A$4:L$990,MATCH(' TVA M'!A1139,'Base de données'!A$4:A$990,0),2),"")</f>
        <v/>
      </c>
      <c r="C1134" s="55" t="str">
        <f>IF(A1134&lt;&gt;"",INDEX('Base de données'!A$4:L$990,MATCH(' TVA M'!A1139,'Base de données'!A$4:A$990,0),12),"")</f>
        <v/>
      </c>
    </row>
    <row r="1135" spans="2:3" hidden="1" x14ac:dyDescent="0.25">
      <c r="B1135" s="55" t="str">
        <f>IF(A1135&lt;&gt;"",INDEX('Base de données'!A$4:L$990,MATCH(' TVA M'!A1140,'Base de données'!A$4:A$990,0),2),"")</f>
        <v/>
      </c>
      <c r="C1135" s="55" t="str">
        <f>IF(A1135&lt;&gt;"",INDEX('Base de données'!A$4:L$990,MATCH(' TVA M'!A1140,'Base de données'!A$4:A$990,0),12),"")</f>
        <v/>
      </c>
    </row>
    <row r="1136" spans="2:3" hidden="1" x14ac:dyDescent="0.25">
      <c r="B1136" s="55" t="str">
        <f>IF(A1136&lt;&gt;"",INDEX('Base de données'!A$4:L$990,MATCH(' TVA M'!A1141,'Base de données'!A$4:A$990,0),2),"")</f>
        <v/>
      </c>
      <c r="C1136" s="55" t="str">
        <f>IF(A1136&lt;&gt;"",INDEX('Base de données'!A$4:L$990,MATCH(' TVA M'!A1141,'Base de données'!A$4:A$990,0),12),"")</f>
        <v/>
      </c>
    </row>
    <row r="1137" spans="2:3" hidden="1" x14ac:dyDescent="0.25">
      <c r="B1137" s="55" t="str">
        <f>IF(A1137&lt;&gt;"",INDEX('Base de données'!A$4:L$990,MATCH(' TVA M'!A1142,'Base de données'!A$4:A$990,0),2),"")</f>
        <v/>
      </c>
      <c r="C1137" s="55" t="str">
        <f>IF(A1137&lt;&gt;"",INDEX('Base de données'!A$4:L$990,MATCH(' TVA M'!A1142,'Base de données'!A$4:A$990,0),12),"")</f>
        <v/>
      </c>
    </row>
    <row r="1138" spans="2:3" hidden="1" x14ac:dyDescent="0.25">
      <c r="B1138" s="55" t="str">
        <f>IF(A1138&lt;&gt;"",INDEX('Base de données'!A$4:L$990,MATCH(' TVA M'!A1143,'Base de données'!A$4:A$990,0),2),"")</f>
        <v/>
      </c>
      <c r="C1138" s="55" t="str">
        <f>IF(A1138&lt;&gt;"",INDEX('Base de données'!A$4:L$990,MATCH(' TVA M'!A1143,'Base de données'!A$4:A$990,0),12),"")</f>
        <v/>
      </c>
    </row>
    <row r="1139" spans="2:3" hidden="1" x14ac:dyDescent="0.25">
      <c r="B1139" s="55" t="str">
        <f>IF(A1139&lt;&gt;"",INDEX('Base de données'!A$4:L$990,MATCH(' TVA M'!A1144,'Base de données'!A$4:A$990,0),2),"")</f>
        <v/>
      </c>
      <c r="C1139" s="55" t="str">
        <f>IF(A1139&lt;&gt;"",INDEX('Base de données'!A$4:L$990,MATCH(' TVA M'!A1144,'Base de données'!A$4:A$990,0),12),"")</f>
        <v/>
      </c>
    </row>
    <row r="1140" spans="2:3" hidden="1" x14ac:dyDescent="0.25">
      <c r="B1140" s="55" t="str">
        <f>IF(A1140&lt;&gt;"",INDEX('Base de données'!A$4:L$990,MATCH(' TVA M'!A1145,'Base de données'!A$4:A$990,0),2),"")</f>
        <v/>
      </c>
      <c r="C1140" s="55" t="str">
        <f>IF(A1140&lt;&gt;"",INDEX('Base de données'!A$4:L$990,MATCH(' TVA M'!A1145,'Base de données'!A$4:A$990,0),12),"")</f>
        <v/>
      </c>
    </row>
    <row r="1141" spans="2:3" hidden="1" x14ac:dyDescent="0.25">
      <c r="B1141" s="55" t="str">
        <f>IF(A1141&lt;&gt;"",INDEX('Base de données'!A$4:L$990,MATCH(' TVA M'!A1146,'Base de données'!A$4:A$990,0),2),"")</f>
        <v/>
      </c>
      <c r="C1141" s="55" t="str">
        <f>IF(A1141&lt;&gt;"",INDEX('Base de données'!A$4:L$990,MATCH(' TVA M'!A1146,'Base de données'!A$4:A$990,0),12),"")</f>
        <v/>
      </c>
    </row>
    <row r="1142" spans="2:3" hidden="1" x14ac:dyDescent="0.25">
      <c r="B1142" s="55" t="str">
        <f>IF(A1142&lt;&gt;"",INDEX('Base de données'!A$4:L$990,MATCH(' TVA M'!A1147,'Base de données'!A$4:A$990,0),2),"")</f>
        <v/>
      </c>
      <c r="C1142" s="55" t="str">
        <f>IF(A1142&lt;&gt;"",INDEX('Base de données'!A$4:L$990,MATCH(' TVA M'!A1147,'Base de données'!A$4:A$990,0),12),"")</f>
        <v/>
      </c>
    </row>
    <row r="1143" spans="2:3" hidden="1" x14ac:dyDescent="0.25">
      <c r="B1143" s="55" t="str">
        <f>IF(A1143&lt;&gt;"",INDEX('Base de données'!A$4:L$990,MATCH(' TVA M'!A1148,'Base de données'!A$4:A$990,0),2),"")</f>
        <v/>
      </c>
      <c r="C1143" s="55" t="str">
        <f>IF(A1143&lt;&gt;"",INDEX('Base de données'!A$4:L$990,MATCH(' TVA M'!A1148,'Base de données'!A$4:A$990,0),12),"")</f>
        <v/>
      </c>
    </row>
    <row r="1144" spans="2:3" hidden="1" x14ac:dyDescent="0.25">
      <c r="B1144" s="55" t="str">
        <f>IF(A1144&lt;&gt;"",INDEX('Base de données'!A$4:L$990,MATCH(' TVA M'!A1149,'Base de données'!A$4:A$990,0),2),"")</f>
        <v/>
      </c>
      <c r="C1144" s="55" t="str">
        <f>IF(A1144&lt;&gt;"",INDEX('Base de données'!A$4:L$990,MATCH(' TVA M'!A1149,'Base de données'!A$4:A$990,0),12),"")</f>
        <v/>
      </c>
    </row>
    <row r="1145" spans="2:3" hidden="1" x14ac:dyDescent="0.25">
      <c r="B1145" s="55" t="str">
        <f>IF(A1145&lt;&gt;"",INDEX('Base de données'!A$4:L$990,MATCH(' TVA M'!A1150,'Base de données'!A$4:A$990,0),2),"")</f>
        <v/>
      </c>
      <c r="C1145" s="55" t="str">
        <f>IF(A1145&lt;&gt;"",INDEX('Base de données'!A$4:L$990,MATCH(' TVA M'!A1150,'Base de données'!A$4:A$990,0),12),"")</f>
        <v/>
      </c>
    </row>
    <row r="1146" spans="2:3" hidden="1" x14ac:dyDescent="0.25">
      <c r="B1146" s="55" t="str">
        <f>IF(A1146&lt;&gt;"",INDEX('Base de données'!A$4:L$990,MATCH(' TVA M'!A1151,'Base de données'!A$4:A$990,0),2),"")</f>
        <v/>
      </c>
      <c r="C1146" s="55" t="str">
        <f>IF(A1146&lt;&gt;"",INDEX('Base de données'!A$4:L$990,MATCH(' TVA M'!A1151,'Base de données'!A$4:A$990,0),12),"")</f>
        <v/>
      </c>
    </row>
    <row r="1147" spans="2:3" hidden="1" x14ac:dyDescent="0.25">
      <c r="B1147" s="55" t="str">
        <f>IF(A1147&lt;&gt;"",INDEX('Base de données'!A$4:L$990,MATCH(' TVA M'!A1152,'Base de données'!A$4:A$990,0),2),"")</f>
        <v/>
      </c>
      <c r="C1147" s="55" t="str">
        <f>IF(A1147&lt;&gt;"",INDEX('Base de données'!A$4:L$990,MATCH(' TVA M'!A1152,'Base de données'!A$4:A$990,0),12),"")</f>
        <v/>
      </c>
    </row>
    <row r="1148" spans="2:3" hidden="1" x14ac:dyDescent="0.25">
      <c r="B1148" s="55" t="str">
        <f>IF(A1148&lt;&gt;"",INDEX('Base de données'!A$4:L$990,MATCH(' TVA M'!A1153,'Base de données'!A$4:A$990,0),2),"")</f>
        <v/>
      </c>
      <c r="C1148" s="55" t="str">
        <f>IF(A1148&lt;&gt;"",INDEX('Base de données'!A$4:L$990,MATCH(' TVA M'!A1153,'Base de données'!A$4:A$990,0),12),"")</f>
        <v/>
      </c>
    </row>
    <row r="1149" spans="2:3" hidden="1" x14ac:dyDescent="0.25">
      <c r="B1149" s="55" t="str">
        <f>IF(A1149&lt;&gt;"",INDEX('Base de données'!A$4:L$990,MATCH(' TVA M'!A1154,'Base de données'!A$4:A$990,0),2),"")</f>
        <v/>
      </c>
      <c r="C1149" s="55" t="str">
        <f>IF(A1149&lt;&gt;"",INDEX('Base de données'!A$4:L$990,MATCH(' TVA M'!A1154,'Base de données'!A$4:A$990,0),12),"")</f>
        <v/>
      </c>
    </row>
    <row r="1150" spans="2:3" hidden="1" x14ac:dyDescent="0.25">
      <c r="B1150" s="55" t="str">
        <f>IF(A1150&lt;&gt;"",INDEX('Base de données'!A$4:L$990,MATCH(' TVA M'!A1155,'Base de données'!A$4:A$990,0),2),"")</f>
        <v/>
      </c>
      <c r="C1150" s="55" t="str">
        <f>IF(A1150&lt;&gt;"",INDEX('Base de données'!A$4:L$990,MATCH(' TVA M'!A1155,'Base de données'!A$4:A$990,0),12),"")</f>
        <v/>
      </c>
    </row>
    <row r="1151" spans="2:3" hidden="1" x14ac:dyDescent="0.25">
      <c r="B1151" s="55" t="str">
        <f>IF(A1151&lt;&gt;"",INDEX('Base de données'!A$4:L$990,MATCH(' TVA M'!A1156,'Base de données'!A$4:A$990,0),2),"")</f>
        <v/>
      </c>
      <c r="C1151" s="55" t="str">
        <f>IF(A1151&lt;&gt;"",INDEX('Base de données'!A$4:L$990,MATCH(' TVA M'!A1156,'Base de données'!A$4:A$990,0),12),"")</f>
        <v/>
      </c>
    </row>
    <row r="1152" spans="2:3" hidden="1" x14ac:dyDescent="0.25">
      <c r="B1152" s="55" t="str">
        <f>IF(A1152&lt;&gt;"",INDEX('Base de données'!A$4:L$990,MATCH(' TVA M'!A1157,'Base de données'!A$4:A$990,0),2),"")</f>
        <v/>
      </c>
      <c r="C1152" s="55" t="str">
        <f>IF(A1152&lt;&gt;"",INDEX('Base de données'!A$4:L$990,MATCH(' TVA M'!A1157,'Base de données'!A$4:A$990,0),12),"")</f>
        <v/>
      </c>
    </row>
    <row r="1153" spans="2:3" hidden="1" x14ac:dyDescent="0.25">
      <c r="B1153" s="55" t="str">
        <f>IF(A1153&lt;&gt;"",INDEX('Base de données'!A$4:L$990,MATCH(' TVA M'!A1158,'Base de données'!A$4:A$990,0),2),"")</f>
        <v/>
      </c>
      <c r="C1153" s="55" t="str">
        <f>IF(A1153&lt;&gt;"",INDEX('Base de données'!A$4:L$990,MATCH(' TVA M'!A1158,'Base de données'!A$4:A$990,0),12),"")</f>
        <v/>
      </c>
    </row>
    <row r="1154" spans="2:3" hidden="1" x14ac:dyDescent="0.25">
      <c r="B1154" s="55" t="str">
        <f>IF(A1154&lt;&gt;"",INDEX('Base de données'!A$4:L$990,MATCH(' TVA M'!A1159,'Base de données'!A$4:A$990,0),2),"")</f>
        <v/>
      </c>
      <c r="C1154" s="55" t="str">
        <f>IF(A1154&lt;&gt;"",INDEX('Base de données'!A$4:L$990,MATCH(' TVA M'!A1159,'Base de données'!A$4:A$990,0),12),"")</f>
        <v/>
      </c>
    </row>
    <row r="1155" spans="2:3" hidden="1" x14ac:dyDescent="0.25">
      <c r="B1155" s="55" t="str">
        <f>IF(A1155&lt;&gt;"",INDEX('Base de données'!A$4:L$990,MATCH(' TVA M'!A1160,'Base de données'!A$4:A$990,0),2),"")</f>
        <v/>
      </c>
      <c r="C1155" s="55" t="str">
        <f>IF(A1155&lt;&gt;"",INDEX('Base de données'!A$4:L$990,MATCH(' TVA M'!A1160,'Base de données'!A$4:A$990,0),12),"")</f>
        <v/>
      </c>
    </row>
    <row r="1156" spans="2:3" hidden="1" x14ac:dyDescent="0.25">
      <c r="B1156" s="55" t="str">
        <f>IF(A1156&lt;&gt;"",INDEX('Base de données'!A$4:L$990,MATCH(' TVA M'!A1161,'Base de données'!A$4:A$990,0),2),"")</f>
        <v/>
      </c>
      <c r="C1156" s="55" t="str">
        <f>IF(A1156&lt;&gt;"",INDEX('Base de données'!A$4:L$990,MATCH(' TVA M'!A1161,'Base de données'!A$4:A$990,0),12),"")</f>
        <v/>
      </c>
    </row>
    <row r="1157" spans="2:3" hidden="1" x14ac:dyDescent="0.25">
      <c r="B1157" s="55" t="str">
        <f>IF(A1157&lt;&gt;"",INDEX('Base de données'!A$4:L$990,MATCH(' TVA M'!A1162,'Base de données'!A$4:A$990,0),2),"")</f>
        <v/>
      </c>
      <c r="C1157" s="55" t="str">
        <f>IF(A1157&lt;&gt;"",INDEX('Base de données'!A$4:L$990,MATCH(' TVA M'!A1162,'Base de données'!A$4:A$990,0),12),"")</f>
        <v/>
      </c>
    </row>
    <row r="1158" spans="2:3" hidden="1" x14ac:dyDescent="0.25">
      <c r="B1158" s="55" t="str">
        <f>IF(A1158&lt;&gt;"",INDEX('Base de données'!A$4:L$990,MATCH(' TVA M'!A1163,'Base de données'!A$4:A$990,0),2),"")</f>
        <v/>
      </c>
      <c r="C1158" s="55" t="str">
        <f>IF(A1158&lt;&gt;"",INDEX('Base de données'!A$4:L$990,MATCH(' TVA M'!A1163,'Base de données'!A$4:A$990,0),12),"")</f>
        <v/>
      </c>
    </row>
    <row r="1159" spans="2:3" hidden="1" x14ac:dyDescent="0.25">
      <c r="B1159" s="55" t="str">
        <f>IF(A1159&lt;&gt;"",INDEX('Base de données'!A$4:L$990,MATCH(' TVA M'!A1164,'Base de données'!A$4:A$990,0),2),"")</f>
        <v/>
      </c>
      <c r="C1159" s="55" t="str">
        <f>IF(A1159&lt;&gt;"",INDEX('Base de données'!A$4:L$990,MATCH(' TVA M'!A1164,'Base de données'!A$4:A$990,0),12),"")</f>
        <v/>
      </c>
    </row>
    <row r="1160" spans="2:3" hidden="1" x14ac:dyDescent="0.25">
      <c r="B1160" s="55" t="str">
        <f>IF(A1160&lt;&gt;"",INDEX('Base de données'!A$4:L$990,MATCH(' TVA M'!A1165,'Base de données'!A$4:A$990,0),2),"")</f>
        <v/>
      </c>
      <c r="C1160" s="55" t="str">
        <f>IF(A1160&lt;&gt;"",INDEX('Base de données'!A$4:L$990,MATCH(' TVA M'!A1165,'Base de données'!A$4:A$990,0),12),"")</f>
        <v/>
      </c>
    </row>
    <row r="1161" spans="2:3" hidden="1" x14ac:dyDescent="0.25">
      <c r="B1161" s="55" t="str">
        <f>IF(A1161&lt;&gt;"",INDEX('Base de données'!A$4:L$990,MATCH(' TVA M'!A1166,'Base de données'!A$4:A$990,0),2),"")</f>
        <v/>
      </c>
      <c r="C1161" s="55" t="str">
        <f>IF(A1161&lt;&gt;"",INDEX('Base de données'!A$4:L$990,MATCH(' TVA M'!A1166,'Base de données'!A$4:A$990,0),12),"")</f>
        <v/>
      </c>
    </row>
    <row r="1162" spans="2:3" hidden="1" x14ac:dyDescent="0.25">
      <c r="B1162" s="55" t="str">
        <f>IF(A1162&lt;&gt;"",INDEX('Base de données'!A$4:L$990,MATCH(' TVA M'!A1167,'Base de données'!A$4:A$990,0),2),"")</f>
        <v/>
      </c>
      <c r="C1162" s="55" t="str">
        <f>IF(A1162&lt;&gt;"",INDEX('Base de données'!A$4:L$990,MATCH(' TVA M'!A1167,'Base de données'!A$4:A$990,0),12),"")</f>
        <v/>
      </c>
    </row>
    <row r="1163" spans="2:3" hidden="1" x14ac:dyDescent="0.25">
      <c r="B1163" s="55" t="str">
        <f>IF(A1163&lt;&gt;"",INDEX('Base de données'!A$4:L$990,MATCH(' TVA M'!A1168,'Base de données'!A$4:A$990,0),2),"")</f>
        <v/>
      </c>
      <c r="C1163" s="55" t="str">
        <f>IF(A1163&lt;&gt;"",INDEX('Base de données'!A$4:L$990,MATCH(' TVA M'!A1168,'Base de données'!A$4:A$990,0),12),"")</f>
        <v/>
      </c>
    </row>
    <row r="1164" spans="2:3" hidden="1" x14ac:dyDescent="0.25">
      <c r="B1164" s="55" t="str">
        <f>IF(A1164&lt;&gt;"",INDEX('Base de données'!A$4:L$990,MATCH(' TVA M'!A1169,'Base de données'!A$4:A$990,0),2),"")</f>
        <v/>
      </c>
      <c r="C1164" s="55" t="str">
        <f>IF(A1164&lt;&gt;"",INDEX('Base de données'!A$4:L$990,MATCH(' TVA M'!A1169,'Base de données'!A$4:A$990,0),12),"")</f>
        <v/>
      </c>
    </row>
    <row r="1165" spans="2:3" hidden="1" x14ac:dyDescent="0.25">
      <c r="B1165" s="55" t="str">
        <f>IF(A1165&lt;&gt;"",INDEX('Base de données'!A$4:L$990,MATCH(' TVA M'!A1170,'Base de données'!A$4:A$990,0),2),"")</f>
        <v/>
      </c>
      <c r="C1165" s="55" t="str">
        <f>IF(A1165&lt;&gt;"",INDEX('Base de données'!A$4:L$990,MATCH(' TVA M'!A1170,'Base de données'!A$4:A$990,0),12),"")</f>
        <v/>
      </c>
    </row>
    <row r="1166" spans="2:3" hidden="1" x14ac:dyDescent="0.25">
      <c r="B1166" s="55" t="str">
        <f>IF(A1166&lt;&gt;"",INDEX('Base de données'!A$4:L$990,MATCH(' TVA M'!A1171,'Base de données'!A$4:A$990,0),2),"")</f>
        <v/>
      </c>
      <c r="C1166" s="55" t="str">
        <f>IF(A1166&lt;&gt;"",INDEX('Base de données'!A$4:L$990,MATCH(' TVA M'!A1171,'Base de données'!A$4:A$990,0),12),"")</f>
        <v/>
      </c>
    </row>
    <row r="1167" spans="2:3" hidden="1" x14ac:dyDescent="0.25">
      <c r="B1167" s="55" t="str">
        <f>IF(A1167&lt;&gt;"",INDEX('Base de données'!A$4:L$990,MATCH(' TVA M'!A1172,'Base de données'!A$4:A$990,0),2),"")</f>
        <v/>
      </c>
      <c r="C1167" s="55" t="str">
        <f>IF(A1167&lt;&gt;"",INDEX('Base de données'!A$4:L$990,MATCH(' TVA M'!A1172,'Base de données'!A$4:A$990,0),12),"")</f>
        <v/>
      </c>
    </row>
    <row r="1168" spans="2:3" hidden="1" x14ac:dyDescent="0.25">
      <c r="B1168" s="55" t="str">
        <f>IF(A1168&lt;&gt;"",INDEX('Base de données'!A$4:L$990,MATCH(' TVA M'!A1173,'Base de données'!A$4:A$990,0),2),"")</f>
        <v/>
      </c>
      <c r="C1168" s="55" t="str">
        <f>IF(A1168&lt;&gt;"",INDEX('Base de données'!A$4:L$990,MATCH(' TVA M'!A1173,'Base de données'!A$4:A$990,0),12),"")</f>
        <v/>
      </c>
    </row>
    <row r="1169" spans="2:3" hidden="1" x14ac:dyDescent="0.25">
      <c r="B1169" s="55" t="str">
        <f>IF(A1169&lt;&gt;"",INDEX('Base de données'!A$4:L$990,MATCH(' TVA M'!A1174,'Base de données'!A$4:A$990,0),2),"")</f>
        <v/>
      </c>
      <c r="C1169" s="55" t="str">
        <f>IF(A1169&lt;&gt;"",INDEX('Base de données'!A$4:L$990,MATCH(' TVA M'!A1174,'Base de données'!A$4:A$990,0),12),"")</f>
        <v/>
      </c>
    </row>
    <row r="1170" spans="2:3" hidden="1" x14ac:dyDescent="0.25">
      <c r="B1170" s="55" t="str">
        <f>IF(A1170&lt;&gt;"",INDEX('Base de données'!A$4:L$990,MATCH(' TVA M'!A1175,'Base de données'!A$4:A$990,0),2),"")</f>
        <v/>
      </c>
      <c r="C1170" s="55" t="str">
        <f>IF(A1170&lt;&gt;"",INDEX('Base de données'!A$4:L$990,MATCH(' TVA M'!A1175,'Base de données'!A$4:A$990,0),12),"")</f>
        <v/>
      </c>
    </row>
    <row r="1171" spans="2:3" hidden="1" x14ac:dyDescent="0.25">
      <c r="B1171" s="55" t="str">
        <f>IF(A1171&lt;&gt;"",INDEX('Base de données'!A$4:L$990,MATCH(' TVA M'!A1176,'Base de données'!A$4:A$990,0),2),"")</f>
        <v/>
      </c>
      <c r="C1171" s="55" t="str">
        <f>IF(A1171&lt;&gt;"",INDEX('Base de données'!A$4:L$990,MATCH(' TVA M'!A1176,'Base de données'!A$4:A$990,0),12),"")</f>
        <v/>
      </c>
    </row>
    <row r="1172" spans="2:3" hidden="1" x14ac:dyDescent="0.25">
      <c r="B1172" s="55" t="str">
        <f>IF(A1172&lt;&gt;"",INDEX('Base de données'!A$4:L$990,MATCH(' TVA M'!A1177,'Base de données'!A$4:A$990,0),2),"")</f>
        <v/>
      </c>
      <c r="C1172" s="55" t="str">
        <f>IF(A1172&lt;&gt;"",INDEX('Base de données'!A$4:L$990,MATCH(' TVA M'!A1177,'Base de données'!A$4:A$990,0),12),"")</f>
        <v/>
      </c>
    </row>
    <row r="1173" spans="2:3" hidden="1" x14ac:dyDescent="0.25">
      <c r="B1173" s="55" t="str">
        <f>IF(A1173&lt;&gt;"",INDEX('Base de données'!A$4:L$990,MATCH(' TVA M'!A1178,'Base de données'!A$4:A$990,0),2),"")</f>
        <v/>
      </c>
      <c r="C1173" s="55" t="str">
        <f>IF(A1173&lt;&gt;"",INDEX('Base de données'!A$4:L$990,MATCH(' TVA M'!A1178,'Base de données'!A$4:A$990,0),12),"")</f>
        <v/>
      </c>
    </row>
    <row r="1174" spans="2:3" hidden="1" x14ac:dyDescent="0.25">
      <c r="B1174" s="55" t="str">
        <f>IF(A1174&lt;&gt;"",INDEX('Base de données'!A$4:L$990,MATCH(' TVA M'!A1179,'Base de données'!A$4:A$990,0),2),"")</f>
        <v/>
      </c>
      <c r="C1174" s="55" t="str">
        <f>IF(A1174&lt;&gt;"",INDEX('Base de données'!A$4:L$990,MATCH(' TVA M'!A1179,'Base de données'!A$4:A$990,0),12),"")</f>
        <v/>
      </c>
    </row>
    <row r="1175" spans="2:3" hidden="1" x14ac:dyDescent="0.25">
      <c r="B1175" s="55" t="str">
        <f>IF(A1175&lt;&gt;"",INDEX('Base de données'!A$4:L$990,MATCH(' TVA M'!A1180,'Base de données'!A$4:A$990,0),2),"")</f>
        <v/>
      </c>
      <c r="C1175" s="55" t="str">
        <f>IF(A1175&lt;&gt;"",INDEX('Base de données'!A$4:L$990,MATCH(' TVA M'!A1180,'Base de données'!A$4:A$990,0),12),"")</f>
        <v/>
      </c>
    </row>
    <row r="1176" spans="2:3" hidden="1" x14ac:dyDescent="0.25">
      <c r="B1176" s="55" t="str">
        <f>IF(A1176&lt;&gt;"",INDEX('Base de données'!A$4:L$990,MATCH(' TVA M'!A1181,'Base de données'!A$4:A$990,0),2),"")</f>
        <v/>
      </c>
      <c r="C1176" s="55" t="str">
        <f>IF(A1176&lt;&gt;"",INDEX('Base de données'!A$4:L$990,MATCH(' TVA M'!A1181,'Base de données'!A$4:A$990,0),12),"")</f>
        <v/>
      </c>
    </row>
    <row r="1177" spans="2:3" hidden="1" x14ac:dyDescent="0.25">
      <c r="B1177" s="55" t="str">
        <f>IF(A1177&lt;&gt;"",INDEX('Base de données'!A$4:L$990,MATCH(' TVA M'!A1182,'Base de données'!A$4:A$990,0),2),"")</f>
        <v/>
      </c>
      <c r="C1177" s="55" t="str">
        <f>IF(A1177&lt;&gt;"",INDEX('Base de données'!A$4:L$990,MATCH(' TVA M'!A1182,'Base de données'!A$4:A$990,0),12),"")</f>
        <v/>
      </c>
    </row>
    <row r="1178" spans="2:3" hidden="1" x14ac:dyDescent="0.25">
      <c r="B1178" s="55" t="str">
        <f>IF(A1178&lt;&gt;"",INDEX('Base de données'!A$4:L$990,MATCH(' TVA M'!A1183,'Base de données'!A$4:A$990,0),2),"")</f>
        <v/>
      </c>
      <c r="C1178" s="55" t="str">
        <f>IF(A1178&lt;&gt;"",INDEX('Base de données'!A$4:L$990,MATCH(' TVA M'!A1183,'Base de données'!A$4:A$990,0),12),"")</f>
        <v/>
      </c>
    </row>
    <row r="1179" spans="2:3" hidden="1" x14ac:dyDescent="0.25">
      <c r="B1179" s="55" t="str">
        <f>IF(A1179&lt;&gt;"",INDEX('Base de données'!A$4:L$990,MATCH(' TVA M'!A1184,'Base de données'!A$4:A$990,0),2),"")</f>
        <v/>
      </c>
      <c r="C1179" s="55" t="str">
        <f>IF(A1179&lt;&gt;"",INDEX('Base de données'!A$4:L$990,MATCH(' TVA M'!A1184,'Base de données'!A$4:A$990,0),12),"")</f>
        <v/>
      </c>
    </row>
    <row r="1180" spans="2:3" hidden="1" x14ac:dyDescent="0.25">
      <c r="B1180" s="55" t="str">
        <f>IF(A1180&lt;&gt;"",INDEX('Base de données'!A$4:L$990,MATCH(' TVA M'!A1185,'Base de données'!A$4:A$990,0),2),"")</f>
        <v/>
      </c>
      <c r="C1180" s="55" t="str">
        <f>IF(A1180&lt;&gt;"",INDEX('Base de données'!A$4:L$990,MATCH(' TVA M'!A1185,'Base de données'!A$4:A$990,0),12),"")</f>
        <v/>
      </c>
    </row>
    <row r="1181" spans="2:3" hidden="1" x14ac:dyDescent="0.25">
      <c r="B1181" s="55" t="str">
        <f>IF(A1181&lt;&gt;"",INDEX('Base de données'!A$4:L$990,MATCH(' TVA M'!A1186,'Base de données'!A$4:A$990,0),2),"")</f>
        <v/>
      </c>
      <c r="C1181" s="55" t="str">
        <f>IF(A1181&lt;&gt;"",INDEX('Base de données'!A$4:L$990,MATCH(' TVA M'!A1186,'Base de données'!A$4:A$990,0),12),"")</f>
        <v/>
      </c>
    </row>
    <row r="1182" spans="2:3" hidden="1" x14ac:dyDescent="0.25">
      <c r="B1182" s="55" t="str">
        <f>IF(A1182&lt;&gt;"",INDEX('Base de données'!A$4:L$990,MATCH(' TVA M'!A1187,'Base de données'!A$4:A$990,0),2),"")</f>
        <v/>
      </c>
      <c r="C1182" s="55" t="str">
        <f>IF(A1182&lt;&gt;"",INDEX('Base de données'!A$4:L$990,MATCH(' TVA M'!A1187,'Base de données'!A$4:A$990,0),12),"")</f>
        <v/>
      </c>
    </row>
    <row r="1183" spans="2:3" hidden="1" x14ac:dyDescent="0.25">
      <c r="B1183" s="55" t="str">
        <f>IF(A1183&lt;&gt;"",INDEX('Base de données'!A$4:L$990,MATCH(' TVA M'!A1188,'Base de données'!A$4:A$990,0),2),"")</f>
        <v/>
      </c>
      <c r="C1183" s="55" t="str">
        <f>IF(A1183&lt;&gt;"",INDEX('Base de données'!A$4:L$990,MATCH(' TVA M'!A1188,'Base de données'!A$4:A$990,0),12),"")</f>
        <v/>
      </c>
    </row>
    <row r="1184" spans="2:3" hidden="1" x14ac:dyDescent="0.25">
      <c r="B1184" s="55" t="str">
        <f>IF(A1184&lt;&gt;"",INDEX('Base de données'!A$4:L$990,MATCH(' TVA M'!A1189,'Base de données'!A$4:A$990,0),2),"")</f>
        <v/>
      </c>
      <c r="C1184" s="55" t="str">
        <f>IF(A1184&lt;&gt;"",INDEX('Base de données'!A$4:L$990,MATCH(' TVA M'!A1189,'Base de données'!A$4:A$990,0),12),"")</f>
        <v/>
      </c>
    </row>
    <row r="1185" spans="2:3" hidden="1" x14ac:dyDescent="0.25">
      <c r="B1185" s="55" t="str">
        <f>IF(A1185&lt;&gt;"",INDEX('Base de données'!A$4:L$990,MATCH(' TVA M'!A1190,'Base de données'!A$4:A$990,0),2),"")</f>
        <v/>
      </c>
      <c r="C1185" s="55" t="str">
        <f>IF(A1185&lt;&gt;"",INDEX('Base de données'!A$4:L$990,MATCH(' TVA M'!A1190,'Base de données'!A$4:A$990,0),12),"")</f>
        <v/>
      </c>
    </row>
    <row r="1186" spans="2:3" hidden="1" x14ac:dyDescent="0.25">
      <c r="B1186" s="55" t="str">
        <f>IF(A1186&lt;&gt;"",INDEX('Base de données'!A$4:L$990,MATCH(' TVA M'!A1191,'Base de données'!A$4:A$990,0),2),"")</f>
        <v/>
      </c>
      <c r="C1186" s="55" t="str">
        <f>IF(A1186&lt;&gt;"",INDEX('Base de données'!A$4:L$990,MATCH(' TVA M'!A1191,'Base de données'!A$4:A$990,0),12),"")</f>
        <v/>
      </c>
    </row>
    <row r="1187" spans="2:3" hidden="1" x14ac:dyDescent="0.25">
      <c r="B1187" s="55" t="str">
        <f>IF(A1187&lt;&gt;"",INDEX('Base de données'!A$4:L$990,MATCH(' TVA M'!A1192,'Base de données'!A$4:A$990,0),2),"")</f>
        <v/>
      </c>
      <c r="C1187" s="55" t="str">
        <f>IF(A1187&lt;&gt;"",INDEX('Base de données'!A$4:L$990,MATCH(' TVA M'!A1192,'Base de données'!A$4:A$990,0),12),"")</f>
        <v/>
      </c>
    </row>
    <row r="1188" spans="2:3" hidden="1" x14ac:dyDescent="0.25">
      <c r="B1188" s="55" t="str">
        <f>IF(A1188&lt;&gt;"",INDEX('Base de données'!A$4:L$990,MATCH(' TVA M'!A1193,'Base de données'!A$4:A$990,0),2),"")</f>
        <v/>
      </c>
      <c r="C1188" s="55" t="str">
        <f>IF(A1188&lt;&gt;"",INDEX('Base de données'!A$4:L$990,MATCH(' TVA M'!A1193,'Base de données'!A$4:A$990,0),12),"")</f>
        <v/>
      </c>
    </row>
    <row r="1189" spans="2:3" hidden="1" x14ac:dyDescent="0.25">
      <c r="B1189" s="55" t="str">
        <f>IF(A1189&lt;&gt;"",INDEX('Base de données'!A$4:L$990,MATCH(' TVA M'!A1194,'Base de données'!A$4:A$990,0),2),"")</f>
        <v/>
      </c>
      <c r="C1189" s="55" t="str">
        <f>IF(A1189&lt;&gt;"",INDEX('Base de données'!A$4:L$990,MATCH(' TVA M'!A1194,'Base de données'!A$4:A$990,0),12),"")</f>
        <v/>
      </c>
    </row>
    <row r="1190" spans="2:3" hidden="1" x14ac:dyDescent="0.25">
      <c r="B1190" s="55" t="str">
        <f>IF(A1190&lt;&gt;"",INDEX('Base de données'!A$4:L$990,MATCH(' TVA M'!A1195,'Base de données'!A$4:A$990,0),2),"")</f>
        <v/>
      </c>
      <c r="C1190" s="55" t="str">
        <f>IF(A1190&lt;&gt;"",INDEX('Base de données'!A$4:L$990,MATCH(' TVA M'!A1195,'Base de données'!A$4:A$990,0),12),"")</f>
        <v/>
      </c>
    </row>
    <row r="1191" spans="2:3" hidden="1" x14ac:dyDescent="0.25">
      <c r="B1191" s="55" t="str">
        <f>IF(A1191&lt;&gt;"",INDEX('Base de données'!A$4:L$990,MATCH(' TVA M'!A1196,'Base de données'!A$4:A$990,0),2),"")</f>
        <v/>
      </c>
      <c r="C1191" s="55" t="str">
        <f>IF(A1191&lt;&gt;"",INDEX('Base de données'!A$4:L$990,MATCH(' TVA M'!A1196,'Base de données'!A$4:A$990,0),12),"")</f>
        <v/>
      </c>
    </row>
    <row r="1192" spans="2:3" hidden="1" x14ac:dyDescent="0.25">
      <c r="B1192" s="55" t="str">
        <f>IF(A1192&lt;&gt;"",INDEX('Base de données'!A$4:L$990,MATCH(' TVA M'!A1197,'Base de données'!A$4:A$990,0),2),"")</f>
        <v/>
      </c>
      <c r="C1192" s="55" t="str">
        <f>IF(A1192&lt;&gt;"",INDEX('Base de données'!A$4:L$990,MATCH(' TVA M'!A1197,'Base de données'!A$4:A$990,0),12),"")</f>
        <v/>
      </c>
    </row>
    <row r="1193" spans="2:3" hidden="1" x14ac:dyDescent="0.25">
      <c r="B1193" s="55" t="str">
        <f>IF(A1193&lt;&gt;"",INDEX('Base de données'!A$4:L$990,MATCH(' TVA M'!A1198,'Base de données'!A$4:A$990,0),2),"")</f>
        <v/>
      </c>
      <c r="C1193" s="55" t="str">
        <f>IF(A1193&lt;&gt;"",INDEX('Base de données'!A$4:L$990,MATCH(' TVA M'!A1198,'Base de données'!A$4:A$990,0),12),"")</f>
        <v/>
      </c>
    </row>
    <row r="1194" spans="2:3" hidden="1" x14ac:dyDescent="0.25">
      <c r="B1194" s="55" t="str">
        <f>IF(A1194&lt;&gt;"",INDEX('Base de données'!A$4:L$990,MATCH(' TVA M'!A1199,'Base de données'!A$4:A$990,0),2),"")</f>
        <v/>
      </c>
      <c r="C1194" s="55" t="str">
        <f>IF(A1194&lt;&gt;"",INDEX('Base de données'!A$4:L$990,MATCH(' TVA M'!A1199,'Base de données'!A$4:A$990,0),12),"")</f>
        <v/>
      </c>
    </row>
    <row r="1195" spans="2:3" hidden="1" x14ac:dyDescent="0.25">
      <c r="B1195" s="55" t="str">
        <f>IF(A1195&lt;&gt;"",INDEX('Base de données'!A$4:L$990,MATCH(' TVA M'!A1200,'Base de données'!A$4:A$990,0),2),"")</f>
        <v/>
      </c>
      <c r="C1195" s="55" t="str">
        <f>IF(A1195&lt;&gt;"",INDEX('Base de données'!A$4:L$990,MATCH(' TVA M'!A1200,'Base de données'!A$4:A$990,0),12),"")</f>
        <v/>
      </c>
    </row>
    <row r="1196" spans="2:3" hidden="1" x14ac:dyDescent="0.25">
      <c r="B1196" s="55" t="str">
        <f>IF(A1196&lt;&gt;"",INDEX('Base de données'!A$4:L$990,MATCH(' TVA M'!A1201,'Base de données'!A$4:A$990,0),2),"")</f>
        <v/>
      </c>
      <c r="C1196" s="55" t="str">
        <f>IF(A1196&lt;&gt;"",INDEX('Base de données'!A$4:L$990,MATCH(' TVA M'!A1201,'Base de données'!A$4:A$990,0),12),"")</f>
        <v/>
      </c>
    </row>
    <row r="1197" spans="2:3" hidden="1" x14ac:dyDescent="0.25">
      <c r="B1197" s="55" t="str">
        <f>IF(A1197&lt;&gt;"",INDEX('Base de données'!A$4:L$990,MATCH(' TVA M'!A1202,'Base de données'!A$4:A$990,0),2),"")</f>
        <v/>
      </c>
      <c r="C1197" s="55" t="str">
        <f>IF(A1197&lt;&gt;"",INDEX('Base de données'!A$4:L$990,MATCH(' TVA M'!A1202,'Base de données'!A$4:A$990,0),12),"")</f>
        <v/>
      </c>
    </row>
    <row r="1198" spans="2:3" hidden="1" x14ac:dyDescent="0.25">
      <c r="B1198" s="55" t="str">
        <f>IF(A1198&lt;&gt;"",INDEX('Base de données'!A$4:L$990,MATCH(' TVA M'!A1203,'Base de données'!A$4:A$990,0),2),"")</f>
        <v/>
      </c>
      <c r="C1198" s="55" t="str">
        <f>IF(A1198&lt;&gt;"",INDEX('Base de données'!A$4:L$990,MATCH(' TVA M'!A1203,'Base de données'!A$4:A$990,0),12),"")</f>
        <v/>
      </c>
    </row>
    <row r="1199" spans="2:3" hidden="1" x14ac:dyDescent="0.25">
      <c r="B1199" s="55" t="str">
        <f>IF(A1199&lt;&gt;"",INDEX('Base de données'!A$4:L$990,MATCH(' TVA M'!A1204,'Base de données'!A$4:A$990,0),2),"")</f>
        <v/>
      </c>
      <c r="C1199" s="55" t="str">
        <f>IF(A1199&lt;&gt;"",INDEX('Base de données'!A$4:L$990,MATCH(' TVA M'!A1204,'Base de données'!A$4:A$990,0),12),"")</f>
        <v/>
      </c>
    </row>
    <row r="1200" spans="2:3" hidden="1" x14ac:dyDescent="0.25">
      <c r="B1200" s="55" t="str">
        <f>IF(A1200&lt;&gt;"",INDEX('Base de données'!A$4:L$990,MATCH(' TVA M'!A1205,'Base de données'!A$4:A$990,0),2),"")</f>
        <v/>
      </c>
      <c r="C1200" s="55" t="str">
        <f>IF(A1200&lt;&gt;"",INDEX('Base de données'!A$4:L$990,MATCH(' TVA M'!A1205,'Base de données'!A$4:A$990,0),12),"")</f>
        <v/>
      </c>
    </row>
    <row r="1201" spans="2:3" hidden="1" x14ac:dyDescent="0.25">
      <c r="B1201" s="55" t="str">
        <f>IF(A1201&lt;&gt;"",INDEX('Base de données'!A$4:L$990,MATCH(' TVA M'!A1206,'Base de données'!A$4:A$990,0),2),"")</f>
        <v/>
      </c>
      <c r="C1201" s="55" t="str">
        <f>IF(A1201&lt;&gt;"",INDEX('Base de données'!A$4:L$990,MATCH(' TVA M'!A1206,'Base de données'!A$4:A$990,0),12),"")</f>
        <v/>
      </c>
    </row>
    <row r="1202" spans="2:3" hidden="1" x14ac:dyDescent="0.25">
      <c r="B1202" s="55" t="str">
        <f>IF(A1202&lt;&gt;"",INDEX('Base de données'!A$4:L$990,MATCH(' TVA M'!A1207,'Base de données'!A$4:A$990,0),2),"")</f>
        <v/>
      </c>
      <c r="C1202" s="55" t="str">
        <f>IF(A1202&lt;&gt;"",INDEX('Base de données'!A$4:L$990,MATCH(' TVA M'!A1207,'Base de données'!A$4:A$990,0),12),"")</f>
        <v/>
      </c>
    </row>
    <row r="1203" spans="2:3" hidden="1" x14ac:dyDescent="0.25">
      <c r="B1203" s="55" t="str">
        <f>IF(A1203&lt;&gt;"",INDEX('Base de données'!A$4:L$990,MATCH(' TVA M'!A1208,'Base de données'!A$4:A$990,0),2),"")</f>
        <v/>
      </c>
      <c r="C1203" s="55" t="str">
        <f>IF(A1203&lt;&gt;"",INDEX('Base de données'!A$4:L$990,MATCH(' TVA M'!A1208,'Base de données'!A$4:A$990,0),12),"")</f>
        <v/>
      </c>
    </row>
    <row r="1204" spans="2:3" hidden="1" x14ac:dyDescent="0.25">
      <c r="B1204" s="55" t="str">
        <f>IF(A1204&lt;&gt;"",INDEX('Base de données'!A$4:L$990,MATCH(' TVA M'!A1209,'Base de données'!A$4:A$990,0),2),"")</f>
        <v/>
      </c>
      <c r="C1204" s="55" t="str">
        <f>IF(A1204&lt;&gt;"",INDEX('Base de données'!A$4:L$990,MATCH(' TVA M'!A1209,'Base de données'!A$4:A$990,0),12),"")</f>
        <v/>
      </c>
    </row>
    <row r="1205" spans="2:3" hidden="1" x14ac:dyDescent="0.25">
      <c r="B1205" s="55" t="str">
        <f>IF(A1205&lt;&gt;"",INDEX('Base de données'!A$4:L$990,MATCH(' TVA M'!A1210,'Base de données'!A$4:A$990,0),2),"")</f>
        <v/>
      </c>
      <c r="C1205" s="55" t="str">
        <f>IF(A1205&lt;&gt;"",INDEX('Base de données'!A$4:L$990,MATCH(' TVA M'!A1210,'Base de données'!A$4:A$990,0),12),"")</f>
        <v/>
      </c>
    </row>
    <row r="1206" spans="2:3" hidden="1" x14ac:dyDescent="0.25">
      <c r="B1206" s="55" t="str">
        <f>IF(A1206&lt;&gt;"",INDEX('Base de données'!A$4:L$990,MATCH(' TVA M'!A1211,'Base de données'!A$4:A$990,0),2),"")</f>
        <v/>
      </c>
      <c r="C1206" s="55" t="str">
        <f>IF(A1206&lt;&gt;"",INDEX('Base de données'!A$4:L$990,MATCH(' TVA M'!A1211,'Base de données'!A$4:A$990,0),12),"")</f>
        <v/>
      </c>
    </row>
    <row r="1207" spans="2:3" hidden="1" x14ac:dyDescent="0.25">
      <c r="B1207" s="55" t="str">
        <f>IF(A1207&lt;&gt;"",INDEX('Base de données'!A$4:L$990,MATCH(' TVA M'!A1212,'Base de données'!A$4:A$990,0),2),"")</f>
        <v/>
      </c>
      <c r="C1207" s="55" t="str">
        <f>IF(A1207&lt;&gt;"",INDEX('Base de données'!A$4:L$990,MATCH(' TVA M'!A1212,'Base de données'!A$4:A$990,0),12),"")</f>
        <v/>
      </c>
    </row>
    <row r="1208" spans="2:3" hidden="1" x14ac:dyDescent="0.25">
      <c r="B1208" s="55" t="str">
        <f>IF(A1208&lt;&gt;"",INDEX('Base de données'!A$4:L$990,MATCH(' TVA M'!A1213,'Base de données'!A$4:A$990,0),2),"")</f>
        <v/>
      </c>
      <c r="C1208" s="55" t="str">
        <f>IF(A1208&lt;&gt;"",INDEX('Base de données'!A$4:L$990,MATCH(' TVA M'!A1213,'Base de données'!A$4:A$990,0),12),"")</f>
        <v/>
      </c>
    </row>
    <row r="1209" spans="2:3" hidden="1" x14ac:dyDescent="0.25">
      <c r="B1209" s="55" t="str">
        <f>IF(A1209&lt;&gt;"",INDEX('Base de données'!A$4:L$990,MATCH(' TVA M'!A1214,'Base de données'!A$4:A$990,0),2),"")</f>
        <v/>
      </c>
      <c r="C1209" s="55" t="str">
        <f>IF(A1209&lt;&gt;"",INDEX('Base de données'!A$4:L$990,MATCH(' TVA M'!A1214,'Base de données'!A$4:A$990,0),12),"")</f>
        <v/>
      </c>
    </row>
    <row r="1210" spans="2:3" hidden="1" x14ac:dyDescent="0.25">
      <c r="B1210" s="55" t="str">
        <f>IF(A1210&lt;&gt;"",INDEX('Base de données'!A$4:L$990,MATCH(' TVA M'!A1215,'Base de données'!A$4:A$990,0),2),"")</f>
        <v/>
      </c>
      <c r="C1210" s="55" t="str">
        <f>IF(A1210&lt;&gt;"",INDEX('Base de données'!A$4:L$990,MATCH(' TVA M'!A1215,'Base de données'!A$4:A$990,0),12),"")</f>
        <v/>
      </c>
    </row>
    <row r="1211" spans="2:3" hidden="1" x14ac:dyDescent="0.25">
      <c r="B1211" s="55" t="str">
        <f>IF(A1211&lt;&gt;"",INDEX('Base de données'!A$4:L$990,MATCH(' TVA M'!A1216,'Base de données'!A$4:A$990,0),2),"")</f>
        <v/>
      </c>
      <c r="C1211" s="55" t="str">
        <f>IF(A1211&lt;&gt;"",INDEX('Base de données'!A$4:L$990,MATCH(' TVA M'!A1216,'Base de données'!A$4:A$990,0),12),"")</f>
        <v/>
      </c>
    </row>
    <row r="1212" spans="2:3" hidden="1" x14ac:dyDescent="0.25">
      <c r="B1212" s="55" t="str">
        <f>IF(A1212&lt;&gt;"",INDEX('Base de données'!A$4:L$990,MATCH(' TVA M'!A1217,'Base de données'!A$4:A$990,0),2),"")</f>
        <v/>
      </c>
      <c r="C1212" s="55" t="str">
        <f>IF(A1212&lt;&gt;"",INDEX('Base de données'!A$4:L$990,MATCH(' TVA M'!A1217,'Base de données'!A$4:A$990,0),12),"")</f>
        <v/>
      </c>
    </row>
    <row r="1213" spans="2:3" hidden="1" x14ac:dyDescent="0.25">
      <c r="B1213" s="55" t="str">
        <f>IF(A1213&lt;&gt;"",INDEX('Base de données'!A$4:L$990,MATCH(' TVA M'!A1218,'Base de données'!A$4:A$990,0),2),"")</f>
        <v/>
      </c>
      <c r="C1213" s="55" t="str">
        <f>IF(A1213&lt;&gt;"",INDEX('Base de données'!A$4:L$990,MATCH(' TVA M'!A1218,'Base de données'!A$4:A$990,0),12),"")</f>
        <v/>
      </c>
    </row>
    <row r="1214" spans="2:3" hidden="1" x14ac:dyDescent="0.25">
      <c r="B1214" s="55" t="str">
        <f>IF(A1214&lt;&gt;"",INDEX('Base de données'!A$4:L$990,MATCH(' TVA M'!A1219,'Base de données'!A$4:A$990,0),2),"")</f>
        <v/>
      </c>
      <c r="C1214" s="55" t="str">
        <f>IF(A1214&lt;&gt;"",INDEX('Base de données'!A$4:L$990,MATCH(' TVA M'!A1219,'Base de données'!A$4:A$990,0),12),"")</f>
        <v/>
      </c>
    </row>
    <row r="1215" spans="2:3" hidden="1" x14ac:dyDescent="0.25">
      <c r="B1215" s="55" t="str">
        <f>IF(A1215&lt;&gt;"",INDEX('Base de données'!A$4:L$990,MATCH(' TVA M'!A1220,'Base de données'!A$4:A$990,0),2),"")</f>
        <v/>
      </c>
      <c r="C1215" s="55" t="str">
        <f>IF(A1215&lt;&gt;"",INDEX('Base de données'!A$4:L$990,MATCH(' TVA M'!A1220,'Base de données'!A$4:A$990,0),12),"")</f>
        <v/>
      </c>
    </row>
    <row r="1216" spans="2:3" hidden="1" x14ac:dyDescent="0.25">
      <c r="B1216" s="55" t="str">
        <f>IF(A1216&lt;&gt;"",INDEX('Base de données'!A$4:L$990,MATCH(' TVA M'!A1221,'Base de données'!A$4:A$990,0),2),"")</f>
        <v/>
      </c>
      <c r="C1216" s="55" t="str">
        <f>IF(A1216&lt;&gt;"",INDEX('Base de données'!A$4:L$990,MATCH(' TVA M'!A1221,'Base de données'!A$4:A$990,0),12),"")</f>
        <v/>
      </c>
    </row>
    <row r="1217" spans="2:3" hidden="1" x14ac:dyDescent="0.25">
      <c r="B1217" s="55" t="str">
        <f>IF(A1217&lt;&gt;"",INDEX('Base de données'!A$4:L$990,MATCH(' TVA M'!A1222,'Base de données'!A$4:A$990,0),2),"")</f>
        <v/>
      </c>
      <c r="C1217" s="55" t="str">
        <f>IF(A1217&lt;&gt;"",INDEX('Base de données'!A$4:L$990,MATCH(' TVA M'!A1222,'Base de données'!A$4:A$990,0),12),"")</f>
        <v/>
      </c>
    </row>
    <row r="1218" spans="2:3" hidden="1" x14ac:dyDescent="0.25">
      <c r="B1218" s="55" t="str">
        <f>IF(A1218&lt;&gt;"",INDEX('Base de données'!A$4:L$990,MATCH(' TVA M'!A1223,'Base de données'!A$4:A$990,0),2),"")</f>
        <v/>
      </c>
      <c r="C1218" s="55" t="str">
        <f>IF(A1218&lt;&gt;"",INDEX('Base de données'!A$4:L$990,MATCH(' TVA M'!A1223,'Base de données'!A$4:A$990,0),12),"")</f>
        <v/>
      </c>
    </row>
    <row r="1219" spans="2:3" hidden="1" x14ac:dyDescent="0.25">
      <c r="B1219" s="55" t="str">
        <f>IF(A1219&lt;&gt;"",INDEX('Base de données'!A$4:L$990,MATCH(' TVA M'!A1224,'Base de données'!A$4:A$990,0),2),"")</f>
        <v/>
      </c>
      <c r="C1219" s="55" t="str">
        <f>IF(A1219&lt;&gt;"",INDEX('Base de données'!A$4:L$990,MATCH(' TVA M'!A1224,'Base de données'!A$4:A$990,0),12),"")</f>
        <v/>
      </c>
    </row>
    <row r="1220" spans="2:3" hidden="1" x14ac:dyDescent="0.25">
      <c r="B1220" s="55" t="str">
        <f>IF(A1220&lt;&gt;"",INDEX('Base de données'!A$4:L$990,MATCH(' TVA M'!A1225,'Base de données'!A$4:A$990,0),2),"")</f>
        <v/>
      </c>
      <c r="C1220" s="55" t="str">
        <f>IF(A1220&lt;&gt;"",INDEX('Base de données'!A$4:L$990,MATCH(' TVA M'!A1225,'Base de données'!A$4:A$990,0),12),"")</f>
        <v/>
      </c>
    </row>
    <row r="1221" spans="2:3" hidden="1" x14ac:dyDescent="0.25">
      <c r="B1221" s="55" t="str">
        <f>IF(A1221&lt;&gt;"",INDEX('Base de données'!A$4:L$990,MATCH(' TVA M'!A1226,'Base de données'!A$4:A$990,0),2),"")</f>
        <v/>
      </c>
      <c r="C1221" s="55" t="str">
        <f>IF(A1221&lt;&gt;"",INDEX('Base de données'!A$4:L$990,MATCH(' TVA M'!A1226,'Base de données'!A$4:A$990,0),12),"")</f>
        <v/>
      </c>
    </row>
    <row r="1222" spans="2:3" hidden="1" x14ac:dyDescent="0.25">
      <c r="B1222" s="55" t="str">
        <f>IF(A1222&lt;&gt;"",INDEX('Base de données'!A$4:L$990,MATCH(' TVA M'!A1227,'Base de données'!A$4:A$990,0),2),"")</f>
        <v/>
      </c>
      <c r="C1222" s="55" t="str">
        <f>IF(A1222&lt;&gt;"",INDEX('Base de données'!A$4:L$990,MATCH(' TVA M'!A1227,'Base de données'!A$4:A$990,0),12),"")</f>
        <v/>
      </c>
    </row>
    <row r="1223" spans="2:3" hidden="1" x14ac:dyDescent="0.25">
      <c r="B1223" s="55" t="str">
        <f>IF(A1223&lt;&gt;"",INDEX('Base de données'!A$4:L$990,MATCH(' TVA M'!A1228,'Base de données'!A$4:A$990,0),2),"")</f>
        <v/>
      </c>
      <c r="C1223" s="55" t="str">
        <f>IF(A1223&lt;&gt;"",INDEX('Base de données'!A$4:L$990,MATCH(' TVA M'!A1228,'Base de données'!A$4:A$990,0),12),"")</f>
        <v/>
      </c>
    </row>
    <row r="1224" spans="2:3" hidden="1" x14ac:dyDescent="0.25">
      <c r="B1224" s="55" t="str">
        <f>IF(A1224&lt;&gt;"",INDEX('Base de données'!A$4:L$990,MATCH(' TVA M'!A1229,'Base de données'!A$4:A$990,0),2),"")</f>
        <v/>
      </c>
      <c r="C1224" s="55" t="str">
        <f>IF(A1224&lt;&gt;"",INDEX('Base de données'!A$4:L$990,MATCH(' TVA M'!A1229,'Base de données'!A$4:A$990,0),12),"")</f>
        <v/>
      </c>
    </row>
    <row r="1225" spans="2:3" hidden="1" x14ac:dyDescent="0.25">
      <c r="B1225" s="55" t="str">
        <f>IF(A1225&lt;&gt;"",INDEX('Base de données'!A$4:L$990,MATCH(' TVA M'!A1230,'Base de données'!A$4:A$990,0),2),"")</f>
        <v/>
      </c>
      <c r="C1225" s="55" t="str">
        <f>IF(A1225&lt;&gt;"",INDEX('Base de données'!A$4:L$990,MATCH(' TVA M'!A1230,'Base de données'!A$4:A$990,0),12),"")</f>
        <v/>
      </c>
    </row>
    <row r="1226" spans="2:3" hidden="1" x14ac:dyDescent="0.25">
      <c r="B1226" s="55" t="str">
        <f>IF(A1226&lt;&gt;"",INDEX('Base de données'!A$4:L$990,MATCH(' TVA M'!A1231,'Base de données'!A$4:A$990,0),2),"")</f>
        <v/>
      </c>
      <c r="C1226" s="55" t="str">
        <f>IF(A1226&lt;&gt;"",INDEX('Base de données'!A$4:L$990,MATCH(' TVA M'!A1231,'Base de données'!A$4:A$990,0),12),"")</f>
        <v/>
      </c>
    </row>
    <row r="1227" spans="2:3" hidden="1" x14ac:dyDescent="0.25">
      <c r="B1227" s="55" t="str">
        <f>IF(A1227&lt;&gt;"",INDEX('Base de données'!A$4:L$990,MATCH(' TVA M'!A1232,'Base de données'!A$4:A$990,0),2),"")</f>
        <v/>
      </c>
      <c r="C1227" s="55" t="str">
        <f>IF(A1227&lt;&gt;"",INDEX('Base de données'!A$4:L$990,MATCH(' TVA M'!A1232,'Base de données'!A$4:A$990,0),12),"")</f>
        <v/>
      </c>
    </row>
    <row r="1228" spans="2:3" hidden="1" x14ac:dyDescent="0.25">
      <c r="B1228" s="55" t="str">
        <f>IF(A1228&lt;&gt;"",INDEX('Base de données'!A$4:L$990,MATCH(' TVA M'!A1233,'Base de données'!A$4:A$990,0),2),"")</f>
        <v/>
      </c>
      <c r="C1228" s="55" t="str">
        <f>IF(A1228&lt;&gt;"",INDEX('Base de données'!A$4:L$990,MATCH(' TVA M'!A1233,'Base de données'!A$4:A$990,0),12),"")</f>
        <v/>
      </c>
    </row>
    <row r="1229" spans="2:3" hidden="1" x14ac:dyDescent="0.25">
      <c r="B1229" s="55" t="str">
        <f>IF(A1229&lt;&gt;"",INDEX('Base de données'!A$4:L$990,MATCH(' TVA M'!A1234,'Base de données'!A$4:A$990,0),2),"")</f>
        <v/>
      </c>
      <c r="C1229" s="55" t="str">
        <f>IF(A1229&lt;&gt;"",INDEX('Base de données'!A$4:L$990,MATCH(' TVA M'!A1234,'Base de données'!A$4:A$990,0),12),"")</f>
        <v/>
      </c>
    </row>
    <row r="1230" spans="2:3" hidden="1" x14ac:dyDescent="0.25">
      <c r="B1230" s="55" t="str">
        <f>IF(A1230&lt;&gt;"",INDEX('Base de données'!A$4:L$990,MATCH(' TVA M'!A1235,'Base de données'!A$4:A$990,0),2),"")</f>
        <v/>
      </c>
      <c r="C1230" s="55" t="str">
        <f>IF(A1230&lt;&gt;"",INDEX('Base de données'!A$4:L$990,MATCH(' TVA M'!A1235,'Base de données'!A$4:A$990,0),12),"")</f>
        <v/>
      </c>
    </row>
    <row r="1231" spans="2:3" hidden="1" x14ac:dyDescent="0.25">
      <c r="B1231" s="55" t="str">
        <f>IF(A1231&lt;&gt;"",INDEX('Base de données'!A$4:L$990,MATCH(' TVA M'!A1236,'Base de données'!A$4:A$990,0),2),"")</f>
        <v/>
      </c>
      <c r="C1231" s="55" t="str">
        <f>IF(A1231&lt;&gt;"",INDEX('Base de données'!A$4:L$990,MATCH(' TVA M'!A1236,'Base de données'!A$4:A$990,0),12),"")</f>
        <v/>
      </c>
    </row>
    <row r="1232" spans="2:3" hidden="1" x14ac:dyDescent="0.25">
      <c r="B1232" s="55" t="str">
        <f>IF(A1232&lt;&gt;"",INDEX('Base de données'!A$4:L$990,MATCH(' TVA M'!A1237,'Base de données'!A$4:A$990,0),2),"")</f>
        <v/>
      </c>
      <c r="C1232" s="55" t="str">
        <f>IF(A1232&lt;&gt;"",INDEX('Base de données'!A$4:L$990,MATCH(' TVA M'!A1237,'Base de données'!A$4:A$990,0),12),"")</f>
        <v/>
      </c>
    </row>
    <row r="1233" spans="2:3" hidden="1" x14ac:dyDescent="0.25">
      <c r="B1233" s="55" t="str">
        <f>IF(A1233&lt;&gt;"",INDEX('Base de données'!A$4:L$990,MATCH(' TVA M'!A1238,'Base de données'!A$4:A$990,0),2),"")</f>
        <v/>
      </c>
      <c r="C1233" s="55" t="str">
        <f>IF(A1233&lt;&gt;"",INDEX('Base de données'!A$4:L$990,MATCH(' TVA M'!A1238,'Base de données'!A$4:A$990,0),12),"")</f>
        <v/>
      </c>
    </row>
    <row r="1234" spans="2:3" hidden="1" x14ac:dyDescent="0.25">
      <c r="B1234" s="55" t="str">
        <f>IF(A1234&lt;&gt;"",INDEX('Base de données'!A$4:L$990,MATCH(' TVA M'!A1239,'Base de données'!A$4:A$990,0),2),"")</f>
        <v/>
      </c>
      <c r="C1234" s="55" t="str">
        <f>IF(A1234&lt;&gt;"",INDEX('Base de données'!A$4:L$990,MATCH(' TVA M'!A1239,'Base de données'!A$4:A$990,0),12),"")</f>
        <v/>
      </c>
    </row>
    <row r="1235" spans="2:3" hidden="1" x14ac:dyDescent="0.25">
      <c r="B1235" s="55" t="str">
        <f>IF(A1235&lt;&gt;"",INDEX('Base de données'!A$4:L$990,MATCH(' TVA M'!A1240,'Base de données'!A$4:A$990,0),2),"")</f>
        <v/>
      </c>
      <c r="C1235" s="55" t="str">
        <f>IF(A1235&lt;&gt;"",INDEX('Base de données'!A$4:L$990,MATCH(' TVA M'!A1240,'Base de données'!A$4:A$990,0),12),"")</f>
        <v/>
      </c>
    </row>
    <row r="1236" spans="2:3" hidden="1" x14ac:dyDescent="0.25">
      <c r="B1236" s="55" t="str">
        <f>IF(A1236&lt;&gt;"",INDEX('Base de données'!A$4:L$990,MATCH(' TVA M'!A1241,'Base de données'!A$4:A$990,0),2),"")</f>
        <v/>
      </c>
      <c r="C1236" s="55" t="str">
        <f>IF(A1236&lt;&gt;"",INDEX('Base de données'!A$4:L$990,MATCH(' TVA M'!A1241,'Base de données'!A$4:A$990,0),12),"")</f>
        <v/>
      </c>
    </row>
    <row r="1237" spans="2:3" hidden="1" x14ac:dyDescent="0.25">
      <c r="B1237" s="55" t="str">
        <f>IF(A1237&lt;&gt;"",INDEX('Base de données'!A$4:L$990,MATCH(' TVA M'!A1242,'Base de données'!A$4:A$990,0),2),"")</f>
        <v/>
      </c>
      <c r="C1237" s="55" t="str">
        <f>IF(A1237&lt;&gt;"",INDEX('Base de données'!A$4:L$990,MATCH(' TVA M'!A1242,'Base de données'!A$4:A$990,0),12),"")</f>
        <v/>
      </c>
    </row>
    <row r="1238" spans="2:3" hidden="1" x14ac:dyDescent="0.25">
      <c r="B1238" s="55" t="str">
        <f>IF(A1238&lt;&gt;"",INDEX('Base de données'!A$4:L$990,MATCH(' TVA M'!A1243,'Base de données'!A$4:A$990,0),2),"")</f>
        <v/>
      </c>
      <c r="C1238" s="55" t="str">
        <f>IF(A1238&lt;&gt;"",INDEX('Base de données'!A$4:L$990,MATCH(' TVA M'!A1243,'Base de données'!A$4:A$990,0),12),"")</f>
        <v/>
      </c>
    </row>
    <row r="1239" spans="2:3" hidden="1" x14ac:dyDescent="0.25">
      <c r="B1239" s="55" t="str">
        <f>IF(A1239&lt;&gt;"",INDEX('Base de données'!A$4:L$990,MATCH(' TVA M'!A1244,'Base de données'!A$4:A$990,0),2),"")</f>
        <v/>
      </c>
      <c r="C1239" s="55" t="str">
        <f>IF(A1239&lt;&gt;"",INDEX('Base de données'!A$4:L$990,MATCH(' TVA M'!A1244,'Base de données'!A$4:A$990,0),12),"")</f>
        <v/>
      </c>
    </row>
    <row r="1240" spans="2:3" hidden="1" x14ac:dyDescent="0.25">
      <c r="B1240" s="55" t="str">
        <f>IF(A1240&lt;&gt;"",INDEX('Base de données'!A$4:L$990,MATCH(' TVA M'!A1245,'Base de données'!A$4:A$990,0),2),"")</f>
        <v/>
      </c>
      <c r="C1240" s="55" t="str">
        <f>IF(A1240&lt;&gt;"",INDEX('Base de données'!A$4:L$990,MATCH(' TVA M'!A1245,'Base de données'!A$4:A$990,0),12),"")</f>
        <v/>
      </c>
    </row>
    <row r="1241" spans="2:3" hidden="1" x14ac:dyDescent="0.25">
      <c r="B1241" s="55" t="str">
        <f>IF(A1241&lt;&gt;"",INDEX('Base de données'!A$4:L$990,MATCH(' TVA M'!A1246,'Base de données'!A$4:A$990,0),2),"")</f>
        <v/>
      </c>
      <c r="C1241" s="55" t="str">
        <f>IF(A1241&lt;&gt;"",INDEX('Base de données'!A$4:L$990,MATCH(' TVA M'!A1246,'Base de données'!A$4:A$990,0),12),"")</f>
        <v/>
      </c>
    </row>
    <row r="1242" spans="2:3" hidden="1" x14ac:dyDescent="0.25">
      <c r="B1242" s="55" t="str">
        <f>IF(A1242&lt;&gt;"",INDEX('Base de données'!A$4:L$990,MATCH(' TVA M'!A1247,'Base de données'!A$4:A$990,0),2),"")</f>
        <v/>
      </c>
      <c r="C1242" s="55" t="str">
        <f>IF(A1242&lt;&gt;"",INDEX('Base de données'!A$4:L$990,MATCH(' TVA M'!A1247,'Base de données'!A$4:A$990,0),12),"")</f>
        <v/>
      </c>
    </row>
    <row r="1243" spans="2:3" hidden="1" x14ac:dyDescent="0.25">
      <c r="B1243" s="55" t="str">
        <f>IF(A1243&lt;&gt;"",INDEX('Base de données'!A$4:L$990,MATCH(' TVA M'!A1248,'Base de données'!A$4:A$990,0),2),"")</f>
        <v/>
      </c>
      <c r="C1243" s="55" t="str">
        <f>IF(A1243&lt;&gt;"",INDEX('Base de données'!A$4:L$990,MATCH(' TVA M'!A1248,'Base de données'!A$4:A$990,0),12),"")</f>
        <v/>
      </c>
    </row>
    <row r="1244" spans="2:3" hidden="1" x14ac:dyDescent="0.25">
      <c r="B1244" s="55" t="str">
        <f>IF(A1244&lt;&gt;"",INDEX('Base de données'!A$4:L$990,MATCH(' TVA M'!A1249,'Base de données'!A$4:A$990,0),2),"")</f>
        <v/>
      </c>
      <c r="C1244" s="55" t="str">
        <f>IF(A1244&lt;&gt;"",INDEX('Base de données'!A$4:L$990,MATCH(' TVA M'!A1249,'Base de données'!A$4:A$990,0),12),"")</f>
        <v/>
      </c>
    </row>
    <row r="1245" spans="2:3" hidden="1" x14ac:dyDescent="0.25">
      <c r="B1245" s="55" t="str">
        <f>IF(A1245&lt;&gt;"",INDEX('Base de données'!A$4:L$990,MATCH(' TVA M'!A1250,'Base de données'!A$4:A$990,0),2),"")</f>
        <v/>
      </c>
      <c r="C1245" s="55" t="str">
        <f>IF(A1245&lt;&gt;"",INDEX('Base de données'!A$4:L$990,MATCH(' TVA M'!A1250,'Base de données'!A$4:A$990,0),12),"")</f>
        <v/>
      </c>
    </row>
    <row r="1246" spans="2:3" hidden="1" x14ac:dyDescent="0.25">
      <c r="B1246" s="55" t="str">
        <f>IF(A1246&lt;&gt;"",INDEX('Base de données'!A$4:L$990,MATCH(' TVA M'!A1251,'Base de données'!A$4:A$990,0),2),"")</f>
        <v/>
      </c>
      <c r="C1246" s="55" t="str">
        <f>IF(A1246&lt;&gt;"",INDEX('Base de données'!A$4:L$990,MATCH(' TVA M'!A1251,'Base de données'!A$4:A$990,0),12),"")</f>
        <v/>
      </c>
    </row>
    <row r="1247" spans="2:3" hidden="1" x14ac:dyDescent="0.25">
      <c r="B1247" s="55" t="str">
        <f>IF(A1247&lt;&gt;"",INDEX('Base de données'!A$4:L$990,MATCH(' TVA M'!A1252,'Base de données'!A$4:A$990,0),2),"")</f>
        <v/>
      </c>
      <c r="C1247" s="55" t="str">
        <f>IF(A1247&lt;&gt;"",INDEX('Base de données'!A$4:L$990,MATCH(' TVA M'!A1252,'Base de données'!A$4:A$990,0),12),"")</f>
        <v/>
      </c>
    </row>
    <row r="1248" spans="2:3" hidden="1" x14ac:dyDescent="0.25">
      <c r="B1248" s="55" t="str">
        <f>IF(A1248&lt;&gt;"",INDEX('Base de données'!A$4:L$990,MATCH(' TVA M'!A1253,'Base de données'!A$4:A$990,0),2),"")</f>
        <v/>
      </c>
      <c r="C1248" s="55" t="str">
        <f>IF(A1248&lt;&gt;"",INDEX('Base de données'!A$4:L$990,MATCH(' TVA M'!A1253,'Base de données'!A$4:A$990,0),12),"")</f>
        <v/>
      </c>
    </row>
    <row r="1249" spans="2:3" hidden="1" x14ac:dyDescent="0.25">
      <c r="B1249" s="55" t="str">
        <f>IF(A1249&lt;&gt;"",INDEX('Base de données'!A$4:L$990,MATCH(' TVA M'!A1254,'Base de données'!A$4:A$990,0),2),"")</f>
        <v/>
      </c>
      <c r="C1249" s="55" t="str">
        <f>IF(A1249&lt;&gt;"",INDEX('Base de données'!A$4:L$990,MATCH(' TVA M'!A1254,'Base de données'!A$4:A$990,0),12),"")</f>
        <v/>
      </c>
    </row>
    <row r="1250" spans="2:3" hidden="1" x14ac:dyDescent="0.25">
      <c r="B1250" s="55" t="str">
        <f>IF(A1250&lt;&gt;"",INDEX('Base de données'!A$4:L$990,MATCH(' TVA M'!A1255,'Base de données'!A$4:A$990,0),2),"")</f>
        <v/>
      </c>
      <c r="C1250" s="55" t="str">
        <f>IF(A1250&lt;&gt;"",INDEX('Base de données'!A$4:L$990,MATCH(' TVA M'!A1255,'Base de données'!A$4:A$990,0),12),"")</f>
        <v/>
      </c>
    </row>
    <row r="1251" spans="2:3" hidden="1" x14ac:dyDescent="0.25">
      <c r="B1251" s="55" t="str">
        <f>IF(A1251&lt;&gt;"",INDEX('Base de données'!A$4:L$990,MATCH(' TVA M'!A1256,'Base de données'!A$4:A$990,0),2),"")</f>
        <v/>
      </c>
      <c r="C1251" s="55" t="str">
        <f>IF(A1251&lt;&gt;"",INDEX('Base de données'!A$4:L$990,MATCH(' TVA M'!A1256,'Base de données'!A$4:A$990,0),12),"")</f>
        <v/>
      </c>
    </row>
    <row r="1252" spans="2:3" hidden="1" x14ac:dyDescent="0.25">
      <c r="B1252" s="55" t="str">
        <f>IF(A1252&lt;&gt;"",INDEX('Base de données'!A$4:L$990,MATCH(' TVA M'!A1257,'Base de données'!A$4:A$990,0),2),"")</f>
        <v/>
      </c>
      <c r="C1252" s="55" t="str">
        <f>IF(A1252&lt;&gt;"",INDEX('Base de données'!A$4:L$990,MATCH(' TVA M'!A1257,'Base de données'!A$4:A$990,0),12),"")</f>
        <v/>
      </c>
    </row>
    <row r="1253" spans="2:3" hidden="1" x14ac:dyDescent="0.25">
      <c r="B1253" s="55" t="str">
        <f>IF(A1253&lt;&gt;"",INDEX('Base de données'!A$4:L$990,MATCH(' TVA M'!A1258,'Base de données'!A$4:A$990,0),2),"")</f>
        <v/>
      </c>
      <c r="C1253" s="55" t="str">
        <f>IF(A1253&lt;&gt;"",INDEX('Base de données'!A$4:L$990,MATCH(' TVA M'!A1258,'Base de données'!A$4:A$990,0),12),"")</f>
        <v/>
      </c>
    </row>
    <row r="1254" spans="2:3" hidden="1" x14ac:dyDescent="0.25">
      <c r="B1254" s="55" t="str">
        <f>IF(A1254&lt;&gt;"",INDEX('Base de données'!A$4:L$990,MATCH(' TVA M'!A1259,'Base de données'!A$4:A$990,0),2),"")</f>
        <v/>
      </c>
      <c r="C1254" s="55" t="str">
        <f>IF(A1254&lt;&gt;"",INDEX('Base de données'!A$4:L$990,MATCH(' TVA M'!A1259,'Base de données'!A$4:A$990,0),12),"")</f>
        <v/>
      </c>
    </row>
    <row r="1255" spans="2:3" hidden="1" x14ac:dyDescent="0.25">
      <c r="B1255" s="55" t="str">
        <f>IF(A1255&lt;&gt;"",INDEX('Base de données'!A$4:L$990,MATCH(' TVA M'!A1260,'Base de données'!A$4:A$990,0),2),"")</f>
        <v/>
      </c>
      <c r="C1255" s="55" t="str">
        <f>IF(A1255&lt;&gt;"",INDEX('Base de données'!A$4:L$990,MATCH(' TVA M'!A1260,'Base de données'!A$4:A$990,0),12),"")</f>
        <v/>
      </c>
    </row>
    <row r="1256" spans="2:3" hidden="1" x14ac:dyDescent="0.25">
      <c r="B1256" s="55" t="str">
        <f>IF(A1256&lt;&gt;"",INDEX('Base de données'!A$4:L$990,MATCH(' TVA M'!A1261,'Base de données'!A$4:A$990,0),2),"")</f>
        <v/>
      </c>
      <c r="C1256" s="55" t="str">
        <f>IF(A1256&lt;&gt;"",INDEX('Base de données'!A$4:L$990,MATCH(' TVA M'!A1261,'Base de données'!A$4:A$990,0),12),"")</f>
        <v/>
      </c>
    </row>
    <row r="1257" spans="2:3" hidden="1" x14ac:dyDescent="0.25">
      <c r="B1257" s="55" t="str">
        <f>IF(A1257&lt;&gt;"",INDEX('Base de données'!A$4:L$990,MATCH(' TVA M'!A1262,'Base de données'!A$4:A$990,0),2),"")</f>
        <v/>
      </c>
      <c r="C1257" s="55" t="str">
        <f>IF(A1257&lt;&gt;"",INDEX('Base de données'!A$4:L$990,MATCH(' TVA M'!A1262,'Base de données'!A$4:A$990,0),12),"")</f>
        <v/>
      </c>
    </row>
    <row r="1258" spans="2:3" hidden="1" x14ac:dyDescent="0.25">
      <c r="B1258" s="55" t="str">
        <f>IF(A1258&lt;&gt;"",INDEX('Base de données'!A$4:L$990,MATCH(' TVA M'!A1263,'Base de données'!A$4:A$990,0),2),"")</f>
        <v/>
      </c>
      <c r="C1258" s="55" t="str">
        <f>IF(A1258&lt;&gt;"",INDEX('Base de données'!A$4:L$990,MATCH(' TVA M'!A1263,'Base de données'!A$4:A$990,0),12),"")</f>
        <v/>
      </c>
    </row>
    <row r="1259" spans="2:3" hidden="1" x14ac:dyDescent="0.25">
      <c r="B1259" s="55" t="str">
        <f>IF(A1259&lt;&gt;"",INDEX('Base de données'!A$4:L$990,MATCH(' TVA M'!A1264,'Base de données'!A$4:A$990,0),2),"")</f>
        <v/>
      </c>
      <c r="C1259" s="55" t="str">
        <f>IF(A1259&lt;&gt;"",INDEX('Base de données'!A$4:L$990,MATCH(' TVA M'!A1264,'Base de données'!A$4:A$990,0),12),"")</f>
        <v/>
      </c>
    </row>
    <row r="1260" spans="2:3" hidden="1" x14ac:dyDescent="0.25">
      <c r="B1260" s="55" t="str">
        <f>IF(A1260&lt;&gt;"",INDEX('Base de données'!A$4:L$990,MATCH(' TVA M'!A1265,'Base de données'!A$4:A$990,0),2),"")</f>
        <v/>
      </c>
      <c r="C1260" s="55" t="str">
        <f>IF(A1260&lt;&gt;"",INDEX('Base de données'!A$4:L$990,MATCH(' TVA M'!A1265,'Base de données'!A$4:A$990,0),12),"")</f>
        <v/>
      </c>
    </row>
    <row r="1261" spans="2:3" hidden="1" x14ac:dyDescent="0.25">
      <c r="B1261" s="55" t="str">
        <f>IF(A1261&lt;&gt;"",INDEX('Base de données'!A$4:L$990,MATCH(' TVA M'!A1266,'Base de données'!A$4:A$990,0),2),"")</f>
        <v/>
      </c>
      <c r="C1261" s="55" t="str">
        <f>IF(A1261&lt;&gt;"",INDEX('Base de données'!A$4:L$990,MATCH(' TVA M'!A1266,'Base de données'!A$4:A$990,0),12),"")</f>
        <v/>
      </c>
    </row>
    <row r="1262" spans="2:3" hidden="1" x14ac:dyDescent="0.25">
      <c r="B1262" s="55" t="str">
        <f>IF(A1262&lt;&gt;"",INDEX('Base de données'!A$4:L$990,MATCH(' TVA M'!A1267,'Base de données'!A$4:A$990,0),2),"")</f>
        <v/>
      </c>
      <c r="C1262" s="55" t="str">
        <f>IF(A1262&lt;&gt;"",INDEX('Base de données'!A$4:L$990,MATCH(' TVA M'!A1267,'Base de données'!A$4:A$990,0),12),"")</f>
        <v/>
      </c>
    </row>
    <row r="1263" spans="2:3" hidden="1" x14ac:dyDescent="0.25">
      <c r="B1263" s="55" t="str">
        <f>IF(A1263&lt;&gt;"",INDEX('Base de données'!A$4:L$990,MATCH(' TVA M'!A1268,'Base de données'!A$4:A$990,0),2),"")</f>
        <v/>
      </c>
      <c r="C1263" s="55" t="str">
        <f>IF(A1263&lt;&gt;"",INDEX('Base de données'!A$4:L$990,MATCH(' TVA M'!A1268,'Base de données'!A$4:A$990,0),12),"")</f>
        <v/>
      </c>
    </row>
    <row r="1264" spans="2:3" hidden="1" x14ac:dyDescent="0.25">
      <c r="B1264" s="55" t="str">
        <f>IF(A1264&lt;&gt;"",INDEX('Base de données'!A$4:L$990,MATCH(' TVA M'!A1269,'Base de données'!A$4:A$990,0),2),"")</f>
        <v/>
      </c>
      <c r="C1264" s="55" t="str">
        <f>IF(A1264&lt;&gt;"",INDEX('Base de données'!A$4:L$990,MATCH(' TVA M'!A1269,'Base de données'!A$4:A$990,0),12),"")</f>
        <v/>
      </c>
    </row>
    <row r="1265" spans="2:3" hidden="1" x14ac:dyDescent="0.25">
      <c r="B1265" s="55" t="str">
        <f>IF(A1265&lt;&gt;"",INDEX('Base de données'!A$4:L$990,MATCH(' TVA M'!A1270,'Base de données'!A$4:A$990,0),2),"")</f>
        <v/>
      </c>
      <c r="C1265" s="55" t="str">
        <f>IF(A1265&lt;&gt;"",INDEX('Base de données'!A$4:L$990,MATCH(' TVA M'!A1270,'Base de données'!A$4:A$990,0),12),"")</f>
        <v/>
      </c>
    </row>
    <row r="1266" spans="2:3" hidden="1" x14ac:dyDescent="0.25">
      <c r="B1266" s="55" t="str">
        <f>IF(A1266&lt;&gt;"",INDEX('Base de données'!A$4:L$990,MATCH(' TVA M'!A1271,'Base de données'!A$4:A$990,0),2),"")</f>
        <v/>
      </c>
      <c r="C1266" s="55" t="str">
        <f>IF(A1266&lt;&gt;"",INDEX('Base de données'!A$4:L$990,MATCH(' TVA M'!A1271,'Base de données'!A$4:A$990,0),12),"")</f>
        <v/>
      </c>
    </row>
    <row r="1267" spans="2:3" hidden="1" x14ac:dyDescent="0.25">
      <c r="B1267" s="55" t="str">
        <f>IF(A1267&lt;&gt;"",INDEX('Base de données'!A$4:L$990,MATCH(' TVA M'!A1272,'Base de données'!A$4:A$990,0),2),"")</f>
        <v/>
      </c>
      <c r="C1267" s="55" t="str">
        <f>IF(A1267&lt;&gt;"",INDEX('Base de données'!A$4:L$990,MATCH(' TVA M'!A1272,'Base de données'!A$4:A$990,0),12),"")</f>
        <v/>
      </c>
    </row>
    <row r="1268" spans="2:3" hidden="1" x14ac:dyDescent="0.25">
      <c r="B1268" s="55" t="str">
        <f>IF(A1268&lt;&gt;"",INDEX('Base de données'!A$4:L$990,MATCH(' TVA M'!A1273,'Base de données'!A$4:A$990,0),2),"")</f>
        <v/>
      </c>
      <c r="C1268" s="55" t="str">
        <f>IF(A1268&lt;&gt;"",INDEX('Base de données'!A$4:L$990,MATCH(' TVA M'!A1273,'Base de données'!A$4:A$990,0),12),"")</f>
        <v/>
      </c>
    </row>
    <row r="1269" spans="2:3" hidden="1" x14ac:dyDescent="0.25">
      <c r="B1269" s="55" t="str">
        <f>IF(A1269&lt;&gt;"",INDEX('Base de données'!A$4:L$990,MATCH(' TVA M'!A1274,'Base de données'!A$4:A$990,0),2),"")</f>
        <v/>
      </c>
      <c r="C1269" s="55" t="str">
        <f>IF(A1269&lt;&gt;"",INDEX('Base de données'!A$4:L$990,MATCH(' TVA M'!A1274,'Base de données'!A$4:A$990,0),12),"")</f>
        <v/>
      </c>
    </row>
    <row r="1270" spans="2:3" hidden="1" x14ac:dyDescent="0.25">
      <c r="B1270" s="55" t="str">
        <f>IF(A1270&lt;&gt;"",INDEX('Base de données'!A$4:L$990,MATCH(' TVA M'!A1275,'Base de données'!A$4:A$990,0),2),"")</f>
        <v/>
      </c>
      <c r="C1270" s="55" t="str">
        <f>IF(A1270&lt;&gt;"",INDEX('Base de données'!A$4:L$990,MATCH(' TVA M'!A1275,'Base de données'!A$4:A$990,0),12),"")</f>
        <v/>
      </c>
    </row>
    <row r="1271" spans="2:3" hidden="1" x14ac:dyDescent="0.25">
      <c r="B1271" s="55" t="str">
        <f>IF(A1271&lt;&gt;"",INDEX('Base de données'!A$4:L$990,MATCH(' TVA M'!A1276,'Base de données'!A$4:A$990,0),2),"")</f>
        <v/>
      </c>
      <c r="C1271" s="55" t="str">
        <f>IF(A1271&lt;&gt;"",INDEX('Base de données'!A$4:L$990,MATCH(' TVA M'!A1276,'Base de données'!A$4:A$990,0),12),"")</f>
        <v/>
      </c>
    </row>
    <row r="1272" spans="2:3" hidden="1" x14ac:dyDescent="0.25">
      <c r="B1272" s="55" t="str">
        <f>IF(A1272&lt;&gt;"",INDEX('Base de données'!A$4:L$990,MATCH(' TVA M'!A1277,'Base de données'!A$4:A$990,0),2),"")</f>
        <v/>
      </c>
      <c r="C1272" s="55" t="str">
        <f>IF(A1272&lt;&gt;"",INDEX('Base de données'!A$4:L$990,MATCH(' TVA M'!A1277,'Base de données'!A$4:A$990,0),12),"")</f>
        <v/>
      </c>
    </row>
    <row r="1273" spans="2:3" hidden="1" x14ac:dyDescent="0.25">
      <c r="B1273" s="55" t="str">
        <f>IF(A1273&lt;&gt;"",INDEX('Base de données'!A$4:L$990,MATCH(' TVA M'!A1278,'Base de données'!A$4:A$990,0),2),"")</f>
        <v/>
      </c>
      <c r="C1273" s="55" t="str">
        <f>IF(A1273&lt;&gt;"",INDEX('Base de données'!A$4:L$990,MATCH(' TVA M'!A1278,'Base de données'!A$4:A$990,0),12),"")</f>
        <v/>
      </c>
    </row>
    <row r="1274" spans="2:3" hidden="1" x14ac:dyDescent="0.25">
      <c r="B1274" s="55" t="str">
        <f>IF(A1274&lt;&gt;"",INDEX('Base de données'!A$4:L$990,MATCH(' TVA M'!A1279,'Base de données'!A$4:A$990,0),2),"")</f>
        <v/>
      </c>
      <c r="C1274" s="55" t="str">
        <f>IF(A1274&lt;&gt;"",INDEX('Base de données'!A$4:L$990,MATCH(' TVA M'!A1279,'Base de données'!A$4:A$990,0),12),"")</f>
        <v/>
      </c>
    </row>
    <row r="1275" spans="2:3" hidden="1" x14ac:dyDescent="0.25">
      <c r="B1275" s="55" t="str">
        <f>IF(A1275&lt;&gt;"",INDEX('Base de données'!A$4:L$990,MATCH(' TVA M'!A1280,'Base de données'!A$4:A$990,0),2),"")</f>
        <v/>
      </c>
      <c r="C1275" s="55" t="str">
        <f>IF(A1275&lt;&gt;"",INDEX('Base de données'!A$4:L$990,MATCH(' TVA M'!A1280,'Base de données'!A$4:A$990,0),12),"")</f>
        <v/>
      </c>
    </row>
    <row r="1276" spans="2:3" hidden="1" x14ac:dyDescent="0.25">
      <c r="B1276" s="55" t="str">
        <f>IF(A1276&lt;&gt;"",INDEX('Base de données'!A$4:L$990,MATCH(' TVA M'!A1281,'Base de données'!A$4:A$990,0),2),"")</f>
        <v/>
      </c>
      <c r="C1276" s="55" t="str">
        <f>IF(A1276&lt;&gt;"",INDEX('Base de données'!A$4:L$990,MATCH(' TVA M'!A1281,'Base de données'!A$4:A$990,0),12),"")</f>
        <v/>
      </c>
    </row>
    <row r="1277" spans="2:3" hidden="1" x14ac:dyDescent="0.25">
      <c r="B1277" s="55" t="str">
        <f>IF(A1277&lt;&gt;"",INDEX('Base de données'!A$4:L$990,MATCH(' TVA M'!A1282,'Base de données'!A$4:A$990,0),2),"")</f>
        <v/>
      </c>
      <c r="C1277" s="55" t="str">
        <f>IF(A1277&lt;&gt;"",INDEX('Base de données'!A$4:L$990,MATCH(' TVA M'!A1282,'Base de données'!A$4:A$990,0),12),"")</f>
        <v/>
      </c>
    </row>
    <row r="1278" spans="2:3" hidden="1" x14ac:dyDescent="0.25">
      <c r="B1278" s="55" t="str">
        <f>IF(A1278&lt;&gt;"",INDEX('Base de données'!A$4:L$990,MATCH(' TVA M'!A1283,'Base de données'!A$4:A$990,0),2),"")</f>
        <v/>
      </c>
      <c r="C1278" s="55" t="str">
        <f>IF(A1278&lt;&gt;"",INDEX('Base de données'!A$4:L$990,MATCH(' TVA M'!A1283,'Base de données'!A$4:A$990,0),12),"")</f>
        <v/>
      </c>
    </row>
    <row r="1279" spans="2:3" hidden="1" x14ac:dyDescent="0.25">
      <c r="B1279" s="55" t="str">
        <f>IF(A1279&lt;&gt;"",INDEX('Base de données'!A$4:L$990,MATCH(' TVA M'!A1284,'Base de données'!A$4:A$990,0),2),"")</f>
        <v/>
      </c>
      <c r="C1279" s="55" t="str">
        <f>IF(A1279&lt;&gt;"",INDEX('Base de données'!A$4:L$990,MATCH(' TVA M'!A1284,'Base de données'!A$4:A$990,0),12),"")</f>
        <v/>
      </c>
    </row>
    <row r="1280" spans="2:3" hidden="1" x14ac:dyDescent="0.25">
      <c r="B1280" s="55" t="str">
        <f>IF(A1280&lt;&gt;"",INDEX('Base de données'!A$4:L$990,MATCH(' TVA M'!A1285,'Base de données'!A$4:A$990,0),2),"")</f>
        <v/>
      </c>
      <c r="C1280" s="55" t="str">
        <f>IF(A1280&lt;&gt;"",INDEX('Base de données'!A$4:L$990,MATCH(' TVA M'!A1285,'Base de données'!A$4:A$990,0),12),"")</f>
        <v/>
      </c>
    </row>
    <row r="1281" spans="2:3" hidden="1" x14ac:dyDescent="0.25">
      <c r="B1281" s="55" t="str">
        <f>IF(A1281&lt;&gt;"",INDEX('Base de données'!A$4:L$990,MATCH(' TVA M'!A1286,'Base de données'!A$4:A$990,0),2),"")</f>
        <v/>
      </c>
      <c r="C1281" s="55" t="str">
        <f>IF(A1281&lt;&gt;"",INDEX('Base de données'!A$4:L$990,MATCH(' TVA M'!A1286,'Base de données'!A$4:A$990,0),12),"")</f>
        <v/>
      </c>
    </row>
    <row r="1282" spans="2:3" hidden="1" x14ac:dyDescent="0.25">
      <c r="B1282" s="55" t="str">
        <f>IF(A1282&lt;&gt;"",INDEX('Base de données'!A$4:L$990,MATCH(' TVA M'!A1287,'Base de données'!A$4:A$990,0),2),"")</f>
        <v/>
      </c>
      <c r="C1282" s="55" t="str">
        <f>IF(A1282&lt;&gt;"",INDEX('Base de données'!A$4:L$990,MATCH(' TVA M'!A1287,'Base de données'!A$4:A$990,0),12),"")</f>
        <v/>
      </c>
    </row>
    <row r="1283" spans="2:3" hidden="1" x14ac:dyDescent="0.25">
      <c r="B1283" s="55" t="str">
        <f>IF(A1283&lt;&gt;"",INDEX('Base de données'!A$4:L$990,MATCH(' TVA M'!A1288,'Base de données'!A$4:A$990,0),2),"")</f>
        <v/>
      </c>
      <c r="C1283" s="55" t="str">
        <f>IF(A1283&lt;&gt;"",INDEX('Base de données'!A$4:L$990,MATCH(' TVA M'!A1288,'Base de données'!A$4:A$990,0),12),"")</f>
        <v/>
      </c>
    </row>
    <row r="1284" spans="2:3" hidden="1" x14ac:dyDescent="0.25">
      <c r="B1284" s="55" t="str">
        <f>IF(A1284&lt;&gt;"",INDEX('Base de données'!A$4:L$990,MATCH(' TVA M'!A1289,'Base de données'!A$4:A$990,0),2),"")</f>
        <v/>
      </c>
      <c r="C1284" s="55" t="str">
        <f>IF(A1284&lt;&gt;"",INDEX('Base de données'!A$4:L$990,MATCH(' TVA M'!A1289,'Base de données'!A$4:A$990,0),12),"")</f>
        <v/>
      </c>
    </row>
    <row r="1285" spans="2:3" hidden="1" x14ac:dyDescent="0.25">
      <c r="B1285" s="55" t="str">
        <f>IF(A1285&lt;&gt;"",INDEX('Base de données'!A$4:L$990,MATCH(' TVA M'!A1290,'Base de données'!A$4:A$990,0),2),"")</f>
        <v/>
      </c>
      <c r="C1285" s="55" t="str">
        <f>IF(A1285&lt;&gt;"",INDEX('Base de données'!A$4:L$990,MATCH(' TVA M'!A1290,'Base de données'!A$4:A$990,0),12),"")</f>
        <v/>
      </c>
    </row>
    <row r="1286" spans="2:3" hidden="1" x14ac:dyDescent="0.25">
      <c r="B1286" s="55" t="str">
        <f>IF(A1286&lt;&gt;"",INDEX('Base de données'!A$4:L$990,MATCH(' TVA M'!A1291,'Base de données'!A$4:A$990,0),2),"")</f>
        <v/>
      </c>
      <c r="C1286" s="55" t="str">
        <f>IF(A1286&lt;&gt;"",INDEX('Base de données'!A$4:L$990,MATCH(' TVA M'!A1291,'Base de données'!A$4:A$990,0),12),"")</f>
        <v/>
      </c>
    </row>
    <row r="1287" spans="2:3" hidden="1" x14ac:dyDescent="0.25">
      <c r="B1287" s="55" t="str">
        <f>IF(A1287&lt;&gt;"",INDEX('Base de données'!A$4:L$990,MATCH(' TVA M'!A1292,'Base de données'!A$4:A$990,0),2),"")</f>
        <v/>
      </c>
      <c r="C1287" s="55" t="str">
        <f>IF(A1287&lt;&gt;"",INDEX('Base de données'!A$4:L$990,MATCH(' TVA M'!A1292,'Base de données'!A$4:A$990,0),12),"")</f>
        <v/>
      </c>
    </row>
    <row r="1288" spans="2:3" hidden="1" x14ac:dyDescent="0.25">
      <c r="B1288" s="55" t="str">
        <f>IF(A1288&lt;&gt;"",INDEX('Base de données'!A$4:L$990,MATCH(' TVA M'!A1293,'Base de données'!A$4:A$990,0),2),"")</f>
        <v/>
      </c>
      <c r="C1288" s="55" t="str">
        <f>IF(A1288&lt;&gt;"",INDEX('Base de données'!A$4:L$990,MATCH(' TVA M'!A1293,'Base de données'!A$4:A$990,0),12),"")</f>
        <v/>
      </c>
    </row>
    <row r="1289" spans="2:3" hidden="1" x14ac:dyDescent="0.25">
      <c r="B1289" s="55" t="str">
        <f>IF(A1289&lt;&gt;"",INDEX('Base de données'!A$4:L$990,MATCH(' TVA M'!A1294,'Base de données'!A$4:A$990,0),2),"")</f>
        <v/>
      </c>
      <c r="C1289" s="55" t="str">
        <f>IF(A1289&lt;&gt;"",INDEX('Base de données'!A$4:L$990,MATCH(' TVA M'!A1294,'Base de données'!A$4:A$990,0),12),"")</f>
        <v/>
      </c>
    </row>
    <row r="1290" spans="2:3" hidden="1" x14ac:dyDescent="0.25">
      <c r="B1290" s="55" t="str">
        <f>IF(A1290&lt;&gt;"",INDEX('Base de données'!A$4:L$990,MATCH(' TVA M'!A1295,'Base de données'!A$4:A$990,0),2),"")</f>
        <v/>
      </c>
      <c r="C1290" s="55" t="str">
        <f>IF(A1290&lt;&gt;"",INDEX('Base de données'!A$4:L$990,MATCH(' TVA M'!A1295,'Base de données'!A$4:A$990,0),12),"")</f>
        <v/>
      </c>
    </row>
    <row r="1291" spans="2:3" hidden="1" x14ac:dyDescent="0.25">
      <c r="B1291" s="55" t="str">
        <f>IF(A1291&lt;&gt;"",INDEX('Base de données'!A$4:L$990,MATCH(' TVA M'!A1296,'Base de données'!A$4:A$990,0),2),"")</f>
        <v/>
      </c>
      <c r="C1291" s="55" t="str">
        <f>IF(A1291&lt;&gt;"",INDEX('Base de données'!A$4:L$990,MATCH(' TVA M'!A1296,'Base de données'!A$4:A$990,0),12),"")</f>
        <v/>
      </c>
    </row>
    <row r="1292" spans="2:3" hidden="1" x14ac:dyDescent="0.25">
      <c r="B1292" s="55" t="str">
        <f>IF(A1292&lt;&gt;"",INDEX('Base de données'!A$4:L$990,MATCH(' TVA M'!A1297,'Base de données'!A$4:A$990,0),2),"")</f>
        <v/>
      </c>
      <c r="C1292" s="55" t="str">
        <f>IF(A1292&lt;&gt;"",INDEX('Base de données'!A$4:L$990,MATCH(' TVA M'!A1297,'Base de données'!A$4:A$990,0),12),"")</f>
        <v/>
      </c>
    </row>
    <row r="1293" spans="2:3" hidden="1" x14ac:dyDescent="0.25">
      <c r="B1293" s="55" t="str">
        <f>IF(A1293&lt;&gt;"",INDEX('Base de données'!A$4:L$990,MATCH(' TVA M'!A1298,'Base de données'!A$4:A$990,0),2),"")</f>
        <v/>
      </c>
      <c r="C1293" s="55" t="str">
        <f>IF(A1293&lt;&gt;"",INDEX('Base de données'!A$4:L$990,MATCH(' TVA M'!A1298,'Base de données'!A$4:A$990,0),12),"")</f>
        <v/>
      </c>
    </row>
    <row r="1294" spans="2:3" hidden="1" x14ac:dyDescent="0.25">
      <c r="B1294" s="55" t="str">
        <f>IF(A1294&lt;&gt;"",INDEX('Base de données'!A$4:L$990,MATCH(' TVA M'!A1299,'Base de données'!A$4:A$990,0),2),"")</f>
        <v/>
      </c>
      <c r="C1294" s="55" t="str">
        <f>IF(A1294&lt;&gt;"",INDEX('Base de données'!A$4:L$990,MATCH(' TVA M'!A1299,'Base de données'!A$4:A$990,0),12),"")</f>
        <v/>
      </c>
    </row>
    <row r="1295" spans="2:3" hidden="1" x14ac:dyDescent="0.25">
      <c r="B1295" s="55" t="str">
        <f>IF(A1295&lt;&gt;"",INDEX('Base de données'!A$4:L$990,MATCH(' TVA M'!A1300,'Base de données'!A$4:A$990,0),2),"")</f>
        <v/>
      </c>
      <c r="C1295" s="55" t="str">
        <f>IF(A1295&lt;&gt;"",INDEX('Base de données'!A$4:L$990,MATCH(' TVA M'!A1300,'Base de données'!A$4:A$990,0),12),"")</f>
        <v/>
      </c>
    </row>
    <row r="1296" spans="2:3" hidden="1" x14ac:dyDescent="0.25">
      <c r="B1296" s="55" t="str">
        <f>IF(A1296&lt;&gt;"",INDEX('Base de données'!A$4:L$990,MATCH(' TVA M'!A1301,'Base de données'!A$4:A$990,0),2),"")</f>
        <v/>
      </c>
      <c r="C1296" s="55" t="str">
        <f>IF(A1296&lt;&gt;"",INDEX('Base de données'!A$4:L$990,MATCH(' TVA M'!A1301,'Base de données'!A$4:A$990,0),12),"")</f>
        <v/>
      </c>
    </row>
    <row r="1297" spans="2:3" hidden="1" x14ac:dyDescent="0.25">
      <c r="B1297" s="55" t="str">
        <f>IF(A1297&lt;&gt;"",INDEX('Base de données'!A$4:L$990,MATCH(' TVA M'!A1302,'Base de données'!A$4:A$990,0),2),"")</f>
        <v/>
      </c>
      <c r="C1297" s="55" t="str">
        <f>IF(A1297&lt;&gt;"",INDEX('Base de données'!A$4:L$990,MATCH(' TVA M'!A1302,'Base de données'!A$4:A$990,0),12),"")</f>
        <v/>
      </c>
    </row>
    <row r="1298" spans="2:3" hidden="1" x14ac:dyDescent="0.25">
      <c r="B1298" s="55" t="str">
        <f>IF(A1298&lt;&gt;"",INDEX('Base de données'!A$4:L$990,MATCH(' TVA M'!A1303,'Base de données'!A$4:A$990,0),2),"")</f>
        <v/>
      </c>
      <c r="C1298" s="55" t="str">
        <f>IF(A1298&lt;&gt;"",INDEX('Base de données'!A$4:L$990,MATCH(' TVA M'!A1303,'Base de données'!A$4:A$990,0),12),"")</f>
        <v/>
      </c>
    </row>
    <row r="1299" spans="2:3" hidden="1" x14ac:dyDescent="0.25">
      <c r="B1299" s="55" t="str">
        <f>IF(A1299&lt;&gt;"",INDEX('Base de données'!A$4:L$990,MATCH(' TVA M'!A1304,'Base de données'!A$4:A$990,0),2),"")</f>
        <v/>
      </c>
      <c r="C1299" s="55" t="str">
        <f>IF(A1299&lt;&gt;"",INDEX('Base de données'!A$4:L$990,MATCH(' TVA M'!A1304,'Base de données'!A$4:A$990,0),12),"")</f>
        <v/>
      </c>
    </row>
    <row r="1300" spans="2:3" hidden="1" x14ac:dyDescent="0.25">
      <c r="B1300" s="55" t="str">
        <f>IF(A1300&lt;&gt;"",INDEX('Base de données'!A$4:L$990,MATCH(' TVA M'!A1305,'Base de données'!A$4:A$990,0),2),"")</f>
        <v/>
      </c>
      <c r="C1300" s="55" t="str">
        <f>IF(A1300&lt;&gt;"",INDEX('Base de données'!A$4:L$990,MATCH(' TVA M'!A1305,'Base de données'!A$4:A$990,0),12),"")</f>
        <v/>
      </c>
    </row>
    <row r="1301" spans="2:3" hidden="1" x14ac:dyDescent="0.25">
      <c r="B1301" s="55" t="str">
        <f>IF(A1301&lt;&gt;"",INDEX('Base de données'!A$4:L$990,MATCH(' TVA M'!A1306,'Base de données'!A$4:A$990,0),2),"")</f>
        <v/>
      </c>
      <c r="C1301" s="55" t="str">
        <f>IF(A1301&lt;&gt;"",INDEX('Base de données'!A$4:L$990,MATCH(' TVA M'!A1306,'Base de données'!A$4:A$990,0),12),"")</f>
        <v/>
      </c>
    </row>
    <row r="1302" spans="2:3" hidden="1" x14ac:dyDescent="0.25">
      <c r="B1302" s="55" t="str">
        <f>IF(A1302&lt;&gt;"",INDEX('Base de données'!A$4:L$990,MATCH(' TVA M'!A1307,'Base de données'!A$4:A$990,0),2),"")</f>
        <v/>
      </c>
      <c r="C1302" s="55" t="str">
        <f>IF(A1302&lt;&gt;"",INDEX('Base de données'!A$4:L$990,MATCH(' TVA M'!A1307,'Base de données'!A$4:A$990,0),12),"")</f>
        <v/>
      </c>
    </row>
    <row r="1303" spans="2:3" hidden="1" x14ac:dyDescent="0.25">
      <c r="B1303" s="55" t="str">
        <f>IF(A1303&lt;&gt;"",INDEX('Base de données'!A$4:L$990,MATCH(' TVA M'!A1308,'Base de données'!A$4:A$990,0),2),"")</f>
        <v/>
      </c>
      <c r="C1303" s="55" t="str">
        <f>IF(A1303&lt;&gt;"",INDEX('Base de données'!A$4:L$990,MATCH(' TVA M'!A1308,'Base de données'!A$4:A$990,0),12),"")</f>
        <v/>
      </c>
    </row>
    <row r="1304" spans="2:3" hidden="1" x14ac:dyDescent="0.25">
      <c r="B1304" s="55" t="str">
        <f>IF(A1304&lt;&gt;"",INDEX('Base de données'!A$4:L$990,MATCH(' TVA M'!A1309,'Base de données'!A$4:A$990,0),2),"")</f>
        <v/>
      </c>
      <c r="C1304" s="55" t="str">
        <f>IF(A1304&lt;&gt;"",INDEX('Base de données'!A$4:L$990,MATCH(' TVA M'!A1309,'Base de données'!A$4:A$990,0),12),"")</f>
        <v/>
      </c>
    </row>
    <row r="1305" spans="2:3" hidden="1" x14ac:dyDescent="0.25">
      <c r="B1305" s="55" t="str">
        <f>IF(A1305&lt;&gt;"",INDEX('Base de données'!A$4:L$990,MATCH(' TVA M'!A1310,'Base de données'!A$4:A$990,0),2),"")</f>
        <v/>
      </c>
      <c r="C1305" s="55" t="str">
        <f>IF(A1305&lt;&gt;"",INDEX('Base de données'!A$4:L$990,MATCH(' TVA M'!A1310,'Base de données'!A$4:A$990,0),12),"")</f>
        <v/>
      </c>
    </row>
    <row r="1306" spans="2:3" hidden="1" x14ac:dyDescent="0.25">
      <c r="B1306" s="55" t="str">
        <f>IF(A1306&lt;&gt;"",INDEX('Base de données'!A$4:L$990,MATCH(' TVA M'!A1311,'Base de données'!A$4:A$990,0),2),"")</f>
        <v/>
      </c>
      <c r="C1306" s="55" t="str">
        <f>IF(A1306&lt;&gt;"",INDEX('Base de données'!A$4:L$990,MATCH(' TVA M'!A1311,'Base de données'!A$4:A$990,0),12),"")</f>
        <v/>
      </c>
    </row>
    <row r="1307" spans="2:3" hidden="1" x14ac:dyDescent="0.25">
      <c r="B1307" s="55" t="str">
        <f>IF(A1307&lt;&gt;"",INDEX('Base de données'!A$4:L$990,MATCH(' TVA M'!A1312,'Base de données'!A$4:A$990,0),2),"")</f>
        <v/>
      </c>
      <c r="C1307" s="55" t="str">
        <f>IF(A1307&lt;&gt;"",INDEX('Base de données'!A$4:L$990,MATCH(' TVA M'!A1312,'Base de données'!A$4:A$990,0),12),"")</f>
        <v/>
      </c>
    </row>
    <row r="1308" spans="2:3" hidden="1" x14ac:dyDescent="0.25">
      <c r="B1308" s="55" t="str">
        <f>IF(A1308&lt;&gt;"",INDEX('Base de données'!A$4:L$990,MATCH(' TVA M'!A1313,'Base de données'!A$4:A$990,0),2),"")</f>
        <v/>
      </c>
      <c r="C1308" s="55" t="str">
        <f>IF(A1308&lt;&gt;"",INDEX('Base de données'!A$4:L$990,MATCH(' TVA M'!A1313,'Base de données'!A$4:A$990,0),12),"")</f>
        <v/>
      </c>
    </row>
    <row r="1309" spans="2:3" hidden="1" x14ac:dyDescent="0.25">
      <c r="B1309" s="55" t="str">
        <f>IF(A1309&lt;&gt;"",INDEX('Base de données'!A$4:L$990,MATCH(' TVA M'!A1314,'Base de données'!A$4:A$990,0),2),"")</f>
        <v/>
      </c>
      <c r="C1309" s="55" t="str">
        <f>IF(A1309&lt;&gt;"",INDEX('Base de données'!A$4:L$990,MATCH(' TVA M'!A1314,'Base de données'!A$4:A$990,0),12),"")</f>
        <v/>
      </c>
    </row>
    <row r="1310" spans="2:3" hidden="1" x14ac:dyDescent="0.25">
      <c r="B1310" s="55" t="str">
        <f>IF(A1310&lt;&gt;"",INDEX('Base de données'!A$4:L$990,MATCH(' TVA M'!A1315,'Base de données'!A$4:A$990,0),2),"")</f>
        <v/>
      </c>
      <c r="C1310" s="55" t="str">
        <f>IF(A1310&lt;&gt;"",INDEX('Base de données'!A$4:L$990,MATCH(' TVA M'!A1315,'Base de données'!A$4:A$990,0),12),"")</f>
        <v/>
      </c>
    </row>
    <row r="1311" spans="2:3" hidden="1" x14ac:dyDescent="0.25">
      <c r="B1311" s="55" t="str">
        <f>IF(A1311&lt;&gt;"",INDEX('Base de données'!A$4:L$990,MATCH(' TVA M'!A1316,'Base de données'!A$4:A$990,0),2),"")</f>
        <v/>
      </c>
      <c r="C1311" s="55" t="str">
        <f>IF(A1311&lt;&gt;"",INDEX('Base de données'!A$4:L$990,MATCH(' TVA M'!A1316,'Base de données'!A$4:A$990,0),12),"")</f>
        <v/>
      </c>
    </row>
    <row r="1312" spans="2:3" hidden="1" x14ac:dyDescent="0.25">
      <c r="B1312" s="55" t="str">
        <f>IF(A1312&lt;&gt;"",INDEX('Base de données'!A$4:L$990,MATCH(' TVA M'!A1317,'Base de données'!A$4:A$990,0),2),"")</f>
        <v/>
      </c>
      <c r="C1312" s="55" t="str">
        <f>IF(A1312&lt;&gt;"",INDEX('Base de données'!A$4:L$990,MATCH(' TVA M'!A1317,'Base de données'!A$4:A$990,0),12),"")</f>
        <v/>
      </c>
    </row>
    <row r="1313" spans="2:3" hidden="1" x14ac:dyDescent="0.25">
      <c r="B1313" s="55" t="str">
        <f>IF(A1313&lt;&gt;"",INDEX('Base de données'!A$4:L$990,MATCH(' TVA M'!A1318,'Base de données'!A$4:A$990,0),2),"")</f>
        <v/>
      </c>
      <c r="C1313" s="55" t="str">
        <f>IF(A1313&lt;&gt;"",INDEX('Base de données'!A$4:L$990,MATCH(' TVA M'!A1318,'Base de données'!A$4:A$990,0),12),"")</f>
        <v/>
      </c>
    </row>
    <row r="1314" spans="2:3" hidden="1" x14ac:dyDescent="0.25">
      <c r="B1314" s="55" t="str">
        <f>IF(A1314&lt;&gt;"",INDEX('Base de données'!A$4:L$990,MATCH(' TVA M'!A1319,'Base de données'!A$4:A$990,0),2),"")</f>
        <v/>
      </c>
      <c r="C1314" s="55" t="str">
        <f>IF(A1314&lt;&gt;"",INDEX('Base de données'!A$4:L$990,MATCH(' TVA M'!A1319,'Base de données'!A$4:A$990,0),12),"")</f>
        <v/>
      </c>
    </row>
    <row r="1315" spans="2:3" hidden="1" x14ac:dyDescent="0.25">
      <c r="B1315" s="55" t="str">
        <f>IF(A1315&lt;&gt;"",INDEX('Base de données'!A$4:L$990,MATCH(' TVA M'!A1320,'Base de données'!A$4:A$990,0),2),"")</f>
        <v/>
      </c>
      <c r="C1315" s="55" t="str">
        <f>IF(A1315&lt;&gt;"",INDEX('Base de données'!A$4:L$990,MATCH(' TVA M'!A1320,'Base de données'!A$4:A$990,0),12),"")</f>
        <v/>
      </c>
    </row>
    <row r="1316" spans="2:3" hidden="1" x14ac:dyDescent="0.25">
      <c r="B1316" s="55" t="str">
        <f>IF(A1316&lt;&gt;"",INDEX('Base de données'!A$4:L$990,MATCH(' TVA M'!A1321,'Base de données'!A$4:A$990,0),2),"")</f>
        <v/>
      </c>
      <c r="C1316" s="55" t="str">
        <f>IF(A1316&lt;&gt;"",INDEX('Base de données'!A$4:L$990,MATCH(' TVA M'!A1321,'Base de données'!A$4:A$990,0),12),"")</f>
        <v/>
      </c>
    </row>
    <row r="1317" spans="2:3" hidden="1" x14ac:dyDescent="0.25">
      <c r="B1317" s="55" t="str">
        <f>IF(A1317&lt;&gt;"",INDEX('Base de données'!A$4:L$990,MATCH(' TVA M'!A1322,'Base de données'!A$4:A$990,0),2),"")</f>
        <v/>
      </c>
      <c r="C1317" s="55" t="str">
        <f>IF(A1317&lt;&gt;"",INDEX('Base de données'!A$4:L$990,MATCH(' TVA M'!A1322,'Base de données'!A$4:A$990,0),12),"")</f>
        <v/>
      </c>
    </row>
    <row r="1318" spans="2:3" hidden="1" x14ac:dyDescent="0.25">
      <c r="B1318" s="55" t="str">
        <f>IF(A1318&lt;&gt;"",INDEX('Base de données'!A$4:L$990,MATCH(' TVA M'!A1323,'Base de données'!A$4:A$990,0),2),"")</f>
        <v/>
      </c>
      <c r="C1318" s="55" t="str">
        <f>IF(A1318&lt;&gt;"",INDEX('Base de données'!A$4:L$990,MATCH(' TVA M'!A1323,'Base de données'!A$4:A$990,0),12),"")</f>
        <v/>
      </c>
    </row>
    <row r="1319" spans="2:3" hidden="1" x14ac:dyDescent="0.25">
      <c r="B1319" s="55" t="str">
        <f>IF(A1319&lt;&gt;"",INDEX('Base de données'!A$4:L$990,MATCH(' TVA M'!A1324,'Base de données'!A$4:A$990,0),2),"")</f>
        <v/>
      </c>
      <c r="C1319" s="55" t="str">
        <f>IF(A1319&lt;&gt;"",INDEX('Base de données'!A$4:L$990,MATCH(' TVA M'!A1324,'Base de données'!A$4:A$990,0),12),"")</f>
        <v/>
      </c>
    </row>
    <row r="1320" spans="2:3" hidden="1" x14ac:dyDescent="0.25">
      <c r="B1320" s="55" t="str">
        <f>IF(A1320&lt;&gt;"",INDEX('Base de données'!A$4:L$990,MATCH(' TVA M'!A1325,'Base de données'!A$4:A$990,0),2),"")</f>
        <v/>
      </c>
      <c r="C1320" s="55" t="str">
        <f>IF(A1320&lt;&gt;"",INDEX('Base de données'!A$4:L$990,MATCH(' TVA M'!A1325,'Base de données'!A$4:A$990,0),12),"")</f>
        <v/>
      </c>
    </row>
    <row r="1321" spans="2:3" hidden="1" x14ac:dyDescent="0.25">
      <c r="B1321" s="55" t="str">
        <f>IF(A1321&lt;&gt;"",INDEX('Base de données'!A$4:L$990,MATCH(' TVA M'!A1326,'Base de données'!A$4:A$990,0),2),"")</f>
        <v/>
      </c>
      <c r="C1321" s="55" t="str">
        <f>IF(A1321&lt;&gt;"",INDEX('Base de données'!A$4:L$990,MATCH(' TVA M'!A1326,'Base de données'!A$4:A$990,0),12),"")</f>
        <v/>
      </c>
    </row>
    <row r="1322" spans="2:3" hidden="1" x14ac:dyDescent="0.25">
      <c r="B1322" s="55" t="str">
        <f>IF(A1322&lt;&gt;"",INDEX('Base de données'!A$4:L$990,MATCH(' TVA M'!A1327,'Base de données'!A$4:A$990,0),2),"")</f>
        <v/>
      </c>
      <c r="C1322" s="55" t="str">
        <f>IF(A1322&lt;&gt;"",INDEX('Base de données'!A$4:L$990,MATCH(' TVA M'!A1327,'Base de données'!A$4:A$990,0),12),"")</f>
        <v/>
      </c>
    </row>
    <row r="1323" spans="2:3" hidden="1" x14ac:dyDescent="0.25">
      <c r="B1323" s="55" t="str">
        <f>IF(A1323&lt;&gt;"",INDEX('Base de données'!A$4:L$990,MATCH(' TVA M'!A1328,'Base de données'!A$4:A$990,0),2),"")</f>
        <v/>
      </c>
      <c r="C1323" s="55" t="str">
        <f>IF(A1323&lt;&gt;"",INDEX('Base de données'!A$4:L$990,MATCH(' TVA M'!A1328,'Base de données'!A$4:A$990,0),12),"")</f>
        <v/>
      </c>
    </row>
    <row r="1324" spans="2:3" hidden="1" x14ac:dyDescent="0.25">
      <c r="B1324" s="55" t="str">
        <f>IF(A1324&lt;&gt;"",INDEX('Base de données'!A$4:L$990,MATCH(' TVA M'!A1329,'Base de données'!A$4:A$990,0),2),"")</f>
        <v/>
      </c>
      <c r="C1324" s="55" t="str">
        <f>IF(A1324&lt;&gt;"",INDEX('Base de données'!A$4:L$990,MATCH(' TVA M'!A1329,'Base de données'!A$4:A$990,0),12),"")</f>
        <v/>
      </c>
    </row>
    <row r="1325" spans="2:3" hidden="1" x14ac:dyDescent="0.25">
      <c r="B1325" s="55" t="str">
        <f>IF(A1325&lt;&gt;"",INDEX('Base de données'!A$4:L$990,MATCH(' TVA M'!A1330,'Base de données'!A$4:A$990,0),2),"")</f>
        <v/>
      </c>
      <c r="C1325" s="55" t="str">
        <f>IF(A1325&lt;&gt;"",INDEX('Base de données'!A$4:L$990,MATCH(' TVA M'!A1330,'Base de données'!A$4:A$990,0),12),"")</f>
        <v/>
      </c>
    </row>
    <row r="1326" spans="2:3" hidden="1" x14ac:dyDescent="0.25">
      <c r="B1326" s="55" t="str">
        <f>IF(A1326&lt;&gt;"",INDEX('Base de données'!A$4:L$990,MATCH(' TVA M'!A1331,'Base de données'!A$4:A$990,0),2),"")</f>
        <v/>
      </c>
      <c r="C1326" s="55" t="str">
        <f>IF(A1326&lt;&gt;"",INDEX('Base de données'!A$4:L$990,MATCH(' TVA M'!A1331,'Base de données'!A$4:A$990,0),12),"")</f>
        <v/>
      </c>
    </row>
    <row r="1327" spans="2:3" hidden="1" x14ac:dyDescent="0.25">
      <c r="B1327" s="55" t="str">
        <f>IF(A1327&lt;&gt;"",INDEX('Base de données'!A$4:L$990,MATCH(' TVA M'!A1332,'Base de données'!A$4:A$990,0),2),"")</f>
        <v/>
      </c>
      <c r="C1327" s="55" t="str">
        <f>IF(A1327&lt;&gt;"",INDEX('Base de données'!A$4:L$990,MATCH(' TVA M'!A1332,'Base de données'!A$4:A$990,0),12),"")</f>
        <v/>
      </c>
    </row>
    <row r="1328" spans="2:3" hidden="1" x14ac:dyDescent="0.25">
      <c r="B1328" s="55" t="str">
        <f>IF(A1328&lt;&gt;"",INDEX('Base de données'!A$4:L$990,MATCH(' TVA M'!A1333,'Base de données'!A$4:A$990,0),2),"")</f>
        <v/>
      </c>
      <c r="C1328" s="55" t="str">
        <f>IF(A1328&lt;&gt;"",INDEX('Base de données'!A$4:L$990,MATCH(' TVA M'!A1333,'Base de données'!A$4:A$990,0),12),"")</f>
        <v/>
      </c>
    </row>
    <row r="1329" spans="2:3" hidden="1" x14ac:dyDescent="0.25">
      <c r="B1329" s="55" t="str">
        <f>IF(A1329&lt;&gt;"",INDEX('Base de données'!A$4:L$990,MATCH(' TVA M'!A1334,'Base de données'!A$4:A$990,0),2),"")</f>
        <v/>
      </c>
      <c r="C1329" s="55" t="str">
        <f>IF(A1329&lt;&gt;"",INDEX('Base de données'!A$4:L$990,MATCH(' TVA M'!A1334,'Base de données'!A$4:A$990,0),12),"")</f>
        <v/>
      </c>
    </row>
    <row r="1330" spans="2:3" hidden="1" x14ac:dyDescent="0.25">
      <c r="B1330" s="55" t="str">
        <f>IF(A1330&lt;&gt;"",INDEX('Base de données'!A$4:L$990,MATCH(' TVA M'!A1335,'Base de données'!A$4:A$990,0),2),"")</f>
        <v/>
      </c>
      <c r="C1330" s="55" t="str">
        <f>IF(A1330&lt;&gt;"",INDEX('Base de données'!A$4:L$990,MATCH(' TVA M'!A1335,'Base de données'!A$4:A$990,0),12),"")</f>
        <v/>
      </c>
    </row>
    <row r="1331" spans="2:3" hidden="1" x14ac:dyDescent="0.25">
      <c r="B1331" s="55" t="str">
        <f>IF(A1331&lt;&gt;"",INDEX('Base de données'!A$4:L$990,MATCH(' TVA M'!A1336,'Base de données'!A$4:A$990,0),2),"")</f>
        <v/>
      </c>
      <c r="C1331" s="55" t="str">
        <f>IF(A1331&lt;&gt;"",INDEX('Base de données'!A$4:L$990,MATCH(' TVA M'!A1336,'Base de données'!A$4:A$990,0),12),"")</f>
        <v/>
      </c>
    </row>
    <row r="1332" spans="2:3" hidden="1" x14ac:dyDescent="0.25">
      <c r="B1332" s="55" t="str">
        <f>IF(A1332&lt;&gt;"",INDEX('Base de données'!A$4:L$990,MATCH(' TVA M'!A1337,'Base de données'!A$4:A$990,0),2),"")</f>
        <v/>
      </c>
      <c r="C1332" s="55" t="str">
        <f>IF(A1332&lt;&gt;"",INDEX('Base de données'!A$4:L$990,MATCH(' TVA M'!A1337,'Base de données'!A$4:A$990,0),12),"")</f>
        <v/>
      </c>
    </row>
    <row r="1333" spans="2:3" hidden="1" x14ac:dyDescent="0.25">
      <c r="B1333" s="55" t="str">
        <f>IF(A1333&lt;&gt;"",INDEX('Base de données'!A$4:L$990,MATCH(' TVA M'!A1338,'Base de données'!A$4:A$990,0),2),"")</f>
        <v/>
      </c>
      <c r="C1333" s="55" t="str">
        <f>IF(A1333&lt;&gt;"",INDEX('Base de données'!A$4:L$990,MATCH(' TVA M'!A1338,'Base de données'!A$4:A$990,0),12),"")</f>
        <v/>
      </c>
    </row>
    <row r="1334" spans="2:3" hidden="1" x14ac:dyDescent="0.25">
      <c r="B1334" s="55" t="str">
        <f>IF(A1334&lt;&gt;"",INDEX('Base de données'!A$4:L$990,MATCH(' TVA M'!A1339,'Base de données'!A$4:A$990,0),2),"")</f>
        <v/>
      </c>
      <c r="C1334" s="55" t="str">
        <f>IF(A1334&lt;&gt;"",INDEX('Base de données'!A$4:L$990,MATCH(' TVA M'!A1339,'Base de données'!A$4:A$990,0),12),"")</f>
        <v/>
      </c>
    </row>
    <row r="1335" spans="2:3" hidden="1" x14ac:dyDescent="0.25">
      <c r="B1335" s="55" t="str">
        <f>IF(A1335&lt;&gt;"",INDEX('Base de données'!A$4:L$990,MATCH(' TVA M'!A1340,'Base de données'!A$4:A$990,0),2),"")</f>
        <v/>
      </c>
      <c r="C1335" s="55" t="str">
        <f>IF(A1335&lt;&gt;"",INDEX('Base de données'!A$4:L$990,MATCH(' TVA M'!A1340,'Base de données'!A$4:A$990,0),12),"")</f>
        <v/>
      </c>
    </row>
    <row r="1336" spans="2:3" hidden="1" x14ac:dyDescent="0.25">
      <c r="B1336" s="55" t="str">
        <f>IF(A1336&lt;&gt;"",INDEX('Base de données'!A$4:L$990,MATCH(' TVA M'!A1341,'Base de données'!A$4:A$990,0),2),"")</f>
        <v/>
      </c>
      <c r="C1336" s="55" t="str">
        <f>IF(A1336&lt;&gt;"",INDEX('Base de données'!A$4:L$990,MATCH(' TVA M'!A1341,'Base de données'!A$4:A$990,0),12),"")</f>
        <v/>
      </c>
    </row>
    <row r="1337" spans="2:3" hidden="1" x14ac:dyDescent="0.25">
      <c r="B1337" s="55" t="str">
        <f>IF(A1337&lt;&gt;"",INDEX('Base de données'!A$4:L$990,MATCH(' TVA M'!A1342,'Base de données'!A$4:A$990,0),2),"")</f>
        <v/>
      </c>
      <c r="C1337" s="55" t="str">
        <f>IF(A1337&lt;&gt;"",INDEX('Base de données'!A$4:L$990,MATCH(' TVA M'!A1342,'Base de données'!A$4:A$990,0),12),"")</f>
        <v/>
      </c>
    </row>
    <row r="1338" spans="2:3" hidden="1" x14ac:dyDescent="0.25">
      <c r="B1338" s="55" t="str">
        <f>IF(A1338&lt;&gt;"",INDEX('Base de données'!A$4:L$990,MATCH(' TVA M'!A1343,'Base de données'!A$4:A$990,0),2),"")</f>
        <v/>
      </c>
      <c r="C1338" s="55" t="str">
        <f>IF(A1338&lt;&gt;"",INDEX('Base de données'!A$4:L$990,MATCH(' TVA M'!A1343,'Base de données'!A$4:A$990,0),12),"")</f>
        <v/>
      </c>
    </row>
    <row r="1339" spans="2:3" hidden="1" x14ac:dyDescent="0.25">
      <c r="B1339" s="55" t="str">
        <f>IF(A1339&lt;&gt;"",INDEX('Base de données'!A$4:L$990,MATCH(' TVA M'!A1344,'Base de données'!A$4:A$990,0),2),"")</f>
        <v/>
      </c>
      <c r="C1339" s="55" t="str">
        <f>IF(A1339&lt;&gt;"",INDEX('Base de données'!A$4:L$990,MATCH(' TVA M'!A1344,'Base de données'!A$4:A$990,0),12),"")</f>
        <v/>
      </c>
    </row>
    <row r="1340" spans="2:3" hidden="1" x14ac:dyDescent="0.25">
      <c r="B1340" s="55" t="str">
        <f>IF(A1340&lt;&gt;"",INDEX('Base de données'!A$4:L$990,MATCH(' TVA M'!A1345,'Base de données'!A$4:A$990,0),2),"")</f>
        <v/>
      </c>
      <c r="C1340" s="55" t="str">
        <f>IF(A1340&lt;&gt;"",INDEX('Base de données'!A$4:L$990,MATCH(' TVA M'!A1345,'Base de données'!A$4:A$990,0),12),"")</f>
        <v/>
      </c>
    </row>
    <row r="1341" spans="2:3" hidden="1" x14ac:dyDescent="0.25">
      <c r="B1341" s="55" t="str">
        <f>IF(A1341&lt;&gt;"",INDEX('Base de données'!A$4:L$990,MATCH(' TVA M'!A1346,'Base de données'!A$4:A$990,0),2),"")</f>
        <v/>
      </c>
      <c r="C1341" s="55" t="str">
        <f>IF(A1341&lt;&gt;"",INDEX('Base de données'!A$4:L$990,MATCH(' TVA M'!A1346,'Base de données'!A$4:A$990,0),12),"")</f>
        <v/>
      </c>
    </row>
    <row r="1342" spans="2:3" hidden="1" x14ac:dyDescent="0.25">
      <c r="B1342" s="55" t="str">
        <f>IF(A1342&lt;&gt;"",INDEX('Base de données'!A$4:L$990,MATCH(' TVA M'!A1347,'Base de données'!A$4:A$990,0),2),"")</f>
        <v/>
      </c>
      <c r="C1342" s="55" t="str">
        <f>IF(A1342&lt;&gt;"",INDEX('Base de données'!A$4:L$990,MATCH(' TVA M'!A1347,'Base de données'!A$4:A$990,0),12),"")</f>
        <v/>
      </c>
    </row>
    <row r="1343" spans="2:3" hidden="1" x14ac:dyDescent="0.25">
      <c r="B1343" s="55" t="str">
        <f>IF(A1343&lt;&gt;"",INDEX('Base de données'!A$4:L$990,MATCH(' TVA M'!A1348,'Base de données'!A$4:A$990,0),2),"")</f>
        <v/>
      </c>
      <c r="C1343" s="55" t="str">
        <f>IF(A1343&lt;&gt;"",INDEX('Base de données'!A$4:L$990,MATCH(' TVA M'!A1348,'Base de données'!A$4:A$990,0),12),"")</f>
        <v/>
      </c>
    </row>
    <row r="1344" spans="2:3" hidden="1" x14ac:dyDescent="0.25">
      <c r="B1344" s="55" t="str">
        <f>IF(A1344&lt;&gt;"",INDEX('Base de données'!A$4:L$990,MATCH(' TVA M'!A1349,'Base de données'!A$4:A$990,0),2),"")</f>
        <v/>
      </c>
      <c r="C1344" s="55" t="str">
        <f>IF(A1344&lt;&gt;"",INDEX('Base de données'!A$4:L$990,MATCH(' TVA M'!A1349,'Base de données'!A$4:A$990,0),12),"")</f>
        <v/>
      </c>
    </row>
    <row r="1345" spans="2:3" hidden="1" x14ac:dyDescent="0.25">
      <c r="B1345" s="55" t="str">
        <f>IF(A1345&lt;&gt;"",INDEX('Base de données'!A$4:L$990,MATCH(' TVA M'!A1350,'Base de données'!A$4:A$990,0),2),"")</f>
        <v/>
      </c>
      <c r="C1345" s="55" t="str">
        <f>IF(A1345&lt;&gt;"",INDEX('Base de données'!A$4:L$990,MATCH(' TVA M'!A1350,'Base de données'!A$4:A$990,0),12),"")</f>
        <v/>
      </c>
    </row>
    <row r="1346" spans="2:3" hidden="1" x14ac:dyDescent="0.25">
      <c r="B1346" s="55" t="str">
        <f>IF(A1346&lt;&gt;"",INDEX('Base de données'!A$4:L$990,MATCH(' TVA M'!A1351,'Base de données'!A$4:A$990,0),2),"")</f>
        <v/>
      </c>
      <c r="C1346" s="55" t="str">
        <f>IF(A1346&lt;&gt;"",INDEX('Base de données'!A$4:L$990,MATCH(' TVA M'!A1351,'Base de données'!A$4:A$990,0),12),"")</f>
        <v/>
      </c>
    </row>
    <row r="1347" spans="2:3" hidden="1" x14ac:dyDescent="0.25">
      <c r="B1347" s="55" t="str">
        <f>IF(A1347&lt;&gt;"",INDEX('Base de données'!A$4:L$990,MATCH(' TVA M'!A1352,'Base de données'!A$4:A$990,0),2),"")</f>
        <v/>
      </c>
      <c r="C1347" s="55" t="str">
        <f>IF(A1347&lt;&gt;"",INDEX('Base de données'!A$4:L$990,MATCH(' TVA M'!A1352,'Base de données'!A$4:A$990,0),12),"")</f>
        <v/>
      </c>
    </row>
    <row r="1348" spans="2:3" hidden="1" x14ac:dyDescent="0.25">
      <c r="B1348" s="55" t="str">
        <f>IF(A1348&lt;&gt;"",INDEX('Base de données'!A$4:L$990,MATCH(' TVA M'!A1353,'Base de données'!A$4:A$990,0),2),"")</f>
        <v/>
      </c>
      <c r="C1348" s="55" t="str">
        <f>IF(A1348&lt;&gt;"",INDEX('Base de données'!A$4:L$990,MATCH(' TVA M'!A1353,'Base de données'!A$4:A$990,0),12),"")</f>
        <v/>
      </c>
    </row>
    <row r="1349" spans="2:3" hidden="1" x14ac:dyDescent="0.25">
      <c r="B1349" s="55" t="str">
        <f>IF(A1349&lt;&gt;"",INDEX('Base de données'!A$4:L$990,MATCH(' TVA M'!A1354,'Base de données'!A$4:A$990,0),2),"")</f>
        <v/>
      </c>
      <c r="C1349" s="55" t="str">
        <f>IF(A1349&lt;&gt;"",INDEX('Base de données'!A$4:L$990,MATCH(' TVA M'!A1354,'Base de données'!A$4:A$990,0),12),"")</f>
        <v/>
      </c>
    </row>
    <row r="1350" spans="2:3" hidden="1" x14ac:dyDescent="0.25">
      <c r="B1350" s="55" t="str">
        <f>IF(A1350&lt;&gt;"",INDEX('Base de données'!A$4:L$990,MATCH(' TVA M'!A1355,'Base de données'!A$4:A$990,0),2),"")</f>
        <v/>
      </c>
      <c r="C1350" s="55" t="str">
        <f>IF(A1350&lt;&gt;"",INDEX('Base de données'!A$4:L$990,MATCH(' TVA M'!A1355,'Base de données'!A$4:A$990,0),12),"")</f>
        <v/>
      </c>
    </row>
    <row r="1351" spans="2:3" hidden="1" x14ac:dyDescent="0.25">
      <c r="B1351" s="55" t="str">
        <f>IF(A1351&lt;&gt;"",INDEX('Base de données'!A$4:L$990,MATCH(' TVA M'!A1356,'Base de données'!A$4:A$990,0),2),"")</f>
        <v/>
      </c>
      <c r="C1351" s="55" t="str">
        <f>IF(A1351&lt;&gt;"",INDEX('Base de données'!A$4:L$990,MATCH(' TVA M'!A1356,'Base de données'!A$4:A$990,0),12),"")</f>
        <v/>
      </c>
    </row>
    <row r="1352" spans="2:3" hidden="1" x14ac:dyDescent="0.25">
      <c r="B1352" s="55" t="str">
        <f>IF(A1352&lt;&gt;"",INDEX('Base de données'!A$4:L$990,MATCH(' TVA M'!A1357,'Base de données'!A$4:A$990,0),2),"")</f>
        <v/>
      </c>
      <c r="C1352" s="55" t="str">
        <f>IF(A1352&lt;&gt;"",INDEX('Base de données'!A$4:L$990,MATCH(' TVA M'!A1357,'Base de données'!A$4:A$990,0),12),"")</f>
        <v/>
      </c>
    </row>
    <row r="1353" spans="2:3" hidden="1" x14ac:dyDescent="0.25">
      <c r="B1353" s="55" t="str">
        <f>IF(A1353&lt;&gt;"",INDEX('Base de données'!A$4:L$990,MATCH(' TVA M'!A1358,'Base de données'!A$4:A$990,0),2),"")</f>
        <v/>
      </c>
      <c r="C1353" s="55" t="str">
        <f>IF(A1353&lt;&gt;"",INDEX('Base de données'!A$4:L$990,MATCH(' TVA M'!A1358,'Base de données'!A$4:A$990,0),12),"")</f>
        <v/>
      </c>
    </row>
    <row r="1354" spans="2:3" hidden="1" x14ac:dyDescent="0.25">
      <c r="B1354" s="55" t="str">
        <f>IF(A1354&lt;&gt;"",INDEX('Base de données'!A$4:L$990,MATCH(' TVA M'!A1359,'Base de données'!A$4:A$990,0),2),"")</f>
        <v/>
      </c>
      <c r="C1354" s="55" t="str">
        <f>IF(A1354&lt;&gt;"",INDEX('Base de données'!A$4:L$990,MATCH(' TVA M'!A1359,'Base de données'!A$4:A$990,0),12),"")</f>
        <v/>
      </c>
    </row>
    <row r="1355" spans="2:3" hidden="1" x14ac:dyDescent="0.25">
      <c r="B1355" s="55" t="str">
        <f>IF(A1355&lt;&gt;"",INDEX('Base de données'!A$4:L$990,MATCH(' TVA M'!A1360,'Base de données'!A$4:A$990,0),2),"")</f>
        <v/>
      </c>
      <c r="C1355" s="55" t="str">
        <f>IF(A1355&lt;&gt;"",INDEX('Base de données'!A$4:L$990,MATCH(' TVA M'!A1360,'Base de données'!A$4:A$990,0),12),"")</f>
        <v/>
      </c>
    </row>
    <row r="1356" spans="2:3" hidden="1" x14ac:dyDescent="0.25">
      <c r="B1356" s="55" t="str">
        <f>IF(A1356&lt;&gt;"",INDEX('Base de données'!A$4:L$990,MATCH(' TVA M'!A1361,'Base de données'!A$4:A$990,0),2),"")</f>
        <v/>
      </c>
      <c r="C1356" s="55" t="str">
        <f>IF(A1356&lt;&gt;"",INDEX('Base de données'!A$4:L$990,MATCH(' TVA M'!A1361,'Base de données'!A$4:A$990,0),12),"")</f>
        <v/>
      </c>
    </row>
    <row r="1357" spans="2:3" hidden="1" x14ac:dyDescent="0.25">
      <c r="B1357" s="55" t="str">
        <f>IF(A1357&lt;&gt;"",INDEX('Base de données'!A$4:L$990,MATCH(' TVA M'!A1362,'Base de données'!A$4:A$990,0),2),"")</f>
        <v/>
      </c>
      <c r="C1357" s="55" t="str">
        <f>IF(A1357&lt;&gt;"",INDEX('Base de données'!A$4:L$990,MATCH(' TVA M'!A1362,'Base de données'!A$4:A$990,0),12),"")</f>
        <v/>
      </c>
    </row>
    <row r="1358" spans="2:3" hidden="1" x14ac:dyDescent="0.25">
      <c r="B1358" s="55" t="str">
        <f>IF(A1358&lt;&gt;"",INDEX('Base de données'!A$4:L$990,MATCH(' TVA M'!A1363,'Base de données'!A$4:A$990,0),2),"")</f>
        <v/>
      </c>
      <c r="C1358" s="55" t="str">
        <f>IF(A1358&lt;&gt;"",INDEX('Base de données'!A$4:L$990,MATCH(' TVA M'!A1363,'Base de données'!A$4:A$990,0),12),"")</f>
        <v/>
      </c>
    </row>
    <row r="1359" spans="2:3" hidden="1" x14ac:dyDescent="0.25">
      <c r="B1359" s="55" t="str">
        <f>IF(A1359&lt;&gt;"",INDEX('Base de données'!A$4:L$990,MATCH(' TVA M'!A1364,'Base de données'!A$4:A$990,0),2),"")</f>
        <v/>
      </c>
      <c r="C1359" s="55" t="str">
        <f>IF(A1359&lt;&gt;"",INDEX('Base de données'!A$4:L$990,MATCH(' TVA M'!A1364,'Base de données'!A$4:A$990,0),12),"")</f>
        <v/>
      </c>
    </row>
    <row r="1360" spans="2:3" hidden="1" x14ac:dyDescent="0.25">
      <c r="B1360" s="55" t="str">
        <f>IF(A1360&lt;&gt;"",INDEX('Base de données'!A$4:L$990,MATCH(' TVA M'!A1365,'Base de données'!A$4:A$990,0),2),"")</f>
        <v/>
      </c>
      <c r="C1360" s="55" t="str">
        <f>IF(A1360&lt;&gt;"",INDEX('Base de données'!A$4:L$990,MATCH(' TVA M'!A1365,'Base de données'!A$4:A$990,0),12),"")</f>
        <v/>
      </c>
    </row>
    <row r="1361" spans="2:3" hidden="1" x14ac:dyDescent="0.25">
      <c r="B1361" s="55" t="str">
        <f>IF(A1361&lt;&gt;"",INDEX('Base de données'!A$4:L$990,MATCH(' TVA M'!A1366,'Base de données'!A$4:A$990,0),2),"")</f>
        <v/>
      </c>
      <c r="C1361" s="55" t="str">
        <f>IF(A1361&lt;&gt;"",INDEX('Base de données'!A$4:L$990,MATCH(' TVA M'!A1366,'Base de données'!A$4:A$990,0),12),"")</f>
        <v/>
      </c>
    </row>
    <row r="1362" spans="2:3" hidden="1" x14ac:dyDescent="0.25">
      <c r="B1362" s="55" t="str">
        <f>IF(A1362&lt;&gt;"",INDEX('Base de données'!A$4:L$990,MATCH(' TVA M'!A1367,'Base de données'!A$4:A$990,0),2),"")</f>
        <v/>
      </c>
      <c r="C1362" s="55" t="str">
        <f>IF(A1362&lt;&gt;"",INDEX('Base de données'!A$4:L$990,MATCH(' TVA M'!A1367,'Base de données'!A$4:A$990,0),12),"")</f>
        <v/>
      </c>
    </row>
    <row r="1363" spans="2:3" hidden="1" x14ac:dyDescent="0.25">
      <c r="B1363" s="55" t="str">
        <f>IF(A1363&lt;&gt;"",INDEX('Base de données'!A$4:L$990,MATCH(' TVA M'!A1368,'Base de données'!A$4:A$990,0),2),"")</f>
        <v/>
      </c>
      <c r="C1363" s="55" t="str">
        <f>IF(A1363&lt;&gt;"",INDEX('Base de données'!A$4:L$990,MATCH(' TVA M'!A1368,'Base de données'!A$4:A$990,0),12),"")</f>
        <v/>
      </c>
    </row>
    <row r="1364" spans="2:3" hidden="1" x14ac:dyDescent="0.25">
      <c r="B1364" s="55" t="str">
        <f>IF(A1364&lt;&gt;"",INDEX('Base de données'!A$4:L$990,MATCH(' TVA M'!A1369,'Base de données'!A$4:A$990,0),2),"")</f>
        <v/>
      </c>
      <c r="C1364" s="55" t="str">
        <f>IF(A1364&lt;&gt;"",INDEX('Base de données'!A$4:L$990,MATCH(' TVA M'!A1369,'Base de données'!A$4:A$990,0),12),"")</f>
        <v/>
      </c>
    </row>
    <row r="1365" spans="2:3" hidden="1" x14ac:dyDescent="0.25">
      <c r="B1365" s="55" t="str">
        <f>IF(A1365&lt;&gt;"",INDEX('Base de données'!A$4:L$990,MATCH(' TVA M'!A1370,'Base de données'!A$4:A$990,0),2),"")</f>
        <v/>
      </c>
      <c r="C1365" s="55" t="str">
        <f>IF(A1365&lt;&gt;"",INDEX('Base de données'!A$4:L$990,MATCH(' TVA M'!A1370,'Base de données'!A$4:A$990,0),12),"")</f>
        <v/>
      </c>
    </row>
    <row r="1366" spans="2:3" hidden="1" x14ac:dyDescent="0.25">
      <c r="B1366" s="55" t="str">
        <f>IF(A1366&lt;&gt;"",INDEX('Base de données'!A$4:L$990,MATCH(' TVA M'!A1371,'Base de données'!A$4:A$990,0),2),"")</f>
        <v/>
      </c>
      <c r="C1366" s="55" t="str">
        <f>IF(A1366&lt;&gt;"",INDEX('Base de données'!A$4:L$990,MATCH(' TVA M'!A1371,'Base de données'!A$4:A$990,0),12),"")</f>
        <v/>
      </c>
    </row>
    <row r="1367" spans="2:3" hidden="1" x14ac:dyDescent="0.25">
      <c r="B1367" s="55" t="str">
        <f>IF(A1367&lt;&gt;"",INDEX('Base de données'!A$4:L$990,MATCH(' TVA M'!A1372,'Base de données'!A$4:A$990,0),2),"")</f>
        <v/>
      </c>
      <c r="C1367" s="55" t="str">
        <f>IF(A1367&lt;&gt;"",INDEX('Base de données'!A$4:L$990,MATCH(' TVA M'!A1372,'Base de données'!A$4:A$990,0),12),"")</f>
        <v/>
      </c>
    </row>
    <row r="1368" spans="2:3" hidden="1" x14ac:dyDescent="0.25">
      <c r="B1368" s="55" t="str">
        <f>IF(A1368&lt;&gt;"",INDEX('Base de données'!A$4:L$990,MATCH(' TVA M'!A1373,'Base de données'!A$4:A$990,0),2),"")</f>
        <v/>
      </c>
      <c r="C1368" s="55" t="str">
        <f>IF(A1368&lt;&gt;"",INDEX('Base de données'!A$4:L$990,MATCH(' TVA M'!A1373,'Base de données'!A$4:A$990,0),12),"")</f>
        <v/>
      </c>
    </row>
    <row r="1369" spans="2:3" hidden="1" x14ac:dyDescent="0.25">
      <c r="B1369" s="55" t="str">
        <f>IF(A1369&lt;&gt;"",INDEX('Base de données'!A$4:L$990,MATCH(' TVA M'!A1374,'Base de données'!A$4:A$990,0),2),"")</f>
        <v/>
      </c>
      <c r="C1369" s="55" t="str">
        <f>IF(A1369&lt;&gt;"",INDEX('Base de données'!A$4:L$990,MATCH(' TVA M'!A1374,'Base de données'!A$4:A$990,0),12),"")</f>
        <v/>
      </c>
    </row>
    <row r="1370" spans="2:3" hidden="1" x14ac:dyDescent="0.25">
      <c r="B1370" s="55" t="str">
        <f>IF(A1370&lt;&gt;"",INDEX('Base de données'!A$4:L$990,MATCH(' TVA M'!A1375,'Base de données'!A$4:A$990,0),2),"")</f>
        <v/>
      </c>
      <c r="C1370" s="55" t="str">
        <f>IF(A1370&lt;&gt;"",INDEX('Base de données'!A$4:L$990,MATCH(' TVA M'!A1375,'Base de données'!A$4:A$990,0),12),"")</f>
        <v/>
      </c>
    </row>
    <row r="1371" spans="2:3" hidden="1" x14ac:dyDescent="0.25">
      <c r="B1371" s="55" t="str">
        <f>IF(A1371&lt;&gt;"",INDEX('Base de données'!A$4:L$990,MATCH(' TVA M'!A1376,'Base de données'!A$4:A$990,0),2),"")</f>
        <v/>
      </c>
      <c r="C1371" s="55" t="str">
        <f>IF(A1371&lt;&gt;"",INDEX('Base de données'!A$4:L$990,MATCH(' TVA M'!A1376,'Base de données'!A$4:A$990,0),12),"")</f>
        <v/>
      </c>
    </row>
    <row r="1372" spans="2:3" hidden="1" x14ac:dyDescent="0.25">
      <c r="B1372" s="55" t="str">
        <f>IF(A1372&lt;&gt;"",INDEX('Base de données'!A$4:L$990,MATCH(' TVA M'!A1377,'Base de données'!A$4:A$990,0),2),"")</f>
        <v/>
      </c>
      <c r="C1372" s="55" t="str">
        <f>IF(A1372&lt;&gt;"",INDEX('Base de données'!A$4:L$990,MATCH(' TVA M'!A1377,'Base de données'!A$4:A$990,0),12),"")</f>
        <v/>
      </c>
    </row>
    <row r="1373" spans="2:3" hidden="1" x14ac:dyDescent="0.25">
      <c r="B1373" s="55" t="str">
        <f>IF(A1373&lt;&gt;"",INDEX('Base de données'!A$4:L$990,MATCH(' TVA M'!A1378,'Base de données'!A$4:A$990,0),2),"")</f>
        <v/>
      </c>
      <c r="C1373" s="55" t="str">
        <f>IF(A1373&lt;&gt;"",INDEX('Base de données'!A$4:L$990,MATCH(' TVA M'!A1378,'Base de données'!A$4:A$990,0),12),"")</f>
        <v/>
      </c>
    </row>
    <row r="1374" spans="2:3" hidden="1" x14ac:dyDescent="0.25">
      <c r="B1374" s="55" t="str">
        <f>IF(A1374&lt;&gt;"",INDEX('Base de données'!A$4:L$990,MATCH(' TVA M'!A1379,'Base de données'!A$4:A$990,0),2),"")</f>
        <v/>
      </c>
      <c r="C1374" s="55" t="str">
        <f>IF(A1374&lt;&gt;"",INDEX('Base de données'!A$4:L$990,MATCH(' TVA M'!A1379,'Base de données'!A$4:A$990,0),12),"")</f>
        <v/>
      </c>
    </row>
    <row r="1375" spans="2:3" hidden="1" x14ac:dyDescent="0.25">
      <c r="B1375" s="55" t="str">
        <f>IF(A1375&lt;&gt;"",INDEX('Base de données'!A$4:L$990,MATCH(' TVA M'!A1380,'Base de données'!A$4:A$990,0),2),"")</f>
        <v/>
      </c>
      <c r="C1375" s="55" t="str">
        <f>IF(A1375&lt;&gt;"",INDEX('Base de données'!A$4:L$990,MATCH(' TVA M'!A1380,'Base de données'!A$4:A$990,0),12),"")</f>
        <v/>
      </c>
    </row>
    <row r="1376" spans="2:3" hidden="1" x14ac:dyDescent="0.25">
      <c r="B1376" s="55" t="str">
        <f>IF(A1376&lt;&gt;"",INDEX('Base de données'!A$4:L$990,MATCH(' TVA M'!A1381,'Base de données'!A$4:A$990,0),2),"")</f>
        <v/>
      </c>
      <c r="C1376" s="55" t="str">
        <f>IF(A1376&lt;&gt;"",INDEX('Base de données'!A$4:L$990,MATCH(' TVA M'!A1381,'Base de données'!A$4:A$990,0),12),"")</f>
        <v/>
      </c>
    </row>
    <row r="1377" spans="2:3" hidden="1" x14ac:dyDescent="0.25">
      <c r="B1377" s="55" t="str">
        <f>IF(A1377&lt;&gt;"",INDEX('Base de données'!A$4:L$990,MATCH(' TVA M'!A1382,'Base de données'!A$4:A$990,0),2),"")</f>
        <v/>
      </c>
      <c r="C1377" s="55" t="str">
        <f>IF(A1377&lt;&gt;"",INDEX('Base de données'!A$4:L$990,MATCH(' TVA M'!A1382,'Base de données'!A$4:A$990,0),12),"")</f>
        <v/>
      </c>
    </row>
    <row r="1378" spans="2:3" hidden="1" x14ac:dyDescent="0.25">
      <c r="B1378" s="55" t="str">
        <f>IF(A1378&lt;&gt;"",INDEX('Base de données'!A$4:L$990,MATCH(' TVA M'!A1383,'Base de données'!A$4:A$990,0),2),"")</f>
        <v/>
      </c>
      <c r="C1378" s="55" t="str">
        <f>IF(A1378&lt;&gt;"",INDEX('Base de données'!A$4:L$990,MATCH(' TVA M'!A1383,'Base de données'!A$4:A$990,0),12),"")</f>
        <v/>
      </c>
    </row>
    <row r="1379" spans="2:3" hidden="1" x14ac:dyDescent="0.25">
      <c r="B1379" s="55" t="str">
        <f>IF(A1379&lt;&gt;"",INDEX('Base de données'!A$4:L$990,MATCH(' TVA M'!A1384,'Base de données'!A$4:A$990,0),2),"")</f>
        <v/>
      </c>
      <c r="C1379" s="55" t="str">
        <f>IF(A1379&lt;&gt;"",INDEX('Base de données'!A$4:L$990,MATCH(' TVA M'!A1384,'Base de données'!A$4:A$990,0),12),"")</f>
        <v/>
      </c>
    </row>
    <row r="1380" spans="2:3" hidden="1" x14ac:dyDescent="0.25">
      <c r="B1380" s="55" t="str">
        <f>IF(A1380&lt;&gt;"",INDEX('Base de données'!A$4:L$990,MATCH(' TVA M'!A1385,'Base de données'!A$4:A$990,0),2),"")</f>
        <v/>
      </c>
      <c r="C1380" s="55" t="str">
        <f>IF(A1380&lt;&gt;"",INDEX('Base de données'!A$4:L$990,MATCH(' TVA M'!A1385,'Base de données'!A$4:A$990,0),12),"")</f>
        <v/>
      </c>
    </row>
    <row r="1381" spans="2:3" hidden="1" x14ac:dyDescent="0.25">
      <c r="B1381" s="55" t="str">
        <f>IF(A1381&lt;&gt;"",INDEX('Base de données'!A$4:L$990,MATCH(' TVA M'!A1386,'Base de données'!A$4:A$990,0),2),"")</f>
        <v/>
      </c>
      <c r="C1381" s="55" t="str">
        <f>IF(A1381&lt;&gt;"",INDEX('Base de données'!A$4:L$990,MATCH(' TVA M'!A1386,'Base de données'!A$4:A$990,0),12),"")</f>
        <v/>
      </c>
    </row>
    <row r="1382" spans="2:3" hidden="1" x14ac:dyDescent="0.25">
      <c r="B1382" s="55" t="str">
        <f>IF(A1382&lt;&gt;"",INDEX('Base de données'!A$4:L$990,MATCH(' TVA M'!A1387,'Base de données'!A$4:A$990,0),2),"")</f>
        <v/>
      </c>
      <c r="C1382" s="55" t="str">
        <f>IF(A1382&lt;&gt;"",INDEX('Base de données'!A$4:L$990,MATCH(' TVA M'!A1387,'Base de données'!A$4:A$990,0),12),"")</f>
        <v/>
      </c>
    </row>
    <row r="1383" spans="2:3" hidden="1" x14ac:dyDescent="0.25">
      <c r="B1383" s="55" t="str">
        <f>IF(A1383&lt;&gt;"",INDEX('Base de données'!A$4:L$990,MATCH(' TVA M'!A1388,'Base de données'!A$4:A$990,0),2),"")</f>
        <v/>
      </c>
      <c r="C1383" s="55" t="str">
        <f>IF(A1383&lt;&gt;"",INDEX('Base de données'!A$4:L$990,MATCH(' TVA M'!A1388,'Base de données'!A$4:A$990,0),12),"")</f>
        <v/>
      </c>
    </row>
    <row r="1384" spans="2:3" hidden="1" x14ac:dyDescent="0.25">
      <c r="B1384" s="55" t="str">
        <f>IF(A1384&lt;&gt;"",INDEX('Base de données'!A$4:L$990,MATCH(' TVA M'!A1389,'Base de données'!A$4:A$990,0),2),"")</f>
        <v/>
      </c>
      <c r="C1384" s="55" t="str">
        <f>IF(A1384&lt;&gt;"",INDEX('Base de données'!A$4:L$990,MATCH(' TVA M'!A1389,'Base de données'!A$4:A$990,0),12),"")</f>
        <v/>
      </c>
    </row>
    <row r="1385" spans="2:3" hidden="1" x14ac:dyDescent="0.25">
      <c r="B1385" s="55" t="str">
        <f>IF(A1385&lt;&gt;"",INDEX('Base de données'!A$4:L$990,MATCH(' TVA M'!A1390,'Base de données'!A$4:A$990,0),2),"")</f>
        <v/>
      </c>
      <c r="C1385" s="55" t="str">
        <f>IF(A1385&lt;&gt;"",INDEX('Base de données'!A$4:L$990,MATCH(' TVA M'!A1390,'Base de données'!A$4:A$990,0),12),"")</f>
        <v/>
      </c>
    </row>
    <row r="1386" spans="2:3" hidden="1" x14ac:dyDescent="0.25">
      <c r="B1386" s="55" t="str">
        <f>IF(A1386&lt;&gt;"",INDEX('Base de données'!A$4:L$990,MATCH(' TVA M'!A1391,'Base de données'!A$4:A$990,0),2),"")</f>
        <v/>
      </c>
      <c r="C1386" s="55" t="str">
        <f>IF(A1386&lt;&gt;"",INDEX('Base de données'!A$4:L$990,MATCH(' TVA M'!A1391,'Base de données'!A$4:A$990,0),12),"")</f>
        <v/>
      </c>
    </row>
    <row r="1387" spans="2:3" hidden="1" x14ac:dyDescent="0.25">
      <c r="B1387" s="55" t="str">
        <f>IF(A1387&lt;&gt;"",INDEX('Base de données'!A$4:L$990,MATCH(' TVA M'!A1392,'Base de données'!A$4:A$990,0),2),"")</f>
        <v/>
      </c>
      <c r="C1387" s="55" t="str">
        <f>IF(A1387&lt;&gt;"",INDEX('Base de données'!A$4:L$990,MATCH(' TVA M'!A1392,'Base de données'!A$4:A$990,0),12),"")</f>
        <v/>
      </c>
    </row>
    <row r="1388" spans="2:3" hidden="1" x14ac:dyDescent="0.25">
      <c r="B1388" s="55" t="str">
        <f>IF(A1388&lt;&gt;"",INDEX('Base de données'!A$4:L$990,MATCH(' TVA M'!A1393,'Base de données'!A$4:A$990,0),2),"")</f>
        <v/>
      </c>
      <c r="C1388" s="55" t="str">
        <f>IF(A1388&lt;&gt;"",INDEX('Base de données'!A$4:L$990,MATCH(' TVA M'!A1393,'Base de données'!A$4:A$990,0),12),"")</f>
        <v/>
      </c>
    </row>
    <row r="1389" spans="2:3" hidden="1" x14ac:dyDescent="0.25">
      <c r="B1389" s="55" t="str">
        <f>IF(A1389&lt;&gt;"",INDEX('Base de données'!A$4:L$990,MATCH(' TVA M'!A1394,'Base de données'!A$4:A$990,0),2),"")</f>
        <v/>
      </c>
      <c r="C1389" s="55" t="str">
        <f>IF(A1389&lt;&gt;"",INDEX('Base de données'!A$4:L$990,MATCH(' TVA M'!A1394,'Base de données'!A$4:A$990,0),12),"")</f>
        <v/>
      </c>
    </row>
    <row r="1390" spans="2:3" hidden="1" x14ac:dyDescent="0.25">
      <c r="B1390" s="55" t="str">
        <f>IF(A1390&lt;&gt;"",INDEX('Base de données'!A$4:L$990,MATCH(' TVA M'!A1395,'Base de données'!A$4:A$990,0),2),"")</f>
        <v/>
      </c>
      <c r="C1390" s="55" t="str">
        <f>IF(A1390&lt;&gt;"",INDEX('Base de données'!A$4:L$990,MATCH(' TVA M'!A1395,'Base de données'!A$4:A$990,0),12),"")</f>
        <v/>
      </c>
    </row>
    <row r="1391" spans="2:3" hidden="1" x14ac:dyDescent="0.25">
      <c r="B1391" s="55" t="str">
        <f>IF(A1391&lt;&gt;"",INDEX('Base de données'!A$4:L$990,MATCH(' TVA M'!A1396,'Base de données'!A$4:A$990,0),2),"")</f>
        <v/>
      </c>
      <c r="C1391" s="55" t="str">
        <f>IF(A1391&lt;&gt;"",INDEX('Base de données'!A$4:L$990,MATCH(' TVA M'!A1396,'Base de données'!A$4:A$990,0),12),"")</f>
        <v/>
      </c>
    </row>
    <row r="1392" spans="2:3" hidden="1" x14ac:dyDescent="0.25">
      <c r="B1392" s="55" t="str">
        <f>IF(A1392&lt;&gt;"",INDEX('Base de données'!A$4:L$990,MATCH(' TVA M'!A1397,'Base de données'!A$4:A$990,0),2),"")</f>
        <v/>
      </c>
      <c r="C1392" s="55" t="str">
        <f>IF(A1392&lt;&gt;"",INDEX('Base de données'!A$4:L$990,MATCH(' TVA M'!A1397,'Base de données'!A$4:A$990,0),12),"")</f>
        <v/>
      </c>
    </row>
    <row r="1393" spans="2:3" hidden="1" x14ac:dyDescent="0.25">
      <c r="B1393" s="55" t="str">
        <f>IF(A1393&lt;&gt;"",INDEX('Base de données'!A$4:L$990,MATCH(' TVA M'!A1398,'Base de données'!A$4:A$990,0),2),"")</f>
        <v/>
      </c>
      <c r="C1393" s="55" t="str">
        <f>IF(A1393&lt;&gt;"",INDEX('Base de données'!A$4:L$990,MATCH(' TVA M'!A1398,'Base de données'!A$4:A$990,0),12),"")</f>
        <v/>
      </c>
    </row>
    <row r="1394" spans="2:3" hidden="1" x14ac:dyDescent="0.25">
      <c r="B1394" s="55" t="str">
        <f>IF(A1394&lt;&gt;"",INDEX('Base de données'!A$4:L$990,MATCH(' TVA M'!A1399,'Base de données'!A$4:A$990,0),2),"")</f>
        <v/>
      </c>
      <c r="C1394" s="55" t="str">
        <f>IF(A1394&lt;&gt;"",INDEX('Base de données'!A$4:L$990,MATCH(' TVA M'!A1399,'Base de données'!A$4:A$990,0),12),"")</f>
        <v/>
      </c>
    </row>
    <row r="1395" spans="2:3" hidden="1" x14ac:dyDescent="0.25">
      <c r="B1395" s="55" t="str">
        <f>IF(A1395&lt;&gt;"",INDEX('Base de données'!A$4:L$990,MATCH(' TVA M'!A1400,'Base de données'!A$4:A$990,0),2),"")</f>
        <v/>
      </c>
      <c r="C1395" s="55" t="str">
        <f>IF(A1395&lt;&gt;"",INDEX('Base de données'!A$4:L$990,MATCH(' TVA M'!A1400,'Base de données'!A$4:A$990,0),12),"")</f>
        <v/>
      </c>
    </row>
    <row r="1396" spans="2:3" hidden="1" x14ac:dyDescent="0.25">
      <c r="B1396" s="55" t="str">
        <f>IF(A1396&lt;&gt;"",INDEX('Base de données'!A$4:L$990,MATCH(' TVA M'!A1401,'Base de données'!A$4:A$990,0),2),"")</f>
        <v/>
      </c>
      <c r="C1396" s="55" t="str">
        <f>IF(A1396&lt;&gt;"",INDEX('Base de données'!A$4:L$990,MATCH(' TVA M'!A1401,'Base de données'!A$4:A$990,0),12),"")</f>
        <v/>
      </c>
    </row>
    <row r="1397" spans="2:3" hidden="1" x14ac:dyDescent="0.25">
      <c r="B1397" s="55" t="str">
        <f>IF(A1397&lt;&gt;"",INDEX('Base de données'!A$4:L$990,MATCH(' TVA M'!A1402,'Base de données'!A$4:A$990,0),2),"")</f>
        <v/>
      </c>
      <c r="C1397" s="55" t="str">
        <f>IF(A1397&lt;&gt;"",INDEX('Base de données'!A$4:L$990,MATCH(' TVA M'!A1402,'Base de données'!A$4:A$990,0),12),"")</f>
        <v/>
      </c>
    </row>
    <row r="1398" spans="2:3" hidden="1" x14ac:dyDescent="0.25">
      <c r="B1398" s="55" t="str">
        <f>IF(A1398&lt;&gt;"",INDEX('Base de données'!A$4:L$990,MATCH(' TVA M'!A1403,'Base de données'!A$4:A$990,0),2),"")</f>
        <v/>
      </c>
      <c r="C1398" s="55" t="str">
        <f>IF(A1398&lt;&gt;"",INDEX('Base de données'!A$4:L$990,MATCH(' TVA M'!A1403,'Base de données'!A$4:A$990,0),12),"")</f>
        <v/>
      </c>
    </row>
    <row r="1399" spans="2:3" hidden="1" x14ac:dyDescent="0.25">
      <c r="B1399" s="55" t="str">
        <f>IF(A1399&lt;&gt;"",INDEX('Base de données'!A$4:L$990,MATCH(' TVA M'!A1404,'Base de données'!A$4:A$990,0),2),"")</f>
        <v/>
      </c>
      <c r="C1399" s="55" t="str">
        <f>IF(A1399&lt;&gt;"",INDEX('Base de données'!A$4:L$990,MATCH(' TVA M'!A1404,'Base de données'!A$4:A$990,0),12),"")</f>
        <v/>
      </c>
    </row>
    <row r="1400" spans="2:3" hidden="1" x14ac:dyDescent="0.25">
      <c r="B1400" s="55" t="str">
        <f>IF(A1400&lt;&gt;"",INDEX('Base de données'!A$4:L$990,MATCH(' TVA M'!A1405,'Base de données'!A$4:A$990,0),2),"")</f>
        <v/>
      </c>
      <c r="C1400" s="55" t="str">
        <f>IF(A1400&lt;&gt;"",INDEX('Base de données'!A$4:L$990,MATCH(' TVA M'!A1405,'Base de données'!A$4:A$990,0),12),"")</f>
        <v/>
      </c>
    </row>
    <row r="1401" spans="2:3" hidden="1" x14ac:dyDescent="0.25">
      <c r="B1401" s="55" t="str">
        <f>IF(A1401&lt;&gt;"",INDEX('Base de données'!A$4:L$990,MATCH(' TVA M'!A1406,'Base de données'!A$4:A$990,0),2),"")</f>
        <v/>
      </c>
      <c r="C1401" s="55" t="str">
        <f>IF(A1401&lt;&gt;"",INDEX('Base de données'!A$4:L$990,MATCH(' TVA M'!A1406,'Base de données'!A$4:A$990,0),12),"")</f>
        <v/>
      </c>
    </row>
    <row r="1402" spans="2:3" hidden="1" x14ac:dyDescent="0.25">
      <c r="B1402" s="55" t="str">
        <f>IF(A1402&lt;&gt;"",INDEX('Base de données'!A$4:L$990,MATCH(' TVA M'!A1407,'Base de données'!A$4:A$990,0),2),"")</f>
        <v/>
      </c>
      <c r="C1402" s="55" t="str">
        <f>IF(A1402&lt;&gt;"",INDEX('Base de données'!A$4:L$990,MATCH(' TVA M'!A1407,'Base de données'!A$4:A$990,0),12),"")</f>
        <v/>
      </c>
    </row>
    <row r="1403" spans="2:3" hidden="1" x14ac:dyDescent="0.25">
      <c r="B1403" s="55" t="str">
        <f>IF(A1403&lt;&gt;"",INDEX('Base de données'!A$4:L$990,MATCH(' TVA M'!A1408,'Base de données'!A$4:A$990,0),2),"")</f>
        <v/>
      </c>
      <c r="C1403" s="55" t="str">
        <f>IF(A1403&lt;&gt;"",INDEX('Base de données'!A$4:L$990,MATCH(' TVA M'!A1408,'Base de données'!A$4:A$990,0),12),"")</f>
        <v/>
      </c>
    </row>
    <row r="1404" spans="2:3" hidden="1" x14ac:dyDescent="0.25">
      <c r="B1404" s="55" t="str">
        <f>IF(A1404&lt;&gt;"",INDEX('Base de données'!A$4:L$990,MATCH(' TVA M'!A1409,'Base de données'!A$4:A$990,0),2),"")</f>
        <v/>
      </c>
      <c r="C1404" s="55" t="str">
        <f>IF(A1404&lt;&gt;"",INDEX('Base de données'!A$4:L$990,MATCH(' TVA M'!A1409,'Base de données'!A$4:A$990,0),12),"")</f>
        <v/>
      </c>
    </row>
    <row r="1405" spans="2:3" hidden="1" x14ac:dyDescent="0.25">
      <c r="B1405" s="55" t="str">
        <f>IF(A1405&lt;&gt;"",INDEX('Base de données'!A$4:L$990,MATCH(' TVA M'!A1410,'Base de données'!A$4:A$990,0),2),"")</f>
        <v/>
      </c>
      <c r="C1405" s="55" t="str">
        <f>IF(A1405&lt;&gt;"",INDEX('Base de données'!A$4:L$990,MATCH(' TVA M'!A1410,'Base de données'!A$4:A$990,0),12),"")</f>
        <v/>
      </c>
    </row>
    <row r="1406" spans="2:3" hidden="1" x14ac:dyDescent="0.25">
      <c r="B1406" s="55" t="str">
        <f>IF(A1406&lt;&gt;"",INDEX('Base de données'!A$4:L$990,MATCH(' TVA M'!A1411,'Base de données'!A$4:A$990,0),2),"")</f>
        <v/>
      </c>
      <c r="C1406" s="55" t="str">
        <f>IF(A1406&lt;&gt;"",INDEX('Base de données'!A$4:L$990,MATCH(' TVA M'!A1411,'Base de données'!A$4:A$990,0),12),"")</f>
        <v/>
      </c>
    </row>
    <row r="1407" spans="2:3" hidden="1" x14ac:dyDescent="0.25">
      <c r="B1407" s="55" t="str">
        <f>IF(A1407&lt;&gt;"",INDEX('Base de données'!A$4:L$990,MATCH(' TVA M'!A1412,'Base de données'!A$4:A$990,0),2),"")</f>
        <v/>
      </c>
      <c r="C1407" s="55" t="str">
        <f>IF(A1407&lt;&gt;"",INDEX('Base de données'!A$4:L$990,MATCH(' TVA M'!A1412,'Base de données'!A$4:A$990,0),12),"")</f>
        <v/>
      </c>
    </row>
    <row r="1408" spans="2:3" hidden="1" x14ac:dyDescent="0.25">
      <c r="B1408" s="55" t="str">
        <f>IF(A1408&lt;&gt;"",INDEX('Base de données'!A$4:L$990,MATCH(' TVA M'!A1413,'Base de données'!A$4:A$990,0),2),"")</f>
        <v/>
      </c>
      <c r="C1408" s="55" t="str">
        <f>IF(A1408&lt;&gt;"",INDEX('Base de données'!A$4:L$990,MATCH(' TVA M'!A1413,'Base de données'!A$4:A$990,0),12),"")</f>
        <v/>
      </c>
    </row>
    <row r="1409" spans="2:3" hidden="1" x14ac:dyDescent="0.25">
      <c r="B1409" s="55" t="str">
        <f>IF(A1409&lt;&gt;"",INDEX('Base de données'!A$4:L$990,MATCH(' TVA M'!A1414,'Base de données'!A$4:A$990,0),2),"")</f>
        <v/>
      </c>
      <c r="C1409" s="55" t="str">
        <f>IF(A1409&lt;&gt;"",INDEX('Base de données'!A$4:L$990,MATCH(' TVA M'!A1414,'Base de données'!A$4:A$990,0),12),"")</f>
        <v/>
      </c>
    </row>
    <row r="1410" spans="2:3" hidden="1" x14ac:dyDescent="0.25">
      <c r="B1410" s="55" t="str">
        <f>IF(A1410&lt;&gt;"",INDEX('Base de données'!A$4:L$990,MATCH(' TVA M'!A1415,'Base de données'!A$4:A$990,0),2),"")</f>
        <v/>
      </c>
      <c r="C1410" s="55" t="str">
        <f>IF(A1410&lt;&gt;"",INDEX('Base de données'!A$4:L$990,MATCH(' TVA M'!A1415,'Base de données'!A$4:A$990,0),12),"")</f>
        <v/>
      </c>
    </row>
    <row r="1411" spans="2:3" hidden="1" x14ac:dyDescent="0.25">
      <c r="B1411" s="55" t="str">
        <f>IF(A1411&lt;&gt;"",INDEX('Base de données'!A$4:L$990,MATCH(' TVA M'!A1416,'Base de données'!A$4:A$990,0),2),"")</f>
        <v/>
      </c>
      <c r="C1411" s="55" t="str">
        <f>IF(A1411&lt;&gt;"",INDEX('Base de données'!A$4:L$990,MATCH(' TVA M'!A1416,'Base de données'!A$4:A$990,0),12),"")</f>
        <v/>
      </c>
    </row>
    <row r="1412" spans="2:3" hidden="1" x14ac:dyDescent="0.25">
      <c r="B1412" s="55" t="str">
        <f>IF(A1412&lt;&gt;"",INDEX('Base de données'!A$4:L$990,MATCH(' TVA M'!A1417,'Base de données'!A$4:A$990,0),2),"")</f>
        <v/>
      </c>
      <c r="C1412" s="55" t="str">
        <f>IF(A1412&lt;&gt;"",INDEX('Base de données'!A$4:L$990,MATCH(' TVA M'!A1417,'Base de données'!A$4:A$990,0),12),"")</f>
        <v/>
      </c>
    </row>
    <row r="1413" spans="2:3" hidden="1" x14ac:dyDescent="0.25">
      <c r="B1413" s="55" t="str">
        <f>IF(A1413&lt;&gt;"",INDEX('Base de données'!A$4:L$990,MATCH(' TVA M'!A1418,'Base de données'!A$4:A$990,0),2),"")</f>
        <v/>
      </c>
      <c r="C1413" s="55" t="str">
        <f>IF(A1413&lt;&gt;"",INDEX('Base de données'!A$4:L$990,MATCH(' TVA M'!A1418,'Base de données'!A$4:A$990,0),12),"")</f>
        <v/>
      </c>
    </row>
    <row r="1414" spans="2:3" hidden="1" x14ac:dyDescent="0.25">
      <c r="B1414" s="55" t="str">
        <f>IF(A1414&lt;&gt;"",INDEX('Base de données'!A$4:L$990,MATCH(' TVA M'!A1419,'Base de données'!A$4:A$990,0),2),"")</f>
        <v/>
      </c>
      <c r="C1414" s="55" t="str">
        <f>IF(A1414&lt;&gt;"",INDEX('Base de données'!A$4:L$990,MATCH(' TVA M'!A1419,'Base de données'!A$4:A$990,0),12),"")</f>
        <v/>
      </c>
    </row>
    <row r="1415" spans="2:3" hidden="1" x14ac:dyDescent="0.25">
      <c r="B1415" s="55" t="str">
        <f>IF(A1415&lt;&gt;"",INDEX('Base de données'!A$4:L$990,MATCH(' TVA M'!A1420,'Base de données'!A$4:A$990,0),2),"")</f>
        <v/>
      </c>
      <c r="C1415" s="55" t="str">
        <f>IF(A1415&lt;&gt;"",INDEX('Base de données'!A$4:L$990,MATCH(' TVA M'!A1420,'Base de données'!A$4:A$990,0),12),"")</f>
        <v/>
      </c>
    </row>
    <row r="1416" spans="2:3" hidden="1" x14ac:dyDescent="0.25">
      <c r="B1416" s="55" t="str">
        <f>IF(A1416&lt;&gt;"",INDEX('Base de données'!A$4:L$990,MATCH(' TVA M'!A1421,'Base de données'!A$4:A$990,0),2),"")</f>
        <v/>
      </c>
      <c r="C1416" s="55" t="str">
        <f>IF(A1416&lt;&gt;"",INDEX('Base de données'!A$4:L$990,MATCH(' TVA M'!A1421,'Base de données'!A$4:A$990,0),12),"")</f>
        <v/>
      </c>
    </row>
    <row r="1417" spans="2:3" hidden="1" x14ac:dyDescent="0.25">
      <c r="B1417" s="55" t="str">
        <f>IF(A1417&lt;&gt;"",INDEX('Base de données'!A$4:L$990,MATCH(' TVA M'!A1422,'Base de données'!A$4:A$990,0),2),"")</f>
        <v/>
      </c>
      <c r="C1417" s="55" t="str">
        <f>IF(A1417&lt;&gt;"",INDEX('Base de données'!A$4:L$990,MATCH(' TVA M'!A1422,'Base de données'!A$4:A$990,0),12),"")</f>
        <v/>
      </c>
    </row>
    <row r="1418" spans="2:3" hidden="1" x14ac:dyDescent="0.25">
      <c r="B1418" s="55" t="str">
        <f>IF(A1418&lt;&gt;"",INDEX('Base de données'!A$4:L$990,MATCH(' TVA M'!A1423,'Base de données'!A$4:A$990,0),2),"")</f>
        <v/>
      </c>
      <c r="C1418" s="55" t="str">
        <f>IF(A1418&lt;&gt;"",INDEX('Base de données'!A$4:L$990,MATCH(' TVA M'!A1423,'Base de données'!A$4:A$990,0),12),"")</f>
        <v/>
      </c>
    </row>
    <row r="1419" spans="2:3" hidden="1" x14ac:dyDescent="0.25">
      <c r="B1419" s="55" t="str">
        <f>IF(A1419&lt;&gt;"",INDEX('Base de données'!A$4:L$990,MATCH(' TVA M'!A1424,'Base de données'!A$4:A$990,0),2),"")</f>
        <v/>
      </c>
      <c r="C1419" s="55" t="str">
        <f>IF(A1419&lt;&gt;"",INDEX('Base de données'!A$4:L$990,MATCH(' TVA M'!A1424,'Base de données'!A$4:A$990,0),12),"")</f>
        <v/>
      </c>
    </row>
    <row r="1420" spans="2:3" hidden="1" x14ac:dyDescent="0.25">
      <c r="B1420" s="55" t="str">
        <f>IF(A1420&lt;&gt;"",INDEX('Base de données'!A$4:L$990,MATCH(' TVA M'!A1425,'Base de données'!A$4:A$990,0),2),"")</f>
        <v/>
      </c>
      <c r="C1420" s="55" t="str">
        <f>IF(A1420&lt;&gt;"",INDEX('Base de données'!A$4:L$990,MATCH(' TVA M'!A1425,'Base de données'!A$4:A$990,0),12),"")</f>
        <v/>
      </c>
    </row>
    <row r="1421" spans="2:3" hidden="1" x14ac:dyDescent="0.25">
      <c r="B1421" s="55" t="str">
        <f>IF(A1421&lt;&gt;"",INDEX('Base de données'!A$4:L$990,MATCH(' TVA M'!A1426,'Base de données'!A$4:A$990,0),2),"")</f>
        <v/>
      </c>
      <c r="C1421" s="55" t="str">
        <f>IF(A1421&lt;&gt;"",INDEX('Base de données'!A$4:L$990,MATCH(' TVA M'!A1426,'Base de données'!A$4:A$990,0),12),"")</f>
        <v/>
      </c>
    </row>
    <row r="1422" spans="2:3" hidden="1" x14ac:dyDescent="0.25">
      <c r="B1422" s="55" t="str">
        <f>IF(A1422&lt;&gt;"",INDEX('Base de données'!A$4:L$990,MATCH(' TVA M'!A1427,'Base de données'!A$4:A$990,0),2),"")</f>
        <v/>
      </c>
      <c r="C1422" s="55" t="str">
        <f>IF(A1422&lt;&gt;"",INDEX('Base de données'!A$4:L$990,MATCH(' TVA M'!A1427,'Base de données'!A$4:A$990,0),12),"")</f>
        <v/>
      </c>
    </row>
    <row r="1423" spans="2:3" hidden="1" x14ac:dyDescent="0.25">
      <c r="B1423" s="55" t="str">
        <f>IF(A1423&lt;&gt;"",INDEX('Base de données'!A$4:L$990,MATCH(' TVA M'!A1428,'Base de données'!A$4:A$990,0),2),"")</f>
        <v/>
      </c>
      <c r="C1423" s="55" t="str">
        <f>IF(A1423&lt;&gt;"",INDEX('Base de données'!A$4:L$990,MATCH(' TVA M'!A1428,'Base de données'!A$4:A$990,0),12),"")</f>
        <v/>
      </c>
    </row>
    <row r="1424" spans="2:3" hidden="1" x14ac:dyDescent="0.25">
      <c r="B1424" s="55" t="str">
        <f>IF(A1424&lt;&gt;"",INDEX('Base de données'!A$4:L$990,MATCH(' TVA M'!A1429,'Base de données'!A$4:A$990,0),2),"")</f>
        <v/>
      </c>
      <c r="C1424" s="55" t="str">
        <f>IF(A1424&lt;&gt;"",INDEX('Base de données'!A$4:L$990,MATCH(' TVA M'!A1429,'Base de données'!A$4:A$990,0),12),"")</f>
        <v/>
      </c>
    </row>
    <row r="1425" spans="2:3" hidden="1" x14ac:dyDescent="0.25">
      <c r="B1425" s="55" t="str">
        <f>IF(A1425&lt;&gt;"",INDEX('Base de données'!A$4:L$990,MATCH(' TVA M'!A1430,'Base de données'!A$4:A$990,0),2),"")</f>
        <v/>
      </c>
      <c r="C1425" s="55" t="str">
        <f>IF(A1425&lt;&gt;"",INDEX('Base de données'!A$4:L$990,MATCH(' TVA M'!A1430,'Base de données'!A$4:A$990,0),12),"")</f>
        <v/>
      </c>
    </row>
    <row r="1426" spans="2:3" hidden="1" x14ac:dyDescent="0.25">
      <c r="B1426" s="55" t="str">
        <f>IF(A1426&lt;&gt;"",INDEX('Base de données'!A$4:L$990,MATCH(' TVA M'!A1431,'Base de données'!A$4:A$990,0),2),"")</f>
        <v/>
      </c>
      <c r="C1426" s="55" t="str">
        <f>IF(A1426&lt;&gt;"",INDEX('Base de données'!A$4:L$990,MATCH(' TVA M'!A1431,'Base de données'!A$4:A$990,0),12),"")</f>
        <v/>
      </c>
    </row>
    <row r="1427" spans="2:3" hidden="1" x14ac:dyDescent="0.25">
      <c r="B1427" s="55" t="str">
        <f>IF(A1427&lt;&gt;"",INDEX('Base de données'!A$4:L$990,MATCH(' TVA M'!A1432,'Base de données'!A$4:A$990,0),2),"")</f>
        <v/>
      </c>
      <c r="C1427" s="55" t="str">
        <f>IF(A1427&lt;&gt;"",INDEX('Base de données'!A$4:L$990,MATCH(' TVA M'!A1432,'Base de données'!A$4:A$990,0),12),"")</f>
        <v/>
      </c>
    </row>
    <row r="1428" spans="2:3" hidden="1" x14ac:dyDescent="0.25">
      <c r="B1428" s="55" t="str">
        <f>IF(A1428&lt;&gt;"",INDEX('Base de données'!A$4:L$990,MATCH(' TVA M'!A1433,'Base de données'!A$4:A$990,0),2),"")</f>
        <v/>
      </c>
      <c r="C1428" s="55" t="str">
        <f>IF(A1428&lt;&gt;"",INDEX('Base de données'!A$4:L$990,MATCH(' TVA M'!A1433,'Base de données'!A$4:A$990,0),12),"")</f>
        <v/>
      </c>
    </row>
    <row r="1429" spans="2:3" hidden="1" x14ac:dyDescent="0.25">
      <c r="B1429" s="55" t="str">
        <f>IF(A1429&lt;&gt;"",INDEX('Base de données'!A$4:L$990,MATCH(' TVA M'!A1434,'Base de données'!A$4:A$990,0),2),"")</f>
        <v/>
      </c>
      <c r="C1429" s="55" t="str">
        <f>IF(A1429&lt;&gt;"",INDEX('Base de données'!A$4:L$990,MATCH(' TVA M'!A1434,'Base de données'!A$4:A$990,0),12),"")</f>
        <v/>
      </c>
    </row>
    <row r="1430" spans="2:3" hidden="1" x14ac:dyDescent="0.25">
      <c r="B1430" s="55" t="str">
        <f>IF(A1430&lt;&gt;"",INDEX('Base de données'!A$4:L$990,MATCH(' TVA M'!A1435,'Base de données'!A$4:A$990,0),2),"")</f>
        <v/>
      </c>
      <c r="C1430" s="55" t="str">
        <f>IF(A1430&lt;&gt;"",INDEX('Base de données'!A$4:L$990,MATCH(' TVA M'!A1435,'Base de données'!A$4:A$990,0),12),"")</f>
        <v/>
      </c>
    </row>
    <row r="1431" spans="2:3" hidden="1" x14ac:dyDescent="0.25">
      <c r="B1431" s="55" t="str">
        <f>IF(A1431&lt;&gt;"",INDEX('Base de données'!A$4:L$990,MATCH(' TVA M'!A1436,'Base de données'!A$4:A$990,0),2),"")</f>
        <v/>
      </c>
      <c r="C1431" s="55" t="str">
        <f>IF(A1431&lt;&gt;"",INDEX('Base de données'!A$4:L$990,MATCH(' TVA M'!A1436,'Base de données'!A$4:A$990,0),12),"")</f>
        <v/>
      </c>
    </row>
    <row r="1432" spans="2:3" hidden="1" x14ac:dyDescent="0.25">
      <c r="B1432" s="55" t="str">
        <f>IF(A1432&lt;&gt;"",INDEX('Base de données'!A$4:L$990,MATCH(' TVA M'!A1437,'Base de données'!A$4:A$990,0),2),"")</f>
        <v/>
      </c>
      <c r="C1432" s="55" t="str">
        <f>IF(A1432&lt;&gt;"",INDEX('Base de données'!A$4:L$990,MATCH(' TVA M'!A1437,'Base de données'!A$4:A$990,0),12),"")</f>
        <v/>
      </c>
    </row>
    <row r="1433" spans="2:3" hidden="1" x14ac:dyDescent="0.25">
      <c r="B1433" s="55" t="str">
        <f>IF(A1433&lt;&gt;"",INDEX('Base de données'!A$4:L$990,MATCH(' TVA M'!A1438,'Base de données'!A$4:A$990,0),2),"")</f>
        <v/>
      </c>
      <c r="C1433" s="55" t="str">
        <f>IF(A1433&lt;&gt;"",INDEX('Base de données'!A$4:L$990,MATCH(' TVA M'!A1438,'Base de données'!A$4:A$990,0),12),"")</f>
        <v/>
      </c>
    </row>
    <row r="1434" spans="2:3" hidden="1" x14ac:dyDescent="0.25">
      <c r="B1434" s="55" t="str">
        <f>IF(A1434&lt;&gt;"",INDEX('Base de données'!A$4:L$990,MATCH(' TVA M'!A1439,'Base de données'!A$4:A$990,0),2),"")</f>
        <v/>
      </c>
      <c r="C1434" s="55" t="str">
        <f>IF(A1434&lt;&gt;"",INDEX('Base de données'!A$4:L$990,MATCH(' TVA M'!A1439,'Base de données'!A$4:A$990,0),12),"")</f>
        <v/>
      </c>
    </row>
    <row r="1435" spans="2:3" hidden="1" x14ac:dyDescent="0.25">
      <c r="B1435" s="55" t="str">
        <f>IF(A1435&lt;&gt;"",INDEX('Base de données'!A$4:L$990,MATCH(' TVA M'!A1440,'Base de données'!A$4:A$990,0),2),"")</f>
        <v/>
      </c>
      <c r="C1435" s="55" t="str">
        <f>IF(A1435&lt;&gt;"",INDEX('Base de données'!A$4:L$990,MATCH(' TVA M'!A1440,'Base de données'!A$4:A$990,0),12),"")</f>
        <v/>
      </c>
    </row>
    <row r="1436" spans="2:3" hidden="1" x14ac:dyDescent="0.25">
      <c r="B1436" s="55" t="str">
        <f>IF(A1436&lt;&gt;"",INDEX('Base de données'!A$4:L$990,MATCH(' TVA M'!A1441,'Base de données'!A$4:A$990,0),2),"")</f>
        <v/>
      </c>
      <c r="C1436" s="55" t="str">
        <f>IF(A1436&lt;&gt;"",INDEX('Base de données'!A$4:L$990,MATCH(' TVA M'!A1441,'Base de données'!A$4:A$990,0),12),"")</f>
        <v/>
      </c>
    </row>
    <row r="1437" spans="2:3" hidden="1" x14ac:dyDescent="0.25">
      <c r="B1437" s="55" t="str">
        <f>IF(A1437&lt;&gt;"",INDEX('Base de données'!A$4:L$990,MATCH(' TVA M'!A1442,'Base de données'!A$4:A$990,0),2),"")</f>
        <v/>
      </c>
      <c r="C1437" s="55" t="str">
        <f>IF(A1437&lt;&gt;"",INDEX('Base de données'!A$4:L$990,MATCH(' TVA M'!A1442,'Base de données'!A$4:A$990,0),12),"")</f>
        <v/>
      </c>
    </row>
    <row r="1438" spans="2:3" hidden="1" x14ac:dyDescent="0.25">
      <c r="B1438" s="55" t="str">
        <f>IF(A1438&lt;&gt;"",INDEX('Base de données'!A$4:L$990,MATCH(' TVA M'!A1443,'Base de données'!A$4:A$990,0),2),"")</f>
        <v/>
      </c>
      <c r="C1438" s="55" t="str">
        <f>IF(A1438&lt;&gt;"",INDEX('Base de données'!A$4:L$990,MATCH(' TVA M'!A1443,'Base de données'!A$4:A$990,0),12),"")</f>
        <v/>
      </c>
    </row>
    <row r="1439" spans="2:3" hidden="1" x14ac:dyDescent="0.25">
      <c r="B1439" s="55" t="str">
        <f>IF(A1439&lt;&gt;"",INDEX('Base de données'!A$4:L$990,MATCH(' TVA M'!A1444,'Base de données'!A$4:A$990,0),2),"")</f>
        <v/>
      </c>
      <c r="C1439" s="55" t="str">
        <f>IF(A1439&lt;&gt;"",INDEX('Base de données'!A$4:L$990,MATCH(' TVA M'!A1444,'Base de données'!A$4:A$990,0),12),"")</f>
        <v/>
      </c>
    </row>
    <row r="1440" spans="2:3" hidden="1" x14ac:dyDescent="0.25">
      <c r="B1440" s="55" t="str">
        <f>IF(A1440&lt;&gt;"",INDEX('Base de données'!A$4:L$990,MATCH(' TVA M'!A1445,'Base de données'!A$4:A$990,0),2),"")</f>
        <v/>
      </c>
      <c r="C1440" s="55" t="str">
        <f>IF(A1440&lt;&gt;"",INDEX('Base de données'!A$4:L$990,MATCH(' TVA M'!A1445,'Base de données'!A$4:A$990,0),12),"")</f>
        <v/>
      </c>
    </row>
    <row r="1441" spans="2:3" hidden="1" x14ac:dyDescent="0.25">
      <c r="B1441" s="55" t="str">
        <f>IF(A1441&lt;&gt;"",INDEX('Base de données'!A$4:L$990,MATCH(' TVA M'!A1446,'Base de données'!A$4:A$990,0),2),"")</f>
        <v/>
      </c>
      <c r="C1441" s="55" t="str">
        <f>IF(A1441&lt;&gt;"",INDEX('Base de données'!A$4:L$990,MATCH(' TVA M'!A1446,'Base de données'!A$4:A$990,0),12),"")</f>
        <v/>
      </c>
    </row>
    <row r="1442" spans="2:3" hidden="1" x14ac:dyDescent="0.25">
      <c r="B1442" s="55" t="str">
        <f>IF(A1442&lt;&gt;"",INDEX('Base de données'!A$4:L$990,MATCH(' TVA M'!A1447,'Base de données'!A$4:A$990,0),2),"")</f>
        <v/>
      </c>
      <c r="C1442" s="55" t="str">
        <f>IF(A1442&lt;&gt;"",INDEX('Base de données'!A$4:L$990,MATCH(' TVA M'!A1447,'Base de données'!A$4:A$990,0),12),"")</f>
        <v/>
      </c>
    </row>
    <row r="1443" spans="2:3" hidden="1" x14ac:dyDescent="0.25">
      <c r="B1443" s="55" t="str">
        <f>IF(A1443&lt;&gt;"",INDEX('Base de données'!A$4:L$990,MATCH(' TVA M'!A1448,'Base de données'!A$4:A$990,0),2),"")</f>
        <v/>
      </c>
      <c r="C1443" s="55" t="str">
        <f>IF(A1443&lt;&gt;"",INDEX('Base de données'!A$4:L$990,MATCH(' TVA M'!A1448,'Base de données'!A$4:A$990,0),12),"")</f>
        <v/>
      </c>
    </row>
    <row r="1444" spans="2:3" hidden="1" x14ac:dyDescent="0.25">
      <c r="B1444" s="55" t="str">
        <f>IF(A1444&lt;&gt;"",INDEX('Base de données'!A$4:L$990,MATCH(' TVA M'!A1449,'Base de données'!A$4:A$990,0),2),"")</f>
        <v/>
      </c>
      <c r="C1444" s="55" t="str">
        <f>IF(A1444&lt;&gt;"",INDEX('Base de données'!A$4:L$990,MATCH(' TVA M'!A1449,'Base de données'!A$4:A$990,0),12),"")</f>
        <v/>
      </c>
    </row>
    <row r="1445" spans="2:3" hidden="1" x14ac:dyDescent="0.25">
      <c r="B1445" s="55" t="str">
        <f>IF(A1445&lt;&gt;"",INDEX('Base de données'!A$4:L$990,MATCH(' TVA M'!A1450,'Base de données'!A$4:A$990,0),2),"")</f>
        <v/>
      </c>
      <c r="C1445" s="55" t="str">
        <f>IF(A1445&lt;&gt;"",INDEX('Base de données'!A$4:L$990,MATCH(' TVA M'!A1450,'Base de données'!A$4:A$990,0),12),"")</f>
        <v/>
      </c>
    </row>
    <row r="1446" spans="2:3" hidden="1" x14ac:dyDescent="0.25">
      <c r="B1446" s="55" t="str">
        <f>IF(A1446&lt;&gt;"",INDEX('Base de données'!A$4:L$990,MATCH(' TVA M'!A1451,'Base de données'!A$4:A$990,0),2),"")</f>
        <v/>
      </c>
      <c r="C1446" s="55" t="str">
        <f>IF(A1446&lt;&gt;"",INDEX('Base de données'!A$4:L$990,MATCH(' TVA M'!A1451,'Base de données'!A$4:A$990,0),12),"")</f>
        <v/>
      </c>
    </row>
    <row r="1447" spans="2:3" hidden="1" x14ac:dyDescent="0.25">
      <c r="B1447" s="55" t="str">
        <f>IF(A1447&lt;&gt;"",INDEX('Base de données'!A$4:L$990,MATCH(' TVA M'!A1452,'Base de données'!A$4:A$990,0),2),"")</f>
        <v/>
      </c>
      <c r="C1447" s="55" t="str">
        <f>IF(A1447&lt;&gt;"",INDEX('Base de données'!A$4:L$990,MATCH(' TVA M'!A1452,'Base de données'!A$4:A$990,0),12),"")</f>
        <v/>
      </c>
    </row>
    <row r="1448" spans="2:3" hidden="1" x14ac:dyDescent="0.25">
      <c r="B1448" s="55" t="str">
        <f>IF(A1448&lt;&gt;"",INDEX('Base de données'!A$4:L$990,MATCH(' TVA M'!A1453,'Base de données'!A$4:A$990,0),2),"")</f>
        <v/>
      </c>
      <c r="C1448" s="55" t="str">
        <f>IF(A1448&lt;&gt;"",INDEX('Base de données'!A$4:L$990,MATCH(' TVA M'!A1453,'Base de données'!A$4:A$990,0),12),"")</f>
        <v/>
      </c>
    </row>
    <row r="1449" spans="2:3" hidden="1" x14ac:dyDescent="0.25">
      <c r="B1449" s="55" t="str">
        <f>IF(A1449&lt;&gt;"",INDEX('Base de données'!A$4:L$990,MATCH(' TVA M'!A1454,'Base de données'!A$4:A$990,0),2),"")</f>
        <v/>
      </c>
      <c r="C1449" s="55" t="str">
        <f>IF(A1449&lt;&gt;"",INDEX('Base de données'!A$4:L$990,MATCH(' TVA M'!A1454,'Base de données'!A$4:A$990,0),12),"")</f>
        <v/>
      </c>
    </row>
    <row r="1450" spans="2:3" hidden="1" x14ac:dyDescent="0.25">
      <c r="B1450" s="55" t="str">
        <f>IF(A1450&lt;&gt;"",INDEX('Base de données'!A$4:L$990,MATCH(' TVA M'!A1455,'Base de données'!A$4:A$990,0),2),"")</f>
        <v/>
      </c>
      <c r="C1450" s="55" t="str">
        <f>IF(A1450&lt;&gt;"",INDEX('Base de données'!A$4:L$990,MATCH(' TVA M'!A1455,'Base de données'!A$4:A$990,0),12),"")</f>
        <v/>
      </c>
    </row>
    <row r="1451" spans="2:3" hidden="1" x14ac:dyDescent="0.25">
      <c r="B1451" s="55" t="str">
        <f>IF(A1451&lt;&gt;"",INDEX('Base de données'!A$4:L$990,MATCH(' TVA M'!A1456,'Base de données'!A$4:A$990,0),2),"")</f>
        <v/>
      </c>
      <c r="C1451" s="55" t="str">
        <f>IF(A1451&lt;&gt;"",INDEX('Base de données'!A$4:L$990,MATCH(' TVA M'!A1456,'Base de données'!A$4:A$990,0),12),"")</f>
        <v/>
      </c>
    </row>
    <row r="1452" spans="2:3" hidden="1" x14ac:dyDescent="0.25">
      <c r="B1452" s="55" t="str">
        <f>IF(A1452&lt;&gt;"",INDEX('Base de données'!A$4:L$990,MATCH(' TVA M'!A1457,'Base de données'!A$4:A$990,0),2),"")</f>
        <v/>
      </c>
      <c r="C1452" s="55" t="str">
        <f>IF(A1452&lt;&gt;"",INDEX('Base de données'!A$4:L$990,MATCH(' TVA M'!A1457,'Base de données'!A$4:A$990,0),12),"")</f>
        <v/>
      </c>
    </row>
    <row r="1453" spans="2:3" hidden="1" x14ac:dyDescent="0.25">
      <c r="B1453" s="55" t="str">
        <f>IF(A1453&lt;&gt;"",INDEX('Base de données'!A$4:L$990,MATCH(' TVA M'!A1458,'Base de données'!A$4:A$990,0),2),"")</f>
        <v/>
      </c>
      <c r="C1453" s="55" t="str">
        <f>IF(A1453&lt;&gt;"",INDEX('Base de données'!A$4:L$990,MATCH(' TVA M'!A1458,'Base de données'!A$4:A$990,0),12),"")</f>
        <v/>
      </c>
    </row>
    <row r="1454" spans="2:3" hidden="1" x14ac:dyDescent="0.25">
      <c r="B1454" s="55" t="str">
        <f>IF(A1454&lt;&gt;"",INDEX('Base de données'!A$4:L$990,MATCH(' TVA M'!A1459,'Base de données'!A$4:A$990,0),2),"")</f>
        <v/>
      </c>
      <c r="C1454" s="55" t="str">
        <f>IF(A1454&lt;&gt;"",INDEX('Base de données'!A$4:L$990,MATCH(' TVA M'!A1459,'Base de données'!A$4:A$990,0),12),"")</f>
        <v/>
      </c>
    </row>
    <row r="1455" spans="2:3" hidden="1" x14ac:dyDescent="0.25">
      <c r="B1455" s="55" t="str">
        <f>IF(A1455&lt;&gt;"",INDEX('Base de données'!A$4:L$990,MATCH(' TVA M'!A1460,'Base de données'!A$4:A$990,0),2),"")</f>
        <v/>
      </c>
      <c r="C1455" s="55" t="str">
        <f>IF(A1455&lt;&gt;"",INDEX('Base de données'!A$4:L$990,MATCH(' TVA M'!A1460,'Base de données'!A$4:A$990,0),12),"")</f>
        <v/>
      </c>
    </row>
    <row r="1456" spans="2:3" hidden="1" x14ac:dyDescent="0.25">
      <c r="B1456" s="55" t="str">
        <f>IF(A1456&lt;&gt;"",INDEX('Base de données'!A$4:L$990,MATCH(' TVA M'!A1461,'Base de données'!A$4:A$990,0),2),"")</f>
        <v/>
      </c>
      <c r="C1456" s="55" t="str">
        <f>IF(A1456&lt;&gt;"",INDEX('Base de données'!A$4:L$990,MATCH(' TVA M'!A1461,'Base de données'!A$4:A$990,0),12),"")</f>
        <v/>
      </c>
    </row>
    <row r="1457" spans="2:3" hidden="1" x14ac:dyDescent="0.25">
      <c r="B1457" s="55" t="str">
        <f>IF(A1457&lt;&gt;"",INDEX('Base de données'!A$4:L$990,MATCH(' TVA M'!A1462,'Base de données'!A$4:A$990,0),2),"")</f>
        <v/>
      </c>
      <c r="C1457" s="55" t="str">
        <f>IF(A1457&lt;&gt;"",INDEX('Base de données'!A$4:L$990,MATCH(' TVA M'!A1462,'Base de données'!A$4:A$990,0),12),"")</f>
        <v/>
      </c>
    </row>
    <row r="1458" spans="2:3" hidden="1" x14ac:dyDescent="0.25">
      <c r="B1458" s="55" t="str">
        <f>IF(A1458&lt;&gt;"",INDEX('Base de données'!A$4:L$990,MATCH(' TVA M'!A1463,'Base de données'!A$4:A$990,0),2),"")</f>
        <v/>
      </c>
      <c r="C1458" s="55" t="str">
        <f>IF(A1458&lt;&gt;"",INDEX('Base de données'!A$4:L$990,MATCH(' TVA M'!A1463,'Base de données'!A$4:A$990,0),12),"")</f>
        <v/>
      </c>
    </row>
    <row r="1459" spans="2:3" hidden="1" x14ac:dyDescent="0.25">
      <c r="B1459" s="55" t="str">
        <f>IF(A1459&lt;&gt;"",INDEX('Base de données'!A$4:L$990,MATCH(' TVA M'!A1464,'Base de données'!A$4:A$990,0),2),"")</f>
        <v/>
      </c>
      <c r="C1459" s="55" t="str">
        <f>IF(A1459&lt;&gt;"",INDEX('Base de données'!A$4:L$990,MATCH(' TVA M'!A1464,'Base de données'!A$4:A$990,0),12),"")</f>
        <v/>
      </c>
    </row>
    <row r="1460" spans="2:3" hidden="1" x14ac:dyDescent="0.25">
      <c r="B1460" s="55" t="str">
        <f>IF(A1460&lt;&gt;"",INDEX('Base de données'!A$4:L$990,MATCH(' TVA M'!A1465,'Base de données'!A$4:A$990,0),2),"")</f>
        <v/>
      </c>
      <c r="C1460" s="55" t="str">
        <f>IF(A1460&lt;&gt;"",INDEX('Base de données'!A$4:L$990,MATCH(' TVA M'!A1465,'Base de données'!A$4:A$990,0),12),"")</f>
        <v/>
      </c>
    </row>
    <row r="1461" spans="2:3" hidden="1" x14ac:dyDescent="0.25">
      <c r="B1461" s="55" t="str">
        <f>IF(A1461&lt;&gt;"",INDEX('Base de données'!A$4:L$990,MATCH(' TVA M'!A1466,'Base de données'!A$4:A$990,0),2),"")</f>
        <v/>
      </c>
      <c r="C1461" s="55" t="str">
        <f>IF(A1461&lt;&gt;"",INDEX('Base de données'!A$4:L$990,MATCH(' TVA M'!A1466,'Base de données'!A$4:A$990,0),12),"")</f>
        <v/>
      </c>
    </row>
    <row r="1462" spans="2:3" hidden="1" x14ac:dyDescent="0.25">
      <c r="B1462" s="55" t="str">
        <f>IF(A1462&lt;&gt;"",INDEX('Base de données'!A$4:L$990,MATCH(' TVA M'!A1467,'Base de données'!A$4:A$990,0),2),"")</f>
        <v/>
      </c>
      <c r="C1462" s="55" t="str">
        <f>IF(A1462&lt;&gt;"",INDEX('Base de données'!A$4:L$990,MATCH(' TVA M'!A1467,'Base de données'!A$4:A$990,0),12),"")</f>
        <v/>
      </c>
    </row>
    <row r="1463" spans="2:3" hidden="1" x14ac:dyDescent="0.25">
      <c r="B1463" s="55" t="str">
        <f>IF(A1463&lt;&gt;"",INDEX('Base de données'!A$4:L$990,MATCH(' TVA M'!A1468,'Base de données'!A$4:A$990,0),2),"")</f>
        <v/>
      </c>
      <c r="C1463" s="55" t="str">
        <f>IF(A1463&lt;&gt;"",INDEX('Base de données'!A$4:L$990,MATCH(' TVA M'!A1468,'Base de données'!A$4:A$990,0),12),"")</f>
        <v/>
      </c>
    </row>
    <row r="1464" spans="2:3" hidden="1" x14ac:dyDescent="0.25">
      <c r="B1464" s="55" t="str">
        <f>IF(A1464&lt;&gt;"",INDEX('Base de données'!A$4:L$990,MATCH(' TVA M'!A1469,'Base de données'!A$4:A$990,0),2),"")</f>
        <v/>
      </c>
      <c r="C1464" s="55" t="str">
        <f>IF(A1464&lt;&gt;"",INDEX('Base de données'!A$4:L$990,MATCH(' TVA M'!A1469,'Base de données'!A$4:A$990,0),12),"")</f>
        <v/>
      </c>
    </row>
    <row r="1465" spans="2:3" hidden="1" x14ac:dyDescent="0.25">
      <c r="B1465" s="55" t="str">
        <f>IF(A1465&lt;&gt;"",INDEX('Base de données'!A$4:L$990,MATCH(' TVA M'!A1470,'Base de données'!A$4:A$990,0),2),"")</f>
        <v/>
      </c>
      <c r="C1465" s="55" t="str">
        <f>IF(A1465&lt;&gt;"",INDEX('Base de données'!A$4:L$990,MATCH(' TVA M'!A1470,'Base de données'!A$4:A$990,0),12),"")</f>
        <v/>
      </c>
    </row>
    <row r="1466" spans="2:3" hidden="1" x14ac:dyDescent="0.25">
      <c r="B1466" s="55" t="str">
        <f>IF(A1466&lt;&gt;"",INDEX('Base de données'!A$4:L$990,MATCH(' TVA M'!A1471,'Base de données'!A$4:A$990,0),2),"")</f>
        <v/>
      </c>
      <c r="C1466" s="55" t="str">
        <f>IF(A1466&lt;&gt;"",INDEX('Base de données'!A$4:L$990,MATCH(' TVA M'!A1471,'Base de données'!A$4:A$990,0),12),"")</f>
        <v/>
      </c>
    </row>
    <row r="1467" spans="2:3" hidden="1" x14ac:dyDescent="0.25">
      <c r="B1467" s="55" t="str">
        <f>IF(A1467&lt;&gt;"",INDEX('Base de données'!A$4:L$990,MATCH(' TVA M'!A1472,'Base de données'!A$4:A$990,0),2),"")</f>
        <v/>
      </c>
      <c r="C1467" s="55" t="str">
        <f>IF(A1467&lt;&gt;"",INDEX('Base de données'!A$4:L$990,MATCH(' TVA M'!A1472,'Base de données'!A$4:A$990,0),12),"")</f>
        <v/>
      </c>
    </row>
    <row r="1468" spans="2:3" hidden="1" x14ac:dyDescent="0.25">
      <c r="B1468" s="55" t="str">
        <f>IF(A1468&lt;&gt;"",INDEX('Base de données'!A$4:L$990,MATCH(' TVA M'!A1473,'Base de données'!A$4:A$990,0),2),"")</f>
        <v/>
      </c>
      <c r="C1468" s="55" t="str">
        <f>IF(A1468&lt;&gt;"",INDEX('Base de données'!A$4:L$990,MATCH(' TVA M'!A1473,'Base de données'!A$4:A$990,0),12),"")</f>
        <v/>
      </c>
    </row>
    <row r="1469" spans="2:3" hidden="1" x14ac:dyDescent="0.25">
      <c r="B1469" s="55" t="str">
        <f>IF(A1469&lt;&gt;"",INDEX('Base de données'!A$4:L$990,MATCH(' TVA M'!A1474,'Base de données'!A$4:A$990,0),2),"")</f>
        <v/>
      </c>
      <c r="C1469" s="55" t="str">
        <f>IF(A1469&lt;&gt;"",INDEX('Base de données'!A$4:L$990,MATCH(' TVA M'!A1474,'Base de données'!A$4:A$990,0),12),"")</f>
        <v/>
      </c>
    </row>
    <row r="1470" spans="2:3" hidden="1" x14ac:dyDescent="0.25">
      <c r="B1470" s="55" t="str">
        <f>IF(A1470&lt;&gt;"",INDEX('Base de données'!A$4:L$990,MATCH(' TVA M'!A1475,'Base de données'!A$4:A$990,0),2),"")</f>
        <v/>
      </c>
      <c r="C1470" s="55" t="str">
        <f>IF(A1470&lt;&gt;"",INDEX('Base de données'!A$4:L$990,MATCH(' TVA M'!A1475,'Base de données'!A$4:A$990,0),12),"")</f>
        <v/>
      </c>
    </row>
    <row r="1471" spans="2:3" hidden="1" x14ac:dyDescent="0.25">
      <c r="B1471" s="55" t="str">
        <f>IF(A1471&lt;&gt;"",INDEX('Base de données'!A$4:L$990,MATCH(' TVA M'!A1476,'Base de données'!A$4:A$990,0),2),"")</f>
        <v/>
      </c>
      <c r="C1471" s="55" t="str">
        <f>IF(A1471&lt;&gt;"",INDEX('Base de données'!A$4:L$990,MATCH(' TVA M'!A1476,'Base de données'!A$4:A$990,0),12),"")</f>
        <v/>
      </c>
    </row>
    <row r="1472" spans="2:3" hidden="1" x14ac:dyDescent="0.25">
      <c r="B1472" s="55" t="str">
        <f>IF(A1472&lt;&gt;"",INDEX('Base de données'!A$4:L$990,MATCH(' TVA M'!A1477,'Base de données'!A$4:A$990,0),2),"")</f>
        <v/>
      </c>
      <c r="C1472" s="55" t="str">
        <f>IF(A1472&lt;&gt;"",INDEX('Base de données'!A$4:L$990,MATCH(' TVA M'!A1477,'Base de données'!A$4:A$990,0),12),"")</f>
        <v/>
      </c>
    </row>
    <row r="1473" spans="2:3" hidden="1" x14ac:dyDescent="0.25">
      <c r="B1473" s="55" t="str">
        <f>IF(A1473&lt;&gt;"",INDEX('Base de données'!A$4:L$990,MATCH(' TVA M'!A1478,'Base de données'!A$4:A$990,0),2),"")</f>
        <v/>
      </c>
      <c r="C1473" s="55" t="str">
        <f>IF(A1473&lt;&gt;"",INDEX('Base de données'!A$4:L$990,MATCH(' TVA M'!A1478,'Base de données'!A$4:A$990,0),12),"")</f>
        <v/>
      </c>
    </row>
    <row r="1474" spans="2:3" hidden="1" x14ac:dyDescent="0.25">
      <c r="B1474" s="55" t="str">
        <f>IF(A1474&lt;&gt;"",INDEX('Base de données'!A$4:L$990,MATCH(' TVA M'!A1479,'Base de données'!A$4:A$990,0),2),"")</f>
        <v/>
      </c>
      <c r="C1474" s="55" t="str">
        <f>IF(A1474&lt;&gt;"",INDEX('Base de données'!A$4:L$990,MATCH(' TVA M'!A1479,'Base de données'!A$4:A$990,0),12),"")</f>
        <v/>
      </c>
    </row>
    <row r="1475" spans="2:3" hidden="1" x14ac:dyDescent="0.25">
      <c r="B1475" s="55" t="str">
        <f>IF(A1475&lt;&gt;"",INDEX('Base de données'!A$4:L$990,MATCH(' TVA M'!A1480,'Base de données'!A$4:A$990,0),2),"")</f>
        <v/>
      </c>
      <c r="C1475" s="55" t="str">
        <f>IF(A1475&lt;&gt;"",INDEX('Base de données'!A$4:L$990,MATCH(' TVA M'!A1480,'Base de données'!A$4:A$990,0),12),"")</f>
        <v/>
      </c>
    </row>
    <row r="1476" spans="2:3" hidden="1" x14ac:dyDescent="0.25">
      <c r="B1476" s="55" t="str">
        <f>IF(A1476&lt;&gt;"",INDEX('Base de données'!A$4:L$990,MATCH(' TVA M'!A1481,'Base de données'!A$4:A$990,0),2),"")</f>
        <v/>
      </c>
      <c r="C1476" s="55" t="str">
        <f>IF(A1476&lt;&gt;"",INDEX('Base de données'!A$4:L$990,MATCH(' TVA M'!A1481,'Base de données'!A$4:A$990,0),12),"")</f>
        <v/>
      </c>
    </row>
    <row r="1477" spans="2:3" hidden="1" x14ac:dyDescent="0.25">
      <c r="B1477" s="55" t="str">
        <f>IF(A1477&lt;&gt;"",INDEX('Base de données'!A$4:L$990,MATCH(' TVA M'!A1482,'Base de données'!A$4:A$990,0),2),"")</f>
        <v/>
      </c>
      <c r="C1477" s="55" t="str">
        <f>IF(A1477&lt;&gt;"",INDEX('Base de données'!A$4:L$990,MATCH(' TVA M'!A1482,'Base de données'!A$4:A$990,0),12),"")</f>
        <v/>
      </c>
    </row>
    <row r="1478" spans="2:3" hidden="1" x14ac:dyDescent="0.25">
      <c r="B1478" s="55" t="str">
        <f>IF(A1478&lt;&gt;"",INDEX('Base de données'!A$4:L$990,MATCH(' TVA M'!A1483,'Base de données'!A$4:A$990,0),2),"")</f>
        <v/>
      </c>
      <c r="C1478" s="55" t="str">
        <f>IF(A1478&lt;&gt;"",INDEX('Base de données'!A$4:L$990,MATCH(' TVA M'!A1483,'Base de données'!A$4:A$990,0),12),"")</f>
        <v/>
      </c>
    </row>
    <row r="1479" spans="2:3" hidden="1" x14ac:dyDescent="0.25">
      <c r="B1479" s="55" t="str">
        <f>IF(A1479&lt;&gt;"",INDEX('Base de données'!A$4:L$990,MATCH(' TVA M'!A1484,'Base de données'!A$4:A$990,0),2),"")</f>
        <v/>
      </c>
      <c r="C1479" s="55" t="str">
        <f>IF(A1479&lt;&gt;"",INDEX('Base de données'!A$4:L$990,MATCH(' TVA M'!A1484,'Base de données'!A$4:A$990,0),12),"")</f>
        <v/>
      </c>
    </row>
    <row r="1480" spans="2:3" hidden="1" x14ac:dyDescent="0.25">
      <c r="B1480" s="55" t="str">
        <f>IF(A1480&lt;&gt;"",INDEX('Base de données'!A$4:L$990,MATCH(' TVA M'!A1485,'Base de données'!A$4:A$990,0),2),"")</f>
        <v/>
      </c>
      <c r="C1480" s="55" t="str">
        <f>IF(A1480&lt;&gt;"",INDEX('Base de données'!A$4:L$990,MATCH(' TVA M'!A1485,'Base de données'!A$4:A$990,0),12),"")</f>
        <v/>
      </c>
    </row>
    <row r="1481" spans="2:3" hidden="1" x14ac:dyDescent="0.25">
      <c r="B1481" s="55" t="str">
        <f>IF(A1481&lt;&gt;"",INDEX('Base de données'!A$4:L$990,MATCH(' TVA M'!A1486,'Base de données'!A$4:A$990,0),2),"")</f>
        <v/>
      </c>
      <c r="C1481" s="55" t="str">
        <f>IF(A1481&lt;&gt;"",INDEX('Base de données'!A$4:L$990,MATCH(' TVA M'!A1486,'Base de données'!A$4:A$990,0),12),"")</f>
        <v/>
      </c>
    </row>
    <row r="1482" spans="2:3" hidden="1" x14ac:dyDescent="0.25">
      <c r="B1482" s="55" t="str">
        <f>IF(A1482&lt;&gt;"",INDEX('Base de données'!A$4:L$990,MATCH(' TVA M'!A1487,'Base de données'!A$4:A$990,0),2),"")</f>
        <v/>
      </c>
      <c r="C1482" s="55" t="str">
        <f>IF(A1482&lt;&gt;"",INDEX('Base de données'!A$4:L$990,MATCH(' TVA M'!A1487,'Base de données'!A$4:A$990,0),12),"")</f>
        <v/>
      </c>
    </row>
    <row r="1483" spans="2:3" hidden="1" x14ac:dyDescent="0.25">
      <c r="B1483" s="55" t="str">
        <f>IF(A1483&lt;&gt;"",INDEX('Base de données'!A$4:L$990,MATCH(' TVA M'!A1488,'Base de données'!A$4:A$990,0),2),"")</f>
        <v/>
      </c>
      <c r="C1483" s="55" t="str">
        <f>IF(A1483&lt;&gt;"",INDEX('Base de données'!A$4:L$990,MATCH(' TVA M'!A1488,'Base de données'!A$4:A$990,0),12),"")</f>
        <v/>
      </c>
    </row>
    <row r="1484" spans="2:3" hidden="1" x14ac:dyDescent="0.25">
      <c r="B1484" s="55" t="str">
        <f>IF(A1484&lt;&gt;"",INDEX('Base de données'!A$4:L$990,MATCH(' TVA M'!A1489,'Base de données'!A$4:A$990,0),2),"")</f>
        <v/>
      </c>
      <c r="C1484" s="55" t="str">
        <f>IF(A1484&lt;&gt;"",INDEX('Base de données'!A$4:L$990,MATCH(' TVA M'!A1489,'Base de données'!A$4:A$990,0),12),"")</f>
        <v/>
      </c>
    </row>
    <row r="1485" spans="2:3" hidden="1" x14ac:dyDescent="0.25">
      <c r="B1485" s="55" t="str">
        <f>IF(A1485&lt;&gt;"",INDEX('Base de données'!A$4:L$990,MATCH(' TVA M'!A1490,'Base de données'!A$4:A$990,0),2),"")</f>
        <v/>
      </c>
      <c r="C1485" s="55" t="str">
        <f>IF(A1485&lt;&gt;"",INDEX('Base de données'!A$4:L$990,MATCH(' TVA M'!A1490,'Base de données'!A$4:A$990,0),12),"")</f>
        <v/>
      </c>
    </row>
    <row r="1486" spans="2:3" hidden="1" x14ac:dyDescent="0.25">
      <c r="B1486" s="55" t="str">
        <f>IF(A1486&lt;&gt;"",INDEX('Base de données'!A$4:L$990,MATCH(' TVA M'!A1491,'Base de données'!A$4:A$990,0),2),"")</f>
        <v/>
      </c>
      <c r="C1486" s="55" t="str">
        <f>IF(A1486&lt;&gt;"",INDEX('Base de données'!A$4:L$990,MATCH(' TVA M'!A1491,'Base de données'!A$4:A$990,0),12),"")</f>
        <v/>
      </c>
    </row>
    <row r="1487" spans="2:3" hidden="1" x14ac:dyDescent="0.25">
      <c r="B1487" s="55" t="str">
        <f>IF(A1487&lt;&gt;"",INDEX('Base de données'!A$4:L$990,MATCH(' TVA M'!A1492,'Base de données'!A$4:A$990,0),2),"")</f>
        <v/>
      </c>
      <c r="C1487" s="55" t="str">
        <f>IF(A1487&lt;&gt;"",INDEX('Base de données'!A$4:L$990,MATCH(' TVA M'!A1492,'Base de données'!A$4:A$990,0),12),"")</f>
        <v/>
      </c>
    </row>
    <row r="1488" spans="2:3" hidden="1" x14ac:dyDescent="0.25">
      <c r="B1488" s="55" t="str">
        <f>IF(A1488&lt;&gt;"",INDEX('Base de données'!A$4:L$990,MATCH(' TVA M'!A1493,'Base de données'!A$4:A$990,0),2),"")</f>
        <v/>
      </c>
      <c r="C1488" s="55" t="str">
        <f>IF(A1488&lt;&gt;"",INDEX('Base de données'!A$4:L$990,MATCH(' TVA M'!A1493,'Base de données'!A$4:A$990,0),12),"")</f>
        <v/>
      </c>
    </row>
    <row r="1489" spans="2:18" hidden="1" x14ac:dyDescent="0.25">
      <c r="B1489" s="55" t="str">
        <f>IF(A1489&lt;&gt;"",INDEX('Base de données'!A$4:L$990,MATCH(' TVA M'!A1494,'Base de données'!A$4:A$990,0),2),"")</f>
        <v/>
      </c>
      <c r="C1489" s="55" t="str">
        <f>IF(A1489&lt;&gt;"",INDEX('Base de données'!A$4:L$990,MATCH(' TVA M'!A1494,'Base de données'!A$4:A$990,0),12),"")</f>
        <v/>
      </c>
    </row>
    <row r="1490" spans="2:18" hidden="1" x14ac:dyDescent="0.25">
      <c r="B1490" s="55" t="str">
        <f>IF(A1490&lt;&gt;"",INDEX('Base de données'!A$4:L$990,MATCH(' TVA M'!A1495,'Base de données'!A$4:A$990,0),2),"")</f>
        <v/>
      </c>
      <c r="C1490" s="55" t="str">
        <f>IF(A1490&lt;&gt;"",INDEX('Base de données'!A$4:L$990,MATCH(' TVA M'!A1495,'Base de données'!A$4:A$990,0),12),"")</f>
        <v/>
      </c>
    </row>
    <row r="1491" spans="2:18" hidden="1" x14ac:dyDescent="0.25">
      <c r="B1491" s="55" t="str">
        <f>IF(A1491&lt;&gt;"",INDEX('Base de données'!A$4:L$990,MATCH(' TVA M'!A1496,'Base de données'!A$4:A$990,0),2),"")</f>
        <v/>
      </c>
      <c r="C1491" s="55" t="str">
        <f>IF(A1491&lt;&gt;"",INDEX('Base de données'!A$4:L$990,MATCH(' TVA M'!A1496,'Base de données'!A$4:A$990,0),12),"")</f>
        <v/>
      </c>
    </row>
    <row r="1492" spans="2:18" hidden="1" x14ac:dyDescent="0.25">
      <c r="B1492" s="55" t="str">
        <f>IF(A1492&lt;&gt;"",INDEX('Base de données'!A$4:L$990,MATCH(' TVA M'!A1497,'Base de données'!A$4:A$990,0),2),"")</f>
        <v/>
      </c>
      <c r="C1492" s="55" t="str">
        <f>IF(A1492&lt;&gt;"",INDEX('Base de données'!A$4:L$990,MATCH(' TVA M'!A1497,'Base de données'!A$4:A$990,0),12),"")</f>
        <v/>
      </c>
    </row>
    <row r="1493" spans="2:18" hidden="1" x14ac:dyDescent="0.25">
      <c r="B1493" s="55" t="str">
        <f>IF(A1493&lt;&gt;"",INDEX('Base de données'!A$4:L$990,MATCH(' TVA M'!A1498,'Base de données'!A$4:A$990,0),2),"")</f>
        <v/>
      </c>
      <c r="C1493" s="55" t="str">
        <f>IF(A1493&lt;&gt;"",INDEX('Base de données'!A$4:L$990,MATCH(' TVA M'!A1498,'Base de données'!A$4:A$990,0),12),"")</f>
        <v/>
      </c>
    </row>
    <row r="1494" spans="2:18" hidden="1" x14ac:dyDescent="0.25">
      <c r="B1494" s="55" t="str">
        <f>IF(A1494&lt;&gt;"",INDEX('Base de données'!A$4:L$990,MATCH(' TVA M'!A1499,'Base de données'!A$4:A$990,0),2),"")</f>
        <v/>
      </c>
      <c r="C1494" s="55" t="str">
        <f>IF(A1494&lt;&gt;"",INDEX('Base de données'!A$4:L$990,MATCH(' TVA M'!A1499,'Base de données'!A$4:A$990,0),12),"")</f>
        <v/>
      </c>
    </row>
    <row r="1495" spans="2:18" hidden="1" x14ac:dyDescent="0.25">
      <c r="B1495" s="55" t="str">
        <f>IF(A1495&lt;&gt;"",INDEX('Base de données'!A$4:L$990,MATCH(' TVA M'!A1500,'Base de données'!A$4:A$990,0),2),"")</f>
        <v/>
      </c>
      <c r="C1495" s="55" t="str">
        <f>IF(A1495&lt;&gt;"",INDEX('Base de données'!A$4:L$990,MATCH(' TVA M'!A1500,'Base de données'!A$4:A$990,0),12),"")</f>
        <v/>
      </c>
    </row>
    <row r="1496" spans="2:18" hidden="1" x14ac:dyDescent="0.25">
      <c r="B1496" s="55" t="str">
        <f>IF(A1496&lt;&gt;"",INDEX('Base de données'!A$4:L$990,MATCH(' TVA M'!A1501,'Base de données'!A$4:A$990,0),2),"")</f>
        <v/>
      </c>
      <c r="C1496" s="55" t="str">
        <f>IF(A1496&lt;&gt;"",INDEX('Base de données'!A$4:L$990,MATCH(' TVA M'!A1501,'Base de données'!A$4:A$990,0),12),"")</f>
        <v/>
      </c>
    </row>
    <row r="1497" spans="2:18" hidden="1" x14ac:dyDescent="0.25">
      <c r="B1497" s="55" t="str">
        <f>IF(A1497&lt;&gt;"",INDEX('Base de données'!A$4:L$990,MATCH(' TVA M'!A1502,'Base de données'!A$4:A$990,0),2),"")</f>
        <v/>
      </c>
      <c r="C1497" s="55" t="str">
        <f>IF(A1497&lt;&gt;"",INDEX('Base de données'!A$4:L$990,MATCH(' TVA M'!A1502,'Base de données'!A$4:A$990,0),12),"")</f>
        <v/>
      </c>
    </row>
    <row r="1498" spans="2:18" hidden="1" x14ac:dyDescent="0.25">
      <c r="B1498" s="55" t="str">
        <f>IF(A1498&lt;&gt;"",INDEX('Base de données'!A$4:L$990,MATCH(' TVA M'!A1503,'Base de données'!A$4:A$990,0),2),"")</f>
        <v/>
      </c>
      <c r="C1498" s="55" t="str">
        <f>IF(A1498&lt;&gt;"",INDEX('Base de données'!A$4:L$990,MATCH(' TVA M'!A1503,'Base de données'!A$4:A$990,0),12),"")</f>
        <v/>
      </c>
    </row>
    <row r="1499" spans="2:18" hidden="1" x14ac:dyDescent="0.25">
      <c r="B1499" s="55" t="str">
        <f>IF(A1499&lt;&gt;"",INDEX('Base de données'!A$4:L$990,MATCH(' TVA M'!A1504,'Base de données'!A$4:A$990,0),2),"")</f>
        <v/>
      </c>
      <c r="C1499" s="55" t="str">
        <f>IF(A1499&lt;&gt;"",INDEX('Base de données'!A$4:L$990,MATCH(' TVA M'!A1504,'Base de données'!A$4:A$990,0),12),"")</f>
        <v/>
      </c>
    </row>
    <row r="1500" spans="2:18" hidden="1" x14ac:dyDescent="0.25">
      <c r="B1500" s="55" t="str">
        <f>IF(A1500&lt;&gt;"",INDEX('Base de données'!A$4:L$990,MATCH(' TVA M'!A1505,'Base de données'!A$4:A$990,0),2),"")</f>
        <v/>
      </c>
      <c r="C1500" s="55" t="str">
        <f>IF(A1500&lt;&gt;"",INDEX('Base de données'!A$4:L$990,MATCH(' TVA M'!A1505,'Base de données'!A$4:A$990,0),12),"")</f>
        <v/>
      </c>
      <c r="P1500" s="2"/>
    </row>
    <row r="1501" spans="2:18" hidden="1" x14ac:dyDescent="0.25">
      <c r="B1501" s="55" t="str">
        <f>IF(A1501&lt;&gt;"",INDEX('Base de données'!A$4:L$990,MATCH(' TVA M'!A1506,'Base de données'!A$4:A$990,0),2),"")</f>
        <v/>
      </c>
      <c r="C1501" s="55" t="str">
        <f>IF(A1501&lt;&gt;"",INDEX('Base de données'!A$4:L$990,MATCH(' TVA M'!A1506,'Base de données'!A$4:A$990,0),12),"")</f>
        <v/>
      </c>
    </row>
    <row r="1502" spans="2:18" hidden="1" x14ac:dyDescent="0.25">
      <c r="B1502" s="55" t="str">
        <f>IF(A1502&lt;&gt;"",INDEX('Base de données'!A$4:L$990,MATCH(' TVA M'!A1507,'Base de données'!A$4:A$990,0),2),"")</f>
        <v/>
      </c>
      <c r="C1502" s="55" t="str">
        <f>IF(A1502&lt;&gt;"",INDEX('Base de données'!A$4:L$990,MATCH(' TVA M'!A1507,'Base de données'!A$4:A$990,0),12),"")</f>
        <v/>
      </c>
      <c r="P1502" s="2"/>
    </row>
    <row r="1503" spans="2:18" hidden="1" x14ac:dyDescent="0.25">
      <c r="B1503" s="55" t="str">
        <f>IF(A1503&lt;&gt;"",INDEX('Base de données'!A$4:L$990,MATCH(' TVA M'!A1508,'Base de données'!A$4:A$990,0),2),"")</f>
        <v/>
      </c>
      <c r="C1503" s="55" t="str">
        <f>IF(A1503&lt;&gt;"",INDEX('Base de données'!A$4:L$990,MATCH(' TVA M'!A1508,'Base de données'!A$4:A$990,0),12),"")</f>
        <v/>
      </c>
      <c r="L1503" s="2"/>
      <c r="P1503" s="2"/>
      <c r="R1503" s="2"/>
    </row>
    <row r="1504" spans="2:18" hidden="1" x14ac:dyDescent="0.25">
      <c r="B1504" s="55" t="str">
        <f>IF(A1504&lt;&gt;"",INDEX('Base de données'!A$4:L$990,MATCH(' TVA M'!A1509,'Base de données'!A$4:A$990,0),2),"")</f>
        <v/>
      </c>
      <c r="C1504" s="55" t="str">
        <f>IF(A1504&lt;&gt;"",INDEX('Base de données'!A$4:L$990,MATCH(' TVA M'!A1509,'Base de données'!A$4:A$990,0),12),"")</f>
        <v/>
      </c>
    </row>
    <row r="1505" spans="2:3" hidden="1" x14ac:dyDescent="0.25">
      <c r="B1505" s="55" t="str">
        <f>IF(A1505&lt;&gt;"",INDEX('Base de données'!A$4:L$990,MATCH(' TVA M'!A1510,'Base de données'!A$4:A$990,0),2),"")</f>
        <v/>
      </c>
      <c r="C1505" s="55" t="str">
        <f>IF(A1505&lt;&gt;"",INDEX('Base de données'!A$4:L$990,MATCH(' TVA M'!A1510,'Base de données'!A$4:A$990,0),12),"")</f>
        <v/>
      </c>
    </row>
    <row r="1506" spans="2:3" hidden="1" x14ac:dyDescent="0.25">
      <c r="B1506" s="55" t="str">
        <f>IF(A1506&lt;&gt;"",INDEX('Base de données'!A$4:L$990,MATCH(' TVA M'!A1511,'Base de données'!A$4:A$990,0),2),"")</f>
        <v/>
      </c>
      <c r="C1506" s="55" t="str">
        <f>IF(A1506&lt;&gt;"",INDEX('Base de données'!A$4:L$990,MATCH(' TVA M'!A1511,'Base de données'!A$4:A$990,0),12),"")</f>
        <v/>
      </c>
    </row>
    <row r="1507" spans="2:3" hidden="1" x14ac:dyDescent="0.25">
      <c r="B1507" s="55" t="str">
        <f>IF(A1507&lt;&gt;"",INDEX('Base de données'!A$4:L$990,MATCH(' TVA M'!A1512,'Base de données'!A$4:A$990,0),2),"")</f>
        <v/>
      </c>
      <c r="C1507" s="55" t="str">
        <f>IF(A1507&lt;&gt;"",INDEX('Base de données'!A$4:L$990,MATCH(' TVA M'!A1512,'Base de données'!A$4:A$990,0),12),"")</f>
        <v/>
      </c>
    </row>
    <row r="1508" spans="2:3" hidden="1" x14ac:dyDescent="0.25">
      <c r="B1508" s="55" t="str">
        <f>IF(A1508&lt;&gt;"",INDEX('Base de données'!A$4:L$990,MATCH(' TVA M'!A1513,'Base de données'!A$4:A$990,0),2),"")</f>
        <v/>
      </c>
      <c r="C1508" s="55" t="str">
        <f>IF(A1508&lt;&gt;"",INDEX('Base de données'!A$4:L$990,MATCH(' TVA M'!A1513,'Base de données'!A$4:A$990,0),12),"")</f>
        <v/>
      </c>
    </row>
    <row r="1509" spans="2:3" hidden="1" x14ac:dyDescent="0.25">
      <c r="B1509" s="55" t="str">
        <f>IF(A1509&lt;&gt;"",INDEX('Base de données'!A$4:L$990,MATCH(' TVA M'!A1514,'Base de données'!A$4:A$990,0),2),"")</f>
        <v/>
      </c>
      <c r="C1509" s="55" t="str">
        <f>IF(A1509&lt;&gt;"",INDEX('Base de données'!A$4:L$990,MATCH(' TVA M'!A1514,'Base de données'!A$4:A$990,0),12),"")</f>
        <v/>
      </c>
    </row>
    <row r="1510" spans="2:3" hidden="1" x14ac:dyDescent="0.25">
      <c r="B1510" s="55" t="str">
        <f>IF(A1510&lt;&gt;"",INDEX('Base de données'!A$4:L$990,MATCH(' TVA M'!A1515,'Base de données'!A$4:A$990,0),2),"")</f>
        <v/>
      </c>
      <c r="C1510" s="55" t="str">
        <f>IF(A1510&lt;&gt;"",INDEX('Base de données'!A$4:L$990,MATCH(' TVA M'!A1515,'Base de données'!A$4:A$990,0),12),"")</f>
        <v/>
      </c>
    </row>
    <row r="1511" spans="2:3" hidden="1" x14ac:dyDescent="0.25">
      <c r="B1511" s="55" t="str">
        <f>IF(A1511&lt;&gt;"",INDEX('Base de données'!A$4:L$990,MATCH(' TVA M'!A1516,'Base de données'!A$4:A$990,0),2),"")</f>
        <v/>
      </c>
      <c r="C1511" s="55" t="str">
        <f>IF(A1511&lt;&gt;"",INDEX('Base de données'!A$4:L$990,MATCH(' TVA M'!A1516,'Base de données'!A$4:A$990,0),12),"")</f>
        <v/>
      </c>
    </row>
    <row r="1512" spans="2:3" hidden="1" x14ac:dyDescent="0.25">
      <c r="B1512" s="55" t="str">
        <f>IF(A1512&lt;&gt;"",INDEX('Base de données'!A$4:L$990,MATCH(' TVA M'!A1517,'Base de données'!A$4:A$990,0),2),"")</f>
        <v/>
      </c>
      <c r="C1512" s="55" t="str">
        <f>IF(A1512&lt;&gt;"",INDEX('Base de données'!A$4:L$990,MATCH(' TVA M'!A1517,'Base de données'!A$4:A$990,0),12),"")</f>
        <v/>
      </c>
    </row>
    <row r="1513" spans="2:3" hidden="1" x14ac:dyDescent="0.25">
      <c r="B1513" s="55" t="str">
        <f>IF(A1513&lt;&gt;"",INDEX('Base de données'!A$4:L$990,MATCH(' TVA M'!A1518,'Base de données'!A$4:A$990,0),2),"")</f>
        <v/>
      </c>
      <c r="C1513" s="55" t="str">
        <f>IF(A1513&lt;&gt;"",INDEX('Base de données'!A$4:L$990,MATCH(' TVA M'!A1518,'Base de données'!A$4:A$990,0),12),"")</f>
        <v/>
      </c>
    </row>
    <row r="1514" spans="2:3" hidden="1" x14ac:dyDescent="0.25">
      <c r="B1514" s="55" t="str">
        <f>IF(A1514&lt;&gt;"",INDEX('Base de données'!A$4:L$990,MATCH(' TVA M'!A1519,'Base de données'!A$4:A$990,0),2),"")</f>
        <v/>
      </c>
      <c r="C1514" s="55" t="str">
        <f>IF(A1514&lt;&gt;"",INDEX('Base de données'!A$4:L$990,MATCH(' TVA M'!A1519,'Base de données'!A$4:A$990,0),12),"")</f>
        <v/>
      </c>
    </row>
    <row r="1515" spans="2:3" hidden="1" x14ac:dyDescent="0.25">
      <c r="B1515" s="55" t="str">
        <f>IF(A1515&lt;&gt;"",INDEX('Base de données'!A$4:L$990,MATCH(' TVA M'!A1520,'Base de données'!A$4:A$990,0),2),"")</f>
        <v/>
      </c>
      <c r="C1515" s="55" t="str">
        <f>IF(A1515&lt;&gt;"",INDEX('Base de données'!A$4:L$990,MATCH(' TVA M'!A1520,'Base de données'!A$4:A$990,0),12),"")</f>
        <v/>
      </c>
    </row>
    <row r="1516" spans="2:3" hidden="1" x14ac:dyDescent="0.25">
      <c r="B1516" s="55" t="str">
        <f>IF(A1516&lt;&gt;"",INDEX('Base de données'!A$4:L$990,MATCH(' TVA M'!A1521,'Base de données'!A$4:A$990,0),2),"")</f>
        <v/>
      </c>
      <c r="C1516" s="55" t="str">
        <f>IF(A1516&lt;&gt;"",INDEX('Base de données'!A$4:L$990,MATCH(' TVA M'!A1521,'Base de données'!A$4:A$990,0),12),"")</f>
        <v/>
      </c>
    </row>
    <row r="1517" spans="2:3" hidden="1" x14ac:dyDescent="0.25">
      <c r="B1517" s="55" t="str">
        <f>IF(A1517&lt;&gt;"",INDEX('Base de données'!A$4:L$990,MATCH(' TVA M'!A1522,'Base de données'!A$4:A$990,0),2),"")</f>
        <v/>
      </c>
      <c r="C1517" s="55" t="str">
        <f>IF(A1517&lt;&gt;"",INDEX('Base de données'!A$4:L$990,MATCH(' TVA M'!A1522,'Base de données'!A$4:A$990,0),12),"")</f>
        <v/>
      </c>
    </row>
    <row r="1518" spans="2:3" hidden="1" x14ac:dyDescent="0.25">
      <c r="B1518" s="55" t="str">
        <f>IF(A1518&lt;&gt;"",INDEX('Base de données'!A$4:L$990,MATCH(' TVA M'!A1523,'Base de données'!A$4:A$990,0),2),"")</f>
        <v/>
      </c>
      <c r="C1518" s="55" t="str">
        <f>IF(A1518&lt;&gt;"",INDEX('Base de données'!A$4:L$990,MATCH(' TVA M'!A1523,'Base de données'!A$4:A$990,0),12),"")</f>
        <v/>
      </c>
    </row>
    <row r="1519" spans="2:3" hidden="1" x14ac:dyDescent="0.25">
      <c r="B1519" s="55" t="str">
        <f>IF(A1519&lt;&gt;"",INDEX('Base de données'!A$4:L$990,MATCH(' TVA M'!A1524,'Base de données'!A$4:A$990,0),2),"")</f>
        <v/>
      </c>
      <c r="C1519" s="55" t="str">
        <f>IF(A1519&lt;&gt;"",INDEX('Base de données'!A$4:L$990,MATCH(' TVA M'!A1524,'Base de données'!A$4:A$990,0),12),"")</f>
        <v/>
      </c>
    </row>
    <row r="1520" spans="2:3" hidden="1" x14ac:dyDescent="0.25">
      <c r="B1520" s="55" t="str">
        <f>IF(A1520&lt;&gt;"",INDEX('Base de données'!A$4:L$990,MATCH(' TVA M'!A1525,'Base de données'!A$4:A$990,0),2),"")</f>
        <v/>
      </c>
      <c r="C1520" s="55" t="str">
        <f>IF(A1520&lt;&gt;"",INDEX('Base de données'!A$4:L$990,MATCH(' TVA M'!A1525,'Base de données'!A$4:A$990,0),12),"")</f>
        <v/>
      </c>
    </row>
    <row r="1521" spans="2:3" hidden="1" x14ac:dyDescent="0.25">
      <c r="B1521" s="55" t="str">
        <f>IF(A1521&lt;&gt;"",INDEX('Base de données'!A$4:L$990,MATCH(' TVA M'!A1526,'Base de données'!A$4:A$990,0),2),"")</f>
        <v/>
      </c>
      <c r="C1521" s="55" t="str">
        <f>IF(A1521&lt;&gt;"",INDEX('Base de données'!A$4:L$990,MATCH(' TVA M'!A1526,'Base de données'!A$4:A$990,0),12),"")</f>
        <v/>
      </c>
    </row>
    <row r="1522" spans="2:3" hidden="1" x14ac:dyDescent="0.25">
      <c r="B1522" s="55" t="str">
        <f>IF(A1522&lt;&gt;"",INDEX('Base de données'!A$4:L$990,MATCH(' TVA M'!A1527,'Base de données'!A$4:A$990,0),2),"")</f>
        <v/>
      </c>
      <c r="C1522" s="55" t="str">
        <f>IF(A1522&lt;&gt;"",INDEX('Base de données'!A$4:L$990,MATCH(' TVA M'!A1527,'Base de données'!A$4:A$990,0),12),"")</f>
        <v/>
      </c>
    </row>
    <row r="1523" spans="2:3" hidden="1" x14ac:dyDescent="0.25">
      <c r="B1523" s="55" t="str">
        <f>IF(A1523&lt;&gt;"",INDEX('Base de données'!A$4:L$990,MATCH(' TVA M'!A1528,'Base de données'!A$4:A$990,0),2),"")</f>
        <v/>
      </c>
      <c r="C1523" s="55" t="str">
        <f>IF(A1523&lt;&gt;"",INDEX('Base de données'!A$4:L$990,MATCH(' TVA M'!A1528,'Base de données'!A$4:A$990,0),12),"")</f>
        <v/>
      </c>
    </row>
    <row r="1524" spans="2:3" hidden="1" x14ac:dyDescent="0.25">
      <c r="B1524" s="55" t="str">
        <f>IF(A1524&lt;&gt;"",INDEX('Base de données'!A$4:L$990,MATCH(' TVA M'!A1529,'Base de données'!A$4:A$990,0),2),"")</f>
        <v/>
      </c>
      <c r="C1524" s="55" t="str">
        <f>IF(A1524&lt;&gt;"",INDEX('Base de données'!A$4:L$990,MATCH(' TVA M'!A1529,'Base de données'!A$4:A$990,0),12),"")</f>
        <v/>
      </c>
    </row>
    <row r="1525" spans="2:3" hidden="1" x14ac:dyDescent="0.25">
      <c r="B1525" s="55" t="str">
        <f>IF(A1525&lt;&gt;"",INDEX('Base de données'!A$4:L$990,MATCH(' TVA M'!A1530,'Base de données'!A$4:A$990,0),2),"")</f>
        <v/>
      </c>
      <c r="C1525" s="55" t="str">
        <f>IF(A1525&lt;&gt;"",INDEX('Base de données'!A$4:L$990,MATCH(' TVA M'!A1530,'Base de données'!A$4:A$990,0),12),"")</f>
        <v/>
      </c>
    </row>
    <row r="1526" spans="2:3" hidden="1" x14ac:dyDescent="0.25">
      <c r="B1526" s="55" t="str">
        <f>IF(A1526&lt;&gt;"",INDEX('Base de données'!A$4:L$990,MATCH(' TVA M'!A1531,'Base de données'!A$4:A$990,0),2),"")</f>
        <v/>
      </c>
      <c r="C1526" s="55" t="str">
        <f>IF(A1526&lt;&gt;"",INDEX('Base de données'!A$4:L$990,MATCH(' TVA M'!A1531,'Base de données'!A$4:A$990,0),12),"")</f>
        <v/>
      </c>
    </row>
    <row r="1527" spans="2:3" hidden="1" x14ac:dyDescent="0.25">
      <c r="B1527" s="55" t="str">
        <f>IF(A1527&lt;&gt;"",INDEX('Base de données'!A$4:L$990,MATCH(' TVA M'!A1532,'Base de données'!A$4:A$990,0),2),"")</f>
        <v/>
      </c>
      <c r="C1527" s="55" t="str">
        <f>IF(A1527&lt;&gt;"",INDEX('Base de données'!A$4:L$990,MATCH(' TVA M'!A1532,'Base de données'!A$4:A$990,0),12),"")</f>
        <v/>
      </c>
    </row>
    <row r="1528" spans="2:3" hidden="1" x14ac:dyDescent="0.25">
      <c r="B1528" s="55" t="str">
        <f>IF(A1528&lt;&gt;"",INDEX('Base de données'!A$4:L$990,MATCH(' TVA M'!A1533,'Base de données'!A$4:A$990,0),2),"")</f>
        <v/>
      </c>
      <c r="C1528" s="55" t="str">
        <f>IF(A1528&lt;&gt;"",INDEX('Base de données'!A$4:L$990,MATCH(' TVA M'!A1533,'Base de données'!A$4:A$990,0),12),"")</f>
        <v/>
      </c>
    </row>
    <row r="1529" spans="2:3" hidden="1" x14ac:dyDescent="0.25">
      <c r="B1529" s="55" t="str">
        <f>IF(A1529&lt;&gt;"",INDEX('Base de données'!A$4:L$990,MATCH(' TVA M'!A1534,'Base de données'!A$4:A$990,0),2),"")</f>
        <v/>
      </c>
      <c r="C1529" s="55" t="str">
        <f>IF(A1529&lt;&gt;"",INDEX('Base de données'!A$4:L$990,MATCH(' TVA M'!A1534,'Base de données'!A$4:A$990,0),12),"")</f>
        <v/>
      </c>
    </row>
    <row r="1530" spans="2:3" hidden="1" x14ac:dyDescent="0.25">
      <c r="B1530" s="55" t="str">
        <f>IF(A1530&lt;&gt;"",INDEX('Base de données'!A$4:L$990,MATCH(' TVA M'!A1535,'Base de données'!A$4:A$990,0),2),"")</f>
        <v/>
      </c>
      <c r="C1530" s="55" t="str">
        <f>IF(A1530&lt;&gt;"",INDEX('Base de données'!A$4:L$990,MATCH(' TVA M'!A1535,'Base de données'!A$4:A$990,0),12),"")</f>
        <v/>
      </c>
    </row>
    <row r="1531" spans="2:3" hidden="1" x14ac:dyDescent="0.25">
      <c r="B1531" s="55" t="str">
        <f>IF(A1531&lt;&gt;"",INDEX('Base de données'!A$4:L$990,MATCH(' TVA M'!A1536,'Base de données'!A$4:A$990,0),2),"")</f>
        <v/>
      </c>
      <c r="C1531" s="55" t="str">
        <f>IF(A1531&lt;&gt;"",INDEX('Base de données'!A$4:L$990,MATCH(' TVA M'!A1536,'Base de données'!A$4:A$990,0),12),"")</f>
        <v/>
      </c>
    </row>
    <row r="1532" spans="2:3" hidden="1" x14ac:dyDescent="0.25">
      <c r="B1532" s="55" t="str">
        <f>IF(A1532&lt;&gt;"",INDEX('Base de données'!A$4:L$990,MATCH(' TVA M'!A1537,'Base de données'!A$4:A$990,0),2),"")</f>
        <v/>
      </c>
      <c r="C1532" s="55" t="str">
        <f>IF(A1532&lt;&gt;"",INDEX('Base de données'!A$4:L$990,MATCH(' TVA M'!A1537,'Base de données'!A$4:A$990,0),12),"")</f>
        <v/>
      </c>
    </row>
    <row r="1533" spans="2:3" hidden="1" x14ac:dyDescent="0.25">
      <c r="B1533" s="55" t="str">
        <f>IF(A1533&lt;&gt;"",INDEX('Base de données'!A$4:L$990,MATCH(' TVA M'!A1538,'Base de données'!A$4:A$990,0),2),"")</f>
        <v/>
      </c>
      <c r="C1533" s="55" t="str">
        <f>IF(A1533&lt;&gt;"",INDEX('Base de données'!A$4:L$990,MATCH(' TVA M'!A1538,'Base de données'!A$4:A$990,0),12),"")</f>
        <v/>
      </c>
    </row>
    <row r="1534" spans="2:3" hidden="1" x14ac:dyDescent="0.25">
      <c r="B1534" s="55" t="str">
        <f>IF(A1534&lt;&gt;"",INDEX('Base de données'!A$4:L$990,MATCH(' TVA M'!A1539,'Base de données'!A$4:A$990,0),2),"")</f>
        <v/>
      </c>
      <c r="C1534" s="55" t="str">
        <f>IF(A1534&lt;&gt;"",INDEX('Base de données'!A$4:L$990,MATCH(' TVA M'!A1539,'Base de données'!A$4:A$990,0),12),"")</f>
        <v/>
      </c>
    </row>
    <row r="1535" spans="2:3" hidden="1" x14ac:dyDescent="0.25">
      <c r="B1535" s="55" t="str">
        <f>IF(A1535&lt;&gt;"",INDEX('Base de données'!A$4:L$990,MATCH(' TVA M'!A1540,'Base de données'!A$4:A$990,0),2),"")</f>
        <v/>
      </c>
      <c r="C1535" s="55" t="str">
        <f>IF(A1535&lt;&gt;"",INDEX('Base de données'!A$4:L$990,MATCH(' TVA M'!A1540,'Base de données'!A$4:A$990,0),12),"")</f>
        <v/>
      </c>
    </row>
    <row r="1536" spans="2:3" hidden="1" x14ac:dyDescent="0.25">
      <c r="B1536" s="55" t="str">
        <f>IF(A1536&lt;&gt;"",INDEX('Base de données'!A$4:L$990,MATCH(' TVA M'!A1541,'Base de données'!A$4:A$990,0),2),"")</f>
        <v/>
      </c>
      <c r="C1536" s="55" t="str">
        <f>IF(A1536&lt;&gt;"",INDEX('Base de données'!A$4:L$990,MATCH(' TVA M'!A1541,'Base de données'!A$4:A$990,0),12),"")</f>
        <v/>
      </c>
    </row>
    <row r="1537" spans="2:3" hidden="1" x14ac:dyDescent="0.25">
      <c r="B1537" s="55" t="str">
        <f>IF(A1537&lt;&gt;"",INDEX('Base de données'!A$4:L$990,MATCH(' TVA M'!A1542,'Base de données'!A$4:A$990,0),2),"")</f>
        <v/>
      </c>
      <c r="C1537" s="55" t="str">
        <f>IF(A1537&lt;&gt;"",INDEX('Base de données'!A$4:L$990,MATCH(' TVA M'!A1542,'Base de données'!A$4:A$990,0),12),"")</f>
        <v/>
      </c>
    </row>
    <row r="1538" spans="2:3" hidden="1" x14ac:dyDescent="0.25">
      <c r="B1538" s="55" t="str">
        <f>IF(A1538&lt;&gt;"",INDEX('Base de données'!A$4:L$990,MATCH(' TVA M'!A1543,'Base de données'!A$4:A$990,0),2),"")</f>
        <v/>
      </c>
      <c r="C1538" s="55" t="str">
        <f>IF(A1538&lt;&gt;"",INDEX('Base de données'!A$4:L$990,MATCH(' TVA M'!A1543,'Base de données'!A$4:A$990,0),12),"")</f>
        <v/>
      </c>
    </row>
    <row r="1539" spans="2:3" hidden="1" x14ac:dyDescent="0.25">
      <c r="B1539" s="55" t="str">
        <f>IF(A1539&lt;&gt;"",INDEX('Base de données'!A$4:L$990,MATCH(' TVA M'!A1544,'Base de données'!A$4:A$990,0),2),"")</f>
        <v/>
      </c>
      <c r="C1539" s="55" t="str">
        <f>IF(A1539&lt;&gt;"",INDEX('Base de données'!A$4:L$990,MATCH(' TVA M'!A1544,'Base de données'!A$4:A$990,0),12),"")</f>
        <v/>
      </c>
    </row>
    <row r="1540" spans="2:3" hidden="1" x14ac:dyDescent="0.25">
      <c r="B1540" s="55" t="str">
        <f>IF(A1540&lt;&gt;"",INDEX('Base de données'!A$4:L$990,MATCH(' TVA M'!A1545,'Base de données'!A$4:A$990,0),2),"")</f>
        <v/>
      </c>
      <c r="C1540" s="55" t="str">
        <f>IF(A1540&lt;&gt;"",INDEX('Base de données'!A$4:L$990,MATCH(' TVA M'!A1545,'Base de données'!A$4:A$990,0),12),"")</f>
        <v/>
      </c>
    </row>
    <row r="1541" spans="2:3" hidden="1" x14ac:dyDescent="0.25">
      <c r="B1541" s="55" t="str">
        <f>IF(A1541&lt;&gt;"",INDEX('Base de données'!A$4:L$990,MATCH(' TVA M'!A1546,'Base de données'!A$4:A$990,0),2),"")</f>
        <v/>
      </c>
      <c r="C1541" s="55" t="str">
        <f>IF(A1541&lt;&gt;"",INDEX('Base de données'!A$4:L$990,MATCH(' TVA M'!A1546,'Base de données'!A$4:A$990,0),12),"")</f>
        <v/>
      </c>
    </row>
    <row r="1542" spans="2:3" hidden="1" x14ac:dyDescent="0.25">
      <c r="B1542" s="55" t="str">
        <f>IF(A1542&lt;&gt;"",INDEX('Base de données'!A$4:L$990,MATCH(' TVA M'!A1547,'Base de données'!A$4:A$990,0),2),"")</f>
        <v/>
      </c>
      <c r="C1542" s="55" t="str">
        <f>IF(A1542&lt;&gt;"",INDEX('Base de données'!A$4:L$990,MATCH(' TVA M'!A1547,'Base de données'!A$4:A$990,0),12),"")</f>
        <v/>
      </c>
    </row>
    <row r="1543" spans="2:3" hidden="1" x14ac:dyDescent="0.25">
      <c r="B1543" s="55" t="str">
        <f>IF(A1543&lt;&gt;"",INDEX('Base de données'!A$4:L$990,MATCH(' TVA M'!A1548,'Base de données'!A$4:A$990,0),2),"")</f>
        <v/>
      </c>
      <c r="C1543" s="55" t="str">
        <f>IF(A1543&lt;&gt;"",INDEX('Base de données'!A$4:L$990,MATCH(' TVA M'!A1548,'Base de données'!A$4:A$990,0),12),"")</f>
        <v/>
      </c>
    </row>
    <row r="1544" spans="2:3" hidden="1" x14ac:dyDescent="0.25">
      <c r="B1544" s="55" t="str">
        <f>IF(A1544&lt;&gt;"",INDEX('Base de données'!A$4:L$990,MATCH(' TVA M'!A1549,'Base de données'!A$4:A$990,0),2),"")</f>
        <v/>
      </c>
      <c r="C1544" s="55" t="str">
        <f>IF(A1544&lt;&gt;"",INDEX('Base de données'!A$4:L$990,MATCH(' TVA M'!A1549,'Base de données'!A$4:A$990,0),12),"")</f>
        <v/>
      </c>
    </row>
    <row r="1545" spans="2:3" hidden="1" x14ac:dyDescent="0.25">
      <c r="B1545" s="55" t="str">
        <f>IF(A1545&lt;&gt;"",INDEX('Base de données'!A$4:L$990,MATCH(' TVA M'!A1550,'Base de données'!A$4:A$990,0),2),"")</f>
        <v/>
      </c>
      <c r="C1545" s="55" t="str">
        <f>IF(A1545&lt;&gt;"",INDEX('Base de données'!A$4:L$990,MATCH(' TVA M'!A1550,'Base de données'!A$4:A$990,0),12),"")</f>
        <v/>
      </c>
    </row>
    <row r="1546" spans="2:3" hidden="1" x14ac:dyDescent="0.25">
      <c r="B1546" s="55" t="str">
        <f>IF(A1546&lt;&gt;"",INDEX('Base de données'!A$4:L$990,MATCH(' TVA M'!A1551,'Base de données'!A$4:A$990,0),2),"")</f>
        <v/>
      </c>
      <c r="C1546" s="55" t="str">
        <f>IF(A1546&lt;&gt;"",INDEX('Base de données'!A$4:L$990,MATCH(' TVA M'!A1551,'Base de données'!A$4:A$990,0),12),"")</f>
        <v/>
      </c>
    </row>
    <row r="1547" spans="2:3" hidden="1" x14ac:dyDescent="0.25">
      <c r="B1547" s="55" t="str">
        <f>IF(A1547&lt;&gt;"",INDEX('Base de données'!A$4:L$990,MATCH(' TVA M'!A1552,'Base de données'!A$4:A$990,0),2),"")</f>
        <v/>
      </c>
      <c r="C1547" s="55" t="str">
        <f>IF(A1547&lt;&gt;"",INDEX('Base de données'!A$4:L$990,MATCH(' TVA M'!A1552,'Base de données'!A$4:A$990,0),12),"")</f>
        <v/>
      </c>
    </row>
    <row r="1548" spans="2:3" hidden="1" x14ac:dyDescent="0.25">
      <c r="B1548" s="55" t="str">
        <f>IF(A1548&lt;&gt;"",INDEX('Base de données'!A$4:L$990,MATCH(' TVA M'!A1553,'Base de données'!A$4:A$990,0),2),"")</f>
        <v/>
      </c>
      <c r="C1548" s="55" t="str">
        <f>IF(A1548&lt;&gt;"",INDEX('Base de données'!A$4:L$990,MATCH(' TVA M'!A1553,'Base de données'!A$4:A$990,0),12),"")</f>
        <v/>
      </c>
    </row>
    <row r="1549" spans="2:3" hidden="1" x14ac:dyDescent="0.25">
      <c r="B1549" s="55" t="str">
        <f>IF(A1549&lt;&gt;"",INDEX('Base de données'!A$4:L$990,MATCH(' TVA M'!A1554,'Base de données'!A$4:A$990,0),2),"")</f>
        <v/>
      </c>
      <c r="C1549" s="55" t="str">
        <f>IF(A1549&lt;&gt;"",INDEX('Base de données'!A$4:L$990,MATCH(' TVA M'!A1554,'Base de données'!A$4:A$990,0),12),"")</f>
        <v/>
      </c>
    </row>
    <row r="1550" spans="2:3" hidden="1" x14ac:dyDescent="0.25">
      <c r="B1550" s="55" t="str">
        <f>IF(A1550&lt;&gt;"",INDEX('Base de données'!A$4:L$990,MATCH(' TVA M'!A1555,'Base de données'!A$4:A$990,0),2),"")</f>
        <v/>
      </c>
      <c r="C1550" s="55" t="str">
        <f>IF(A1550&lt;&gt;"",INDEX('Base de données'!A$4:L$990,MATCH(' TVA M'!A1555,'Base de données'!A$4:A$990,0),12),"")</f>
        <v/>
      </c>
    </row>
    <row r="1551" spans="2:3" hidden="1" x14ac:dyDescent="0.25">
      <c r="B1551" s="55" t="str">
        <f>IF(A1551&lt;&gt;"",INDEX('Base de données'!A$4:L$990,MATCH(' TVA M'!A1556,'Base de données'!A$4:A$990,0),2),"")</f>
        <v/>
      </c>
      <c r="C1551" s="55" t="str">
        <f>IF(A1551&lt;&gt;"",INDEX('Base de données'!A$4:L$990,MATCH(' TVA M'!A1556,'Base de données'!A$4:A$990,0),12),"")</f>
        <v/>
      </c>
    </row>
  </sheetData>
  <sheetProtection sheet="1" selectLockedCells="1" autoFilter="0"/>
  <autoFilter ref="A8:C1551">
    <filterColumn colId="2">
      <filters>
        <filter val="NAJAT SAOUD"/>
      </filters>
    </filterColumn>
  </autoFilter>
  <mergeCells count="17">
    <mergeCell ref="Z7:AA7"/>
    <mergeCell ref="D7:E7"/>
    <mergeCell ref="F7:G7"/>
    <mergeCell ref="H7:I7"/>
    <mergeCell ref="J7:K7"/>
    <mergeCell ref="L7:M7"/>
    <mergeCell ref="N7:O7"/>
    <mergeCell ref="P7:Q7"/>
    <mergeCell ref="R7:S7"/>
    <mergeCell ref="T7:U7"/>
    <mergeCell ref="V7:W7"/>
    <mergeCell ref="X7:Y7"/>
    <mergeCell ref="AH7:AI7"/>
    <mergeCell ref="AJ7:AK7"/>
    <mergeCell ref="AL7:AM7"/>
    <mergeCell ref="AN7:AO7"/>
    <mergeCell ref="AP7:AQ7"/>
  </mergeCells>
  <conditionalFormatting sqref="A9:A356">
    <cfRule type="duplicateValues" dxfId="88" priority="103"/>
  </conditionalFormatting>
  <dataValidations count="1">
    <dataValidation type="list" allowBlank="1" showInputMessage="1" sqref="AE8">
      <formula1>"KHAMISSA HDIMANE,DAOUD ISSKELA,RACHID NAAIMI ,FATIMA EZZAHRA JAIZI,NAJAT SAOUD,MOHAMED ESSAID,Med EGHIZ,HALIMA OUIJANE,FATIMA EZZAHRA AIT AHMED,ZINEB ELKHOUDARI,"</formula1>
    </dataValidation>
  </dataValidations>
  <pageMargins left="0.7" right="0.7" top="0.75" bottom="0.75" header="0.3" footer="0.3"/>
  <pageSetup orientation="portrait" r:id="rId1"/>
  <ignoredErrors>
    <ignoredError sqref="E1:G1 H1:K1 L1 T1 R1 P1 N1 Z1 X1 V1 F2:F3 H2:H3 J2:J3 L2:L3 N2:N3 P2:P3 R2:R3 T2:T3 V2:V3 X2:X3 Z2:Z3" formula="1"/>
    <ignoredError sqref="U3:U5 S3:S6 Q3:Q6 Y3:Y6" evalError="1"/>
    <ignoredError sqref="U1 S1 Q1 O1 M1 Y1" evalError="1" formula="1"/>
  </ignoredError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5" operator="greaterThan" id="{42921C44-C3AC-49E8-BDE5-5DA6F9338D47}">
            <xm:f>'Calendrier fiscal'!$D$9</xm:f>
            <x14:dxf>
              <fill>
                <patternFill>
                  <bgColor rgb="FFFF0000"/>
                </patternFill>
              </fill>
            </x14:dxf>
          </x14:cfRule>
          <xm:sqref>F9:F306</xm:sqref>
        </x14:conditionalFormatting>
        <x14:conditionalFormatting xmlns:xm="http://schemas.microsoft.com/office/excel/2006/main">
          <x14:cfRule type="cellIs" priority="14" operator="greaterThan" id="{DFF8E3E4-E7BA-467E-B6DC-FB0E3501F2FD}">
            <xm:f>'Calendrier fiscal'!$D$8</xm:f>
            <x14:dxf>
              <fill>
                <patternFill>
                  <bgColor rgb="FFFF0000"/>
                </patternFill>
              </fill>
            </x14:dxf>
          </x14:cfRule>
          <xm:sqref>D9:D306</xm:sqref>
        </x14:conditionalFormatting>
        <x14:conditionalFormatting xmlns:xm="http://schemas.microsoft.com/office/excel/2006/main">
          <x14:cfRule type="cellIs" priority="13" operator="greaterThan" id="{C8CCAFE4-6179-48C3-B713-AF5907882856}">
            <xm:f>'Calendrier fiscal'!$D$10</xm:f>
            <x14:dxf>
              <fill>
                <patternFill>
                  <bgColor rgb="FFFF0000"/>
                </patternFill>
              </fill>
            </x14:dxf>
          </x14:cfRule>
          <xm:sqref>H9:H306</xm:sqref>
        </x14:conditionalFormatting>
        <x14:conditionalFormatting xmlns:xm="http://schemas.microsoft.com/office/excel/2006/main">
          <x14:cfRule type="cellIs" priority="12" operator="greaterThan" id="{00EC7077-7453-4BDC-B9C8-EE3B6BFF53DD}">
            <xm:f>'Calendrier fiscal'!$D$11</xm:f>
            <x14:dxf>
              <font>
                <color auto="1"/>
              </font>
              <fill>
                <patternFill>
                  <bgColor rgb="FFFF0000"/>
                </patternFill>
              </fill>
            </x14:dxf>
          </x14:cfRule>
          <xm:sqref>J9:J306</xm:sqref>
        </x14:conditionalFormatting>
        <x14:conditionalFormatting xmlns:xm="http://schemas.microsoft.com/office/excel/2006/main">
          <x14:cfRule type="cellIs" priority="11" operator="greaterThan" id="{DC748A1E-7DD4-41DA-A1B3-F6A209268D5C}">
            <xm:f>'Calendrier fiscal'!$D$13</xm:f>
            <x14:dxf>
              <fill>
                <patternFill>
                  <bgColor rgb="FFFF0000"/>
                </patternFill>
              </fill>
            </x14:dxf>
          </x14:cfRule>
          <xm:sqref>N9:N306</xm:sqref>
        </x14:conditionalFormatting>
        <x14:conditionalFormatting xmlns:xm="http://schemas.microsoft.com/office/excel/2006/main">
          <x14:cfRule type="cellIs" priority="10" operator="greaterThan" id="{6DD9EA15-1C33-4E92-84E6-EAB89F184EAE}">
            <xm:f>'Calendrier fiscal'!$D$12</xm:f>
            <x14:dxf>
              <fill>
                <patternFill>
                  <bgColor rgb="FFFF0000"/>
                </patternFill>
              </fill>
            </x14:dxf>
          </x14:cfRule>
          <xm:sqref>L9:L306</xm:sqref>
        </x14:conditionalFormatting>
        <x14:conditionalFormatting xmlns:xm="http://schemas.microsoft.com/office/excel/2006/main">
          <x14:cfRule type="cellIs" priority="9" operator="greaterThan" id="{4480AD20-EAD8-4A23-A539-1D4FB7663029}">
            <xm:f>'Calendrier fiscal'!$D$14</xm:f>
            <x14:dxf>
              <font>
                <color auto="1"/>
              </font>
              <fill>
                <patternFill>
                  <bgColor rgb="FFFF0000"/>
                </patternFill>
              </fill>
            </x14:dxf>
          </x14:cfRule>
          <xm:sqref>P9:P306</xm:sqref>
        </x14:conditionalFormatting>
        <x14:conditionalFormatting xmlns:xm="http://schemas.microsoft.com/office/excel/2006/main">
          <x14:cfRule type="cellIs" priority="8" operator="greaterThan" id="{C2A29D37-4E8A-4126-82A3-9E4A5C45684F}">
            <xm:f>'Calendrier fiscal'!$D$15</xm:f>
            <x14:dxf>
              <fill>
                <patternFill>
                  <bgColor rgb="FFFF0000"/>
                </patternFill>
              </fill>
            </x14:dxf>
          </x14:cfRule>
          <xm:sqref>R9:R306</xm:sqref>
        </x14:conditionalFormatting>
        <x14:conditionalFormatting xmlns:xm="http://schemas.microsoft.com/office/excel/2006/main">
          <x14:cfRule type="cellIs" priority="7" operator="greaterThan" id="{809380CD-D628-42E4-8AFD-3D60735ECDD3}">
            <xm:f>'Calendrier fiscal'!$D$16</xm:f>
            <x14:dxf>
              <fill>
                <patternFill>
                  <bgColor rgb="FFFF0000"/>
                </patternFill>
              </fill>
            </x14:dxf>
          </x14:cfRule>
          <xm:sqref>T9:T306</xm:sqref>
        </x14:conditionalFormatting>
        <x14:conditionalFormatting xmlns:xm="http://schemas.microsoft.com/office/excel/2006/main">
          <x14:cfRule type="cellIs" priority="6" operator="greaterThan" id="{E996520A-9307-48BB-8112-AF3103EBD8FE}">
            <xm:f>'Calendrier fiscal'!$B$17</xm:f>
            <x14:dxf>
              <fill>
                <patternFill>
                  <bgColor rgb="FFFF0000"/>
                </patternFill>
              </fill>
            </x14:dxf>
          </x14:cfRule>
          <xm:sqref>V9:V306 X9:X49</xm:sqref>
        </x14:conditionalFormatting>
        <x14:conditionalFormatting xmlns:xm="http://schemas.microsoft.com/office/excel/2006/main">
          <x14:cfRule type="cellIs" priority="5" operator="greaterThan" id="{4DF74F4F-994C-430A-BBB2-1B763E0189A9}">
            <xm:f>'Calendrier fiscal'!$D$18</xm:f>
            <x14:dxf>
              <fill>
                <patternFill>
                  <bgColor rgb="FFFF0000"/>
                </patternFill>
              </fill>
            </x14:dxf>
          </x14:cfRule>
          <xm:sqref>X50:X306</xm:sqref>
        </x14:conditionalFormatting>
        <x14:conditionalFormatting xmlns:xm="http://schemas.microsoft.com/office/excel/2006/main">
          <x14:cfRule type="cellIs" priority="4" operator="greaterThan" id="{D0661A70-26A3-44ED-9DD5-CFBB49735740}">
            <xm:f>'Calendrier fiscal'!$D$19</xm:f>
            <x14:dxf>
              <fill>
                <patternFill>
                  <bgColor rgb="FFFF0000"/>
                </patternFill>
              </fill>
            </x14:dxf>
          </x14:cfRule>
          <xm:sqref>Z9:Z306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>
    <tabColor rgb="FF00B050"/>
  </sheetPr>
  <dimension ref="A1:AQ1556"/>
  <sheetViews>
    <sheetView showGridLines="0" showRowColHeaders="0" zoomScale="69" zoomScaleNormal="69" workbookViewId="0">
      <pane xSplit="3" ySplit="8" topLeftCell="D11" activePane="bottomRight" state="frozen"/>
      <selection pane="topRight" activeCell="D1" sqref="D1"/>
      <selection pane="bottomLeft" activeCell="A9" sqref="A9"/>
      <selection pane="bottomRight" activeCell="P32" sqref="P32"/>
    </sheetView>
  </sheetViews>
  <sheetFormatPr baseColWidth="10" defaultColWidth="11.42578125" defaultRowHeight="15" x14ac:dyDescent="0.25"/>
  <cols>
    <col min="1" max="1" width="11.42578125" style="87"/>
    <col min="2" max="2" width="25" style="87" customWidth="1"/>
    <col min="3" max="3" width="20.7109375" style="87" customWidth="1"/>
    <col min="4" max="4" width="13.28515625" style="87" customWidth="1"/>
    <col min="5" max="5" width="17" style="87" bestFit="1" customWidth="1"/>
    <col min="6" max="6" width="13.5703125" style="87" bestFit="1" customWidth="1"/>
    <col min="7" max="7" width="17" style="87" bestFit="1" customWidth="1"/>
    <col min="8" max="8" width="14.5703125" style="87" customWidth="1"/>
    <col min="9" max="9" width="18.140625" style="87" customWidth="1"/>
    <col min="10" max="10" width="13.5703125" style="87" bestFit="1" customWidth="1"/>
    <col min="11" max="11" width="17" style="87" bestFit="1" customWidth="1"/>
    <col min="12" max="12" width="13.5703125" style="87" bestFit="1" customWidth="1"/>
    <col min="13" max="13" width="17" style="87" bestFit="1" customWidth="1"/>
    <col min="14" max="14" width="13.5703125" style="87" bestFit="1" customWidth="1"/>
    <col min="15" max="15" width="17" style="87" bestFit="1" customWidth="1"/>
    <col min="16" max="16" width="13.5703125" style="87" bestFit="1" customWidth="1"/>
    <col min="17" max="17" width="17" style="87" bestFit="1" customWidth="1"/>
    <col min="18" max="18" width="13.5703125" style="87" bestFit="1" customWidth="1"/>
    <col min="19" max="19" width="17" style="87" bestFit="1" customWidth="1"/>
    <col min="20" max="20" width="13.5703125" style="87" bestFit="1" customWidth="1"/>
    <col min="21" max="21" width="17" style="87" bestFit="1" customWidth="1"/>
    <col min="22" max="22" width="13.5703125" style="87" bestFit="1" customWidth="1"/>
    <col min="23" max="23" width="17" style="87" bestFit="1" customWidth="1"/>
    <col min="24" max="24" width="13.5703125" style="87" bestFit="1" customWidth="1"/>
    <col min="25" max="25" width="17" style="87" bestFit="1" customWidth="1"/>
    <col min="26" max="26" width="13.5703125" style="87" bestFit="1" customWidth="1"/>
    <col min="27" max="27" width="17" style="87" bestFit="1" customWidth="1"/>
    <col min="28" max="28" width="7" style="87" customWidth="1"/>
    <col min="29" max="29" width="13.140625" style="87" bestFit="1" customWidth="1"/>
    <col min="30" max="30" width="15.5703125" style="87" customWidth="1"/>
    <col min="31" max="31" width="16.5703125" style="87" customWidth="1"/>
    <col min="32" max="32" width="13.28515625" style="87" customWidth="1"/>
    <col min="33" max="16384" width="11.42578125" style="87"/>
  </cols>
  <sheetData>
    <row r="1" spans="1:43" s="88" customFormat="1" x14ac:dyDescent="0.25">
      <c r="D1" s="523">
        <f>COUNTA(D9:D361)</f>
        <v>6</v>
      </c>
      <c r="E1" s="524">
        <f>D2/D1</f>
        <v>0.83333333333333337</v>
      </c>
      <c r="F1" s="525">
        <f>COUNTA(F9:F361)</f>
        <v>3</v>
      </c>
      <c r="G1" s="526">
        <f>F2/F1</f>
        <v>0.33333333333333331</v>
      </c>
      <c r="H1" s="523">
        <f>COUNTA(H9:H361)</f>
        <v>2</v>
      </c>
      <c r="I1" s="527">
        <f>H2/H1</f>
        <v>0.5</v>
      </c>
      <c r="J1" s="525">
        <f>COUNTA(J9:J361)</f>
        <v>1</v>
      </c>
      <c r="K1" s="526">
        <f>J2/J1</f>
        <v>0</v>
      </c>
      <c r="L1" s="523">
        <f>COUNTA(L9:L361)</f>
        <v>0</v>
      </c>
      <c r="M1" s="524" t="e">
        <f>L2/L1</f>
        <v>#DIV/0!</v>
      </c>
      <c r="N1" s="523">
        <f>COUNTA(N9:N361)</f>
        <v>1</v>
      </c>
      <c r="O1" s="524">
        <f>N2/N1</f>
        <v>1</v>
      </c>
      <c r="P1" s="523">
        <f>COUNTA(P9:P361)</f>
        <v>3</v>
      </c>
      <c r="Q1" s="524">
        <f>P2/P1</f>
        <v>0.66666666666666663</v>
      </c>
      <c r="R1" s="528">
        <f>COUNTA(R9:R361)</f>
        <v>2</v>
      </c>
      <c r="S1" s="529">
        <f>R2/R1</f>
        <v>0.5</v>
      </c>
      <c r="T1" s="523">
        <f>COUNTA(T9:T361)</f>
        <v>0</v>
      </c>
      <c r="U1" s="524" t="e">
        <f>T2/T1</f>
        <v>#DIV/0!</v>
      </c>
      <c r="V1" s="528">
        <f>COUNTA(V9:V361)</f>
        <v>2</v>
      </c>
      <c r="W1" s="529">
        <f>V2/V1</f>
        <v>1</v>
      </c>
      <c r="X1" s="528">
        <f>COUNTA(X9:X61)</f>
        <v>0</v>
      </c>
      <c r="Y1" s="529" t="e">
        <f>X2/X1</f>
        <v>#DIV/0!</v>
      </c>
      <c r="Z1" s="528">
        <f>COUNTA(Z9:Z61)</f>
        <v>1</v>
      </c>
      <c r="AA1" s="529">
        <f>Z2/Z1</f>
        <v>0</v>
      </c>
    </row>
    <row r="2" spans="1:43" s="88" customFormat="1" x14ac:dyDescent="0.25">
      <c r="D2" s="523">
        <f>COUNTIF(D9:D361,"&lt;="&amp;'Calendrier fiscal'!E8)</f>
        <v>5</v>
      </c>
      <c r="E2" s="524">
        <f>D3/D1</f>
        <v>0.83333333333333337</v>
      </c>
      <c r="F2" s="525">
        <f>COUNTIF(F9:F361,"&lt;="&amp;'Calendrier fiscal'!E9)</f>
        <v>1</v>
      </c>
      <c r="G2" s="526">
        <f>F3/F1</f>
        <v>1</v>
      </c>
      <c r="H2" s="523">
        <f>COUNTIF(H9:H361,"&lt;="&amp;'Calendrier fiscal'!E10)</f>
        <v>1</v>
      </c>
      <c r="I2" s="527">
        <f>H3/H1</f>
        <v>1</v>
      </c>
      <c r="J2" s="525">
        <f>COUNTIF(J9:J361,"&lt;="&amp;'Calendrier fiscal'!E11)</f>
        <v>0</v>
      </c>
      <c r="K2" s="526">
        <f>J3/J1</f>
        <v>0</v>
      </c>
      <c r="L2" s="523">
        <f>COUNTIF(L9:L361,"&lt;="&amp;'Calendrier fiscal'!E12)</f>
        <v>0</v>
      </c>
      <c r="M2" s="524" t="e">
        <f>L3/L1</f>
        <v>#DIV/0!</v>
      </c>
      <c r="N2" s="523">
        <f>COUNTIF(N9:N361,"&lt;="&amp;'Calendrier fiscal'!E13)</f>
        <v>1</v>
      </c>
      <c r="O2" s="524">
        <f>N3/N1</f>
        <v>1</v>
      </c>
      <c r="P2" s="523">
        <f>COUNTIF(P9:P361,"&lt;="&amp;'Calendrier fiscal'!E14)</f>
        <v>2</v>
      </c>
      <c r="Q2" s="524">
        <f>P3/P1</f>
        <v>0.66666666666666663</v>
      </c>
      <c r="R2" s="528">
        <f>COUNTIF(R9:R361,"&lt;="&amp;'Calendrier fiscal'!E15)</f>
        <v>1</v>
      </c>
      <c r="S2" s="529">
        <f>R3/R1</f>
        <v>1</v>
      </c>
      <c r="T2" s="523">
        <f>COUNTIF(T9:T361,"&lt;="&amp;'Calendrier fiscal'!E16)</f>
        <v>0</v>
      </c>
      <c r="U2" s="524" t="e">
        <f>T3/T1</f>
        <v>#DIV/0!</v>
      </c>
      <c r="V2" s="528">
        <f>COUNTIF(V9:V361,"&lt;="&amp;'Calendrier fiscal'!E17)</f>
        <v>2</v>
      </c>
      <c r="W2" s="529">
        <f>V3/V1</f>
        <v>1</v>
      </c>
      <c r="X2" s="528">
        <f>COUNTIF(X9:X361,"&lt;="&amp;'Calendrier fiscal'!E18)</f>
        <v>0</v>
      </c>
      <c r="Y2" s="529" t="e">
        <f>X3/X1</f>
        <v>#DIV/0!</v>
      </c>
      <c r="Z2" s="528">
        <f>COUNTIF(Z9:Z361,"&lt;="&amp;'Calendrier fiscal'!C19)</f>
        <v>0</v>
      </c>
      <c r="AA2" s="529">
        <f>Z3/Z1</f>
        <v>0</v>
      </c>
    </row>
    <row r="3" spans="1:43" s="88" customFormat="1" x14ac:dyDescent="0.25">
      <c r="A3" s="88">
        <v>70</v>
      </c>
      <c r="D3" s="523">
        <f>COUNTIF(D9:D361,"&lt;="&amp;'Calendrier fiscal'!H8)</f>
        <v>5</v>
      </c>
      <c r="E3" s="524">
        <f>E1</f>
        <v>0.83333333333333337</v>
      </c>
      <c r="F3" s="525">
        <f>COUNTIF(F9:F361,"&lt;="&amp;'Calendrier fiscal'!H9)</f>
        <v>3</v>
      </c>
      <c r="G3" s="526">
        <f>G1</f>
        <v>0.33333333333333331</v>
      </c>
      <c r="H3" s="523">
        <f>COUNTIF(H9:H361,"&lt;="&amp;'Calendrier fiscal'!H10)</f>
        <v>2</v>
      </c>
      <c r="I3" s="527">
        <f>I1</f>
        <v>0.5</v>
      </c>
      <c r="J3" s="525">
        <f>COUNTIF(J9:J361,"&lt;="&amp;'Calendrier fiscal'!H11)</f>
        <v>0</v>
      </c>
      <c r="K3" s="526">
        <f>K1</f>
        <v>0</v>
      </c>
      <c r="L3" s="523">
        <f>COUNTIF(L9:L361,"&lt;="&amp;'Calendrier fiscal'!H12)</f>
        <v>0</v>
      </c>
      <c r="M3" s="524" t="e">
        <f>M1</f>
        <v>#DIV/0!</v>
      </c>
      <c r="N3" s="523">
        <f>COUNTIF(N9:N361,"&lt;="&amp;'Calendrier fiscal'!H13)</f>
        <v>1</v>
      </c>
      <c r="O3" s="524">
        <f>O1</f>
        <v>1</v>
      </c>
      <c r="P3" s="523">
        <f>COUNTIF(P9:P361,"&lt;="&amp;'Calendrier fiscal'!H14)</f>
        <v>2</v>
      </c>
      <c r="Q3" s="524">
        <f>Q1</f>
        <v>0.66666666666666663</v>
      </c>
      <c r="R3" s="528">
        <f>COUNTIF(R9:R361,"&lt;="&amp;'Calendrier fiscal'!H15)</f>
        <v>2</v>
      </c>
      <c r="S3" s="529">
        <f>S1</f>
        <v>0.5</v>
      </c>
      <c r="T3" s="523">
        <f>COUNTIF(T9:T361,"&lt;="&amp;'Calendrier fiscal'!H16)</f>
        <v>0</v>
      </c>
      <c r="U3" s="524" t="e">
        <f>U1</f>
        <v>#DIV/0!</v>
      </c>
      <c r="V3" s="528">
        <f>COUNTIF(V9:V361,"&lt;="&amp;'Calendrier fiscal'!H17)</f>
        <v>2</v>
      </c>
      <c r="W3" s="529">
        <f>W1</f>
        <v>1</v>
      </c>
      <c r="X3" s="528">
        <f>COUNTIF(X9:X361,"&lt;="&amp;'Calendrier fiscal'!H18)</f>
        <v>0</v>
      </c>
      <c r="Y3" s="529" t="e">
        <f>Y1</f>
        <v>#DIV/0!</v>
      </c>
      <c r="Z3" s="528">
        <f>COUNTIF(Z9:Z361,"&lt;="&amp;'Calendrier fiscal'!H19)</f>
        <v>0</v>
      </c>
      <c r="AA3" s="529">
        <f>AA1</f>
        <v>0</v>
      </c>
    </row>
    <row r="4" spans="1:43" s="88" customFormat="1" x14ac:dyDescent="0.25">
      <c r="A4" s="88">
        <v>20</v>
      </c>
      <c r="D4" s="523"/>
      <c r="E4" s="530">
        <v>0.02</v>
      </c>
      <c r="F4" s="531"/>
      <c r="G4" s="532">
        <v>0.02</v>
      </c>
      <c r="H4" s="533"/>
      <c r="I4" s="530">
        <v>0.02</v>
      </c>
      <c r="J4" s="531"/>
      <c r="K4" s="532">
        <v>0.02</v>
      </c>
      <c r="L4" s="533"/>
      <c r="M4" s="530">
        <v>0.01</v>
      </c>
      <c r="N4" s="533"/>
      <c r="O4" s="534">
        <v>0.01</v>
      </c>
      <c r="P4" s="533"/>
      <c r="Q4" s="530">
        <v>0.01</v>
      </c>
      <c r="R4" s="535"/>
      <c r="S4" s="536">
        <v>0.01</v>
      </c>
      <c r="T4" s="533"/>
      <c r="U4" s="530">
        <v>0.01</v>
      </c>
      <c r="V4" s="535"/>
      <c r="W4" s="536">
        <v>0.02</v>
      </c>
      <c r="X4" s="535"/>
      <c r="Y4" s="536">
        <v>0.01</v>
      </c>
      <c r="Z4" s="535"/>
      <c r="AA4" s="536">
        <v>0.01</v>
      </c>
    </row>
    <row r="5" spans="1:43" s="88" customFormat="1" ht="16.5" customHeight="1" x14ac:dyDescent="0.25">
      <c r="A5" s="88">
        <v>10</v>
      </c>
      <c r="D5" s="523"/>
      <c r="E5" s="530">
        <f>102%-SUM(E3:E4)</f>
        <v>0.16666666666666663</v>
      </c>
      <c r="F5" s="531"/>
      <c r="G5" s="532">
        <f>G6-SUM(G3:G4)</f>
        <v>0.66666666666666674</v>
      </c>
      <c r="H5" s="533"/>
      <c r="I5" s="530">
        <f>1.02-SUM(I3:I4)</f>
        <v>0.5</v>
      </c>
      <c r="J5" s="531"/>
      <c r="K5" s="532">
        <f>1.02-SUM(K3:K4)</f>
        <v>1</v>
      </c>
      <c r="L5" s="533"/>
      <c r="M5" s="530" t="e">
        <f>M6-SUM(M3:M4)</f>
        <v>#DIV/0!</v>
      </c>
      <c r="N5" s="533"/>
      <c r="O5" s="530">
        <f>1.02-SUM(O3:O4)</f>
        <v>1.0000000000000009E-2</v>
      </c>
      <c r="P5" s="533"/>
      <c r="Q5" s="530">
        <f>1.02-SUM(Q3:Q4)</f>
        <v>0.34333333333333338</v>
      </c>
      <c r="R5" s="535"/>
      <c r="S5" s="536">
        <f>1.02-SUM(S3:S4)</f>
        <v>0.51</v>
      </c>
      <c r="T5" s="533"/>
      <c r="U5" s="530" t="e">
        <f>1.02-SUM(U3:U4)</f>
        <v>#DIV/0!</v>
      </c>
      <c r="V5" s="535"/>
      <c r="W5" s="536">
        <f>W6-SUM(W3:W4)</f>
        <v>0</v>
      </c>
      <c r="X5" s="535"/>
      <c r="Y5" s="536" t="e">
        <f>Y6-SUM(Y3:Y4)</f>
        <v>#DIV/0!</v>
      </c>
      <c r="Z5" s="535"/>
      <c r="AA5" s="536">
        <f>AA6-SUM(AA3:AA4)</f>
        <v>1.01</v>
      </c>
    </row>
    <row r="6" spans="1:43" s="88" customFormat="1" ht="15.75" thickBot="1" x14ac:dyDescent="0.3">
      <c r="A6" s="88">
        <f>SUM(A3:A5)</f>
        <v>100</v>
      </c>
      <c r="D6" s="523"/>
      <c r="E6" s="530">
        <f>SUM(E3:E5)</f>
        <v>1.02</v>
      </c>
      <c r="F6" s="531"/>
      <c r="G6" s="532">
        <v>1.02</v>
      </c>
      <c r="H6" s="533"/>
      <c r="I6" s="530">
        <v>1.02</v>
      </c>
      <c r="J6" s="531"/>
      <c r="K6" s="532">
        <v>1.02</v>
      </c>
      <c r="L6" s="533"/>
      <c r="M6" s="530">
        <v>1.02</v>
      </c>
      <c r="N6" s="533"/>
      <c r="O6" s="530">
        <v>1.02</v>
      </c>
      <c r="P6" s="533"/>
      <c r="Q6" s="530">
        <v>1.02</v>
      </c>
      <c r="R6" s="535"/>
      <c r="S6" s="536">
        <v>1.02</v>
      </c>
      <c r="T6" s="533"/>
      <c r="U6" s="530">
        <v>1.02</v>
      </c>
      <c r="V6" s="535"/>
      <c r="W6" s="536">
        <v>1.02</v>
      </c>
      <c r="X6" s="535"/>
      <c r="Y6" s="536">
        <v>1.01</v>
      </c>
      <c r="Z6" s="535"/>
      <c r="AA6" s="536">
        <v>1.02</v>
      </c>
    </row>
    <row r="7" spans="1:43" s="88" customFormat="1" ht="16.5" thickTop="1" thickBot="1" x14ac:dyDescent="0.3">
      <c r="D7" s="657" t="s">
        <v>481</v>
      </c>
      <c r="E7" s="658"/>
      <c r="F7" s="657" t="s">
        <v>484</v>
      </c>
      <c r="G7" s="658"/>
      <c r="H7" s="657" t="s">
        <v>485</v>
      </c>
      <c r="I7" s="658"/>
      <c r="J7" s="657" t="s">
        <v>486</v>
      </c>
      <c r="K7" s="658"/>
      <c r="L7" s="657" t="s">
        <v>487</v>
      </c>
      <c r="M7" s="658"/>
      <c r="N7" s="657" t="s">
        <v>488</v>
      </c>
      <c r="O7" s="658"/>
      <c r="P7" s="657" t="s">
        <v>489</v>
      </c>
      <c r="Q7" s="658"/>
      <c r="R7" s="657" t="s">
        <v>490</v>
      </c>
      <c r="S7" s="658"/>
      <c r="T7" s="657" t="s">
        <v>491</v>
      </c>
      <c r="U7" s="658"/>
      <c r="V7" s="657" t="s">
        <v>492</v>
      </c>
      <c r="W7" s="658"/>
      <c r="X7" s="657" t="s">
        <v>493</v>
      </c>
      <c r="Y7" s="658"/>
      <c r="Z7" s="657" t="s">
        <v>494</v>
      </c>
      <c r="AA7" s="658"/>
      <c r="AB7" s="149"/>
      <c r="AG7" s="149"/>
      <c r="AH7" s="656"/>
      <c r="AI7" s="656"/>
      <c r="AJ7" s="656"/>
      <c r="AK7" s="656"/>
      <c r="AL7" s="656"/>
      <c r="AM7" s="656"/>
      <c r="AN7" s="656"/>
      <c r="AO7" s="656"/>
      <c r="AP7" s="656"/>
      <c r="AQ7" s="656"/>
    </row>
    <row r="8" spans="1:43" ht="29.25" customHeight="1" thickBot="1" x14ac:dyDescent="0.3">
      <c r="A8" s="586" t="s">
        <v>478</v>
      </c>
      <c r="B8" s="586" t="s">
        <v>479</v>
      </c>
      <c r="C8" s="586" t="s">
        <v>480</v>
      </c>
      <c r="D8" s="580" t="s">
        <v>482</v>
      </c>
      <c r="E8" s="115" t="s">
        <v>483</v>
      </c>
      <c r="F8" s="114" t="s">
        <v>482</v>
      </c>
      <c r="G8" s="115" t="s">
        <v>483</v>
      </c>
      <c r="H8" s="116" t="s">
        <v>482</v>
      </c>
      <c r="I8" s="117" t="s">
        <v>483</v>
      </c>
      <c r="J8" s="116" t="s">
        <v>482</v>
      </c>
      <c r="K8" s="117" t="s">
        <v>483</v>
      </c>
      <c r="L8" s="116" t="s">
        <v>482</v>
      </c>
      <c r="M8" s="117" t="s">
        <v>483</v>
      </c>
      <c r="N8" s="116" t="s">
        <v>482</v>
      </c>
      <c r="O8" s="117" t="s">
        <v>483</v>
      </c>
      <c r="P8" s="118" t="s">
        <v>482</v>
      </c>
      <c r="Q8" s="119" t="s">
        <v>483</v>
      </c>
      <c r="R8" s="118" t="s">
        <v>482</v>
      </c>
      <c r="S8" s="119" t="s">
        <v>483</v>
      </c>
      <c r="T8" s="118" t="s">
        <v>482</v>
      </c>
      <c r="U8" s="119" t="s">
        <v>483</v>
      </c>
      <c r="V8" s="118" t="s">
        <v>482</v>
      </c>
      <c r="W8" s="119" t="s">
        <v>483</v>
      </c>
      <c r="X8" s="118" t="s">
        <v>482</v>
      </c>
      <c r="Y8" s="119" t="s">
        <v>483</v>
      </c>
      <c r="Z8" s="118" t="s">
        <v>482</v>
      </c>
      <c r="AA8" s="119" t="s">
        <v>483</v>
      </c>
      <c r="AD8" s="120" t="s">
        <v>608</v>
      </c>
      <c r="AE8" s="134" t="s">
        <v>576</v>
      </c>
    </row>
    <row r="9" spans="1:43" ht="15.75" thickTop="1" x14ac:dyDescent="0.25">
      <c r="A9" s="538"/>
      <c r="B9" s="585" t="str">
        <f>IF(A9&lt;&gt;"",INDEX('Base de données'!A$4:L$990,MATCH(A9,'Base de données'!A$4:A$990,0),2),"")</f>
        <v/>
      </c>
      <c r="C9" s="585" t="str">
        <f>IF(A9&lt;&gt;"",INDEX('Base de données'!A$4:L$990,MATCH(A9,'Base de données'!A$4:A$990,0),12),"")</f>
        <v/>
      </c>
      <c r="D9" s="581"/>
      <c r="E9" s="128"/>
      <c r="F9" s="127"/>
      <c r="G9" s="128"/>
      <c r="H9" s="129"/>
      <c r="I9" s="130"/>
      <c r="J9" s="129"/>
      <c r="K9" s="130"/>
      <c r="L9" s="129"/>
      <c r="M9" s="130"/>
      <c r="N9" s="129"/>
      <c r="O9" s="130"/>
      <c r="P9" s="129"/>
      <c r="Q9" s="130"/>
      <c r="R9" s="129"/>
      <c r="S9" s="130"/>
      <c r="T9" s="129"/>
      <c r="U9" s="130"/>
      <c r="V9" s="129"/>
      <c r="W9" s="130"/>
      <c r="X9" s="129"/>
      <c r="Y9" s="130"/>
      <c r="Z9" s="129"/>
      <c r="AA9" s="130"/>
      <c r="AH9" s="121"/>
    </row>
    <row r="10" spans="1:43" ht="20.25" customHeight="1" x14ac:dyDescent="0.25">
      <c r="A10" s="538"/>
      <c r="B10" s="585" t="str">
        <f>IF(A10&lt;&gt;"",INDEX('Base de données'!A$4:L$990,MATCH(A10,'Base de données'!A$4:A$990,0),2),"")</f>
        <v/>
      </c>
      <c r="C10" s="585" t="str">
        <f>IF(A10&lt;&gt;"",INDEX('Base de données'!A$4:L$990,MATCH(A10,'Base de données'!A$4:A$990,0),12),"")</f>
        <v/>
      </c>
      <c r="D10" s="582"/>
      <c r="E10" s="130"/>
      <c r="F10" s="129"/>
      <c r="G10" s="412"/>
      <c r="H10" s="129"/>
      <c r="I10" s="130"/>
      <c r="J10" s="129"/>
      <c r="K10" s="130"/>
      <c r="L10" s="129"/>
      <c r="M10" s="130"/>
      <c r="N10" s="129"/>
      <c r="O10" s="130"/>
      <c r="P10" s="129"/>
      <c r="Q10" s="130"/>
      <c r="R10" s="129"/>
      <c r="S10" s="130"/>
      <c r="T10" s="129"/>
      <c r="U10" s="130"/>
      <c r="V10" s="129"/>
      <c r="W10" s="130"/>
      <c r="X10" s="129"/>
      <c r="Y10" s="130"/>
      <c r="Z10" s="129"/>
      <c r="AA10" s="130"/>
      <c r="AC10" s="555" t="s">
        <v>606</v>
      </c>
      <c r="AD10" s="556" t="s">
        <v>605</v>
      </c>
      <c r="AE10" s="557" t="s">
        <v>610</v>
      </c>
      <c r="AF10" s="556" t="s">
        <v>611</v>
      </c>
      <c r="AG10" s="556" t="s">
        <v>609</v>
      </c>
      <c r="AH10" s="558" t="s">
        <v>621</v>
      </c>
      <c r="AI10" s="559" t="s">
        <v>639</v>
      </c>
    </row>
    <row r="11" spans="1:43" x14ac:dyDescent="0.25">
      <c r="A11" s="538">
        <v>160</v>
      </c>
      <c r="B11" s="585" t="str">
        <f>IF(A11&lt;&gt;"",INDEX('Base de données'!A$4:L$990,MATCH(A11,'Base de données'!A$4:A$990,0),2),"")</f>
        <v>ECOLE AL ITQANE 2</v>
      </c>
      <c r="C11" s="585" t="str">
        <f>IF(A11&lt;&gt;"",INDEX('Base de données'!A$4:L$990,MATCH(A11,'Base de données'!A$4:A$990,0),12),"")</f>
        <v>NAJAT SAOUD</v>
      </c>
      <c r="D11" s="582"/>
      <c r="E11" s="130"/>
      <c r="F11" s="129">
        <v>43921</v>
      </c>
      <c r="G11" s="130" t="s">
        <v>1441</v>
      </c>
      <c r="H11" s="129"/>
      <c r="I11" s="130"/>
      <c r="J11" s="132">
        <v>44112</v>
      </c>
      <c r="K11" s="130" t="s">
        <v>1442</v>
      </c>
      <c r="L11" s="129"/>
      <c r="M11" s="130"/>
      <c r="N11" s="131"/>
      <c r="O11" s="130"/>
      <c r="P11" s="129">
        <v>44112</v>
      </c>
      <c r="Q11" s="130" t="s">
        <v>1443</v>
      </c>
      <c r="R11" s="131"/>
      <c r="S11" s="130"/>
      <c r="T11" s="129"/>
      <c r="U11" s="130"/>
      <c r="V11" s="129">
        <v>44162</v>
      </c>
      <c r="W11" s="130" t="s">
        <v>1444</v>
      </c>
      <c r="X11" s="131"/>
      <c r="Y11" s="130"/>
      <c r="Z11" s="129">
        <v>44228</v>
      </c>
      <c r="AA11" s="130" t="s">
        <v>1460</v>
      </c>
      <c r="AC11" s="122" t="s">
        <v>604</v>
      </c>
      <c r="AD11" s="122">
        <f>COUNTIFS(C9:C361,AE8,D9:D361,"&lt;&gt;"&amp;"")</f>
        <v>0</v>
      </c>
      <c r="AE11" s="122">
        <f>COUNTIFS(C9:C361,AE8,D9:D361,"&lt;="&amp;'Calendrier fiscal'!C8)</f>
        <v>0</v>
      </c>
      <c r="AF11" s="122">
        <f>COUNTIFS(C9:C361,AE8,D9:D361,"&lt;="&amp;'Calendrier fiscal'!B8)</f>
        <v>0</v>
      </c>
      <c r="AG11" s="122">
        <f>AD11-AF11</f>
        <v>0</v>
      </c>
      <c r="AH11" s="297" t="str">
        <f>IF(AD11&lt;&gt;0,AE11/AD11,"")</f>
        <v/>
      </c>
      <c r="AI11" s="298" t="str">
        <f>IF(AD11&lt;&gt;0,AF11/AD11,"")</f>
        <v/>
      </c>
    </row>
    <row r="12" spans="1:43" x14ac:dyDescent="0.25">
      <c r="A12" s="538">
        <v>278</v>
      </c>
      <c r="B12" s="585" t="str">
        <f>IF(A12&lt;&gt;"",INDEX('Base de données'!A$4:L$990,MATCH(A12,'Base de données'!A$4:A$990,0),2),"")</f>
        <v>GMARK GROUPE</v>
      </c>
      <c r="C12" s="585" t="str">
        <f>IF(A12&lt;&gt;"",INDEX('Base de données'!A$4:L$990,MATCH(A12,'Base de données'!A$4:A$990,0),12),"")</f>
        <v>FATIMA EZZAHRA JAIZI</v>
      </c>
      <c r="D12" s="582">
        <v>43892</v>
      </c>
      <c r="E12" s="130" t="s">
        <v>1278</v>
      </c>
      <c r="F12" s="129"/>
      <c r="G12" s="130"/>
      <c r="H12" s="129"/>
      <c r="I12" s="130"/>
      <c r="J12" s="129"/>
      <c r="K12" s="130"/>
      <c r="L12" s="131"/>
      <c r="M12" s="130"/>
      <c r="N12" s="129"/>
      <c r="O12" s="130"/>
      <c r="P12" s="129">
        <v>44057</v>
      </c>
      <c r="Q12" s="130" t="s">
        <v>1340</v>
      </c>
      <c r="R12" s="129">
        <v>44104</v>
      </c>
      <c r="S12" s="130" t="s">
        <v>1435</v>
      </c>
      <c r="T12" s="131"/>
      <c r="U12" s="130"/>
      <c r="V12" s="131"/>
      <c r="W12" s="130"/>
      <c r="X12" s="131"/>
      <c r="Y12" s="130"/>
      <c r="Z12" s="131"/>
      <c r="AA12" s="130"/>
      <c r="AC12" s="122" t="s">
        <v>512</v>
      </c>
      <c r="AD12" s="122">
        <f>COUNTIFS(C9:C361,AE8,F9:F361,"&lt;&gt;"&amp;"")</f>
        <v>0</v>
      </c>
      <c r="AE12" s="122">
        <f>COUNTIFS(C9:C361,AE8,F9:F361,"&lt;="&amp;'Calendrier fiscal'!C9)</f>
        <v>0</v>
      </c>
      <c r="AF12" s="122">
        <f>COUNTIFS(C9:C361,AE8,F9:F361,"&lt;="&amp;'Calendrier fiscal'!B9)</f>
        <v>0</v>
      </c>
      <c r="AG12" s="122">
        <f t="shared" ref="AG12:AG22" si="0">AD12-AF12</f>
        <v>0</v>
      </c>
      <c r="AH12" s="297" t="str">
        <f t="shared" ref="AH12" si="1">IF(AD12&lt;&gt;0,AE12/AD12,"")</f>
        <v/>
      </c>
      <c r="AI12" s="298" t="str">
        <f t="shared" ref="AI12:AI22" si="2">IF(AD12&lt;&gt;0,AF12/AD12,"")</f>
        <v/>
      </c>
    </row>
    <row r="13" spans="1:43" x14ac:dyDescent="0.25">
      <c r="A13" s="538">
        <v>279</v>
      </c>
      <c r="B13" s="585" t="str">
        <f>IF(A13&lt;&gt;"",INDEX('Base de données'!A$4:L$990,MATCH(A13,'Base de données'!A$4:A$990,0),2),"")</f>
        <v>SANICLAIR</v>
      </c>
      <c r="C13" s="585" t="str">
        <f>IF(A13&lt;&gt;"",INDEX('Base de données'!A$4:L$990,MATCH(A13,'Base de données'!A$4:A$990,0),12),"")</f>
        <v>FATIMA EZZAHRA JAIZI</v>
      </c>
      <c r="D13" s="582">
        <v>43882</v>
      </c>
      <c r="E13" s="130" t="s">
        <v>1279</v>
      </c>
      <c r="F13" s="129">
        <v>43910</v>
      </c>
      <c r="G13" s="130" t="s">
        <v>1280</v>
      </c>
      <c r="H13" s="129">
        <v>43943</v>
      </c>
      <c r="I13" s="130" t="s">
        <v>1281</v>
      </c>
      <c r="J13" s="129"/>
      <c r="K13" s="130"/>
      <c r="L13" s="131"/>
      <c r="M13" s="130"/>
      <c r="N13" s="129">
        <v>44035</v>
      </c>
      <c r="O13" s="130" t="s">
        <v>1328</v>
      </c>
      <c r="P13" s="129">
        <v>44055</v>
      </c>
      <c r="Q13" s="130" t="s">
        <v>1338</v>
      </c>
      <c r="R13" s="129">
        <v>44098</v>
      </c>
      <c r="S13" s="130" t="s">
        <v>1391</v>
      </c>
      <c r="T13" s="129"/>
      <c r="U13" s="130"/>
      <c r="V13" s="129">
        <v>44155</v>
      </c>
      <c r="W13" s="130" t="s">
        <v>1437</v>
      </c>
      <c r="X13" s="131"/>
      <c r="Y13" s="130"/>
      <c r="Z13" s="131"/>
      <c r="AA13" s="130"/>
      <c r="AC13" s="122" t="s">
        <v>607</v>
      </c>
      <c r="AD13" s="122">
        <f>COUNTIFS(C9:C361,AE8,H9:H361,"&lt;&gt;"&amp;"")</f>
        <v>0</v>
      </c>
      <c r="AE13" s="122">
        <f>COUNTIFS(C9:C361,AE8,H9:H361,"&lt;="&amp;'Calendrier fiscal'!C10)</f>
        <v>0</v>
      </c>
      <c r="AF13" s="122">
        <f>COUNTIFS(C9:C361,AE8,H9:H361,"&lt;="&amp;'Calendrier fiscal'!B10)</f>
        <v>0</v>
      </c>
      <c r="AG13" s="122">
        <f t="shared" si="0"/>
        <v>0</v>
      </c>
      <c r="AH13" s="297" t="str">
        <f>IF(AD13&lt;&gt;0,AE13/AD13,"")</f>
        <v/>
      </c>
      <c r="AI13" s="298" t="str">
        <f t="shared" si="2"/>
        <v/>
      </c>
    </row>
    <row r="14" spans="1:43" x14ac:dyDescent="0.25">
      <c r="A14" s="538">
        <v>73</v>
      </c>
      <c r="B14" s="585" t="str">
        <f>IF(A14&lt;&gt;"",INDEX('Base de données'!A$4:L$990,MATCH(A14,'Base de données'!A$4:A$990,0),2),"")</f>
        <v>HOTEL SOLEIL IMLIL</v>
      </c>
      <c r="C14" s="585" t="str">
        <f>IF(A14&lt;&gt;"",INDEX('Base de données'!A$4:L$990,MATCH(A14,'Base de données'!A$4:A$990,0),12),"")</f>
        <v>FATIMA EZZAHRA JAIZI</v>
      </c>
      <c r="D14" s="582"/>
      <c r="E14" s="130"/>
      <c r="F14" s="129"/>
      <c r="G14" s="130"/>
      <c r="H14" s="129">
        <v>43949</v>
      </c>
      <c r="I14" s="130" t="s">
        <v>1282</v>
      </c>
      <c r="J14" s="129"/>
      <c r="K14" s="130"/>
      <c r="L14" s="129"/>
      <c r="M14" s="130"/>
      <c r="N14" s="131"/>
      <c r="O14" s="130"/>
      <c r="P14" s="131"/>
      <c r="Q14" s="130"/>
      <c r="R14" s="131"/>
      <c r="S14" s="130"/>
      <c r="T14" s="131"/>
      <c r="U14" s="130"/>
      <c r="V14" s="131"/>
      <c r="W14" s="130"/>
      <c r="X14" s="131"/>
      <c r="Y14" s="130"/>
      <c r="Z14" s="131"/>
      <c r="AA14" s="130"/>
      <c r="AC14" s="122" t="s">
        <v>486</v>
      </c>
      <c r="AD14" s="122">
        <f>COUNTIFS(C9:C361,AE8,J9:J361,"&lt;&gt;"&amp;"")</f>
        <v>0</v>
      </c>
      <c r="AE14" s="122">
        <f>COUNTIFS(C9:C361,AE8,J9:J361,"&lt;="&amp;'Calendrier fiscal'!C11)</f>
        <v>0</v>
      </c>
      <c r="AF14" s="122">
        <f>COUNTIFS(C9:C361,AE8,J9:J361,"&lt;="&amp;'Calendrier fiscal'!B11)</f>
        <v>0</v>
      </c>
      <c r="AG14" s="122">
        <f t="shared" si="0"/>
        <v>0</v>
      </c>
      <c r="AH14" s="297" t="str">
        <f t="shared" ref="AH14:AH22" si="3">IF(AD14&lt;&gt;0,AE14/AD14,"")</f>
        <v/>
      </c>
      <c r="AI14" s="298" t="str">
        <f t="shared" si="2"/>
        <v/>
      </c>
    </row>
    <row r="15" spans="1:43" x14ac:dyDescent="0.25">
      <c r="A15" s="538">
        <v>328</v>
      </c>
      <c r="B15" s="585" t="str">
        <f>IF(A15&lt;&gt;"",INDEX('Base de données'!A$4:L$990,MATCH(A15,'Base de données'!A$4:A$990,0),2),"")</f>
        <v xml:space="preserve">BLANCHISSERIE YASSIN </v>
      </c>
      <c r="C15" s="585" t="str">
        <f>IF(A15&lt;&gt;"",INDEX('Base de données'!A$4:L$990,MATCH(A15,'Base de données'!A$4:A$990,0),12),"")</f>
        <v>NAJAT SAOUD</v>
      </c>
      <c r="D15" s="582">
        <v>43886</v>
      </c>
      <c r="E15" s="130" t="s">
        <v>1351</v>
      </c>
      <c r="F15" s="131"/>
      <c r="G15" s="130"/>
      <c r="H15" s="131"/>
      <c r="I15" s="130"/>
      <c r="J15" s="129"/>
      <c r="K15" s="130"/>
      <c r="L15" s="129"/>
      <c r="M15" s="130"/>
      <c r="N15" s="129"/>
      <c r="O15" s="130"/>
      <c r="P15" s="131"/>
      <c r="Q15" s="130"/>
      <c r="R15" s="131"/>
      <c r="S15" s="130"/>
      <c r="T15" s="131"/>
      <c r="U15" s="130"/>
      <c r="V15" s="131"/>
      <c r="W15" s="130"/>
      <c r="X15" s="131"/>
      <c r="Y15" s="130"/>
      <c r="Z15" s="131"/>
      <c r="AA15" s="130"/>
      <c r="AC15" s="122" t="s">
        <v>487</v>
      </c>
      <c r="AD15" s="122">
        <f>COUNTIFS(C9:C361,AE8,L9:L361,"&lt;&gt;"&amp;"")</f>
        <v>0</v>
      </c>
      <c r="AE15" s="122">
        <f>COUNTIFS(C9:C361,AE8,L9:L361,"&lt;="&amp;'Calendrier fiscal'!C12)</f>
        <v>0</v>
      </c>
      <c r="AF15" s="122">
        <f>COUNTIFS(C9:C361,AE8,L9:L361,"&lt;="&amp;'Calendrier fiscal'!B12)</f>
        <v>0</v>
      </c>
      <c r="AG15" s="122">
        <f t="shared" si="0"/>
        <v>0</v>
      </c>
      <c r="AH15" s="297" t="str">
        <f t="shared" si="3"/>
        <v/>
      </c>
      <c r="AI15" s="298" t="str">
        <f t="shared" si="2"/>
        <v/>
      </c>
    </row>
    <row r="16" spans="1:43" x14ac:dyDescent="0.25">
      <c r="A16" s="538">
        <v>100</v>
      </c>
      <c r="B16" s="585" t="str">
        <f>IF(A16&lt;&gt;"",INDEX('Base de données'!A$4:L$990,MATCH(A16,'Base de données'!A$4:A$990,0),2),"")</f>
        <v>TATOU MERIEME
MAISON D'OPTIQUE</v>
      </c>
      <c r="C16" s="585" t="str">
        <f>IF(A16&lt;&gt;"",INDEX('Base de données'!A$4:L$990,MATCH(A16,'Base de données'!A$4:A$990,0),12),"")</f>
        <v>FATIMA EZZAHRA AIT AHMED</v>
      </c>
      <c r="D16" s="582">
        <v>43886</v>
      </c>
      <c r="E16" s="130" t="s">
        <v>1359</v>
      </c>
      <c r="F16" s="131"/>
      <c r="G16" s="130"/>
      <c r="H16" s="131"/>
      <c r="I16" s="130"/>
      <c r="J16" s="131"/>
      <c r="K16" s="130"/>
      <c r="L16" s="131"/>
      <c r="M16" s="130"/>
      <c r="N16" s="129"/>
      <c r="O16" s="130"/>
      <c r="P16" s="131"/>
      <c r="Q16" s="130"/>
      <c r="R16" s="131"/>
      <c r="S16" s="130"/>
      <c r="T16" s="131"/>
      <c r="U16" s="130"/>
      <c r="V16" s="131"/>
      <c r="W16" s="130"/>
      <c r="X16" s="131"/>
      <c r="Y16" s="130"/>
      <c r="Z16" s="131"/>
      <c r="AA16" s="130"/>
      <c r="AC16" s="122" t="s">
        <v>488</v>
      </c>
      <c r="AD16" s="122">
        <f>COUNTIFS(C9:C361,AE8,N9:N361,"&lt;&gt;"&amp;"")</f>
        <v>0</v>
      </c>
      <c r="AE16" s="122">
        <f>COUNTIFS(C9:C361,AE8,N9:N361,"&lt;="&amp;'Calendrier fiscal'!C13)</f>
        <v>0</v>
      </c>
      <c r="AF16" s="122">
        <f>COUNTIFS(C9:C361,AE8,N9:N361,"&lt;="&amp;'Calendrier fiscal'!B13)</f>
        <v>0</v>
      </c>
      <c r="AG16" s="122">
        <f t="shared" si="0"/>
        <v>0</v>
      </c>
      <c r="AH16" s="297" t="str">
        <f t="shared" si="3"/>
        <v/>
      </c>
      <c r="AI16" s="298" t="str">
        <f t="shared" si="2"/>
        <v/>
      </c>
    </row>
    <row r="17" spans="1:35" x14ac:dyDescent="0.25">
      <c r="A17" s="538">
        <v>192</v>
      </c>
      <c r="B17" s="585" t="str">
        <f>IF(A17&lt;&gt;"",INDEX('Base de données'!A$4:L$990,MATCH(A17,'Base de données'!A$4:A$990,0),2),"")</f>
        <v>JACARANDA CAR</v>
      </c>
      <c r="C17" s="585" t="str">
        <f>IF(A17&lt;&gt;"",INDEX('Base de données'!A$4:L$990,MATCH(A17,'Base de données'!A$4:A$990,0),12),"")</f>
        <v>FATIMA EZZAHRA AIT AHMED</v>
      </c>
      <c r="D17" s="582">
        <v>43886</v>
      </c>
      <c r="E17" s="130" t="s">
        <v>1363</v>
      </c>
      <c r="F17" s="129"/>
      <c r="G17" s="130"/>
      <c r="H17" s="129"/>
      <c r="I17" s="130"/>
      <c r="J17" s="129"/>
      <c r="K17" s="130"/>
      <c r="L17" s="129"/>
      <c r="M17" s="130"/>
      <c r="N17" s="129"/>
      <c r="O17" s="130"/>
      <c r="P17" s="129"/>
      <c r="Q17" s="130"/>
      <c r="R17" s="129"/>
      <c r="S17" s="130"/>
      <c r="T17" s="129"/>
      <c r="U17" s="130"/>
      <c r="V17" s="129"/>
      <c r="W17" s="130"/>
      <c r="X17" s="131"/>
      <c r="Y17" s="130"/>
      <c r="Z17" s="131"/>
      <c r="AA17" s="130"/>
      <c r="AC17" s="122" t="s">
        <v>489</v>
      </c>
      <c r="AD17" s="122">
        <f>COUNTIFS(C9:C361,AE8,P9:P361,"&lt;&gt;"&amp;"")</f>
        <v>0</v>
      </c>
      <c r="AE17" s="122">
        <f>COUNTIFS(C9:C361,AE8,P9:P361,"&lt;="&amp;'Calendrier fiscal'!C14)</f>
        <v>0</v>
      </c>
      <c r="AF17" s="122">
        <f>COUNTIFS(C9:C361,AE8,P9:P361,"&lt;="&amp;'Calendrier fiscal'!B14)</f>
        <v>0</v>
      </c>
      <c r="AG17" s="122">
        <f t="shared" si="0"/>
        <v>0</v>
      </c>
      <c r="AH17" s="297" t="str">
        <f t="shared" si="3"/>
        <v/>
      </c>
      <c r="AI17" s="298" t="str">
        <f t="shared" si="2"/>
        <v/>
      </c>
    </row>
    <row r="18" spans="1:35" x14ac:dyDescent="0.25">
      <c r="A18" s="538">
        <v>47</v>
      </c>
      <c r="B18" s="585" t="str">
        <f>IF(A18&lt;&gt;"",INDEX('Base de données'!A$4:L$990,MATCH(A18,'Base de données'!A$4:A$990,0),2),"")</f>
        <v>RIM OPTIQUE</v>
      </c>
      <c r="C18" s="585" t="str">
        <f>IF(A18&lt;&gt;"",INDEX('Base de données'!A$4:L$990,MATCH(A18,'Base de données'!A$4:A$990,0),12),"")</f>
        <v>FATIMA EZZAHRA AIT AHMED</v>
      </c>
      <c r="D18" s="582">
        <v>43886</v>
      </c>
      <c r="E18" s="130" t="s">
        <v>1368</v>
      </c>
      <c r="F18" s="129">
        <v>43921</v>
      </c>
      <c r="G18" s="130" t="s">
        <v>1369</v>
      </c>
      <c r="H18" s="129"/>
      <c r="I18" s="130"/>
      <c r="J18" s="129"/>
      <c r="K18" s="130"/>
      <c r="L18" s="129"/>
      <c r="M18" s="130"/>
      <c r="N18" s="129"/>
      <c r="O18" s="130"/>
      <c r="P18" s="129"/>
      <c r="Q18" s="130"/>
      <c r="R18" s="129"/>
      <c r="S18" s="130"/>
      <c r="T18" s="129"/>
      <c r="U18" s="130"/>
      <c r="V18" s="129"/>
      <c r="W18" s="130"/>
      <c r="X18" s="129"/>
      <c r="Y18" s="130"/>
      <c r="Z18" s="131"/>
      <c r="AA18" s="130"/>
      <c r="AC18" s="122" t="s">
        <v>490</v>
      </c>
      <c r="AD18" s="122">
        <f>COUNTIFS(C9:C361,AE8,R9:R361,"&lt;&gt;"&amp;"")</f>
        <v>0</v>
      </c>
      <c r="AE18" s="122">
        <f>COUNTIFS(C9:C361,AE8,R9:R361,"&lt;="&amp;'Calendrier fiscal'!C15)</f>
        <v>0</v>
      </c>
      <c r="AF18" s="122">
        <f>COUNTIFS(C9:C361,AE8,R9:R361,"&lt;="&amp;'Calendrier fiscal'!B15)</f>
        <v>0</v>
      </c>
      <c r="AG18" s="122">
        <f t="shared" si="0"/>
        <v>0</v>
      </c>
      <c r="AH18" s="297" t="str">
        <f t="shared" si="3"/>
        <v/>
      </c>
      <c r="AI18" s="298" t="str">
        <f t="shared" si="2"/>
        <v/>
      </c>
    </row>
    <row r="19" spans="1:35" x14ac:dyDescent="0.25">
      <c r="A19" s="538"/>
      <c r="B19" s="585" t="str">
        <f>IF(A19&lt;&gt;"",INDEX('Base de données'!A$4:L$990,MATCH(A19,'Base de données'!A$4:A$990,0),2),"")</f>
        <v/>
      </c>
      <c r="C19" s="585" t="str">
        <f>IF(A19&lt;&gt;"",INDEX('Base de données'!A$4:L$990,MATCH(A19,'Base de données'!A$4:A$990,0),12),"")</f>
        <v/>
      </c>
      <c r="D19" s="582"/>
      <c r="E19" s="130"/>
      <c r="F19" s="129"/>
      <c r="G19" s="130"/>
      <c r="H19" s="131"/>
      <c r="I19" s="130"/>
      <c r="J19" s="129"/>
      <c r="K19" s="130"/>
      <c r="L19" s="129"/>
      <c r="M19" s="130"/>
      <c r="N19" s="129"/>
      <c r="O19" s="130"/>
      <c r="P19" s="129"/>
      <c r="Q19" s="130"/>
      <c r="R19" s="129"/>
      <c r="S19" s="130"/>
      <c r="T19" s="129"/>
      <c r="U19" s="130"/>
      <c r="V19" s="129"/>
      <c r="W19" s="130"/>
      <c r="X19" s="131"/>
      <c r="Y19" s="130"/>
      <c r="Z19" s="131"/>
      <c r="AA19" s="130"/>
      <c r="AC19" s="122" t="s">
        <v>491</v>
      </c>
      <c r="AD19" s="122">
        <f>COUNTIFS(C9:C361,AE8,T9:T361,"&lt;&gt;"&amp;"")</f>
        <v>0</v>
      </c>
      <c r="AE19" s="122">
        <f>COUNTIFS(C9:C361,AE8,T9:T361,"&lt;="&amp;'Calendrier fiscal'!C16)</f>
        <v>0</v>
      </c>
      <c r="AF19" s="122">
        <f>COUNTIFS(C9:C361,AE8,T9:T361,"&lt;="&amp;'Calendrier fiscal'!B16)</f>
        <v>0</v>
      </c>
      <c r="AG19" s="122">
        <f t="shared" si="0"/>
        <v>0</v>
      </c>
      <c r="AH19" s="297" t="str">
        <f t="shared" si="3"/>
        <v/>
      </c>
      <c r="AI19" s="298" t="str">
        <f t="shared" si="2"/>
        <v/>
      </c>
    </row>
    <row r="20" spans="1:35" x14ac:dyDescent="0.25">
      <c r="A20" s="538"/>
      <c r="B20" s="585" t="str">
        <f>IF(A20&lt;&gt;"",INDEX('Base de données'!A$4:L$990,MATCH(A20,'Base de données'!A$4:A$990,0),2),"")</f>
        <v/>
      </c>
      <c r="C20" s="585" t="str">
        <f>IF(A20&lt;&gt;"",INDEX('Base de données'!A$4:L$990,MATCH(A20,'Base de données'!A$4:A$990,0),12),"")</f>
        <v/>
      </c>
      <c r="D20" s="582"/>
      <c r="E20" s="130"/>
      <c r="F20" s="129"/>
      <c r="G20" s="130"/>
      <c r="H20" s="129"/>
      <c r="I20" s="130"/>
      <c r="J20" s="129"/>
      <c r="K20" s="130"/>
      <c r="L20" s="129"/>
      <c r="M20" s="130"/>
      <c r="N20" s="129"/>
      <c r="O20" s="130"/>
      <c r="P20" s="129"/>
      <c r="Q20" s="130"/>
      <c r="R20" s="129"/>
      <c r="S20" s="130"/>
      <c r="T20" s="129"/>
      <c r="U20" s="130"/>
      <c r="V20" s="129"/>
      <c r="W20" s="130"/>
      <c r="X20" s="131"/>
      <c r="Y20" s="130"/>
      <c r="Z20" s="131"/>
      <c r="AA20" s="130"/>
      <c r="AC20" s="122" t="s">
        <v>492</v>
      </c>
      <c r="AD20" s="122">
        <f>COUNTIFS(C9:C361,AE8,V9:V361,"&lt;&gt;"&amp;"")</f>
        <v>0</v>
      </c>
      <c r="AE20" s="122">
        <f>COUNTIFS(C9:C361,AE8,V9:V361,"&lt;="&amp;'Calendrier fiscal'!C17)</f>
        <v>0</v>
      </c>
      <c r="AF20" s="122">
        <f>COUNTIFS(C9:C361,AE8,V9:V361,"&lt;="&amp;'Calendrier fiscal'!B17)</f>
        <v>0</v>
      </c>
      <c r="AG20" s="122">
        <f t="shared" si="0"/>
        <v>0</v>
      </c>
      <c r="AH20" s="297" t="str">
        <f t="shared" si="3"/>
        <v/>
      </c>
      <c r="AI20" s="298" t="str">
        <f t="shared" si="2"/>
        <v/>
      </c>
    </row>
    <row r="21" spans="1:35" x14ac:dyDescent="0.25">
      <c r="A21" s="538"/>
      <c r="B21" s="585" t="str">
        <f>IF(A21&lt;&gt;"",INDEX('Base de données'!A$4:L$990,MATCH(A21,'Base de données'!A$4:A$990,0),2),"")</f>
        <v/>
      </c>
      <c r="C21" s="585" t="str">
        <f>IF(A21&lt;&gt;"",INDEX('Base de données'!A$4:L$990,MATCH(A21,'Base de données'!A$4:A$990,0),12),"")</f>
        <v/>
      </c>
      <c r="D21" s="582"/>
      <c r="E21" s="130"/>
      <c r="F21" s="129"/>
      <c r="G21" s="130"/>
      <c r="H21" s="129"/>
      <c r="I21" s="130"/>
      <c r="J21" s="129"/>
      <c r="K21" s="130"/>
      <c r="L21" s="129"/>
      <c r="M21" s="130"/>
      <c r="N21" s="129"/>
      <c r="O21" s="130"/>
      <c r="P21" s="129"/>
      <c r="Q21" s="130"/>
      <c r="R21" s="129"/>
      <c r="S21" s="130"/>
      <c r="T21" s="129"/>
      <c r="U21" s="130"/>
      <c r="V21" s="129"/>
      <c r="W21" s="130"/>
      <c r="X21" s="131"/>
      <c r="Y21" s="130"/>
      <c r="Z21" s="131"/>
      <c r="AA21" s="130"/>
      <c r="AC21" s="122" t="s">
        <v>493</v>
      </c>
      <c r="AD21" s="122">
        <f>COUNTIFS(C9:C361,AE8,X9:X361,"&lt;&gt;"&amp;"")</f>
        <v>0</v>
      </c>
      <c r="AE21" s="122">
        <f>COUNTIFS(C9:C361,AE8,X9:X361,"&lt;="&amp;'Calendrier fiscal'!C18)</f>
        <v>0</v>
      </c>
      <c r="AF21" s="122">
        <f>COUNTIFS(C9:C361,AE8,X9:X361,"&lt;="&amp;'Calendrier fiscal'!B18)</f>
        <v>0</v>
      </c>
      <c r="AG21" s="122">
        <f t="shared" si="0"/>
        <v>0</v>
      </c>
      <c r="AH21" s="297" t="str">
        <f t="shared" si="3"/>
        <v/>
      </c>
      <c r="AI21" s="298" t="str">
        <f t="shared" si="2"/>
        <v/>
      </c>
    </row>
    <row r="22" spans="1:35" x14ac:dyDescent="0.25">
      <c r="A22" s="538"/>
      <c r="B22" s="585" t="str">
        <f>IF(A22&lt;&gt;"",INDEX('Base de données'!A$4:L$990,MATCH(A22,'Base de données'!A$4:A$990,0),2),"")</f>
        <v/>
      </c>
      <c r="C22" s="585" t="str">
        <f>IF(A22&lt;&gt;"",INDEX('Base de données'!A$4:L$990,MATCH(A22,'Base de données'!A$4:A$990,0),12),"")</f>
        <v/>
      </c>
      <c r="D22" s="583"/>
      <c r="E22" s="130"/>
      <c r="F22" s="131"/>
      <c r="G22" s="130"/>
      <c r="H22" s="129"/>
      <c r="I22" s="130"/>
      <c r="J22" s="131"/>
      <c r="K22" s="130"/>
      <c r="L22" s="131"/>
      <c r="M22" s="130"/>
      <c r="N22" s="131"/>
      <c r="O22" s="130"/>
      <c r="P22" s="131"/>
      <c r="Q22" s="130"/>
      <c r="R22" s="131"/>
      <c r="S22" s="130"/>
      <c r="T22" s="129"/>
      <c r="U22" s="130"/>
      <c r="V22" s="129"/>
      <c r="W22" s="130"/>
      <c r="X22" s="129"/>
      <c r="Y22" s="130"/>
      <c r="Z22" s="131"/>
      <c r="AA22" s="130"/>
      <c r="AC22" s="122" t="s">
        <v>494</v>
      </c>
      <c r="AD22" s="122">
        <f>COUNTIFS(C9:C361,AE8,Z9:Z361,"&lt;&gt;"&amp;"")</f>
        <v>0</v>
      </c>
      <c r="AE22" s="122">
        <f>COUNTIFS(C9:C361,AE8,Z9:Z361,"&lt;="&amp;'Calendrier fiscal'!C19)</f>
        <v>0</v>
      </c>
      <c r="AF22" s="122">
        <f>COUNTIFS(C9:C361,AE8,Z9:Z361,"&lt;="&amp;'Calendrier fiscal'!B19)</f>
        <v>0</v>
      </c>
      <c r="AG22" s="122">
        <f t="shared" si="0"/>
        <v>0</v>
      </c>
      <c r="AH22" s="297" t="str">
        <f t="shared" si="3"/>
        <v/>
      </c>
      <c r="AI22" s="298" t="str">
        <f t="shared" si="2"/>
        <v/>
      </c>
    </row>
    <row r="23" spans="1:35" x14ac:dyDescent="0.25">
      <c r="A23" s="538"/>
      <c r="B23" s="585" t="str">
        <f>IF(A23&lt;&gt;"",INDEX('Base de données'!A$4:L$990,MATCH(A23,'Base de données'!A$4:A$990,0),2),"")</f>
        <v/>
      </c>
      <c r="C23" s="585" t="str">
        <f>IF(A23&lt;&gt;"",INDEX('Base de données'!A$4:L$990,MATCH(A23,'Base de données'!A$4:A$990,0),12),"")</f>
        <v/>
      </c>
      <c r="D23" s="582"/>
      <c r="E23" s="130"/>
      <c r="F23" s="129"/>
      <c r="G23" s="130"/>
      <c r="H23" s="129"/>
      <c r="I23" s="130"/>
      <c r="J23" s="129"/>
      <c r="K23" s="130"/>
      <c r="L23" s="129"/>
      <c r="M23" s="130"/>
      <c r="N23" s="129"/>
      <c r="O23" s="130"/>
      <c r="P23" s="129"/>
      <c r="Q23" s="130"/>
      <c r="R23" s="129"/>
      <c r="S23" s="130"/>
      <c r="T23" s="129"/>
      <c r="U23" s="130"/>
      <c r="V23" s="129"/>
      <c r="W23" s="130"/>
      <c r="X23" s="131"/>
      <c r="Y23" s="130"/>
      <c r="Z23" s="131"/>
      <c r="AA23" s="130"/>
    </row>
    <row r="24" spans="1:35" x14ac:dyDescent="0.25">
      <c r="A24" s="538"/>
      <c r="B24" s="585" t="str">
        <f>IF(A24&lt;&gt;"",INDEX('Base de données'!A$4:L$990,MATCH(A24,'Base de données'!A$4:A$990,0),2),"")</f>
        <v/>
      </c>
      <c r="C24" s="585" t="str">
        <f>IF(A24&lt;&gt;"",INDEX('Base de données'!A$4:L$990,MATCH(A24,'Base de données'!A$4:A$990,0),12),"")</f>
        <v/>
      </c>
      <c r="D24" s="583"/>
      <c r="E24" s="130"/>
      <c r="F24" s="131"/>
      <c r="G24" s="130"/>
      <c r="H24" s="129"/>
      <c r="I24" s="130"/>
      <c r="J24" s="131"/>
      <c r="K24" s="130"/>
      <c r="L24" s="131"/>
      <c r="M24" s="130"/>
      <c r="N24" s="129"/>
      <c r="O24" s="130"/>
      <c r="P24" s="129"/>
      <c r="Q24" s="130"/>
      <c r="R24" s="131"/>
      <c r="S24" s="130"/>
      <c r="T24" s="129"/>
      <c r="U24" s="130"/>
      <c r="V24" s="129"/>
      <c r="W24" s="130"/>
      <c r="X24" s="131"/>
      <c r="Y24" s="130"/>
      <c r="Z24" s="131"/>
      <c r="AA24" s="130"/>
    </row>
    <row r="25" spans="1:35" x14ac:dyDescent="0.25">
      <c r="A25" s="538"/>
      <c r="B25" s="585" t="str">
        <f>IF(A25&lt;&gt;"",INDEX('Base de données'!A$4:L$990,MATCH(A25,'Base de données'!A$4:A$990,0),2),"")</f>
        <v/>
      </c>
      <c r="C25" s="585" t="str">
        <f>IF(A25&lt;&gt;"",INDEX('Base de données'!A$4:L$990,MATCH(A25,'Base de données'!A$4:A$990,0),12),"")</f>
        <v/>
      </c>
      <c r="D25" s="582"/>
      <c r="E25" s="130"/>
      <c r="F25" s="129"/>
      <c r="G25" s="130"/>
      <c r="H25" s="129"/>
      <c r="I25" s="130"/>
      <c r="J25" s="129"/>
      <c r="K25" s="130"/>
      <c r="L25" s="129"/>
      <c r="M25" s="130"/>
      <c r="N25" s="129"/>
      <c r="O25" s="130"/>
      <c r="P25" s="131"/>
      <c r="Q25" s="130"/>
      <c r="R25" s="129"/>
      <c r="S25" s="130"/>
      <c r="T25" s="129"/>
      <c r="U25" s="130"/>
      <c r="V25" s="129"/>
      <c r="W25" s="412"/>
      <c r="X25" s="129"/>
      <c r="Y25" s="130"/>
      <c r="Z25" s="131"/>
      <c r="AA25" s="130"/>
    </row>
    <row r="26" spans="1:35" x14ac:dyDescent="0.25">
      <c r="A26" s="538"/>
      <c r="B26" s="585" t="str">
        <f>IF(A26&lt;&gt;"",INDEX('Base de données'!A$4:L$990,MATCH(A26,'Base de données'!A$4:A$990,0),2),"")</f>
        <v/>
      </c>
      <c r="C26" s="585" t="str">
        <f>IF(A26&lt;&gt;"",INDEX('Base de données'!A$4:L$990,MATCH(A26,'Base de données'!A$4:A$990,0),12),"")</f>
        <v/>
      </c>
      <c r="D26" s="582"/>
      <c r="E26" s="130"/>
      <c r="F26" s="129"/>
      <c r="G26" s="130"/>
      <c r="H26" s="131"/>
      <c r="I26" s="130"/>
      <c r="J26" s="129"/>
      <c r="K26" s="130"/>
      <c r="L26" s="129"/>
      <c r="M26" s="130"/>
      <c r="N26" s="129"/>
      <c r="O26" s="130"/>
      <c r="P26" s="129"/>
      <c r="Q26" s="130"/>
      <c r="R26" s="129"/>
      <c r="S26" s="130"/>
      <c r="T26" s="129"/>
      <c r="U26" s="130"/>
      <c r="V26" s="129"/>
      <c r="W26"/>
      <c r="X26" s="129"/>
      <c r="Y26" s="130"/>
      <c r="Z26" s="131"/>
      <c r="AA26" s="130"/>
    </row>
    <row r="27" spans="1:35" x14ac:dyDescent="0.25">
      <c r="A27" s="538"/>
      <c r="B27" s="585" t="str">
        <f>IF(A27&lt;&gt;"",INDEX('Base de données'!A$4:L$990,MATCH(A27,'Base de données'!A$4:A$990,0),2),"")</f>
        <v/>
      </c>
      <c r="C27" s="585" t="str">
        <f>IF(A27&lt;&gt;"",INDEX('Base de données'!A$4:L$990,MATCH(A27,'Base de données'!A$4:A$990,0),12),"")</f>
        <v/>
      </c>
      <c r="D27" s="582"/>
      <c r="E27" s="130"/>
      <c r="F27" s="129"/>
      <c r="G27" s="130"/>
      <c r="H27" s="129"/>
      <c r="I27" s="130"/>
      <c r="J27" s="129"/>
      <c r="K27" s="130"/>
      <c r="L27" s="129"/>
      <c r="M27" s="130"/>
      <c r="N27" s="129"/>
      <c r="O27" s="130"/>
      <c r="P27" s="129"/>
      <c r="Q27" s="130"/>
      <c r="R27" s="129"/>
      <c r="S27" s="130"/>
      <c r="T27" s="129"/>
      <c r="U27" s="130"/>
      <c r="V27" s="129"/>
      <c r="W27"/>
      <c r="X27" s="129"/>
      <c r="Y27" s="130"/>
      <c r="Z27" s="131"/>
      <c r="AA27" s="130"/>
    </row>
    <row r="28" spans="1:35" x14ac:dyDescent="0.25">
      <c r="A28" s="538"/>
      <c r="B28" s="585" t="str">
        <f>IF(A28&lt;&gt;"",INDEX('Base de données'!A$4:L$990,MATCH(A28,'Base de données'!A$4:A$990,0),2),"")</f>
        <v/>
      </c>
      <c r="C28" s="585" t="str">
        <f>IF(A28&lt;&gt;"",INDEX('Base de données'!A$4:L$990,MATCH(A28,'Base de données'!A$4:A$990,0),12),"")</f>
        <v/>
      </c>
      <c r="D28" s="582"/>
      <c r="E28" s="609"/>
      <c r="F28" s="129"/>
      <c r="G28" s="130"/>
      <c r="H28" s="129"/>
      <c r="I28" s="130"/>
      <c r="J28" s="129"/>
      <c r="K28" s="130"/>
      <c r="L28" s="129"/>
      <c r="M28" s="130"/>
      <c r="N28" s="129"/>
      <c r="O28" s="130"/>
      <c r="P28" s="129"/>
      <c r="Q28" s="130"/>
      <c r="R28" s="129"/>
      <c r="S28" s="130"/>
      <c r="T28" s="129"/>
      <c r="U28" s="609"/>
      <c r="V28" s="129"/>
      <c r="W28" s="130"/>
      <c r="X28" s="129"/>
      <c r="Y28" s="130"/>
      <c r="Z28" s="131"/>
      <c r="AA28" s="130"/>
    </row>
    <row r="29" spans="1:35" x14ac:dyDescent="0.25">
      <c r="A29" s="538"/>
      <c r="B29" s="585" t="str">
        <f>IF(A29&lt;&gt;"",INDEX('Base de données'!A$4:L$990,MATCH(A29,'Base de données'!A$4:A$990,0),2),"")</f>
        <v/>
      </c>
      <c r="C29" s="585" t="str">
        <f>IF(A29&lt;&gt;"",INDEX('Base de données'!A$4:L$990,MATCH(A29,'Base de données'!A$4:A$990,0),12),"")</f>
        <v/>
      </c>
      <c r="D29" s="583"/>
      <c r="E29" s="130"/>
      <c r="F29" s="129"/>
      <c r="G29" s="130"/>
      <c r="H29" s="129"/>
      <c r="I29" s="609"/>
      <c r="J29" s="129"/>
      <c r="K29" s="130"/>
      <c r="L29" s="131"/>
      <c r="M29" s="130"/>
      <c r="N29" s="129"/>
      <c r="O29" s="609"/>
      <c r="P29" s="129"/>
      <c r="Q29" s="609"/>
      <c r="R29" s="129"/>
      <c r="S29" s="130"/>
      <c r="T29" s="129"/>
      <c r="U29" s="130"/>
      <c r="V29" s="129"/>
      <c r="W29" s="130"/>
      <c r="X29" s="129"/>
      <c r="Y29" s="130"/>
      <c r="Z29" s="131"/>
      <c r="AA29" s="130"/>
    </row>
    <row r="30" spans="1:35" x14ac:dyDescent="0.25">
      <c r="A30" s="538"/>
      <c r="B30" s="585" t="str">
        <f>IF(A30&lt;&gt;"",INDEX('Base de données'!A$4:L$990,MATCH(A30,'Base de données'!A$4:A$990,0),2),"")</f>
        <v/>
      </c>
      <c r="C30" s="585" t="str">
        <f>IF(A30&lt;&gt;"",INDEX('Base de données'!A$4:L$990,MATCH(A30,'Base de données'!A$4:A$990,0),12),"")</f>
        <v/>
      </c>
      <c r="D30" s="582"/>
      <c r="E30" s="130"/>
      <c r="F30" s="129"/>
      <c r="G30" s="130"/>
      <c r="H30" s="129"/>
      <c r="I30" s="130"/>
      <c r="J30" s="129"/>
      <c r="K30" s="130"/>
      <c r="L30" s="129"/>
      <c r="M30" s="130"/>
      <c r="N30" s="129"/>
      <c r="O30" s="609"/>
      <c r="P30" s="131"/>
      <c r="Q30" s="130"/>
      <c r="R30" s="131"/>
      <c r="S30" s="130"/>
      <c r="T30" s="129"/>
      <c r="U30" s="130"/>
      <c r="V30" s="129"/>
      <c r="W30" s="130"/>
      <c r="X30" s="129"/>
      <c r="Y30" s="130"/>
      <c r="Z30" s="131"/>
      <c r="AA30" s="130"/>
    </row>
    <row r="31" spans="1:35" x14ac:dyDescent="0.25">
      <c r="A31" s="538"/>
      <c r="B31" s="585" t="str">
        <f>IF(A31&lt;&gt;"",INDEX('Base de données'!A$4:L$990,MATCH(A31,'Base de données'!A$4:A$990,0),2),"")</f>
        <v/>
      </c>
      <c r="C31" s="585" t="str">
        <f>IF(A31&lt;&gt;"",INDEX('Base de données'!A$4:L$990,MATCH(A31,'Base de données'!A$4:A$990,0),12),"")</f>
        <v/>
      </c>
      <c r="D31" s="582"/>
      <c r="E31" s="609"/>
      <c r="F31" s="129"/>
      <c r="G31" s="609"/>
      <c r="H31" s="129"/>
      <c r="I31" s="130"/>
      <c r="J31" s="129"/>
      <c r="K31" s="130"/>
      <c r="L31" s="129"/>
      <c r="M31" s="130"/>
      <c r="N31" s="129"/>
      <c r="O31" s="130"/>
      <c r="P31" s="129"/>
      <c r="Q31" s="130"/>
      <c r="R31" s="129"/>
      <c r="S31" s="130"/>
      <c r="T31" s="129"/>
      <c r="U31" s="130"/>
      <c r="V31" s="129"/>
      <c r="W31" s="130"/>
      <c r="X31" s="129"/>
      <c r="Y31" s="130"/>
      <c r="Z31" s="131"/>
      <c r="AA31" s="130"/>
    </row>
    <row r="32" spans="1:35" x14ac:dyDescent="0.25">
      <c r="A32" s="538"/>
      <c r="B32" s="585" t="str">
        <f>IF(A32&lt;&gt;"",INDEX('Base de données'!A$4:L$990,MATCH(A32,'Base de données'!A$4:A$990,0),2),"")</f>
        <v/>
      </c>
      <c r="C32" s="585" t="str">
        <f>IF(A32&lt;&gt;"",INDEX('Base de données'!A$4:L$990,MATCH(A32,'Base de données'!A$4:A$990,0),12),"")</f>
        <v/>
      </c>
      <c r="D32" s="582"/>
      <c r="E32" s="130"/>
      <c r="F32" s="129"/>
      <c r="G32" s="130"/>
      <c r="H32" s="129"/>
      <c r="I32" s="130"/>
      <c r="J32" s="129"/>
      <c r="K32" s="130"/>
      <c r="L32" s="129"/>
      <c r="M32" s="130"/>
      <c r="N32" s="129"/>
      <c r="O32" s="130"/>
      <c r="P32" s="131"/>
      <c r="Q32" s="130"/>
      <c r="R32" s="131"/>
      <c r="S32" s="130"/>
      <c r="T32" s="129"/>
      <c r="U32" s="130"/>
      <c r="V32" s="129"/>
      <c r="W32" s="130"/>
      <c r="X32" s="129"/>
      <c r="Y32" s="130"/>
      <c r="Z32" s="131"/>
      <c r="AA32" s="130"/>
    </row>
    <row r="33" spans="1:27" x14ac:dyDescent="0.25">
      <c r="A33" s="538"/>
      <c r="B33" s="585" t="str">
        <f>IF(A33&lt;&gt;"",INDEX('Base de données'!A$4:L$990,MATCH(A33,'Base de données'!A$4:A$990,0),2),"")</f>
        <v/>
      </c>
      <c r="C33" s="585" t="str">
        <f>IF(A33&lt;&gt;"",INDEX('Base de données'!A$4:L$990,MATCH(A33,'Base de données'!A$4:A$990,0),12),"")</f>
        <v/>
      </c>
      <c r="D33" s="583"/>
      <c r="E33" s="130"/>
      <c r="F33" s="131"/>
      <c r="G33" s="130"/>
      <c r="H33" s="129"/>
      <c r="I33" s="130"/>
      <c r="J33" s="129"/>
      <c r="K33" s="130"/>
      <c r="L33" s="129"/>
      <c r="M33" s="130"/>
      <c r="N33" s="129"/>
      <c r="O33" s="130"/>
      <c r="P33" s="129"/>
      <c r="Q33" s="130"/>
      <c r="R33" s="129"/>
      <c r="S33" s="130"/>
      <c r="T33" s="129"/>
      <c r="U33" s="130"/>
      <c r="V33" s="129"/>
      <c r="W33" s="130"/>
      <c r="X33" s="129"/>
      <c r="Y33" s="130"/>
      <c r="Z33" s="131"/>
      <c r="AA33" s="130"/>
    </row>
    <row r="34" spans="1:27" x14ac:dyDescent="0.25">
      <c r="A34" s="538"/>
      <c r="B34" s="585" t="str">
        <f>IF(A34&lt;&gt;"",INDEX('Base de données'!A$4:L$990,MATCH(A34,'Base de données'!A$4:A$990,0),2),"")</f>
        <v/>
      </c>
      <c r="C34" s="585" t="str">
        <f>IF(A34&lt;&gt;"",INDEX('Base de données'!A$4:L$990,MATCH(A34,'Base de données'!A$4:A$990,0),12),"")</f>
        <v/>
      </c>
      <c r="D34" s="583"/>
      <c r="E34" s="130"/>
      <c r="F34" s="131"/>
      <c r="G34" s="130"/>
      <c r="H34" s="129"/>
      <c r="I34" s="609"/>
      <c r="J34" s="129"/>
      <c r="K34" s="130"/>
      <c r="L34" s="129"/>
      <c r="M34" s="130"/>
      <c r="N34" s="129"/>
      <c r="O34" s="130"/>
      <c r="P34" s="129"/>
      <c r="Q34" s="609"/>
      <c r="R34" s="129"/>
      <c r="S34" s="130"/>
      <c r="T34" s="131"/>
      <c r="U34" s="130"/>
      <c r="V34" s="129"/>
      <c r="W34" s="130"/>
      <c r="X34" s="129"/>
      <c r="Y34" s="130"/>
      <c r="Z34" s="131"/>
      <c r="AA34" s="130"/>
    </row>
    <row r="35" spans="1:27" x14ac:dyDescent="0.25">
      <c r="A35" s="538"/>
      <c r="B35" s="585" t="str">
        <f>IF(A35&lt;&gt;"",INDEX('Base de données'!A$4:L$990,MATCH(A35,'Base de données'!A$4:A$990,0),2),"")</f>
        <v/>
      </c>
      <c r="C35" s="585" t="str">
        <f>IF(A35&lt;&gt;"",INDEX('Base de données'!A$4:L$990,MATCH(A35,'Base de données'!A$4:A$990,0),12),"")</f>
        <v/>
      </c>
      <c r="D35" s="582"/>
      <c r="E35" s="130"/>
      <c r="F35" s="129"/>
      <c r="G35" s="130"/>
      <c r="H35" s="129"/>
      <c r="I35" s="130"/>
      <c r="J35" s="131"/>
      <c r="K35" s="130"/>
      <c r="L35" s="131"/>
      <c r="M35" s="130"/>
      <c r="N35" s="129"/>
      <c r="O35" s="130"/>
      <c r="P35" s="131"/>
      <c r="Q35" s="130"/>
      <c r="R35" s="131"/>
      <c r="S35" s="130"/>
      <c r="T35" s="129"/>
      <c r="U35" s="130"/>
      <c r="V35" s="129"/>
      <c r="W35" s="130"/>
      <c r="X35" s="129"/>
      <c r="Y35" s="130"/>
      <c r="Z35" s="131"/>
      <c r="AA35" s="130"/>
    </row>
    <row r="36" spans="1:27" x14ac:dyDescent="0.25">
      <c r="A36" s="538"/>
      <c r="B36" s="585" t="str">
        <f>IF(A36&lt;&gt;"",INDEX('Base de données'!A$4:L$990,MATCH(A36,'Base de données'!A$4:A$990,0),2),"")</f>
        <v/>
      </c>
      <c r="C36" s="585" t="str">
        <f>IF(A36&lt;&gt;"",INDEX('Base de données'!A$4:L$990,MATCH(A36,'Base de données'!A$4:A$990,0),12),"")</f>
        <v/>
      </c>
      <c r="D36" s="582"/>
      <c r="E36" s="130"/>
      <c r="F36" s="129"/>
      <c r="G36" s="130"/>
      <c r="H36" s="129"/>
      <c r="I36" s="130"/>
      <c r="J36" s="131"/>
      <c r="K36" s="130"/>
      <c r="L36" s="129"/>
      <c r="M36" s="130"/>
      <c r="N36" s="129"/>
      <c r="O36" s="130"/>
      <c r="P36" s="131"/>
      <c r="Q36" s="130"/>
      <c r="R36" s="131"/>
      <c r="S36" s="130"/>
      <c r="T36" s="129"/>
      <c r="U36" s="130"/>
      <c r="V36" s="129"/>
      <c r="W36" s="130"/>
      <c r="X36" s="129"/>
      <c r="Y36" s="130"/>
      <c r="Z36" s="131"/>
      <c r="AA36" s="130"/>
    </row>
    <row r="37" spans="1:27" x14ac:dyDescent="0.25">
      <c r="A37" s="538"/>
      <c r="B37" s="585" t="str">
        <f>IF(A37&lt;&gt;"",INDEX('Base de données'!A$4:L$990,MATCH(A37,'Base de données'!A$4:A$990,0),2),"")</f>
        <v/>
      </c>
      <c r="C37" s="585" t="str">
        <f>IF(A37&lt;&gt;"",INDEX('Base de données'!A$4:L$990,MATCH(A37,'Base de données'!A$4:A$990,0),12),"")</f>
        <v/>
      </c>
      <c r="D37" s="583"/>
      <c r="E37" s="130"/>
      <c r="F37" s="129"/>
      <c r="G37" s="130"/>
      <c r="H37" s="129"/>
      <c r="I37" s="130"/>
      <c r="J37" s="131"/>
      <c r="K37" s="130"/>
      <c r="L37" s="131"/>
      <c r="M37" s="130"/>
      <c r="N37" s="129"/>
      <c r="O37" s="130"/>
      <c r="P37" s="131"/>
      <c r="Q37" s="130"/>
      <c r="R37" s="131"/>
      <c r="S37" s="130"/>
      <c r="T37" s="129"/>
      <c r="U37" s="130"/>
      <c r="V37" s="129"/>
      <c r="W37" s="130"/>
      <c r="X37" s="129"/>
      <c r="Y37" s="130"/>
      <c r="Z37" s="131"/>
      <c r="AA37" s="130"/>
    </row>
    <row r="38" spans="1:27" x14ac:dyDescent="0.25">
      <c r="A38" s="538"/>
      <c r="B38" s="585" t="str">
        <f>IF(A38&lt;&gt;"",INDEX('Base de données'!A$4:L$990,MATCH(A38,'Base de données'!A$4:A$990,0),2),"")</f>
        <v/>
      </c>
      <c r="C38" s="585" t="str">
        <f>IF(A38&lt;&gt;"",INDEX('Base de données'!A$4:L$990,MATCH(A38,'Base de données'!A$4:A$990,0),12),"")</f>
        <v/>
      </c>
      <c r="D38" s="583"/>
      <c r="E38" s="130"/>
      <c r="F38" s="131"/>
      <c r="G38" s="130"/>
      <c r="H38" s="131"/>
      <c r="I38" s="130"/>
      <c r="J38" s="131"/>
      <c r="K38" s="130"/>
      <c r="L38" s="131"/>
      <c r="M38" s="130"/>
      <c r="N38" s="131"/>
      <c r="O38" s="130"/>
      <c r="P38" s="131"/>
      <c r="Q38" s="130"/>
      <c r="R38" s="131"/>
      <c r="S38" s="130"/>
      <c r="T38" s="129"/>
      <c r="U38" s="130"/>
      <c r="V38" s="129"/>
      <c r="W38" s="130"/>
      <c r="X38" s="129"/>
      <c r="Y38" s="130"/>
      <c r="Z38" s="131"/>
      <c r="AA38" s="130"/>
    </row>
    <row r="39" spans="1:27" x14ac:dyDescent="0.25">
      <c r="A39" s="538"/>
      <c r="B39" s="585" t="str">
        <f>IF(A39&lt;&gt;"",INDEX('Base de données'!A$4:L$990,MATCH(A39,'Base de données'!A$4:A$990,0),2),"")</f>
        <v/>
      </c>
      <c r="C39" s="585" t="str">
        <f>IF(A39&lt;&gt;"",INDEX('Base de données'!A$4:L$990,MATCH(A39,'Base de données'!A$4:A$990,0),12),"")</f>
        <v/>
      </c>
      <c r="D39" s="582"/>
      <c r="E39" s="130"/>
      <c r="F39" s="129"/>
      <c r="G39" s="130"/>
      <c r="H39" s="129"/>
      <c r="I39" s="130"/>
      <c r="J39" s="131"/>
      <c r="K39" s="130"/>
      <c r="L39" s="131"/>
      <c r="M39" s="130"/>
      <c r="N39" s="129"/>
      <c r="O39" s="130"/>
      <c r="P39" s="131"/>
      <c r="Q39" s="130"/>
      <c r="R39" s="131"/>
      <c r="S39" s="130"/>
      <c r="T39" s="129"/>
      <c r="U39" s="130"/>
      <c r="V39" s="129"/>
      <c r="W39" s="130"/>
      <c r="X39" s="129"/>
      <c r="Y39" s="130"/>
      <c r="Z39" s="131"/>
      <c r="AA39" s="130"/>
    </row>
    <row r="40" spans="1:27" x14ac:dyDescent="0.25">
      <c r="A40" s="538"/>
      <c r="B40" s="585" t="str">
        <f>IF(A40&lt;&gt;"",INDEX('Base de données'!A$4:L$990,MATCH(A40,'Base de données'!A$4:A$990,0),2),"")</f>
        <v/>
      </c>
      <c r="C40" s="585" t="str">
        <f>IF(A40&lt;&gt;"",INDEX('Base de données'!A$4:L$990,MATCH(A40,'Base de données'!A$4:A$990,0),12),"")</f>
        <v/>
      </c>
      <c r="D40" s="582"/>
      <c r="E40" s="130"/>
      <c r="F40" s="129"/>
      <c r="G40" s="130"/>
      <c r="H40" s="129"/>
      <c r="I40" s="130"/>
      <c r="J40" s="131"/>
      <c r="K40" s="130"/>
      <c r="L40" s="129"/>
      <c r="M40" s="130"/>
      <c r="N40" s="129"/>
      <c r="O40" s="130"/>
      <c r="P40" s="131"/>
      <c r="Q40" s="130"/>
      <c r="R40" s="131"/>
      <c r="S40" s="130"/>
      <c r="T40" s="129"/>
      <c r="U40" s="130"/>
      <c r="V40" s="129"/>
      <c r="W40" s="130"/>
      <c r="X40" s="129"/>
      <c r="Y40" s="130"/>
      <c r="Z40" s="131"/>
      <c r="AA40" s="130"/>
    </row>
    <row r="41" spans="1:27" x14ac:dyDescent="0.25">
      <c r="A41" s="538"/>
      <c r="B41" s="585" t="str">
        <f>IF(A41&lt;&gt;"",INDEX('Base de données'!A$4:L$990,MATCH(A41,'Base de données'!A$4:A$990,0),2),"")</f>
        <v/>
      </c>
      <c r="C41" s="585" t="str">
        <f>IF(A41&lt;&gt;"",INDEX('Base de données'!A$4:L$990,MATCH(A41,'Base de données'!A$4:A$990,0),12),"")</f>
        <v/>
      </c>
      <c r="D41" s="582"/>
      <c r="E41" s="130"/>
      <c r="F41" s="129"/>
      <c r="G41" s="130"/>
      <c r="H41" s="131"/>
      <c r="I41" s="130"/>
      <c r="J41" s="131"/>
      <c r="K41" s="130"/>
      <c r="L41" s="131"/>
      <c r="M41" s="130"/>
      <c r="N41" s="129"/>
      <c r="O41" s="130"/>
      <c r="P41" s="131"/>
      <c r="Q41" s="130"/>
      <c r="R41" s="131"/>
      <c r="S41" s="130"/>
      <c r="T41" s="129"/>
      <c r="U41" s="130"/>
      <c r="V41" s="129"/>
      <c r="W41" s="130"/>
      <c r="X41" s="129"/>
      <c r="Y41" s="130"/>
      <c r="Z41" s="131"/>
      <c r="AA41" s="130"/>
    </row>
    <row r="42" spans="1:27" x14ac:dyDescent="0.25">
      <c r="A42" s="538"/>
      <c r="B42" s="585" t="str">
        <f>IF(A42&lt;&gt;"",INDEX('Base de données'!A$4:L$990,MATCH(A42,'Base de données'!A$4:A$990,0),2),"")</f>
        <v/>
      </c>
      <c r="C42" s="585" t="str">
        <f>IF(A42&lt;&gt;"",INDEX('Base de données'!A$4:L$990,MATCH(A42,'Base de données'!A$4:A$990,0),12),"")</f>
        <v/>
      </c>
      <c r="D42" s="582"/>
      <c r="E42" s="130"/>
      <c r="F42" s="129"/>
      <c r="G42" s="130"/>
      <c r="H42" s="131"/>
      <c r="I42" s="130"/>
      <c r="J42" s="131"/>
      <c r="K42" s="130"/>
      <c r="L42" s="131"/>
      <c r="M42" s="130"/>
      <c r="N42" s="131"/>
      <c r="O42" s="130"/>
      <c r="P42" s="131"/>
      <c r="Q42" s="130"/>
      <c r="R42" s="131"/>
      <c r="S42" s="130"/>
      <c r="T42" s="131"/>
      <c r="U42" s="130"/>
      <c r="V42" s="129"/>
      <c r="W42" s="130"/>
      <c r="X42" s="129"/>
      <c r="Y42" s="130"/>
      <c r="Z42" s="131"/>
      <c r="AA42" s="130"/>
    </row>
    <row r="43" spans="1:27" x14ac:dyDescent="0.25">
      <c r="A43" s="538"/>
      <c r="B43" s="585" t="str">
        <f>IF(A43&lt;&gt;"",INDEX('Base de données'!A$4:L$990,MATCH(A43,'Base de données'!A$4:A$990,0),2),"")</f>
        <v/>
      </c>
      <c r="C43" s="585" t="str">
        <f>IF(A43&lt;&gt;"",INDEX('Base de données'!A$4:L$990,MATCH(A43,'Base de données'!A$4:A$990,0),12),"")</f>
        <v/>
      </c>
      <c r="D43" s="582"/>
      <c r="E43" s="130"/>
      <c r="F43" s="129"/>
      <c r="G43" s="130"/>
      <c r="H43" s="131"/>
      <c r="I43" s="130"/>
      <c r="J43" s="131"/>
      <c r="K43" s="130"/>
      <c r="L43" s="131"/>
      <c r="M43" s="130"/>
      <c r="N43" s="131"/>
      <c r="O43" s="130"/>
      <c r="P43" s="131"/>
      <c r="Q43" s="130"/>
      <c r="R43" s="131"/>
      <c r="S43" s="130"/>
      <c r="T43" s="129"/>
      <c r="U43" s="130"/>
      <c r="V43" s="129"/>
      <c r="W43" s="130"/>
      <c r="X43" s="129"/>
      <c r="Y43" s="130"/>
      <c r="Z43" s="131"/>
      <c r="AA43" s="130"/>
    </row>
    <row r="44" spans="1:27" x14ac:dyDescent="0.25">
      <c r="A44" s="538"/>
      <c r="B44" s="585" t="str">
        <f>IF(A44&lt;&gt;"",INDEX('Base de données'!A$4:L$990,MATCH(A44,'Base de données'!A$4:A$990,0),2),"")</f>
        <v/>
      </c>
      <c r="C44" s="585" t="str">
        <f>IF(A44&lt;&gt;"",INDEX('Base de données'!A$4:L$990,MATCH(A44,'Base de données'!A$4:A$990,0),12),"")</f>
        <v/>
      </c>
      <c r="D44" s="583"/>
      <c r="E44" s="130"/>
      <c r="F44" s="131"/>
      <c r="G44" s="130"/>
      <c r="H44" s="131"/>
      <c r="I44" s="130"/>
      <c r="J44" s="131"/>
      <c r="K44" s="130"/>
      <c r="L44" s="129"/>
      <c r="M44" s="130"/>
      <c r="N44" s="129"/>
      <c r="O44" s="130"/>
      <c r="P44" s="129"/>
      <c r="Q44" s="130"/>
      <c r="R44" s="131"/>
      <c r="S44" s="130"/>
      <c r="T44" s="131"/>
      <c r="U44" s="130"/>
      <c r="V44" s="129"/>
      <c r="W44" s="130"/>
      <c r="X44" s="129"/>
      <c r="Y44" s="130"/>
      <c r="Z44" s="131"/>
      <c r="AA44" s="130"/>
    </row>
    <row r="45" spans="1:27" x14ac:dyDescent="0.25">
      <c r="A45" s="538"/>
      <c r="B45" s="585" t="str">
        <f>IF(A45&lt;&gt;"",INDEX('Base de données'!A$4:L$990,MATCH(A45,'Base de données'!A$4:A$990,0),2),"")</f>
        <v/>
      </c>
      <c r="C45" s="585" t="str">
        <f>IF(A45&lt;&gt;"",INDEX('Base de données'!A$4:L$990,MATCH(A45,'Base de données'!A$4:A$990,0),12),"")</f>
        <v/>
      </c>
      <c r="D45" s="583"/>
      <c r="E45" s="130"/>
      <c r="F45" s="131"/>
      <c r="G45" s="130"/>
      <c r="H45" s="129"/>
      <c r="I45" s="130"/>
      <c r="J45" s="129"/>
      <c r="K45" s="130"/>
      <c r="L45" s="129"/>
      <c r="M45" s="130"/>
      <c r="N45" s="129"/>
      <c r="O45" s="130"/>
      <c r="P45" s="129"/>
      <c r="Q45" s="130"/>
      <c r="R45" s="131"/>
      <c r="S45" s="130"/>
      <c r="T45" s="129"/>
      <c r="U45" s="130"/>
      <c r="V45" s="129"/>
      <c r="W45" s="130"/>
      <c r="X45" s="129"/>
      <c r="Y45" s="130"/>
      <c r="Z45" s="131"/>
      <c r="AA45" s="130"/>
    </row>
    <row r="46" spans="1:27" x14ac:dyDescent="0.25">
      <c r="A46" s="538"/>
      <c r="B46" s="585" t="str">
        <f>IF(A46&lt;&gt;"",INDEX('Base de données'!A$4:L$990,MATCH(A46,'Base de données'!A$4:A$990,0),2),"")</f>
        <v/>
      </c>
      <c r="C46" s="585" t="str">
        <f>IF(A46&lt;&gt;"",INDEX('Base de données'!A$4:L$990,MATCH(A46,'Base de données'!A$4:A$990,0),12),"")</f>
        <v/>
      </c>
      <c r="D46" s="583"/>
      <c r="E46" s="130"/>
      <c r="F46" s="131"/>
      <c r="G46" s="130"/>
      <c r="H46" s="131"/>
      <c r="I46" s="130"/>
      <c r="J46" s="129"/>
      <c r="K46" s="130"/>
      <c r="L46" s="129"/>
      <c r="M46" s="130"/>
      <c r="N46" s="131"/>
      <c r="O46" s="130"/>
      <c r="P46" s="129"/>
      <c r="Q46" s="130"/>
      <c r="R46" s="131"/>
      <c r="S46" s="130"/>
      <c r="T46" s="129"/>
      <c r="U46" s="130"/>
      <c r="V46" s="129"/>
      <c r="W46" s="130"/>
      <c r="X46" s="129"/>
      <c r="Y46" s="130"/>
      <c r="Z46" s="131"/>
      <c r="AA46" s="130"/>
    </row>
    <row r="47" spans="1:27" x14ac:dyDescent="0.25">
      <c r="A47" s="538"/>
      <c r="B47" s="585" t="str">
        <f>IF(A47&lt;&gt;"",INDEX('Base de données'!A$4:L$990,MATCH(A47,'Base de données'!A$4:A$990,0),2),"")</f>
        <v/>
      </c>
      <c r="C47" s="585" t="str">
        <f>IF(A47&lt;&gt;"",INDEX('Base de données'!A$4:L$990,MATCH(A47,'Base de données'!A$4:A$990,0),12),"")</f>
        <v/>
      </c>
      <c r="D47" s="583"/>
      <c r="E47" s="130"/>
      <c r="F47" s="131"/>
      <c r="G47" s="130"/>
      <c r="H47" s="129"/>
      <c r="I47" s="130"/>
      <c r="J47" s="129"/>
      <c r="K47" s="130"/>
      <c r="L47" s="129"/>
      <c r="M47" s="130"/>
      <c r="N47" s="129"/>
      <c r="O47" s="130"/>
      <c r="P47" s="129"/>
      <c r="Q47" s="130"/>
      <c r="R47" s="131"/>
      <c r="S47" s="130"/>
      <c r="T47" s="129"/>
      <c r="U47" s="130"/>
      <c r="V47" s="129"/>
      <c r="W47" s="130"/>
      <c r="X47" s="129"/>
      <c r="Y47" s="130"/>
      <c r="Z47" s="131"/>
      <c r="AA47" s="130"/>
    </row>
    <row r="48" spans="1:27" x14ac:dyDescent="0.25">
      <c r="A48" s="538"/>
      <c r="B48" s="585" t="str">
        <f>IF(A48&lt;&gt;"",INDEX('Base de données'!A$4:L$990,MATCH(A48,'Base de données'!A$4:A$990,0),2),"")</f>
        <v/>
      </c>
      <c r="C48" s="585" t="str">
        <f>IF(A48&lt;&gt;"",INDEX('Base de données'!A$4:L$990,MATCH(A48,'Base de données'!A$4:A$990,0),12),"")</f>
        <v/>
      </c>
      <c r="D48" s="582"/>
      <c r="E48" s="130"/>
      <c r="F48" s="129"/>
      <c r="G48" s="130"/>
      <c r="H48" s="129"/>
      <c r="I48" s="130"/>
      <c r="J48" s="129"/>
      <c r="K48" s="130"/>
      <c r="L48" s="129"/>
      <c r="M48" s="130"/>
      <c r="N48" s="129"/>
      <c r="O48" s="130"/>
      <c r="P48" s="129"/>
      <c r="Q48" s="130"/>
      <c r="R48" s="129"/>
      <c r="S48" s="130"/>
      <c r="T48" s="129"/>
      <c r="U48" s="130"/>
      <c r="V48" s="129"/>
      <c r="W48" s="130"/>
      <c r="X48" s="129"/>
      <c r="Y48" s="130"/>
      <c r="Z48" s="131"/>
      <c r="AA48" s="130"/>
    </row>
    <row r="49" spans="1:27" x14ac:dyDescent="0.25">
      <c r="A49" s="538"/>
      <c r="B49" s="585" t="str">
        <f>IF(A49&lt;&gt;"",INDEX('Base de données'!A$4:L$990,MATCH(A49,'Base de données'!A$4:A$990,0),2),"")</f>
        <v/>
      </c>
      <c r="C49" s="585" t="str">
        <f>IF(A49&lt;&gt;"",INDEX('Base de données'!A$4:L$990,MATCH(A49,'Base de données'!A$4:A$990,0),12),"")</f>
        <v/>
      </c>
      <c r="D49" s="582"/>
      <c r="E49" s="130"/>
      <c r="F49" s="129"/>
      <c r="G49" s="130"/>
      <c r="H49" s="129"/>
      <c r="I49" s="130"/>
      <c r="J49" s="129"/>
      <c r="K49" s="130"/>
      <c r="L49" s="129"/>
      <c r="M49" s="130"/>
      <c r="N49" s="129"/>
      <c r="O49" s="130"/>
      <c r="P49" s="129"/>
      <c r="Q49" s="130"/>
      <c r="R49" s="129"/>
      <c r="S49" s="130"/>
      <c r="T49" s="129"/>
      <c r="U49" s="130"/>
      <c r="V49" s="129"/>
      <c r="W49" s="130"/>
      <c r="X49" s="129"/>
      <c r="Y49" s="130"/>
      <c r="Z49" s="129"/>
      <c r="AA49" s="130"/>
    </row>
    <row r="50" spans="1:27" x14ac:dyDescent="0.25">
      <c r="A50" s="538"/>
      <c r="B50" s="585" t="str">
        <f>IF(A50&lt;&gt;"",INDEX('Base de données'!A$4:L$990,MATCH(A50,'Base de données'!A$4:A$990,0),2),"")</f>
        <v/>
      </c>
      <c r="C50" s="585" t="str">
        <f>IF(A50&lt;&gt;"",INDEX('Base de données'!A$4:L$990,MATCH(A50,'Base de données'!A$4:A$990,0),12),"")</f>
        <v/>
      </c>
      <c r="D50" s="582"/>
      <c r="E50" s="130"/>
      <c r="F50" s="129"/>
      <c r="G50" s="130"/>
      <c r="H50" s="129"/>
      <c r="I50" s="130"/>
      <c r="J50" s="129"/>
      <c r="K50" s="130"/>
      <c r="L50" s="129"/>
      <c r="M50" s="130"/>
      <c r="N50" s="129"/>
      <c r="O50" s="130"/>
      <c r="P50" s="129"/>
      <c r="Q50" s="130"/>
      <c r="R50" s="129"/>
      <c r="S50" s="130"/>
      <c r="T50" s="129"/>
      <c r="U50" s="130"/>
      <c r="V50" s="129"/>
      <c r="W50" s="130"/>
      <c r="X50" s="129"/>
      <c r="Y50" s="130"/>
      <c r="Z50" s="131"/>
      <c r="AA50" s="130"/>
    </row>
    <row r="51" spans="1:27" x14ac:dyDescent="0.25">
      <c r="A51" s="538"/>
      <c r="B51" s="585" t="str">
        <f>IF(A51&lt;&gt;"",INDEX('Base de données'!A$4:L$990,MATCH(A51,'Base de données'!A$4:A$990,0),2),"")</f>
        <v/>
      </c>
      <c r="C51" s="585" t="str">
        <f>IF(A51&lt;&gt;"",INDEX('Base de données'!A$4:L$990,MATCH(A51,'Base de données'!A$4:A$990,0),12),"")</f>
        <v/>
      </c>
      <c r="D51" s="582"/>
      <c r="E51" s="130"/>
      <c r="F51" s="129"/>
      <c r="G51" s="130"/>
      <c r="H51" s="129"/>
      <c r="I51" s="130"/>
      <c r="J51" s="129"/>
      <c r="K51" s="130"/>
      <c r="L51" s="129"/>
      <c r="M51" s="130"/>
      <c r="N51" s="129"/>
      <c r="O51" s="130"/>
      <c r="P51" s="129"/>
      <c r="Q51" s="130"/>
      <c r="R51" s="129"/>
      <c r="S51" s="130"/>
      <c r="T51" s="129"/>
      <c r="U51" s="130"/>
      <c r="V51" s="129"/>
      <c r="W51" s="130"/>
      <c r="X51" s="129"/>
      <c r="Y51" s="130"/>
      <c r="Z51" s="131"/>
      <c r="AA51" s="130"/>
    </row>
    <row r="52" spans="1:27" x14ac:dyDescent="0.25">
      <c r="A52" s="538"/>
      <c r="B52" s="585" t="str">
        <f>IF(A52&lt;&gt;"",INDEX('Base de données'!A$4:L$990,MATCH(A52,'Base de données'!A$4:A$990,0),2),"")</f>
        <v/>
      </c>
      <c r="C52" s="585" t="str">
        <f>IF(A52&lt;&gt;"",INDEX('Base de données'!A$4:L$990,MATCH(A52,'Base de données'!A$4:A$990,0),12),"")</f>
        <v/>
      </c>
      <c r="D52" s="582"/>
      <c r="E52" s="130"/>
      <c r="F52" s="129"/>
      <c r="G52" s="130"/>
      <c r="H52" s="129"/>
      <c r="I52" s="130"/>
      <c r="J52" s="129"/>
      <c r="K52" s="130"/>
      <c r="L52" s="129"/>
      <c r="M52" s="130"/>
      <c r="N52" s="129"/>
      <c r="O52" s="130"/>
      <c r="P52" s="129"/>
      <c r="Q52" s="130"/>
      <c r="R52" s="129"/>
      <c r="S52" s="130"/>
      <c r="T52" s="129"/>
      <c r="U52" s="130"/>
      <c r="V52" s="129"/>
      <c r="W52" s="130"/>
      <c r="X52" s="129"/>
      <c r="Y52" s="130"/>
      <c r="Z52" s="129"/>
      <c r="AA52" s="130"/>
    </row>
    <row r="53" spans="1:27" x14ac:dyDescent="0.25">
      <c r="A53" s="538"/>
      <c r="B53" s="585" t="str">
        <f>IF(A53&lt;&gt;"",INDEX('Base de données'!A$4:L$990,MATCH(A53,'Base de données'!A$4:A$990,0),2),"")</f>
        <v/>
      </c>
      <c r="C53" s="585" t="str">
        <f>IF(A53&lt;&gt;"",INDEX('Base de données'!A$4:L$990,MATCH(A53,'Base de données'!A$4:A$990,0),12),"")</f>
        <v/>
      </c>
      <c r="D53" s="582"/>
      <c r="E53" s="130"/>
      <c r="F53" s="129"/>
      <c r="G53" s="130"/>
      <c r="H53" s="129"/>
      <c r="I53" s="130"/>
      <c r="J53" s="129"/>
      <c r="K53" s="130"/>
      <c r="L53" s="129"/>
      <c r="M53" s="130"/>
      <c r="N53" s="129"/>
      <c r="O53" s="130"/>
      <c r="P53" s="129"/>
      <c r="Q53" s="130"/>
      <c r="R53" s="129"/>
      <c r="S53" s="130"/>
      <c r="T53" s="129"/>
      <c r="U53" s="130"/>
      <c r="V53" s="129"/>
      <c r="W53" s="130"/>
      <c r="X53" s="129"/>
      <c r="Y53" s="130"/>
      <c r="Z53" s="129"/>
      <c r="AA53" s="130"/>
    </row>
    <row r="54" spans="1:27" x14ac:dyDescent="0.25">
      <c r="A54" s="538"/>
      <c r="B54" s="585" t="str">
        <f>IF(A54&lt;&gt;"",INDEX('Base de données'!A$4:L$990,MATCH(A54,'Base de données'!A$4:A$990,0),2),"")</f>
        <v/>
      </c>
      <c r="C54" s="585" t="str">
        <f>IF(A54&lt;&gt;"",INDEX('Base de données'!A$4:L$990,MATCH(A54,'Base de données'!A$4:A$990,0),12),"")</f>
        <v/>
      </c>
      <c r="D54" s="582"/>
      <c r="E54" s="130"/>
      <c r="F54" s="129"/>
      <c r="G54" s="130"/>
      <c r="H54" s="129"/>
      <c r="I54" s="130"/>
      <c r="J54" s="129"/>
      <c r="K54" s="130"/>
      <c r="L54" s="129"/>
      <c r="M54" s="130"/>
      <c r="N54" s="129"/>
      <c r="O54" s="130"/>
      <c r="P54" s="129"/>
      <c r="Q54" s="130"/>
      <c r="R54" s="129"/>
      <c r="S54" s="130"/>
      <c r="T54" s="129"/>
      <c r="U54" s="130"/>
      <c r="V54" s="129"/>
      <c r="W54" s="130"/>
      <c r="X54" s="129"/>
      <c r="Y54" s="130"/>
      <c r="Z54" s="131"/>
      <c r="AA54" s="130"/>
    </row>
    <row r="55" spans="1:27" x14ac:dyDescent="0.25">
      <c r="A55" s="538"/>
      <c r="B55" s="585" t="str">
        <f>IF(A55&lt;&gt;"",INDEX('Base de données'!A$4:L$990,MATCH(A55,'Base de données'!A$4:A$990,0),2),"")</f>
        <v/>
      </c>
      <c r="C55" s="585" t="str">
        <f>IF(A55&lt;&gt;"",INDEX('Base de données'!A$4:L$990,MATCH(A55,'Base de données'!A$4:A$990,0),12),"")</f>
        <v/>
      </c>
      <c r="D55" s="582"/>
      <c r="E55" s="130"/>
      <c r="F55" s="129"/>
      <c r="G55" s="130"/>
      <c r="H55" s="129"/>
      <c r="I55" s="130"/>
      <c r="J55" s="129"/>
      <c r="K55" s="130"/>
      <c r="L55" s="129"/>
      <c r="M55" s="130"/>
      <c r="N55" s="129"/>
      <c r="O55" s="130"/>
      <c r="P55" s="129"/>
      <c r="Q55" s="130"/>
      <c r="R55" s="129"/>
      <c r="S55" s="130"/>
      <c r="T55" s="129"/>
      <c r="U55" s="130"/>
      <c r="V55" s="129"/>
      <c r="W55" s="130"/>
      <c r="X55" s="129"/>
      <c r="Y55" s="130"/>
      <c r="Z55" s="129"/>
      <c r="AA55" s="130"/>
    </row>
    <row r="56" spans="1:27" x14ac:dyDescent="0.25">
      <c r="A56" s="538"/>
      <c r="B56" s="585" t="str">
        <f>IF(A56&lt;&gt;"",INDEX('Base de données'!A$4:L$990,MATCH(A56,'Base de données'!A$4:A$990,0),2),"")</f>
        <v/>
      </c>
      <c r="C56" s="585" t="str">
        <f>IF(A56&lt;&gt;"",INDEX('Base de données'!A$4:L$990,MATCH(A56,'Base de données'!A$4:A$990,0),12),"")</f>
        <v/>
      </c>
      <c r="D56" s="582"/>
      <c r="E56" s="130"/>
      <c r="F56" s="129"/>
      <c r="G56" s="130"/>
      <c r="H56" s="129"/>
      <c r="I56" s="130"/>
      <c r="J56" s="129"/>
      <c r="K56" s="130"/>
      <c r="L56" s="129"/>
      <c r="M56" s="130"/>
      <c r="N56" s="129"/>
      <c r="O56" s="130"/>
      <c r="P56" s="129"/>
      <c r="Q56" s="130"/>
      <c r="R56" s="129"/>
      <c r="S56" s="130"/>
      <c r="T56" s="129"/>
      <c r="U56" s="130"/>
      <c r="V56" s="129"/>
      <c r="W56" s="130"/>
      <c r="X56" s="129"/>
      <c r="Y56" s="130"/>
      <c r="Z56" s="129"/>
      <c r="AA56" s="130"/>
    </row>
    <row r="57" spans="1:27" x14ac:dyDescent="0.25">
      <c r="A57" s="538"/>
      <c r="B57" s="585" t="str">
        <f>IF(A57&lt;&gt;"",INDEX('Base de données'!A$4:L$990,MATCH(A57,'Base de données'!A$4:A$990,0),2),"")</f>
        <v/>
      </c>
      <c r="C57" s="585" t="str">
        <f>IF(A57&lt;&gt;"",INDEX('Base de données'!A$4:L$990,MATCH(A57,'Base de données'!A$4:A$990,0),12),"")</f>
        <v/>
      </c>
      <c r="D57" s="582"/>
      <c r="E57" s="130"/>
      <c r="F57" s="129"/>
      <c r="G57" s="130"/>
      <c r="H57" s="129"/>
      <c r="I57" s="130"/>
      <c r="J57" s="131"/>
      <c r="K57" s="130"/>
      <c r="L57" s="129"/>
      <c r="M57" s="130"/>
      <c r="N57" s="129"/>
      <c r="O57" s="130"/>
      <c r="P57" s="129"/>
      <c r="Q57" s="130"/>
      <c r="R57" s="129"/>
      <c r="S57" s="130"/>
      <c r="T57" s="129"/>
      <c r="U57" s="130"/>
      <c r="V57" s="129"/>
      <c r="W57" s="130"/>
      <c r="X57" s="129"/>
      <c r="Y57" s="130"/>
      <c r="Z57" s="131"/>
      <c r="AA57" s="130"/>
    </row>
    <row r="58" spans="1:27" x14ac:dyDescent="0.25">
      <c r="A58" s="538"/>
      <c r="B58" s="585" t="str">
        <f>IF(A58&lt;&gt;"",INDEX('Base de données'!A$4:L$990,MATCH(A58,'Base de données'!A$4:A$990,0),2),"")</f>
        <v/>
      </c>
      <c r="C58" s="585" t="str">
        <f>IF(A58&lt;&gt;"",INDEX('Base de données'!A$4:L$990,MATCH(A58,'Base de données'!A$4:A$990,0),12),"")</f>
        <v/>
      </c>
      <c r="D58" s="582"/>
      <c r="E58" s="130"/>
      <c r="F58" s="129"/>
      <c r="G58" s="130"/>
      <c r="H58" s="129"/>
      <c r="I58" s="130"/>
      <c r="J58" s="129"/>
      <c r="K58" s="130"/>
      <c r="L58" s="129"/>
      <c r="M58" s="130"/>
      <c r="N58" s="129"/>
      <c r="O58" s="130"/>
      <c r="P58" s="129"/>
      <c r="Q58" s="130"/>
      <c r="R58" s="129"/>
      <c r="S58" s="130"/>
      <c r="T58" s="129"/>
      <c r="U58" s="130"/>
      <c r="V58" s="129"/>
      <c r="W58" s="130"/>
      <c r="X58" s="129"/>
      <c r="Y58" s="130"/>
      <c r="Z58" s="131"/>
      <c r="AA58" s="130"/>
    </row>
    <row r="59" spans="1:27" x14ac:dyDescent="0.25">
      <c r="A59" s="538"/>
      <c r="B59" s="585" t="str">
        <f>IF(A59&lt;&gt;"",INDEX('Base de données'!A$4:L$990,MATCH(A59,'Base de données'!A$4:A$990,0),2),"")</f>
        <v/>
      </c>
      <c r="C59" s="585" t="str">
        <f>IF(A59&lt;&gt;"",INDEX('Base de données'!A$4:L$990,MATCH(A59,'Base de données'!A$4:A$990,0),12),"")</f>
        <v/>
      </c>
      <c r="D59" s="582"/>
      <c r="E59" s="130"/>
      <c r="F59" s="129"/>
      <c r="G59" s="130"/>
      <c r="H59" s="129"/>
      <c r="I59" s="130"/>
      <c r="J59" s="129"/>
      <c r="K59" s="130"/>
      <c r="L59" s="129"/>
      <c r="M59" s="130"/>
      <c r="N59" s="129"/>
      <c r="O59" s="130"/>
      <c r="P59" s="129"/>
      <c r="Q59" s="130"/>
      <c r="R59" s="129"/>
      <c r="S59" s="130"/>
      <c r="T59" s="129"/>
      <c r="U59" s="130"/>
      <c r="V59" s="129"/>
      <c r="W59" s="130"/>
      <c r="X59" s="129"/>
      <c r="Y59" s="130"/>
      <c r="Z59" s="129"/>
      <c r="AA59" s="130"/>
    </row>
    <row r="60" spans="1:27" x14ac:dyDescent="0.25">
      <c r="A60" s="538"/>
      <c r="B60" s="585" t="str">
        <f>IF(A60&lt;&gt;"",INDEX('Base de données'!A$4:L$990,MATCH(A60,'Base de données'!A$4:A$990,0),2),"")</f>
        <v/>
      </c>
      <c r="C60" s="585" t="str">
        <f>IF(A60&lt;&gt;"",INDEX('Base de données'!A$4:L$990,MATCH(A60,'Base de données'!A$4:A$990,0),12),"")</f>
        <v/>
      </c>
      <c r="D60" s="582"/>
      <c r="E60" s="130"/>
      <c r="F60" s="129"/>
      <c r="G60" s="130"/>
      <c r="H60" s="129"/>
      <c r="I60" s="130"/>
      <c r="J60" s="129"/>
      <c r="K60" s="130"/>
      <c r="L60" s="129"/>
      <c r="M60" s="130"/>
      <c r="N60" s="129"/>
      <c r="O60" s="130"/>
      <c r="P60" s="129"/>
      <c r="Q60" s="130"/>
      <c r="R60" s="129"/>
      <c r="S60" s="130"/>
      <c r="T60" s="129"/>
      <c r="U60" s="130"/>
      <c r="V60" s="129"/>
      <c r="W60" s="130"/>
      <c r="X60" s="129"/>
      <c r="Y60" s="130"/>
      <c r="Z60" s="129"/>
      <c r="AA60" s="130"/>
    </row>
    <row r="61" spans="1:27" x14ac:dyDescent="0.25">
      <c r="A61" s="538"/>
      <c r="B61" s="585" t="str">
        <f>IF(A61&lt;&gt;"",INDEX('Base de données'!A$4:L$990,MATCH(A61,'Base de données'!A$4:A$990,0),2),"")</f>
        <v/>
      </c>
      <c r="C61" s="585" t="str">
        <f>IF(A61&lt;&gt;"",INDEX('Base de données'!A$4:L$990,MATCH(A61,'Base de données'!A$4:A$990,0),12),"")</f>
        <v/>
      </c>
      <c r="D61" s="582"/>
      <c r="E61" s="130"/>
      <c r="F61" s="129"/>
      <c r="G61" s="130"/>
      <c r="H61" s="129"/>
      <c r="I61" s="130"/>
      <c r="J61" s="129"/>
      <c r="K61" s="130"/>
      <c r="L61" s="129"/>
      <c r="M61" s="130"/>
      <c r="N61" s="129"/>
      <c r="O61" s="130"/>
      <c r="P61" s="129"/>
      <c r="Q61" s="130"/>
      <c r="R61" s="129"/>
      <c r="S61" s="130"/>
      <c r="T61" s="129"/>
      <c r="U61" s="130"/>
      <c r="V61" s="129"/>
      <c r="W61" s="130"/>
      <c r="X61" s="129"/>
      <c r="Y61" s="130"/>
      <c r="Z61" s="129"/>
      <c r="AA61" s="130"/>
    </row>
    <row r="62" spans="1:27" x14ac:dyDescent="0.25">
      <c r="A62" s="538"/>
      <c r="B62" s="585" t="str">
        <f>IF(A62&lt;&gt;"",INDEX('Base de données'!A$4:L$990,MATCH(A62,'Base de données'!A$4:A$990,0),2),"")</f>
        <v/>
      </c>
      <c r="C62" s="585" t="str">
        <f>IF(A62&lt;&gt;"",INDEX('Base de données'!A$4:L$990,MATCH(A62,'Base de données'!A$4:A$990,0),12),"")</f>
        <v/>
      </c>
      <c r="D62" s="582"/>
      <c r="E62" s="130"/>
      <c r="F62" s="129"/>
      <c r="G62" s="130"/>
      <c r="H62" s="129"/>
      <c r="I62" s="130"/>
      <c r="J62" s="129"/>
      <c r="K62" s="130"/>
      <c r="L62" s="129"/>
      <c r="M62"/>
      <c r="N62" s="129"/>
      <c r="O62" s="130"/>
      <c r="P62" s="129"/>
      <c r="Q62" s="130"/>
      <c r="R62" s="129"/>
      <c r="S62"/>
      <c r="T62" s="129"/>
      <c r="U62" s="130"/>
      <c r="V62" s="129"/>
      <c r="W62" s="130"/>
      <c r="X62" s="129"/>
      <c r="Y62" s="130"/>
      <c r="Z62" s="131"/>
      <c r="AA62" s="130"/>
    </row>
    <row r="63" spans="1:27" x14ac:dyDescent="0.25">
      <c r="A63" s="538"/>
      <c r="B63" s="585" t="str">
        <f>IF(A63&lt;&gt;"",INDEX('Base de données'!A$4:L$990,MATCH(A63,'Base de données'!A$4:A$990,0),2),"")</f>
        <v/>
      </c>
      <c r="C63" s="585" t="str">
        <f>IF(A63&lt;&gt;"",INDEX('Base de données'!A$4:L$990,MATCH(A63,'Base de données'!A$4:A$990,0),12),"")</f>
        <v/>
      </c>
      <c r="D63" s="582"/>
      <c r="E63" s="130"/>
      <c r="F63" s="129"/>
      <c r="G63" s="130"/>
      <c r="H63" s="129"/>
      <c r="I63" s="130"/>
      <c r="J63" s="129"/>
      <c r="K63" s="130"/>
      <c r="L63" s="129"/>
      <c r="M63" s="130"/>
      <c r="N63" s="129"/>
      <c r="O63" s="130"/>
      <c r="P63" s="129"/>
      <c r="Q63" s="130"/>
      <c r="R63" s="131"/>
      <c r="S63" s="130"/>
      <c r="T63" s="129"/>
      <c r="U63" s="130"/>
      <c r="V63" s="129"/>
      <c r="W63" s="130"/>
      <c r="X63" s="129"/>
      <c r="Y63" s="130"/>
      <c r="Z63" s="129"/>
      <c r="AA63" s="130"/>
    </row>
    <row r="64" spans="1:27" x14ac:dyDescent="0.25">
      <c r="A64" s="538"/>
      <c r="B64" s="585" t="str">
        <f>IF(A64&lt;&gt;"",INDEX('Base de données'!A$4:L$990,MATCH(A64,'Base de données'!A$4:A$990,0),2),"")</f>
        <v/>
      </c>
      <c r="C64" s="585" t="str">
        <f>IF(A64&lt;&gt;"",INDEX('Base de données'!A$4:L$990,MATCH(A64,'Base de données'!A$4:A$990,0),12),"")</f>
        <v/>
      </c>
      <c r="D64" s="582"/>
      <c r="E64" s="130"/>
      <c r="F64" s="129"/>
      <c r="G64" s="130"/>
      <c r="H64" s="129"/>
      <c r="I64" s="130"/>
      <c r="J64" s="129"/>
      <c r="K64" s="130"/>
      <c r="L64" s="129"/>
      <c r="M64" s="130"/>
      <c r="N64" s="131"/>
      <c r="O64" s="130"/>
      <c r="P64" s="129"/>
      <c r="Q64" s="130"/>
      <c r="R64" s="129"/>
      <c r="S64" s="130"/>
      <c r="T64" s="129"/>
      <c r="U64" s="130"/>
      <c r="V64" s="129"/>
      <c r="W64" s="130"/>
      <c r="X64" s="129"/>
      <c r="Y64" s="130"/>
      <c r="Z64" s="131"/>
      <c r="AA64" s="130"/>
    </row>
    <row r="65" spans="1:27" x14ac:dyDescent="0.25">
      <c r="A65" s="538"/>
      <c r="B65" s="585" t="str">
        <f>IF(A65&lt;&gt;"",INDEX('Base de données'!A$4:L$990,MATCH(A65,'Base de données'!A$4:A$990,0),2),"")</f>
        <v/>
      </c>
      <c r="C65" s="585" t="str">
        <f>IF(A65&lt;&gt;"",INDEX('Base de données'!A$4:L$990,MATCH(A65,'Base de données'!A$4:A$990,0),12),"")</f>
        <v/>
      </c>
      <c r="D65" s="582"/>
      <c r="E65" s="130"/>
      <c r="F65" s="129"/>
      <c r="G65" s="130"/>
      <c r="H65" s="129"/>
      <c r="I65" s="130"/>
      <c r="J65" s="129"/>
      <c r="K65" s="130"/>
      <c r="L65" s="131"/>
      <c r="M65" s="130"/>
      <c r="N65" s="129"/>
      <c r="O65" s="130"/>
      <c r="P65" s="129"/>
      <c r="Q65" s="130"/>
      <c r="R65" s="129"/>
      <c r="S65" s="130"/>
      <c r="T65" s="129"/>
      <c r="U65" s="130"/>
      <c r="V65" s="129"/>
      <c r="W65" s="130"/>
      <c r="X65" s="129"/>
      <c r="Y65" s="130"/>
      <c r="Z65" s="131"/>
      <c r="AA65" s="130"/>
    </row>
    <row r="66" spans="1:27" x14ac:dyDescent="0.25">
      <c r="A66" s="538"/>
      <c r="B66" s="585" t="str">
        <f>IF(A66&lt;&gt;"",INDEX('Base de données'!A$4:L$990,MATCH(A66,'Base de données'!A$4:A$990,0),2),"")</f>
        <v/>
      </c>
      <c r="C66" s="585" t="str">
        <f>IF(A66&lt;&gt;"",INDEX('Base de données'!A$4:L$990,MATCH(A66,'Base de données'!A$4:A$990,0),12),"")</f>
        <v/>
      </c>
      <c r="D66" s="582"/>
      <c r="E66" s="130"/>
      <c r="F66" s="129"/>
      <c r="G66" s="130"/>
      <c r="H66" s="129"/>
      <c r="I66" s="130"/>
      <c r="J66" s="129"/>
      <c r="K66" s="130"/>
      <c r="L66" s="129"/>
      <c r="M66" s="130"/>
      <c r="N66" s="129"/>
      <c r="O66" s="130"/>
      <c r="P66" s="129"/>
      <c r="Q66" s="130"/>
      <c r="R66" s="129"/>
      <c r="S66" s="130"/>
      <c r="T66" s="129"/>
      <c r="U66" s="130"/>
      <c r="V66" s="129"/>
      <c r="W66" s="130"/>
      <c r="X66" s="129"/>
      <c r="Y66" s="130"/>
      <c r="Z66" s="129"/>
      <c r="AA66" s="130"/>
    </row>
    <row r="67" spans="1:27" x14ac:dyDescent="0.25">
      <c r="A67" s="538"/>
      <c r="B67" s="585" t="str">
        <f>IF(A67&lt;&gt;"",INDEX('Base de données'!A$4:L$990,MATCH(A67,'Base de données'!A$4:A$990,0),2),"")</f>
        <v/>
      </c>
      <c r="C67" s="585" t="str">
        <f>IF(A67&lt;&gt;"",INDEX('Base de données'!A$4:L$990,MATCH(A67,'Base de données'!A$4:A$990,0),12),"")</f>
        <v/>
      </c>
      <c r="D67" s="583"/>
      <c r="E67" s="130"/>
      <c r="F67" s="129"/>
      <c r="G67" s="130"/>
      <c r="H67" s="129"/>
      <c r="I67" s="130"/>
      <c r="J67" s="131"/>
      <c r="K67" s="130"/>
      <c r="L67" s="129"/>
      <c r="M67" s="130"/>
      <c r="N67" s="129"/>
      <c r="O67" s="130"/>
      <c r="P67" s="129"/>
      <c r="Q67" s="130"/>
      <c r="R67" s="129"/>
      <c r="S67" s="130"/>
      <c r="T67" s="131"/>
      <c r="U67" s="130"/>
      <c r="V67" s="129"/>
      <c r="W67" s="130"/>
      <c r="X67" s="129"/>
      <c r="Y67" s="130"/>
      <c r="Z67" s="131"/>
      <c r="AA67" s="130"/>
    </row>
    <row r="68" spans="1:27" x14ac:dyDescent="0.25">
      <c r="A68" s="538"/>
      <c r="B68" s="585" t="str">
        <f>IF(A68&lt;&gt;"",INDEX('Base de données'!A$4:L$990,MATCH(A68,'Base de données'!A$4:A$990,0),2),"")</f>
        <v/>
      </c>
      <c r="C68" s="585" t="str">
        <f>IF(A68&lt;&gt;"",INDEX('Base de données'!A$4:L$990,MATCH(A68,'Base de données'!A$4:A$990,0),12),"")</f>
        <v/>
      </c>
      <c r="D68" s="582"/>
      <c r="E68" s="130"/>
      <c r="F68" s="129"/>
      <c r="G68" s="130"/>
      <c r="H68" s="129"/>
      <c r="I68" s="130"/>
      <c r="J68" s="129"/>
      <c r="K68" s="130"/>
      <c r="L68" s="131"/>
      <c r="M68" s="130"/>
      <c r="N68" s="129"/>
      <c r="O68" s="130"/>
      <c r="P68" s="129"/>
      <c r="Q68" s="130"/>
      <c r="R68" s="129"/>
      <c r="S68" s="130"/>
      <c r="T68" s="129"/>
      <c r="U68" s="130"/>
      <c r="V68" s="129"/>
      <c r="W68" s="130"/>
      <c r="X68" s="129"/>
      <c r="Y68" s="130"/>
      <c r="Z68" s="129"/>
      <c r="AA68" s="130"/>
    </row>
    <row r="69" spans="1:27" x14ac:dyDescent="0.25">
      <c r="A69" s="538"/>
      <c r="B69" s="585" t="str">
        <f>IF(A69&lt;&gt;"",INDEX('Base de données'!A$4:L$990,MATCH(A69,'Base de données'!A$4:A$990,0),2),"")</f>
        <v/>
      </c>
      <c r="C69" s="585" t="str">
        <f>IF(A69&lt;&gt;"",INDEX('Base de données'!A$4:L$990,MATCH(A69,'Base de données'!A$4:A$990,0),12),"")</f>
        <v/>
      </c>
      <c r="D69" s="582"/>
      <c r="E69" s="130"/>
      <c r="F69" s="129"/>
      <c r="G69" s="130"/>
      <c r="H69" s="129"/>
      <c r="I69" s="130"/>
      <c r="J69" s="129"/>
      <c r="K69" s="130"/>
      <c r="L69" s="131"/>
      <c r="M69" s="130"/>
      <c r="N69" s="129"/>
      <c r="O69" s="130"/>
      <c r="P69" s="129"/>
      <c r="Q69" s="130"/>
      <c r="R69" s="131"/>
      <c r="S69" s="130"/>
      <c r="T69" s="129"/>
      <c r="U69" s="130"/>
      <c r="V69" s="129"/>
      <c r="W69" s="130"/>
      <c r="X69" s="129"/>
      <c r="Y69" s="130"/>
      <c r="Z69" s="131"/>
      <c r="AA69" s="130"/>
    </row>
    <row r="70" spans="1:27" x14ac:dyDescent="0.25">
      <c r="A70" s="538"/>
      <c r="B70" s="585" t="str">
        <f>IF(A70&lt;&gt;"",INDEX('Base de données'!A$4:L$990,MATCH(A70,'Base de données'!A$4:A$990,0),2),"")</f>
        <v/>
      </c>
      <c r="C70" s="585" t="str">
        <f>IF(A70&lt;&gt;"",INDEX('Base de données'!A$4:L$990,MATCH(A70,'Base de données'!A$4:A$990,0),12),"")</f>
        <v/>
      </c>
      <c r="D70" s="582"/>
      <c r="E70" s="130"/>
      <c r="F70" s="129"/>
      <c r="G70" s="130"/>
      <c r="H70" s="129"/>
      <c r="I70" s="130"/>
      <c r="J70" s="129"/>
      <c r="K70" s="130"/>
      <c r="L70" s="129"/>
      <c r="M70" s="130"/>
      <c r="N70" s="129"/>
      <c r="O70" s="130"/>
      <c r="P70" s="129"/>
      <c r="Q70" s="130"/>
      <c r="R70" s="129"/>
      <c r="S70" s="130"/>
      <c r="T70" s="129"/>
      <c r="U70" s="130"/>
      <c r="V70" s="129"/>
      <c r="W70" s="130"/>
      <c r="X70" s="129"/>
      <c r="Y70" s="130"/>
      <c r="Z70" s="131"/>
      <c r="AA70" s="130"/>
    </row>
    <row r="71" spans="1:27" x14ac:dyDescent="0.25">
      <c r="A71" s="538"/>
      <c r="B71" s="585" t="str">
        <f>IF(A71&lt;&gt;"",INDEX('Base de données'!A$4:L$990,MATCH(A71,'Base de données'!A$4:A$990,0),2),"")</f>
        <v/>
      </c>
      <c r="C71" s="585" t="str">
        <f>IF(A71&lt;&gt;"",INDEX('Base de données'!A$4:L$990,MATCH(A71,'Base de données'!A$4:A$990,0),12),"")</f>
        <v/>
      </c>
      <c r="D71" s="582"/>
      <c r="E71" s="130"/>
      <c r="F71" s="129"/>
      <c r="G71" s="130"/>
      <c r="H71" s="129"/>
      <c r="I71" s="130"/>
      <c r="J71" s="129"/>
      <c r="K71" s="130"/>
      <c r="L71" s="131"/>
      <c r="M71" s="130"/>
      <c r="N71" s="129"/>
      <c r="O71" s="130"/>
      <c r="P71" s="131"/>
      <c r="Q71" s="130"/>
      <c r="R71" s="131"/>
      <c r="S71" s="130"/>
      <c r="T71" s="131"/>
      <c r="U71" s="130"/>
      <c r="V71" s="129"/>
      <c r="W71" s="130"/>
      <c r="X71" s="129"/>
      <c r="Y71" s="130"/>
      <c r="Z71" s="131"/>
      <c r="AA71" s="130"/>
    </row>
    <row r="72" spans="1:27" x14ac:dyDescent="0.25">
      <c r="A72" s="538"/>
      <c r="B72" s="585" t="str">
        <f>IF(A72&lt;&gt;"",INDEX('Base de données'!A$4:L$990,MATCH(A72,'Base de données'!A$4:A$990,0),2),"")</f>
        <v/>
      </c>
      <c r="C72" s="585" t="str">
        <f>IF(A72&lt;&gt;"",INDEX('Base de données'!A$4:L$990,MATCH(A72,'Base de données'!A$4:A$990,0),12),"")</f>
        <v/>
      </c>
      <c r="D72" s="582"/>
      <c r="E72" s="130"/>
      <c r="F72" s="129"/>
      <c r="G72" s="130"/>
      <c r="H72" s="129"/>
      <c r="I72" s="130"/>
      <c r="J72" s="129"/>
      <c r="K72" s="130"/>
      <c r="L72" s="129"/>
      <c r="M72" s="130"/>
      <c r="N72" s="131"/>
      <c r="O72" s="130"/>
      <c r="P72" s="131"/>
      <c r="Q72" s="130"/>
      <c r="R72" s="131"/>
      <c r="S72" s="130"/>
      <c r="T72" s="129"/>
      <c r="U72" s="130"/>
      <c r="V72" s="129"/>
      <c r="W72" s="130"/>
      <c r="X72" s="129"/>
      <c r="Y72" s="130"/>
      <c r="Z72" s="131"/>
      <c r="AA72" s="130"/>
    </row>
    <row r="73" spans="1:27" x14ac:dyDescent="0.25">
      <c r="A73" s="538"/>
      <c r="B73" s="585" t="str">
        <f>IF(A73&lt;&gt;"",INDEX('Base de données'!A$4:L$990,MATCH(A73,'Base de données'!A$4:A$990,0),2),"")</f>
        <v/>
      </c>
      <c r="C73" s="585" t="str">
        <f>IF(A73&lt;&gt;"",INDEX('Base de données'!A$4:L$990,MATCH(A73,'Base de données'!A$4:A$990,0),12),"")</f>
        <v/>
      </c>
      <c r="D73" s="582"/>
      <c r="E73" s="130"/>
      <c r="F73" s="129"/>
      <c r="G73" s="130"/>
      <c r="H73" s="129"/>
      <c r="I73" s="130"/>
      <c r="J73" s="131"/>
      <c r="K73" s="130"/>
      <c r="L73" s="129"/>
      <c r="M73" s="130"/>
      <c r="N73" s="129"/>
      <c r="O73" s="130"/>
      <c r="P73" s="129"/>
      <c r="Q73" s="130"/>
      <c r="R73" s="129"/>
      <c r="S73" s="130"/>
      <c r="T73" s="129"/>
      <c r="U73" s="130"/>
      <c r="V73" s="129"/>
      <c r="W73" s="130"/>
      <c r="X73" s="129"/>
      <c r="Y73" s="130"/>
      <c r="Z73" s="131"/>
      <c r="AA73" s="130"/>
    </row>
    <row r="74" spans="1:27" x14ac:dyDescent="0.25">
      <c r="A74" s="538"/>
      <c r="B74" s="585" t="str">
        <f>IF(A74&lt;&gt;"",INDEX('Base de données'!A$4:L$990,MATCH(A74,'Base de données'!A$4:A$990,0),2),"")</f>
        <v/>
      </c>
      <c r="C74" s="585" t="str">
        <f>IF(A74&lt;&gt;"",INDEX('Base de données'!A$4:L$990,MATCH(A74,'Base de données'!A$4:A$990,0),12),"")</f>
        <v/>
      </c>
      <c r="D74" s="582"/>
      <c r="E74" s="130"/>
      <c r="F74" s="129"/>
      <c r="G74" s="130"/>
      <c r="H74" s="129"/>
      <c r="I74" s="130"/>
      <c r="J74" s="129"/>
      <c r="K74" s="130"/>
      <c r="L74" s="129"/>
      <c r="M74" s="130"/>
      <c r="N74" s="131"/>
      <c r="O74" s="130"/>
      <c r="P74" s="131"/>
      <c r="Q74" s="130"/>
      <c r="R74" s="129"/>
      <c r="S74" s="130"/>
      <c r="T74" s="129"/>
      <c r="U74" s="130"/>
      <c r="V74" s="129"/>
      <c r="W74" s="130"/>
      <c r="X74" s="129"/>
      <c r="Y74" s="130"/>
      <c r="Z74" s="131"/>
      <c r="AA74" s="130"/>
    </row>
    <row r="75" spans="1:27" x14ac:dyDescent="0.25">
      <c r="A75" s="538"/>
      <c r="B75" s="585" t="str">
        <f>IF(A75&lt;&gt;"",INDEX('Base de données'!A$4:L$990,MATCH(A75,'Base de données'!A$4:A$990,0),2),"")</f>
        <v/>
      </c>
      <c r="C75" s="585" t="str">
        <f>IF(A75&lt;&gt;"",INDEX('Base de données'!A$4:L$990,MATCH(A75,'Base de données'!A$4:A$990,0),12),"")</f>
        <v/>
      </c>
      <c r="D75" s="582"/>
      <c r="E75" s="130"/>
      <c r="F75" s="131"/>
      <c r="G75" s="130"/>
      <c r="H75" s="129"/>
      <c r="I75" s="130"/>
      <c r="J75" s="129"/>
      <c r="K75" s="130"/>
      <c r="L75" s="129"/>
      <c r="M75" s="130"/>
      <c r="N75" s="131"/>
      <c r="O75" s="130"/>
      <c r="P75" s="129"/>
      <c r="Q75" s="130"/>
      <c r="R75" s="129"/>
      <c r="S75" s="130"/>
      <c r="T75" s="129"/>
      <c r="U75" s="130"/>
      <c r="V75" s="129"/>
      <c r="W75" s="130"/>
      <c r="X75" s="129"/>
      <c r="Y75" s="130"/>
      <c r="Z75" s="131"/>
      <c r="AA75" s="130"/>
    </row>
    <row r="76" spans="1:27" x14ac:dyDescent="0.25">
      <c r="A76" s="538"/>
      <c r="B76" s="585" t="str">
        <f>IF(A76&lt;&gt;"",INDEX('Base de données'!A$4:L$990,MATCH(A76,'Base de données'!A$4:A$990,0),2),"")</f>
        <v/>
      </c>
      <c r="C76" s="585" t="str">
        <f>IF(A76&lt;&gt;"",INDEX('Base de données'!A$4:L$990,MATCH(A76,'Base de données'!A$4:A$990,0),12),"")</f>
        <v/>
      </c>
      <c r="D76" s="583"/>
      <c r="E76" s="130"/>
      <c r="F76" s="131"/>
      <c r="G76" s="130"/>
      <c r="H76" s="131"/>
      <c r="I76" s="130"/>
      <c r="J76" s="131"/>
      <c r="K76" s="130"/>
      <c r="L76" s="131"/>
      <c r="M76" s="130"/>
      <c r="N76" s="129"/>
      <c r="O76" s="130"/>
      <c r="P76" s="131"/>
      <c r="Q76" s="130"/>
      <c r="R76" s="131"/>
      <c r="S76" s="130"/>
      <c r="T76" s="131"/>
      <c r="U76" s="130"/>
      <c r="V76" s="129"/>
      <c r="W76" s="130"/>
      <c r="X76" s="129"/>
      <c r="Y76" s="130"/>
      <c r="Z76" s="131"/>
      <c r="AA76" s="130"/>
    </row>
    <row r="77" spans="1:27" x14ac:dyDescent="0.25">
      <c r="A77" s="538"/>
      <c r="B77" s="585" t="str">
        <f>IF(A77&lt;&gt;"",INDEX('Base de données'!A$4:L$990,MATCH(A77,'Base de données'!A$4:A$990,0),2),"")</f>
        <v/>
      </c>
      <c r="C77" s="585" t="str">
        <f>IF(A77&lt;&gt;"",INDEX('Base de données'!A$4:L$990,MATCH(A77,'Base de données'!A$4:A$990,0),12),"")</f>
        <v/>
      </c>
      <c r="D77" s="582"/>
      <c r="E77" s="130"/>
      <c r="F77" s="129"/>
      <c r="G77" s="130"/>
      <c r="H77" s="129"/>
      <c r="I77" s="130"/>
      <c r="J77" s="129"/>
      <c r="K77" s="130"/>
      <c r="L77" s="129"/>
      <c r="M77" s="130"/>
      <c r="N77" s="129"/>
      <c r="O77" s="130"/>
      <c r="P77" s="129"/>
      <c r="Q77" s="130"/>
      <c r="R77" s="129"/>
      <c r="S77" s="130"/>
      <c r="T77" s="129"/>
      <c r="U77" s="130"/>
      <c r="V77" s="129"/>
      <c r="W77" s="130"/>
      <c r="X77" s="129"/>
      <c r="Y77" s="130"/>
      <c r="Z77" s="131"/>
      <c r="AA77" s="130"/>
    </row>
    <row r="78" spans="1:27" x14ac:dyDescent="0.25">
      <c r="A78" s="538"/>
      <c r="B78" s="585" t="str">
        <f>IF(A78&lt;&gt;"",INDEX('Base de données'!A$4:L$990,MATCH(A78,'Base de données'!A$4:A$990,0),2),"")</f>
        <v/>
      </c>
      <c r="C78" s="585" t="str">
        <f>IF(A78&lt;&gt;"",INDEX('Base de données'!A$4:L$990,MATCH(A78,'Base de données'!A$4:A$990,0),12),"")</f>
        <v/>
      </c>
      <c r="D78" s="582"/>
      <c r="E78" s="130"/>
      <c r="F78" s="129"/>
      <c r="G78" s="130"/>
      <c r="H78" s="616"/>
      <c r="I78" s="130"/>
      <c r="J78" s="129"/>
      <c r="K78" s="130"/>
      <c r="L78" s="129"/>
      <c r="M78" s="130"/>
      <c r="N78" s="616"/>
      <c r="O78" s="130"/>
      <c r="P78" s="616"/>
      <c r="Q78" s="130"/>
      <c r="R78" s="129"/>
      <c r="S78" s="130"/>
      <c r="T78" s="129"/>
      <c r="U78" s="130"/>
      <c r="V78" s="129"/>
      <c r="W78" s="130"/>
      <c r="X78" s="129"/>
      <c r="Y78" s="130"/>
      <c r="Z78" s="131"/>
      <c r="AA78" s="130"/>
    </row>
    <row r="79" spans="1:27" x14ac:dyDescent="0.25">
      <c r="A79" s="538"/>
      <c r="B79" s="585" t="str">
        <f>IF(A79&lt;&gt;"",INDEX('Base de données'!A$4:L$990,MATCH(A79,'Base de données'!A$4:A$990,0),2),"")</f>
        <v/>
      </c>
      <c r="C79" s="585" t="str">
        <f>IF(A79&lt;&gt;"",INDEX('Base de données'!A$4:L$990,MATCH(A79,'Base de données'!A$4:A$990,0),12),"")</f>
        <v/>
      </c>
      <c r="D79" s="582"/>
      <c r="E79" s="130"/>
      <c r="F79" s="129"/>
      <c r="G79" s="130"/>
      <c r="H79" s="129"/>
      <c r="I79" s="130"/>
      <c r="J79" s="129"/>
      <c r="K79" s="130"/>
      <c r="L79" s="129"/>
      <c r="M79" s="130"/>
      <c r="N79" s="129"/>
      <c r="O79" s="130"/>
      <c r="P79" s="129"/>
      <c r="Q79" s="130"/>
      <c r="R79" s="129"/>
      <c r="S79" s="130"/>
      <c r="T79" s="129"/>
      <c r="U79" s="130"/>
      <c r="V79" s="129"/>
      <c r="W79" s="130"/>
      <c r="X79" s="129"/>
      <c r="Y79" s="130"/>
      <c r="Z79" s="131"/>
      <c r="AA79" s="130"/>
    </row>
    <row r="80" spans="1:27" x14ac:dyDescent="0.25">
      <c r="A80" s="538"/>
      <c r="B80" s="585" t="str">
        <f>IF(A80&lt;&gt;"",INDEX('Base de données'!A$4:L$990,MATCH(A80,'Base de données'!A$4:A$990,0),2),"")</f>
        <v/>
      </c>
      <c r="C80" s="585" t="str">
        <f>IF(A80&lt;&gt;"",INDEX('Base de données'!A$4:L$990,MATCH(A80,'Base de données'!A$4:A$990,0),12),"")</f>
        <v/>
      </c>
      <c r="D80" s="582"/>
      <c r="E80" s="130"/>
      <c r="F80" s="129"/>
      <c r="G80" s="130"/>
      <c r="H80" s="129"/>
      <c r="I80" s="130"/>
      <c r="J80" s="129"/>
      <c r="K80" s="130"/>
      <c r="L80" s="129"/>
      <c r="M80" s="130"/>
      <c r="N80" s="129"/>
      <c r="O80" s="130"/>
      <c r="P80" s="129"/>
      <c r="Q80" s="130"/>
      <c r="R80" s="129"/>
      <c r="S80" s="130"/>
      <c r="T80" s="129"/>
      <c r="U80" s="130"/>
      <c r="V80" s="129"/>
      <c r="W80" s="130"/>
      <c r="X80" s="129"/>
      <c r="Y80" s="130"/>
      <c r="Z80" s="131"/>
      <c r="AA80" s="130"/>
    </row>
    <row r="81" spans="1:27" x14ac:dyDescent="0.25">
      <c r="A81" s="538"/>
      <c r="B81" s="585" t="str">
        <f>IF(A81&lt;&gt;"",INDEX('Base de données'!A$4:L$990,MATCH(A81,'Base de données'!A$4:A$990,0),2),"")</f>
        <v/>
      </c>
      <c r="C81" s="585" t="str">
        <f>IF(A81&lt;&gt;"",INDEX('Base de données'!A$4:L$990,MATCH(A81,'Base de données'!A$4:A$990,0),12),"")</f>
        <v/>
      </c>
      <c r="D81" s="582"/>
      <c r="E81" s="130"/>
      <c r="F81" s="129"/>
      <c r="G81" s="130"/>
      <c r="H81" s="129"/>
      <c r="I81" s="130"/>
      <c r="J81" s="129"/>
      <c r="K81" s="130"/>
      <c r="L81" s="129"/>
      <c r="M81" s="130"/>
      <c r="N81" s="129"/>
      <c r="O81" s="130"/>
      <c r="P81" s="129"/>
      <c r="Q81" s="130"/>
      <c r="R81" s="131"/>
      <c r="S81" s="130"/>
      <c r="T81" s="129"/>
      <c r="U81" s="130"/>
      <c r="V81" s="129"/>
      <c r="W81" s="130"/>
      <c r="X81" s="129"/>
      <c r="Y81" s="130"/>
      <c r="Z81" s="131"/>
      <c r="AA81" s="130"/>
    </row>
    <row r="82" spans="1:27" x14ac:dyDescent="0.25">
      <c r="A82" s="538"/>
      <c r="B82" s="585" t="str">
        <f>IF(A82&lt;&gt;"",INDEX('Base de données'!A$4:L$990,MATCH(A82,'Base de données'!A$4:A$990,0),2),"")</f>
        <v/>
      </c>
      <c r="C82" s="585" t="str">
        <f>IF(A82&lt;&gt;"",INDEX('Base de données'!A$4:L$990,MATCH(A82,'Base de données'!A$4:A$990,0),12),"")</f>
        <v/>
      </c>
      <c r="D82" s="582"/>
      <c r="E82" s="130"/>
      <c r="F82" s="129"/>
      <c r="G82" s="130"/>
      <c r="H82" s="129"/>
      <c r="I82" s="130"/>
      <c r="J82" s="129"/>
      <c r="K82" s="130"/>
      <c r="L82" s="129"/>
      <c r="M82" s="130"/>
      <c r="N82" s="129"/>
      <c r="O82" s="130"/>
      <c r="P82" s="129"/>
      <c r="Q82" s="130"/>
      <c r="R82" s="129"/>
      <c r="S82" s="130"/>
      <c r="T82" s="129"/>
      <c r="U82" s="130"/>
      <c r="V82" s="129"/>
      <c r="W82" s="130"/>
      <c r="X82" s="129"/>
      <c r="Y82" s="130"/>
      <c r="Z82" s="131"/>
      <c r="AA82" s="130"/>
    </row>
    <row r="83" spans="1:27" x14ac:dyDescent="0.25">
      <c r="A83" s="538"/>
      <c r="B83" s="585" t="str">
        <f>IF(A83&lt;&gt;"",INDEX('Base de données'!A$4:L$990,MATCH(A83,'Base de données'!A$4:A$990,0),2),"")</f>
        <v/>
      </c>
      <c r="C83" s="585" t="str">
        <f>IF(A83&lt;&gt;"",INDEX('Base de données'!A$4:L$990,MATCH(A83,'Base de données'!A$4:A$990,0),12),"")</f>
        <v/>
      </c>
      <c r="D83" s="582"/>
      <c r="E83" s="130"/>
      <c r="F83" s="129"/>
      <c r="G83" s="130"/>
      <c r="H83" s="129"/>
      <c r="I83" s="130"/>
      <c r="J83" s="129"/>
      <c r="K83" s="130"/>
      <c r="L83" s="129"/>
      <c r="M83" s="130"/>
      <c r="N83" s="129"/>
      <c r="O83" s="130"/>
      <c r="P83" s="129"/>
      <c r="Q83" s="130"/>
      <c r="R83" s="129"/>
      <c r="S83" s="130"/>
      <c r="T83" s="129"/>
      <c r="U83" s="130"/>
      <c r="V83" s="129"/>
      <c r="W83" s="130"/>
      <c r="X83" s="129"/>
      <c r="Y83" s="130"/>
      <c r="Z83" s="131"/>
      <c r="AA83" s="130"/>
    </row>
    <row r="84" spans="1:27" x14ac:dyDescent="0.25">
      <c r="A84" s="538"/>
      <c r="B84" s="585" t="str">
        <f>IF(A84&lt;&gt;"",INDEX('Base de données'!A$4:L$990,MATCH(A84,'Base de données'!A$4:A$990,0),2),"")</f>
        <v/>
      </c>
      <c r="C84" s="585" t="str">
        <f>IF(A84&lt;&gt;"",INDEX('Base de données'!A$4:L$990,MATCH(A84,'Base de données'!A$4:A$990,0),12),"")</f>
        <v/>
      </c>
      <c r="D84" s="582"/>
      <c r="E84" s="130"/>
      <c r="F84" s="129"/>
      <c r="G84" s="130"/>
      <c r="H84" s="129"/>
      <c r="I84" s="130"/>
      <c r="J84" s="129"/>
      <c r="K84" s="130"/>
      <c r="L84" s="129"/>
      <c r="M84" s="130"/>
      <c r="N84" s="129"/>
      <c r="O84" s="130"/>
      <c r="P84" s="129"/>
      <c r="Q84" s="130"/>
      <c r="R84" s="129"/>
      <c r="S84" s="130"/>
      <c r="T84" s="129"/>
      <c r="U84" s="130"/>
      <c r="V84" s="129"/>
      <c r="W84" s="130"/>
      <c r="X84" s="129"/>
      <c r="Y84" s="130"/>
      <c r="Z84" s="131"/>
      <c r="AA84" s="130"/>
    </row>
    <row r="85" spans="1:27" x14ac:dyDescent="0.25">
      <c r="A85" s="538"/>
      <c r="B85" s="585" t="str">
        <f>IF(A85&lt;&gt;"",INDEX('Base de données'!A$4:L$990,MATCH(A85,'Base de données'!A$4:A$990,0),2),"")</f>
        <v/>
      </c>
      <c r="C85" s="585" t="str">
        <f>IF(A85&lt;&gt;"",INDEX('Base de données'!A$4:L$990,MATCH(A85,'Base de données'!A$4:A$990,0),12),"")</f>
        <v/>
      </c>
      <c r="D85" s="582"/>
      <c r="E85" s="130"/>
      <c r="F85" s="131"/>
      <c r="G85" s="130"/>
      <c r="H85" s="129"/>
      <c r="I85" s="130"/>
      <c r="J85" s="131"/>
      <c r="K85" s="130"/>
      <c r="L85" s="131"/>
      <c r="M85" s="130"/>
      <c r="N85" s="129"/>
      <c r="O85" s="130"/>
      <c r="P85" s="131"/>
      <c r="Q85" s="130"/>
      <c r="R85" s="129"/>
      <c r="S85" s="130"/>
      <c r="T85" s="131"/>
      <c r="U85" s="130"/>
      <c r="V85" s="129"/>
      <c r="W85" s="130"/>
      <c r="X85" s="129"/>
      <c r="Y85" s="130"/>
      <c r="Z85" s="131"/>
      <c r="AA85" s="130"/>
    </row>
    <row r="86" spans="1:27" x14ac:dyDescent="0.25">
      <c r="A86" s="538"/>
      <c r="B86" s="585" t="str">
        <f>IF(A86&lt;&gt;"",INDEX('Base de données'!A$4:L$990,MATCH(A86,'Base de données'!A$4:A$990,0),2),"")</f>
        <v/>
      </c>
      <c r="C86" s="585" t="str">
        <f>IF(A86&lt;&gt;"",INDEX('Base de données'!A$4:L$990,MATCH(A86,'Base de données'!A$4:A$990,0),12),"")</f>
        <v/>
      </c>
      <c r="D86" s="582"/>
      <c r="E86" s="130"/>
      <c r="F86" s="616"/>
      <c r="G86" s="130"/>
      <c r="H86" s="129"/>
      <c r="I86" s="130"/>
      <c r="J86" s="131"/>
      <c r="K86" s="130"/>
      <c r="L86" s="131"/>
      <c r="M86" s="130"/>
      <c r="N86" s="129"/>
      <c r="O86" s="130"/>
      <c r="P86" s="129"/>
      <c r="Q86" s="130"/>
      <c r="R86" s="129"/>
      <c r="S86" s="130"/>
      <c r="T86" s="129"/>
      <c r="U86" s="130"/>
      <c r="V86" s="129"/>
      <c r="W86" s="130"/>
      <c r="X86" s="129"/>
      <c r="Y86" s="130"/>
      <c r="Z86" s="131"/>
      <c r="AA86" s="130"/>
    </row>
    <row r="87" spans="1:27" x14ac:dyDescent="0.25">
      <c r="A87" s="538"/>
      <c r="B87" s="585" t="str">
        <f>IF(A87&lt;&gt;"",INDEX('Base de données'!A$4:L$990,MATCH(A87,'Base de données'!A$4:A$990,0),2),"")</f>
        <v/>
      </c>
      <c r="C87" s="585" t="str">
        <f>IF(A87&lt;&gt;"",INDEX('Base de données'!A$4:L$990,MATCH(A87,'Base de données'!A$4:A$990,0),12),"")</f>
        <v/>
      </c>
      <c r="D87" s="582"/>
      <c r="E87" s="130"/>
      <c r="F87" s="131"/>
      <c r="G87" s="130"/>
      <c r="H87" s="129"/>
      <c r="I87" s="130"/>
      <c r="J87" s="131"/>
      <c r="K87" s="130"/>
      <c r="L87" s="131"/>
      <c r="M87" s="130"/>
      <c r="N87" s="131"/>
      <c r="O87" s="130"/>
      <c r="P87" s="129"/>
      <c r="Q87" s="130"/>
      <c r="R87" s="129"/>
      <c r="S87" s="130"/>
      <c r="T87" s="129"/>
      <c r="U87" s="130"/>
      <c r="V87" s="129"/>
      <c r="W87" s="130"/>
      <c r="X87" s="129"/>
      <c r="Y87" s="130"/>
      <c r="Z87" s="131"/>
      <c r="AA87" s="130"/>
    </row>
    <row r="88" spans="1:27" x14ac:dyDescent="0.25">
      <c r="A88" s="538"/>
      <c r="B88" s="585" t="str">
        <f>IF(A88&lt;&gt;"",INDEX('Base de données'!A$4:L$990,MATCH(A88,'Base de données'!A$4:A$990,0),2),"")</f>
        <v/>
      </c>
      <c r="C88" s="585" t="str">
        <f>IF(A88&lt;&gt;"",INDEX('Base de données'!A$4:L$990,MATCH(A88,'Base de données'!A$4:A$990,0),12),"")</f>
        <v/>
      </c>
      <c r="D88" s="582"/>
      <c r="E88" s="130"/>
      <c r="F88" s="131"/>
      <c r="G88" s="130"/>
      <c r="H88" s="129"/>
      <c r="I88" s="130"/>
      <c r="J88" s="131"/>
      <c r="K88" s="130"/>
      <c r="L88" s="131"/>
      <c r="M88" s="130"/>
      <c r="N88" s="129"/>
      <c r="O88" s="130"/>
      <c r="P88" s="129"/>
      <c r="Q88" s="130"/>
      <c r="R88" s="129"/>
      <c r="S88" s="130"/>
      <c r="T88" s="129"/>
      <c r="U88" s="130"/>
      <c r="V88" s="129"/>
      <c r="W88" s="130"/>
      <c r="X88" s="129"/>
      <c r="Y88" s="130"/>
      <c r="Z88" s="129"/>
      <c r="AA88" s="130"/>
    </row>
    <row r="89" spans="1:27" x14ac:dyDescent="0.25">
      <c r="A89" s="538"/>
      <c r="B89" s="585" t="str">
        <f>IF(A89&lt;&gt;"",INDEX('Base de données'!A$4:L$990,MATCH(A89,'Base de données'!A$4:A$990,0),2),"")</f>
        <v/>
      </c>
      <c r="C89" s="585" t="str">
        <f>IF(A89&lt;&gt;"",INDEX('Base de données'!A$4:L$990,MATCH(A89,'Base de données'!A$4:A$990,0),12),"")</f>
        <v/>
      </c>
      <c r="D89" s="582"/>
      <c r="E89" s="130"/>
      <c r="F89" s="131"/>
      <c r="G89" s="130"/>
      <c r="H89" s="129"/>
      <c r="I89" s="130"/>
      <c r="J89" s="131"/>
      <c r="K89" s="130"/>
      <c r="L89" s="131"/>
      <c r="M89" s="130"/>
      <c r="N89" s="129"/>
      <c r="O89" s="130"/>
      <c r="P89" s="129"/>
      <c r="Q89" s="130"/>
      <c r="R89" s="129"/>
      <c r="S89" s="130"/>
      <c r="T89" s="129"/>
      <c r="U89" s="130"/>
      <c r="V89" s="129"/>
      <c r="W89" s="130"/>
      <c r="X89" s="129"/>
      <c r="Y89" s="130"/>
      <c r="Z89" s="131"/>
      <c r="AA89" s="130"/>
    </row>
    <row r="90" spans="1:27" x14ac:dyDescent="0.25">
      <c r="A90" s="538"/>
      <c r="B90" s="585" t="str">
        <f>IF(A90&lt;&gt;"",INDEX('Base de données'!A$4:L$990,MATCH(A90,'Base de données'!A$4:A$990,0),2),"")</f>
        <v/>
      </c>
      <c r="C90" s="585" t="str">
        <f>IF(A90&lt;&gt;"",INDEX('Base de données'!A$4:L$990,MATCH(A90,'Base de données'!A$4:A$990,0),12),"")</f>
        <v/>
      </c>
      <c r="D90" s="582"/>
      <c r="E90" s="130"/>
      <c r="F90" s="131"/>
      <c r="G90" s="130"/>
      <c r="H90" s="129"/>
      <c r="I90" s="130"/>
      <c r="J90" s="131"/>
      <c r="K90" s="130"/>
      <c r="L90" s="131"/>
      <c r="M90" s="130"/>
      <c r="N90" s="129"/>
      <c r="O90" s="130"/>
      <c r="P90" s="129"/>
      <c r="Q90" s="130"/>
      <c r="R90" s="129"/>
      <c r="S90" s="130"/>
      <c r="T90" s="129"/>
      <c r="U90" s="130"/>
      <c r="V90" s="129"/>
      <c r="W90" s="130"/>
      <c r="X90" s="129"/>
      <c r="Y90" s="130"/>
      <c r="Z90" s="131"/>
      <c r="AA90" s="130"/>
    </row>
    <row r="91" spans="1:27" x14ac:dyDescent="0.25">
      <c r="A91" s="538"/>
      <c r="B91" s="585" t="str">
        <f>IF(A91&lt;&gt;"",INDEX('Base de données'!A$4:L$990,MATCH(A91,'Base de données'!A$4:A$990,0),2),"")</f>
        <v/>
      </c>
      <c r="C91" s="585" t="str">
        <f>IF(A91&lt;&gt;"",INDEX('Base de données'!A$4:L$990,MATCH(A91,'Base de données'!A$4:A$990,0),12),"")</f>
        <v/>
      </c>
      <c r="D91" s="582"/>
      <c r="E91" s="130"/>
      <c r="F91" s="131"/>
      <c r="G91" s="130"/>
      <c r="H91" s="129"/>
      <c r="I91" s="130"/>
      <c r="J91" s="131"/>
      <c r="K91" s="130"/>
      <c r="L91" s="131"/>
      <c r="M91" s="130"/>
      <c r="N91" s="129"/>
      <c r="O91" s="130"/>
      <c r="P91" s="129"/>
      <c r="Q91" s="130"/>
      <c r="R91" s="129"/>
      <c r="S91" s="130"/>
      <c r="T91" s="129"/>
      <c r="U91" s="130"/>
      <c r="V91" s="129"/>
      <c r="W91" s="130"/>
      <c r="X91" s="129"/>
      <c r="Y91" s="130"/>
      <c r="Z91" s="131"/>
      <c r="AA91" s="130"/>
    </row>
    <row r="92" spans="1:27" x14ac:dyDescent="0.25">
      <c r="A92" s="538"/>
      <c r="B92" s="585" t="str">
        <f>IF(A92&lt;&gt;"",INDEX('Base de données'!A$4:L$990,MATCH(A92,'Base de données'!A$4:A$990,0),2),"")</f>
        <v/>
      </c>
      <c r="C92" s="585" t="str">
        <f>IF(A92&lt;&gt;"",INDEX('Base de données'!A$4:L$990,MATCH(A92,'Base de données'!A$4:A$990,0),12),"")</f>
        <v/>
      </c>
      <c r="D92" s="582"/>
      <c r="E92" s="130"/>
      <c r="F92" s="131"/>
      <c r="G92" s="130"/>
      <c r="H92" s="129"/>
      <c r="I92" s="130"/>
      <c r="J92" s="129"/>
      <c r="K92" s="130"/>
      <c r="L92" s="129"/>
      <c r="M92" s="130"/>
      <c r="N92" s="129"/>
      <c r="O92" s="130"/>
      <c r="P92" s="129"/>
      <c r="Q92" s="130"/>
      <c r="R92" s="129"/>
      <c r="S92" s="130"/>
      <c r="T92" s="129"/>
      <c r="U92" s="130"/>
      <c r="V92" s="129"/>
      <c r="W92" s="130"/>
      <c r="X92" s="129"/>
      <c r="Y92" s="130"/>
      <c r="Z92" s="131"/>
      <c r="AA92" s="130"/>
    </row>
    <row r="93" spans="1:27" x14ac:dyDescent="0.25">
      <c r="A93" s="538"/>
      <c r="B93" s="585" t="str">
        <f>IF(A93&lt;&gt;"",INDEX('Base de données'!A$4:L$990,MATCH(A93,'Base de données'!A$4:A$990,0),2),"")</f>
        <v/>
      </c>
      <c r="C93" s="585" t="str">
        <f>IF(A93&lt;&gt;"",INDEX('Base de données'!A$4:L$990,MATCH(A93,'Base de données'!A$4:A$990,0),12),"")</f>
        <v/>
      </c>
      <c r="D93" s="582"/>
      <c r="E93" s="130"/>
      <c r="F93" s="131"/>
      <c r="G93" s="130"/>
      <c r="H93" s="129"/>
      <c r="I93" s="130"/>
      <c r="J93" s="131"/>
      <c r="K93" s="130"/>
      <c r="L93" s="131"/>
      <c r="M93" s="130"/>
      <c r="N93" s="129"/>
      <c r="O93" s="130"/>
      <c r="P93" s="129"/>
      <c r="Q93" s="130"/>
      <c r="R93" s="129"/>
      <c r="S93" s="130"/>
      <c r="T93" s="131"/>
      <c r="U93" s="130"/>
      <c r="V93" s="129"/>
      <c r="W93" s="130"/>
      <c r="X93" s="129"/>
      <c r="Y93" s="130"/>
      <c r="Z93" s="131"/>
      <c r="AA93" s="130"/>
    </row>
    <row r="94" spans="1:27" x14ac:dyDescent="0.25">
      <c r="A94" s="538"/>
      <c r="B94" s="585" t="str">
        <f>IF(A94&lt;&gt;"",INDEX('Base de données'!A$4:L$990,MATCH(A94,'Base de données'!A$4:A$990,0),2),"")</f>
        <v/>
      </c>
      <c r="C94" s="585" t="str">
        <f>IF(A94&lt;&gt;"",INDEX('Base de données'!A$4:L$990,MATCH(A94,'Base de données'!A$4:A$990,0),12),"")</f>
        <v/>
      </c>
      <c r="D94" s="582"/>
      <c r="E94" s="130"/>
      <c r="F94" s="131"/>
      <c r="G94" s="130"/>
      <c r="H94" s="129"/>
      <c r="I94" s="130"/>
      <c r="J94" s="131"/>
      <c r="K94" s="130"/>
      <c r="L94" s="131"/>
      <c r="M94" s="130"/>
      <c r="N94" s="129"/>
      <c r="O94" s="130"/>
      <c r="P94" s="129"/>
      <c r="Q94" s="130"/>
      <c r="R94" s="129"/>
      <c r="S94" s="130"/>
      <c r="T94" s="129"/>
      <c r="U94" s="617"/>
      <c r="V94" s="131"/>
      <c r="W94" s="130"/>
      <c r="X94" s="131"/>
      <c r="Y94" s="130"/>
      <c r="Z94" s="131"/>
      <c r="AA94" s="130"/>
    </row>
    <row r="95" spans="1:27" x14ac:dyDescent="0.25">
      <c r="A95" s="538"/>
      <c r="B95" s="585" t="str">
        <f>IF(A95&lt;&gt;"",INDEX('Base de données'!A$4:L$990,MATCH(A95,'Base de données'!A$4:A$990,0),2),"")</f>
        <v/>
      </c>
      <c r="C95" s="585" t="str">
        <f>IF(A95&lt;&gt;"",INDEX('Base de données'!A$4:L$990,MATCH(A95,'Base de données'!A$4:A$990,0),12),"")</f>
        <v/>
      </c>
      <c r="D95" s="582"/>
      <c r="E95" s="130"/>
      <c r="F95" s="131"/>
      <c r="G95" s="130"/>
      <c r="H95" s="129"/>
      <c r="I95" s="130"/>
      <c r="J95" s="131"/>
      <c r="K95" s="130"/>
      <c r="L95" s="131"/>
      <c r="M95" s="130"/>
      <c r="N95" s="129"/>
      <c r="O95" s="130"/>
      <c r="P95" s="129"/>
      <c r="Q95" s="130"/>
      <c r="R95" s="129"/>
      <c r="S95" s="130"/>
      <c r="T95" s="129"/>
      <c r="U95" s="130"/>
      <c r="V95" s="131"/>
      <c r="W95" s="130"/>
      <c r="X95" s="131"/>
      <c r="Y95" s="130"/>
      <c r="Z95" s="131"/>
      <c r="AA95" s="130"/>
    </row>
    <row r="96" spans="1:27" x14ac:dyDescent="0.25">
      <c r="A96" s="538"/>
      <c r="B96" s="585" t="str">
        <f>IF(A96&lt;&gt;"",INDEX('Base de données'!A$4:L$990,MATCH(A96,'Base de données'!A$4:A$990,0),2),"")</f>
        <v/>
      </c>
      <c r="C96" s="585" t="str">
        <f>IF(A96&lt;&gt;"",INDEX('Base de données'!A$4:L$990,MATCH(A96,'Base de données'!A$4:A$990,0),12),"")</f>
        <v/>
      </c>
      <c r="D96" s="582"/>
      <c r="E96" s="130"/>
      <c r="F96" s="131"/>
      <c r="G96" s="130"/>
      <c r="H96" s="131"/>
      <c r="I96" s="130"/>
      <c r="J96" s="131"/>
      <c r="K96" s="130"/>
      <c r="L96" s="131"/>
      <c r="M96" s="130"/>
      <c r="N96" s="131"/>
      <c r="O96" s="130"/>
      <c r="P96" s="131"/>
      <c r="Q96" s="130"/>
      <c r="R96" s="129"/>
      <c r="S96" s="130"/>
      <c r="T96" s="131"/>
      <c r="U96" s="130"/>
      <c r="V96" s="131"/>
      <c r="W96" s="130"/>
      <c r="X96" s="131"/>
      <c r="Y96" s="130"/>
      <c r="Z96" s="131"/>
      <c r="AA96" s="130"/>
    </row>
    <row r="97" spans="1:27" x14ac:dyDescent="0.25">
      <c r="A97" s="538"/>
      <c r="B97" s="585" t="str">
        <f>IF(A97&lt;&gt;"",INDEX('Base de données'!A$4:L$990,MATCH(A97,'Base de données'!A$4:A$990,0),2),"")</f>
        <v/>
      </c>
      <c r="C97" s="585" t="str">
        <f>IF(A97&lt;&gt;"",INDEX('Base de données'!A$4:L$990,MATCH(A97,'Base de données'!A$4:A$990,0),12),"")</f>
        <v/>
      </c>
      <c r="D97" s="582"/>
      <c r="E97" s="130"/>
      <c r="F97" s="131"/>
      <c r="G97" s="130"/>
      <c r="H97" s="131"/>
      <c r="I97" s="130"/>
      <c r="J97" s="131"/>
      <c r="K97" s="130"/>
      <c r="L97" s="131"/>
      <c r="M97" s="130"/>
      <c r="N97" s="131"/>
      <c r="O97" s="130"/>
      <c r="P97" s="131"/>
      <c r="Q97" s="130"/>
      <c r="R97" s="129"/>
      <c r="S97" s="130"/>
      <c r="T97" s="131"/>
      <c r="U97" s="130"/>
      <c r="V97" s="131"/>
      <c r="W97" s="130"/>
      <c r="X97" s="131"/>
      <c r="Y97" s="130"/>
      <c r="Z97" s="131"/>
      <c r="AA97" s="130"/>
    </row>
    <row r="98" spans="1:27" x14ac:dyDescent="0.25">
      <c r="A98" s="538"/>
      <c r="B98" s="585" t="str">
        <f>IF(A98&lt;&gt;"",INDEX('Base de données'!A$4:L$990,MATCH(A98,'Base de données'!A$4:A$990,0),2),"")</f>
        <v/>
      </c>
      <c r="C98" s="585" t="str">
        <f>IF(A98&lt;&gt;"",INDEX('Base de données'!A$4:L$990,MATCH(A98,'Base de données'!A$4:A$990,0),12),"")</f>
        <v/>
      </c>
      <c r="D98" s="582"/>
      <c r="E98" s="130"/>
      <c r="F98" s="131"/>
      <c r="G98" s="130"/>
      <c r="H98" s="131"/>
      <c r="I98" s="130"/>
      <c r="J98" s="131"/>
      <c r="K98" s="130"/>
      <c r="L98" s="131"/>
      <c r="M98" s="130"/>
      <c r="N98" s="131"/>
      <c r="O98" s="130"/>
      <c r="P98" s="131"/>
      <c r="Q98" s="130"/>
      <c r="R98" s="129"/>
      <c r="S98" s="130"/>
      <c r="T98" s="131"/>
      <c r="U98" s="130"/>
      <c r="V98" s="131"/>
      <c r="W98" s="130"/>
      <c r="X98" s="131"/>
      <c r="Y98" s="130"/>
      <c r="Z98" s="131"/>
      <c r="AA98" s="130"/>
    </row>
    <row r="99" spans="1:27" x14ac:dyDescent="0.25">
      <c r="A99" s="538"/>
      <c r="B99" s="585" t="str">
        <f>IF(A99&lt;&gt;"",INDEX('Base de données'!A$4:L$990,MATCH(A99,'Base de données'!A$4:A$990,0),2),"")</f>
        <v/>
      </c>
      <c r="C99" s="585" t="str">
        <f>IF(A99&lt;&gt;"",INDEX('Base de données'!A$4:L$990,MATCH(A99,'Base de données'!A$4:A$990,0),12),"")</f>
        <v/>
      </c>
      <c r="D99" s="582"/>
      <c r="E99" s="130"/>
      <c r="F99" s="131"/>
      <c r="G99" s="130"/>
      <c r="H99" s="131"/>
      <c r="I99" s="130"/>
      <c r="J99" s="131"/>
      <c r="K99" s="130"/>
      <c r="L99" s="131"/>
      <c r="M99" s="130"/>
      <c r="N99" s="131"/>
      <c r="O99" s="130"/>
      <c r="P99" s="131"/>
      <c r="Q99" s="130"/>
      <c r="R99" s="129"/>
      <c r="S99" s="130"/>
      <c r="T99" s="131"/>
      <c r="U99" s="130"/>
      <c r="V99" s="131"/>
      <c r="W99" s="130"/>
      <c r="X99" s="131"/>
      <c r="Y99" s="130"/>
      <c r="Z99" s="131"/>
      <c r="AA99" s="130"/>
    </row>
    <row r="100" spans="1:27" x14ac:dyDescent="0.25">
      <c r="A100" s="538"/>
      <c r="B100" s="585" t="str">
        <f>IF(A100&lt;&gt;"",INDEX('Base de données'!A$4:L$990,MATCH(A100,'Base de données'!A$4:A$990,0),2),"")</f>
        <v/>
      </c>
      <c r="C100" s="585" t="str">
        <f>IF(A100&lt;&gt;"",INDEX('Base de données'!A$4:L$990,MATCH(A100,'Base de données'!A$4:A$990,0),12),"")</f>
        <v/>
      </c>
      <c r="D100" s="582"/>
      <c r="E100" s="130"/>
      <c r="F100" s="131"/>
      <c r="G100" s="130"/>
      <c r="H100" s="131"/>
      <c r="I100" s="130"/>
      <c r="J100" s="131"/>
      <c r="K100" s="130"/>
      <c r="L100" s="131"/>
      <c r="M100" s="130"/>
      <c r="N100" s="131"/>
      <c r="O100" s="130"/>
      <c r="P100" s="131"/>
      <c r="Q100" s="130"/>
      <c r="R100" s="129"/>
      <c r="S100" s="130"/>
      <c r="T100" s="131"/>
      <c r="U100" s="130"/>
      <c r="V100" s="131"/>
      <c r="W100" s="130"/>
      <c r="X100" s="131"/>
      <c r="Y100" s="130"/>
      <c r="Z100" s="131"/>
      <c r="AA100" s="130"/>
    </row>
    <row r="101" spans="1:27" x14ac:dyDescent="0.25">
      <c r="A101" s="538"/>
      <c r="B101" s="585" t="str">
        <f>IF(A101&lt;&gt;"",INDEX('Base de données'!A$4:L$990,MATCH(A101,'Base de données'!A$4:A$990,0),2),"")</f>
        <v/>
      </c>
      <c r="C101" s="585" t="str">
        <f>IF(A101&lt;&gt;"",INDEX('Base de données'!A$4:L$990,MATCH(A101,'Base de données'!A$4:A$990,0),12),"")</f>
        <v/>
      </c>
      <c r="D101" s="582"/>
      <c r="E101" s="130"/>
      <c r="F101" s="131"/>
      <c r="G101" s="130"/>
      <c r="H101" s="131"/>
      <c r="I101" s="130"/>
      <c r="J101" s="131"/>
      <c r="K101" s="130"/>
      <c r="L101" s="131"/>
      <c r="M101" s="130"/>
      <c r="N101" s="131"/>
      <c r="O101" s="130"/>
      <c r="P101" s="131"/>
      <c r="Q101" s="130"/>
      <c r="R101" s="129"/>
      <c r="S101" s="130"/>
      <c r="T101" s="131"/>
      <c r="U101" s="130"/>
      <c r="V101" s="131"/>
      <c r="W101" s="130"/>
      <c r="X101" s="131"/>
      <c r="Y101" s="130"/>
      <c r="Z101" s="131"/>
      <c r="AA101" s="130"/>
    </row>
    <row r="102" spans="1:27" x14ac:dyDescent="0.25">
      <c r="A102" s="538"/>
      <c r="B102" s="585" t="str">
        <f>IF(A102&lt;&gt;"",INDEX('Base de données'!A$4:L$990,MATCH(A102,'Base de données'!A$4:A$990,0),2),"")</f>
        <v/>
      </c>
      <c r="C102" s="585" t="str">
        <f>IF(A102&lt;&gt;"",INDEX('Base de données'!A$4:L$990,MATCH(A102,'Base de données'!A$4:A$990,0),12),"")</f>
        <v/>
      </c>
      <c r="D102" s="582"/>
      <c r="E102" s="130"/>
      <c r="F102" s="131"/>
      <c r="G102" s="130"/>
      <c r="H102" s="131"/>
      <c r="I102" s="130"/>
      <c r="J102" s="131"/>
      <c r="K102" s="130"/>
      <c r="L102" s="131"/>
      <c r="M102" s="130"/>
      <c r="N102" s="131"/>
      <c r="O102" s="130"/>
      <c r="P102" s="131"/>
      <c r="Q102" s="130"/>
      <c r="R102" s="129"/>
      <c r="S102" s="130"/>
      <c r="T102" s="131"/>
      <c r="U102" s="130"/>
      <c r="V102" s="131"/>
      <c r="W102" s="130"/>
      <c r="X102" s="131"/>
      <c r="Y102" s="130"/>
      <c r="Z102" s="131"/>
      <c r="AA102" s="130"/>
    </row>
    <row r="103" spans="1:27" x14ac:dyDescent="0.25">
      <c r="A103" s="538"/>
      <c r="B103" s="585" t="str">
        <f>IF(A103&lt;&gt;"",INDEX('Base de données'!A$4:L$990,MATCH(A103,'Base de données'!A$4:A$990,0),2),"")</f>
        <v/>
      </c>
      <c r="C103" s="585" t="str">
        <f>IF(A103&lt;&gt;"",INDEX('Base de données'!A$4:L$990,MATCH(A103,'Base de données'!A$4:A$990,0),12),"")</f>
        <v/>
      </c>
      <c r="D103" s="583"/>
      <c r="E103" s="130"/>
      <c r="F103" s="131"/>
      <c r="G103" s="130"/>
      <c r="H103" s="131"/>
      <c r="I103" s="130"/>
      <c r="J103" s="131"/>
      <c r="K103" s="130"/>
      <c r="L103" s="131"/>
      <c r="M103" s="130"/>
      <c r="N103" s="131"/>
      <c r="O103" s="130"/>
      <c r="P103" s="131"/>
      <c r="Q103" s="130"/>
      <c r="R103" s="131"/>
      <c r="S103" s="130"/>
      <c r="T103" s="131"/>
      <c r="U103" s="130"/>
      <c r="V103" s="131"/>
      <c r="W103" s="130"/>
      <c r="X103" s="131"/>
      <c r="Y103" s="130"/>
      <c r="Z103" s="131"/>
      <c r="AA103" s="130"/>
    </row>
    <row r="104" spans="1:27" x14ac:dyDescent="0.25">
      <c r="A104" s="538"/>
      <c r="B104" s="585" t="str">
        <f>IF(A104&lt;&gt;"",INDEX('Base de données'!A$4:L$990,MATCH(A104,'Base de données'!A$4:A$990,0),2),"")</f>
        <v/>
      </c>
      <c r="C104" s="585" t="str">
        <f>IF(A104&lt;&gt;"",INDEX('Base de données'!A$4:L$990,MATCH(A104,'Base de données'!A$4:A$990,0),12),"")</f>
        <v/>
      </c>
      <c r="D104" s="583"/>
      <c r="E104" s="130"/>
      <c r="F104" s="131"/>
      <c r="G104" s="130"/>
      <c r="H104" s="131"/>
      <c r="I104" s="130"/>
      <c r="J104" s="131"/>
      <c r="K104" s="130"/>
      <c r="L104" s="131"/>
      <c r="M104" s="130"/>
      <c r="N104" s="131"/>
      <c r="O104" s="130"/>
      <c r="P104" s="131"/>
      <c r="Q104" s="130"/>
      <c r="R104" s="131"/>
      <c r="S104" s="130"/>
      <c r="T104" s="131"/>
      <c r="U104" s="130"/>
      <c r="V104" s="131"/>
      <c r="W104" s="130"/>
      <c r="X104" s="131"/>
      <c r="Y104" s="130"/>
      <c r="Z104" s="131"/>
      <c r="AA104" s="130"/>
    </row>
    <row r="105" spans="1:27" x14ac:dyDescent="0.25">
      <c r="A105" s="538"/>
      <c r="B105" s="585" t="str">
        <f>IF(A105&lt;&gt;"",INDEX('Base de données'!A$4:L$990,MATCH(A105,'Base de données'!A$4:A$990,0),2),"")</f>
        <v/>
      </c>
      <c r="C105" s="585" t="str">
        <f>IF(A105&lt;&gt;"",INDEX('Base de données'!A$4:L$990,MATCH(A105,'Base de données'!A$4:A$990,0),12),"")</f>
        <v/>
      </c>
      <c r="D105" s="583"/>
      <c r="E105" s="130"/>
      <c r="F105" s="131"/>
      <c r="G105" s="130"/>
      <c r="H105" s="131"/>
      <c r="I105" s="130"/>
      <c r="J105" s="131"/>
      <c r="K105" s="130"/>
      <c r="L105" s="131"/>
      <c r="M105" s="130"/>
      <c r="N105" s="131"/>
      <c r="O105" s="130"/>
      <c r="P105" s="131"/>
      <c r="Q105" s="130"/>
      <c r="R105" s="131"/>
      <c r="S105" s="130"/>
      <c r="T105" s="131"/>
      <c r="U105" s="130"/>
      <c r="V105" s="131"/>
      <c r="W105" s="130"/>
      <c r="X105" s="131"/>
      <c r="Y105" s="130"/>
      <c r="Z105" s="131"/>
      <c r="AA105" s="130"/>
    </row>
    <row r="106" spans="1:27" x14ac:dyDescent="0.25">
      <c r="A106" s="538"/>
      <c r="B106" s="585" t="str">
        <f>IF(A106&lt;&gt;"",INDEX('Base de données'!A$4:L$990,MATCH(A106,'Base de données'!A$4:A$990,0),2),"")</f>
        <v/>
      </c>
      <c r="C106" s="585" t="str">
        <f>IF(A106&lt;&gt;"",INDEX('Base de données'!A$4:L$990,MATCH(A106,'Base de données'!A$4:A$990,0),12),"")</f>
        <v/>
      </c>
      <c r="D106" s="583"/>
      <c r="E106" s="130"/>
      <c r="F106" s="131"/>
      <c r="G106" s="130"/>
      <c r="H106" s="131"/>
      <c r="I106" s="130"/>
      <c r="J106" s="131"/>
      <c r="K106" s="130"/>
      <c r="L106" s="131"/>
      <c r="M106" s="130"/>
      <c r="N106" s="131"/>
      <c r="O106" s="130"/>
      <c r="P106" s="131"/>
      <c r="Q106" s="130"/>
      <c r="R106" s="131"/>
      <c r="S106" s="130"/>
      <c r="T106" s="131"/>
      <c r="U106" s="130"/>
      <c r="V106" s="131"/>
      <c r="W106" s="130"/>
      <c r="X106" s="131"/>
      <c r="Y106" s="130"/>
      <c r="Z106" s="131"/>
      <c r="AA106" s="130"/>
    </row>
    <row r="107" spans="1:27" x14ac:dyDescent="0.25">
      <c r="A107" s="538"/>
      <c r="B107" s="585" t="str">
        <f>IF(A107&lt;&gt;"",INDEX('Base de données'!A$4:L$990,MATCH(A107,'Base de données'!A$4:A$990,0),2),"")</f>
        <v/>
      </c>
      <c r="C107" s="585" t="str">
        <f>IF(A107&lt;&gt;"",INDEX('Base de données'!A$4:L$990,MATCH(A107,'Base de données'!A$4:A$990,0),12),"")</f>
        <v/>
      </c>
      <c r="D107" s="583"/>
      <c r="E107" s="130"/>
      <c r="F107" s="131"/>
      <c r="G107" s="130"/>
      <c r="H107" s="131"/>
      <c r="I107" s="130"/>
      <c r="J107" s="131"/>
      <c r="K107" s="130"/>
      <c r="L107" s="131"/>
      <c r="M107" s="130"/>
      <c r="N107" s="131"/>
      <c r="O107" s="130"/>
      <c r="P107" s="131"/>
      <c r="Q107" s="130"/>
      <c r="R107" s="131"/>
      <c r="S107" s="130"/>
      <c r="T107" s="131"/>
      <c r="U107" s="130"/>
      <c r="V107" s="131"/>
      <c r="W107" s="130"/>
      <c r="X107" s="131"/>
      <c r="Y107" s="130"/>
      <c r="Z107" s="131"/>
      <c r="AA107" s="130"/>
    </row>
    <row r="108" spans="1:27" x14ac:dyDescent="0.25">
      <c r="A108" s="538"/>
      <c r="B108" s="585" t="str">
        <f>IF(A108&lt;&gt;"",INDEX('Base de données'!A$4:L$990,MATCH(A108,'Base de données'!A$4:A$990,0),2),"")</f>
        <v/>
      </c>
      <c r="C108" s="585" t="str">
        <f>IF(A108&lt;&gt;"",INDEX('Base de données'!A$4:L$990,MATCH(A108,'Base de données'!A$4:A$990,0),12),"")</f>
        <v/>
      </c>
      <c r="D108" s="583"/>
      <c r="E108" s="130"/>
      <c r="F108" s="131"/>
      <c r="G108" s="130"/>
      <c r="H108" s="131"/>
      <c r="I108" s="130"/>
      <c r="J108" s="131"/>
      <c r="K108" s="130"/>
      <c r="L108" s="131"/>
      <c r="M108" s="130"/>
      <c r="N108" s="131"/>
      <c r="O108" s="130"/>
      <c r="P108" s="131"/>
      <c r="Q108" s="130"/>
      <c r="R108" s="131"/>
      <c r="S108" s="130"/>
      <c r="T108" s="131"/>
      <c r="U108" s="130"/>
      <c r="V108" s="131"/>
      <c r="W108" s="130"/>
      <c r="X108" s="131"/>
      <c r="Y108" s="130"/>
      <c r="Z108" s="131"/>
      <c r="AA108" s="130"/>
    </row>
    <row r="109" spans="1:27" x14ac:dyDescent="0.25">
      <c r="A109" s="538"/>
      <c r="B109" s="585" t="str">
        <f>IF(A109&lt;&gt;"",INDEX('Base de données'!A$4:L$990,MATCH(A109,'Base de données'!A$4:A$990,0),2),"")</f>
        <v/>
      </c>
      <c r="C109" s="585" t="str">
        <f>IF(A109&lt;&gt;"",INDEX('Base de données'!A$4:L$990,MATCH(A109,'Base de données'!A$4:A$990,0),12),"")</f>
        <v/>
      </c>
      <c r="D109" s="583"/>
      <c r="E109" s="130"/>
      <c r="F109" s="131"/>
      <c r="G109" s="130"/>
      <c r="H109" s="131"/>
      <c r="I109" s="130"/>
      <c r="J109" s="131"/>
      <c r="K109" s="130"/>
      <c r="L109" s="131"/>
      <c r="M109" s="130"/>
      <c r="N109" s="131"/>
      <c r="O109" s="130"/>
      <c r="P109" s="131"/>
      <c r="Q109" s="130"/>
      <c r="R109" s="131"/>
      <c r="S109" s="130"/>
      <c r="T109" s="131"/>
      <c r="U109" s="130"/>
      <c r="V109" s="131"/>
      <c r="W109" s="130"/>
      <c r="X109" s="131"/>
      <c r="Y109" s="130"/>
      <c r="Z109" s="131"/>
      <c r="AA109" s="130"/>
    </row>
    <row r="110" spans="1:27" x14ac:dyDescent="0.25">
      <c r="A110" s="538"/>
      <c r="B110" s="585" t="str">
        <f>IF(A110&lt;&gt;"",INDEX('Base de données'!A$4:L$990,MATCH(A110,'Base de données'!A$4:A$990,0),2),"")</f>
        <v/>
      </c>
      <c r="C110" s="585" t="str">
        <f>IF(A110&lt;&gt;"",INDEX('Base de données'!A$4:L$990,MATCH(A110,'Base de données'!A$4:A$990,0),12),"")</f>
        <v/>
      </c>
      <c r="D110" s="583"/>
      <c r="E110" s="130"/>
      <c r="F110" s="131"/>
      <c r="G110" s="130"/>
      <c r="H110" s="131"/>
      <c r="I110" s="130"/>
      <c r="J110" s="131"/>
      <c r="K110" s="130"/>
      <c r="L110" s="131"/>
      <c r="M110" s="130"/>
      <c r="N110" s="131"/>
      <c r="O110" s="130"/>
      <c r="P110" s="131"/>
      <c r="Q110" s="130"/>
      <c r="R110" s="131"/>
      <c r="S110" s="130"/>
      <c r="T110" s="131"/>
      <c r="U110" s="130"/>
      <c r="V110" s="131"/>
      <c r="W110" s="130"/>
      <c r="X110" s="131"/>
      <c r="Y110" s="130"/>
      <c r="Z110" s="131"/>
      <c r="AA110" s="130"/>
    </row>
    <row r="111" spans="1:27" x14ac:dyDescent="0.25">
      <c r="A111" s="538"/>
      <c r="B111" s="585" t="str">
        <f>IF(A111&lt;&gt;"",INDEX('Base de données'!A$4:L$990,MATCH(A111,'Base de données'!A$4:A$990,0),2),"")</f>
        <v/>
      </c>
      <c r="C111" s="585" t="str">
        <f>IF(A111&lt;&gt;"",INDEX('Base de données'!A$4:L$990,MATCH(A111,'Base de données'!A$4:A$990,0),12),"")</f>
        <v/>
      </c>
      <c r="D111" s="583"/>
      <c r="E111" s="130"/>
      <c r="F111" s="131"/>
      <c r="G111" s="130"/>
      <c r="H111" s="131"/>
      <c r="I111" s="130"/>
      <c r="J111" s="131"/>
      <c r="K111" s="130"/>
      <c r="L111" s="131"/>
      <c r="M111" s="130"/>
      <c r="N111" s="131"/>
      <c r="O111" s="130"/>
      <c r="P111" s="131"/>
      <c r="Q111" s="130"/>
      <c r="R111" s="131"/>
      <c r="S111" s="130"/>
      <c r="T111" s="131"/>
      <c r="U111" s="130"/>
      <c r="V111" s="131"/>
      <c r="W111" s="130"/>
      <c r="X111" s="131"/>
      <c r="Y111" s="130"/>
      <c r="Z111" s="131"/>
      <c r="AA111" s="130"/>
    </row>
    <row r="112" spans="1:27" x14ac:dyDescent="0.25">
      <c r="A112" s="538"/>
      <c r="B112" s="585" t="str">
        <f>IF(A112&lt;&gt;"",INDEX('Base de données'!A$4:L$990,MATCH(A112,'Base de données'!A$4:A$990,0),2),"")</f>
        <v/>
      </c>
      <c r="C112" s="585" t="str">
        <f>IF(A112&lt;&gt;"",INDEX('Base de données'!A$4:L$990,MATCH(A112,'Base de données'!A$4:A$990,0),12),"")</f>
        <v/>
      </c>
      <c r="D112" s="583"/>
      <c r="E112" s="130"/>
      <c r="F112" s="131"/>
      <c r="G112" s="130"/>
      <c r="H112" s="131"/>
      <c r="I112" s="130"/>
      <c r="J112" s="131"/>
      <c r="K112" s="130"/>
      <c r="L112" s="131"/>
      <c r="M112" s="130"/>
      <c r="N112" s="131"/>
      <c r="O112" s="130"/>
      <c r="P112" s="131"/>
      <c r="Q112" s="130"/>
      <c r="R112" s="131"/>
      <c r="S112" s="130"/>
      <c r="T112" s="131"/>
      <c r="U112" s="130"/>
      <c r="V112" s="131"/>
      <c r="W112" s="130"/>
      <c r="X112" s="131"/>
      <c r="Y112" s="130"/>
      <c r="Z112" s="131"/>
      <c r="AA112" s="130"/>
    </row>
    <row r="113" spans="1:27" x14ac:dyDescent="0.25">
      <c r="A113" s="538"/>
      <c r="B113" s="585" t="str">
        <f>IF(A113&lt;&gt;"",INDEX('Base de données'!A$4:L$990,MATCH(A113,'Base de données'!A$4:A$990,0),2),"")</f>
        <v/>
      </c>
      <c r="C113" s="585" t="str">
        <f>IF(A113&lt;&gt;"",INDEX('Base de données'!A$4:L$990,MATCH(A113,'Base de données'!A$4:A$990,0),12),"")</f>
        <v/>
      </c>
      <c r="D113" s="583"/>
      <c r="E113" s="130"/>
      <c r="F113" s="131"/>
      <c r="G113" s="130"/>
      <c r="H113" s="131"/>
      <c r="I113" s="130"/>
      <c r="J113" s="131"/>
      <c r="K113" s="130"/>
      <c r="L113" s="131"/>
      <c r="M113" s="130"/>
      <c r="N113" s="131"/>
      <c r="O113" s="130"/>
      <c r="P113" s="131"/>
      <c r="Q113" s="130"/>
      <c r="R113" s="131"/>
      <c r="S113" s="130"/>
      <c r="T113" s="131"/>
      <c r="U113" s="130"/>
      <c r="V113" s="131"/>
      <c r="W113" s="130"/>
      <c r="X113" s="131"/>
      <c r="Y113" s="130"/>
      <c r="Z113" s="131"/>
      <c r="AA113" s="130"/>
    </row>
    <row r="114" spans="1:27" x14ac:dyDescent="0.25">
      <c r="A114" s="538"/>
      <c r="B114" s="585" t="str">
        <f>IF(A114&lt;&gt;"",INDEX('Base de données'!A$4:L$990,MATCH(A114,'Base de données'!A$4:A$990,0),2),"")</f>
        <v/>
      </c>
      <c r="C114" s="585" t="str">
        <f>IF(A114&lt;&gt;"",INDEX('Base de données'!A$4:L$990,MATCH(A114,'Base de données'!A$4:A$990,0),12),"")</f>
        <v/>
      </c>
      <c r="D114" s="583"/>
      <c r="E114" s="130"/>
      <c r="F114" s="131"/>
      <c r="G114" s="130"/>
      <c r="H114" s="131"/>
      <c r="I114" s="130"/>
      <c r="J114" s="131"/>
      <c r="K114" s="130"/>
      <c r="L114" s="131"/>
      <c r="M114" s="130"/>
      <c r="N114" s="131"/>
      <c r="O114" s="130"/>
      <c r="P114" s="131"/>
      <c r="Q114" s="130"/>
      <c r="R114" s="131"/>
      <c r="S114" s="130"/>
      <c r="T114" s="131"/>
      <c r="U114" s="130"/>
      <c r="V114" s="131"/>
      <c r="W114" s="130"/>
      <c r="X114" s="131"/>
      <c r="Y114" s="130"/>
      <c r="Z114" s="131"/>
      <c r="AA114" s="130"/>
    </row>
    <row r="115" spans="1:27" x14ac:dyDescent="0.25">
      <c r="A115" s="538"/>
      <c r="B115" s="585" t="str">
        <f>IF(A115&lt;&gt;"",INDEX('Base de données'!A$4:L$990,MATCH(A115,'Base de données'!A$4:A$990,0),2),"")</f>
        <v/>
      </c>
      <c r="C115" s="585" t="str">
        <f>IF(A115&lt;&gt;"",INDEX('Base de données'!A$4:L$990,MATCH(A115,'Base de données'!A$4:A$990,0),12),"")</f>
        <v/>
      </c>
      <c r="D115" s="583"/>
      <c r="E115" s="130"/>
      <c r="F115" s="131"/>
      <c r="G115" s="130"/>
      <c r="H115" s="131"/>
      <c r="I115" s="130"/>
      <c r="J115" s="131"/>
      <c r="K115" s="130"/>
      <c r="L115" s="131"/>
      <c r="M115" s="130"/>
      <c r="N115" s="131"/>
      <c r="O115" s="130"/>
      <c r="P115" s="131"/>
      <c r="Q115" s="130"/>
      <c r="R115" s="131"/>
      <c r="S115" s="130"/>
      <c r="T115" s="131"/>
      <c r="U115" s="130"/>
      <c r="V115" s="131"/>
      <c r="W115" s="130"/>
      <c r="X115" s="131"/>
      <c r="Y115" s="130"/>
      <c r="Z115" s="131"/>
      <c r="AA115" s="130"/>
    </row>
    <row r="116" spans="1:27" x14ac:dyDescent="0.25">
      <c r="A116" s="538"/>
      <c r="B116" s="585" t="str">
        <f>IF(A116&lt;&gt;"",INDEX('Base de données'!A$4:L$990,MATCH(A116,'Base de données'!A$4:A$990,0),2),"")</f>
        <v/>
      </c>
      <c r="C116" s="585" t="str">
        <f>IF(A116&lt;&gt;"",INDEX('Base de données'!A$4:L$990,MATCH(A116,'Base de données'!A$4:A$990,0),12),"")</f>
        <v/>
      </c>
      <c r="D116" s="583"/>
      <c r="E116" s="130"/>
      <c r="F116" s="131"/>
      <c r="G116" s="130"/>
      <c r="H116" s="131"/>
      <c r="I116" s="130"/>
      <c r="J116" s="131"/>
      <c r="K116" s="130"/>
      <c r="L116" s="131"/>
      <c r="M116" s="130"/>
      <c r="N116" s="131"/>
      <c r="O116" s="130"/>
      <c r="P116" s="131"/>
      <c r="Q116" s="130"/>
      <c r="R116" s="131"/>
      <c r="S116" s="130"/>
      <c r="T116" s="131"/>
      <c r="U116" s="130"/>
      <c r="V116" s="131"/>
      <c r="W116" s="130"/>
      <c r="X116" s="131"/>
      <c r="Y116" s="130"/>
      <c r="Z116" s="131"/>
      <c r="AA116" s="130"/>
    </row>
    <row r="117" spans="1:27" x14ac:dyDescent="0.25">
      <c r="A117" s="538"/>
      <c r="B117" s="585" t="str">
        <f>IF(A117&lt;&gt;"",INDEX('Base de données'!A$4:L$990,MATCH(A117,'Base de données'!A$4:A$990,0),2),"")</f>
        <v/>
      </c>
      <c r="C117" s="585" t="str">
        <f>IF(A117&lt;&gt;"",INDEX('Base de données'!A$4:L$990,MATCH(A117,'Base de données'!A$4:A$990,0),12),"")</f>
        <v/>
      </c>
      <c r="D117" s="583"/>
      <c r="E117" s="130"/>
      <c r="F117" s="131"/>
      <c r="G117" s="130"/>
      <c r="H117" s="131"/>
      <c r="I117" s="130"/>
      <c r="J117" s="131"/>
      <c r="K117" s="130"/>
      <c r="L117" s="131"/>
      <c r="M117" s="130"/>
      <c r="N117" s="131"/>
      <c r="O117" s="130"/>
      <c r="P117" s="131"/>
      <c r="Q117" s="130"/>
      <c r="R117" s="131"/>
      <c r="S117" s="130"/>
      <c r="T117" s="131"/>
      <c r="U117" s="130"/>
      <c r="V117" s="131"/>
      <c r="W117" s="130"/>
      <c r="X117" s="131"/>
      <c r="Y117" s="130"/>
      <c r="Z117" s="131"/>
      <c r="AA117" s="130"/>
    </row>
    <row r="118" spans="1:27" x14ac:dyDescent="0.25">
      <c r="A118" s="538"/>
      <c r="B118" s="585" t="str">
        <f>IF(A118&lt;&gt;"",INDEX('Base de données'!A$4:L$990,MATCH(A118,'Base de données'!A$4:A$990,0),2),"")</f>
        <v/>
      </c>
      <c r="C118" s="585" t="str">
        <f>IF(A118&lt;&gt;"",INDEX('Base de données'!A$4:L$990,MATCH(A118,'Base de données'!A$4:A$990,0),12),"")</f>
        <v/>
      </c>
      <c r="D118" s="583"/>
      <c r="E118" s="130"/>
      <c r="F118" s="131"/>
      <c r="G118" s="130"/>
      <c r="H118" s="131"/>
      <c r="I118" s="130"/>
      <c r="J118" s="131"/>
      <c r="K118" s="130"/>
      <c r="L118" s="131"/>
      <c r="M118" s="130"/>
      <c r="N118" s="131"/>
      <c r="O118" s="130"/>
      <c r="P118" s="131"/>
      <c r="Q118" s="130"/>
      <c r="R118" s="131"/>
      <c r="S118" s="130"/>
      <c r="T118" s="131"/>
      <c r="U118" s="130"/>
      <c r="V118" s="131"/>
      <c r="W118" s="130"/>
      <c r="X118" s="131"/>
      <c r="Y118" s="130"/>
      <c r="Z118" s="131"/>
      <c r="AA118" s="130"/>
    </row>
    <row r="119" spans="1:27" x14ac:dyDescent="0.25">
      <c r="A119" s="538"/>
      <c r="B119" s="585" t="str">
        <f>IF(A119&lt;&gt;"",INDEX('Base de données'!A$4:L$990,MATCH(A119,'Base de données'!A$4:A$990,0),2),"")</f>
        <v/>
      </c>
      <c r="C119" s="585" t="str">
        <f>IF(A119&lt;&gt;"",INDEX('Base de données'!A$4:L$990,MATCH(A119,'Base de données'!A$4:A$990,0),12),"")</f>
        <v/>
      </c>
      <c r="D119" s="583"/>
      <c r="E119" s="130"/>
      <c r="F119" s="131"/>
      <c r="G119" s="130"/>
      <c r="H119" s="131"/>
      <c r="I119" s="130"/>
      <c r="J119" s="131"/>
      <c r="K119" s="130"/>
      <c r="L119" s="131"/>
      <c r="M119" s="130"/>
      <c r="N119" s="131"/>
      <c r="O119" s="130"/>
      <c r="P119" s="131"/>
      <c r="Q119" s="130"/>
      <c r="R119" s="131"/>
      <c r="S119" s="130"/>
      <c r="T119" s="131"/>
      <c r="U119" s="130"/>
      <c r="V119" s="131"/>
      <c r="W119" s="130"/>
      <c r="X119" s="131"/>
      <c r="Y119" s="130"/>
      <c r="Z119" s="131"/>
      <c r="AA119" s="130"/>
    </row>
    <row r="120" spans="1:27" x14ac:dyDescent="0.25">
      <c r="A120" s="538"/>
      <c r="B120" s="585" t="str">
        <f>IF(A120&lt;&gt;"",INDEX('Base de données'!A$4:L$990,MATCH(A120,'Base de données'!A$4:A$990,0),2),"")</f>
        <v/>
      </c>
      <c r="C120" s="585" t="str">
        <f>IF(A120&lt;&gt;"",INDEX('Base de données'!A$4:L$990,MATCH(A120,'Base de données'!A$4:A$990,0),12),"")</f>
        <v/>
      </c>
      <c r="D120" s="583"/>
      <c r="E120" s="130"/>
      <c r="F120" s="131"/>
      <c r="G120" s="130"/>
      <c r="H120" s="131"/>
      <c r="I120" s="130"/>
      <c r="J120" s="131"/>
      <c r="K120" s="130"/>
      <c r="L120" s="131"/>
      <c r="M120" s="130"/>
      <c r="N120" s="131"/>
      <c r="O120" s="130"/>
      <c r="P120" s="131"/>
      <c r="Q120" s="130"/>
      <c r="R120" s="131"/>
      <c r="S120" s="130"/>
      <c r="T120" s="131"/>
      <c r="U120" s="130"/>
      <c r="V120" s="131"/>
      <c r="W120" s="130"/>
      <c r="X120" s="131"/>
      <c r="Y120" s="130"/>
      <c r="Z120" s="131"/>
      <c r="AA120" s="130"/>
    </row>
    <row r="121" spans="1:27" x14ac:dyDescent="0.25">
      <c r="A121" s="538"/>
      <c r="B121" s="585" t="str">
        <f>IF(A121&lt;&gt;"",INDEX('Base de données'!A$4:L$990,MATCH(A121,'Base de données'!A$4:A$990,0),2),"")</f>
        <v/>
      </c>
      <c r="C121" s="585" t="str">
        <f>IF(A121&lt;&gt;"",INDEX('Base de données'!A$4:L$990,MATCH(A121,'Base de données'!A$4:A$990,0),12),"")</f>
        <v/>
      </c>
      <c r="D121" s="583"/>
      <c r="E121" s="130"/>
      <c r="F121" s="131"/>
      <c r="G121" s="130"/>
      <c r="H121" s="131"/>
      <c r="I121" s="130"/>
      <c r="J121" s="131"/>
      <c r="K121" s="130"/>
      <c r="L121" s="131"/>
      <c r="M121" s="130"/>
      <c r="N121" s="131"/>
      <c r="O121" s="130"/>
      <c r="P121" s="131"/>
      <c r="Q121" s="130"/>
      <c r="R121" s="131"/>
      <c r="S121" s="130"/>
      <c r="T121" s="131"/>
      <c r="U121" s="130"/>
      <c r="V121" s="131"/>
      <c r="W121" s="130"/>
      <c r="X121" s="131"/>
      <c r="Y121" s="130"/>
      <c r="Z121" s="131"/>
      <c r="AA121" s="130"/>
    </row>
    <row r="122" spans="1:27" x14ac:dyDescent="0.25">
      <c r="A122" s="538"/>
      <c r="B122" s="585" t="str">
        <f>IF(A122&lt;&gt;"",INDEX('Base de données'!A$4:L$990,MATCH(A122,'Base de données'!A$4:A$990,0),2),"")</f>
        <v/>
      </c>
      <c r="C122" s="585" t="str">
        <f>IF(A122&lt;&gt;"",INDEX('Base de données'!A$4:L$990,MATCH(A122,'Base de données'!A$4:A$990,0),12),"")</f>
        <v/>
      </c>
      <c r="D122" s="583"/>
      <c r="E122" s="130"/>
      <c r="F122" s="131"/>
      <c r="G122" s="130"/>
      <c r="H122" s="131"/>
      <c r="I122" s="130"/>
      <c r="J122" s="131"/>
      <c r="K122" s="130"/>
      <c r="L122" s="131"/>
      <c r="M122" s="130"/>
      <c r="N122" s="131"/>
      <c r="O122" s="130"/>
      <c r="P122" s="131"/>
      <c r="Q122" s="130"/>
      <c r="R122" s="131"/>
      <c r="S122" s="130"/>
      <c r="T122" s="131"/>
      <c r="U122" s="130"/>
      <c r="V122" s="131"/>
      <c r="W122" s="130"/>
      <c r="X122" s="131"/>
      <c r="Y122" s="130"/>
      <c r="Z122" s="131"/>
      <c r="AA122" s="130"/>
    </row>
    <row r="123" spans="1:27" x14ac:dyDescent="0.25">
      <c r="A123" s="538"/>
      <c r="B123" s="585" t="str">
        <f>IF(A123&lt;&gt;"",INDEX('Base de données'!A$4:L$990,MATCH(A123,'Base de données'!A$4:A$990,0),2),"")</f>
        <v/>
      </c>
      <c r="C123" s="585" t="str">
        <f>IF(A123&lt;&gt;"",INDEX('Base de données'!A$4:L$990,MATCH(A123,'Base de données'!A$4:A$990,0),12),"")</f>
        <v/>
      </c>
      <c r="D123" s="583"/>
      <c r="E123" s="130"/>
      <c r="F123" s="131"/>
      <c r="G123" s="130"/>
      <c r="H123" s="131"/>
      <c r="I123" s="130"/>
      <c r="J123" s="131"/>
      <c r="K123" s="130"/>
      <c r="L123" s="131"/>
      <c r="M123" s="130"/>
      <c r="N123" s="131"/>
      <c r="O123" s="130"/>
      <c r="P123" s="131"/>
      <c r="Q123" s="130"/>
      <c r="R123" s="131"/>
      <c r="S123" s="130"/>
      <c r="T123" s="131"/>
      <c r="U123" s="130"/>
      <c r="V123" s="131"/>
      <c r="W123" s="130"/>
      <c r="X123" s="131"/>
      <c r="Y123" s="130"/>
      <c r="Z123" s="131"/>
      <c r="AA123" s="130"/>
    </row>
    <row r="124" spans="1:27" x14ac:dyDescent="0.25">
      <c r="A124" s="538"/>
      <c r="B124" s="585" t="str">
        <f>IF(A124&lt;&gt;"",INDEX('Base de données'!A$4:L$990,MATCH(A124,'Base de données'!A$4:A$990,0),2),"")</f>
        <v/>
      </c>
      <c r="C124" s="585" t="str">
        <f>IF(A124&lt;&gt;"",INDEX('Base de données'!A$4:L$990,MATCH(A124,'Base de données'!A$4:A$990,0),12),"")</f>
        <v/>
      </c>
      <c r="D124" s="583"/>
      <c r="E124" s="130"/>
      <c r="F124" s="131"/>
      <c r="G124" s="130"/>
      <c r="H124" s="131"/>
      <c r="I124" s="130"/>
      <c r="J124" s="131"/>
      <c r="K124" s="130"/>
      <c r="L124" s="131"/>
      <c r="M124" s="130"/>
      <c r="N124" s="131"/>
      <c r="O124" s="130"/>
      <c r="P124" s="131"/>
      <c r="Q124" s="130"/>
      <c r="R124" s="131"/>
      <c r="S124" s="130"/>
      <c r="T124" s="131"/>
      <c r="U124" s="130"/>
      <c r="V124" s="131"/>
      <c r="W124" s="130"/>
      <c r="X124" s="131"/>
      <c r="Y124" s="130"/>
      <c r="Z124" s="131"/>
      <c r="AA124" s="130"/>
    </row>
    <row r="125" spans="1:27" x14ac:dyDescent="0.25">
      <c r="A125" s="538"/>
      <c r="B125" s="585" t="str">
        <f>IF(A125&lt;&gt;"",INDEX('Base de données'!A$4:L$990,MATCH(A125,'Base de données'!A$4:A$990,0),2),"")</f>
        <v/>
      </c>
      <c r="C125" s="585" t="str">
        <f>IF(A125&lt;&gt;"",INDEX('Base de données'!A$4:L$990,MATCH(A125,'Base de données'!A$4:A$990,0),12),"")</f>
        <v/>
      </c>
      <c r="D125" s="583"/>
      <c r="E125" s="130"/>
      <c r="F125" s="131"/>
      <c r="G125" s="130"/>
      <c r="H125" s="131"/>
      <c r="I125" s="130"/>
      <c r="J125" s="131"/>
      <c r="K125" s="130"/>
      <c r="L125" s="131"/>
      <c r="M125" s="130"/>
      <c r="N125" s="131"/>
      <c r="O125" s="130"/>
      <c r="P125" s="131"/>
      <c r="Q125" s="130"/>
      <c r="R125" s="131"/>
      <c r="S125" s="130"/>
      <c r="T125" s="131"/>
      <c r="U125" s="130"/>
      <c r="V125" s="131"/>
      <c r="W125" s="130"/>
      <c r="X125" s="131"/>
      <c r="Y125" s="130"/>
      <c r="Z125" s="131"/>
      <c r="AA125" s="130"/>
    </row>
    <row r="126" spans="1:27" x14ac:dyDescent="0.25">
      <c r="A126" s="538"/>
      <c r="B126" s="585" t="str">
        <f>IF(A126&lt;&gt;"",INDEX('Base de données'!A$4:L$990,MATCH(A126,'Base de données'!A$4:A$990,0),2),"")</f>
        <v/>
      </c>
      <c r="C126" s="585" t="str">
        <f>IF(A126&lt;&gt;"",INDEX('Base de données'!A$4:L$990,MATCH(A126,'Base de données'!A$4:A$990,0),12),"")</f>
        <v/>
      </c>
      <c r="D126" s="583"/>
      <c r="E126" s="130"/>
      <c r="F126" s="131"/>
      <c r="G126" s="130"/>
      <c r="H126" s="131"/>
      <c r="I126" s="130"/>
      <c r="J126" s="131"/>
      <c r="K126" s="130"/>
      <c r="L126" s="131"/>
      <c r="M126" s="130"/>
      <c r="N126" s="131"/>
      <c r="O126" s="130"/>
      <c r="P126" s="131"/>
      <c r="Q126" s="130"/>
      <c r="R126" s="131"/>
      <c r="S126" s="130"/>
      <c r="T126" s="131"/>
      <c r="U126" s="130"/>
      <c r="V126" s="131"/>
      <c r="W126" s="130"/>
      <c r="X126" s="131"/>
      <c r="Y126" s="130"/>
      <c r="Z126" s="131"/>
      <c r="AA126" s="130"/>
    </row>
    <row r="127" spans="1:27" x14ac:dyDescent="0.25">
      <c r="A127" s="538"/>
      <c r="B127" s="585" t="str">
        <f>IF(A127&lt;&gt;"",INDEX('Base de données'!A$4:L$990,MATCH(A127,'Base de données'!A$4:A$990,0),2),"")</f>
        <v/>
      </c>
      <c r="C127" s="585" t="str">
        <f>IF(A127&lt;&gt;"",INDEX('Base de données'!A$4:L$990,MATCH(A127,'Base de données'!A$4:A$990,0),12),"")</f>
        <v/>
      </c>
      <c r="D127" s="583"/>
      <c r="E127" s="130"/>
      <c r="F127" s="131"/>
      <c r="G127" s="130"/>
      <c r="H127" s="131"/>
      <c r="I127" s="130"/>
      <c r="J127" s="131"/>
      <c r="K127" s="130"/>
      <c r="L127" s="131"/>
      <c r="M127" s="130"/>
      <c r="N127" s="131"/>
      <c r="O127" s="130"/>
      <c r="P127" s="131"/>
      <c r="Q127" s="130"/>
      <c r="R127" s="131"/>
      <c r="S127" s="130"/>
      <c r="T127" s="131"/>
      <c r="U127" s="130"/>
      <c r="V127" s="131"/>
      <c r="W127" s="130"/>
      <c r="X127" s="131"/>
      <c r="Y127" s="130"/>
      <c r="Z127" s="131"/>
      <c r="AA127" s="130"/>
    </row>
    <row r="128" spans="1:27" x14ac:dyDescent="0.25">
      <c r="A128" s="538"/>
      <c r="B128" s="585" t="str">
        <f>IF(A128&lt;&gt;"",INDEX('Base de données'!A$4:L$990,MATCH(A128,'Base de données'!A$4:A$990,0),2),"")</f>
        <v/>
      </c>
      <c r="C128" s="585" t="str">
        <f>IF(A128&lt;&gt;"",INDEX('Base de données'!A$4:L$990,MATCH(A128,'Base de données'!A$4:A$990,0),12),"")</f>
        <v/>
      </c>
      <c r="D128" s="583"/>
      <c r="E128" s="130"/>
      <c r="F128" s="131"/>
      <c r="G128" s="130"/>
      <c r="H128" s="131"/>
      <c r="I128" s="130"/>
      <c r="J128" s="131"/>
      <c r="K128" s="130"/>
      <c r="L128" s="131"/>
      <c r="M128" s="130"/>
      <c r="N128" s="131"/>
      <c r="O128" s="130"/>
      <c r="P128" s="131"/>
      <c r="Q128" s="130"/>
      <c r="R128" s="131"/>
      <c r="S128" s="130"/>
      <c r="T128" s="131"/>
      <c r="U128" s="130"/>
      <c r="V128" s="131"/>
      <c r="W128" s="130"/>
      <c r="X128" s="131"/>
      <c r="Y128" s="130"/>
      <c r="Z128" s="131"/>
      <c r="AA128" s="130"/>
    </row>
    <row r="129" spans="1:27" x14ac:dyDescent="0.25">
      <c r="A129" s="538"/>
      <c r="B129" s="585" t="str">
        <f>IF(A129&lt;&gt;"",INDEX('Base de données'!A$4:L$990,MATCH(A129,'Base de données'!A$4:A$990,0),2),"")</f>
        <v/>
      </c>
      <c r="C129" s="585" t="str">
        <f>IF(A129&lt;&gt;"",INDEX('Base de données'!A$4:L$990,MATCH(A129,'Base de données'!A$4:A$990,0),12),"")</f>
        <v/>
      </c>
      <c r="D129" s="583"/>
      <c r="E129" s="130"/>
      <c r="F129" s="131"/>
      <c r="G129" s="130"/>
      <c r="H129" s="131"/>
      <c r="I129" s="130"/>
      <c r="J129" s="131"/>
      <c r="K129" s="130"/>
      <c r="L129" s="131"/>
      <c r="M129" s="130"/>
      <c r="N129" s="131"/>
      <c r="O129" s="130"/>
      <c r="P129" s="131"/>
      <c r="Q129" s="130"/>
      <c r="R129" s="131"/>
      <c r="S129" s="130"/>
      <c r="T129" s="131"/>
      <c r="U129" s="130"/>
      <c r="V129" s="131"/>
      <c r="W129" s="130"/>
      <c r="X129" s="131"/>
      <c r="Y129" s="130"/>
      <c r="Z129" s="131"/>
      <c r="AA129" s="130"/>
    </row>
    <row r="130" spans="1:27" x14ac:dyDescent="0.25">
      <c r="A130" s="538"/>
      <c r="B130" s="585" t="str">
        <f>IF(A130&lt;&gt;"",INDEX('Base de données'!A$4:L$990,MATCH(A130,'Base de données'!A$4:A$990,0),2),"")</f>
        <v/>
      </c>
      <c r="C130" s="585" t="str">
        <f>IF(A130&lt;&gt;"",INDEX('Base de données'!A$4:L$990,MATCH(A130,'Base de données'!A$4:A$990,0),12),"")</f>
        <v/>
      </c>
      <c r="D130" s="583"/>
      <c r="E130" s="130"/>
      <c r="F130" s="131"/>
      <c r="G130" s="130"/>
      <c r="H130" s="131"/>
      <c r="I130" s="130"/>
      <c r="J130" s="131"/>
      <c r="K130" s="130"/>
      <c r="L130" s="131"/>
      <c r="M130" s="130"/>
      <c r="N130" s="131"/>
      <c r="O130" s="130"/>
      <c r="P130" s="131"/>
      <c r="Q130" s="130"/>
      <c r="R130" s="131"/>
      <c r="S130" s="130"/>
      <c r="T130" s="131"/>
      <c r="U130" s="130"/>
      <c r="V130" s="131"/>
      <c r="W130" s="130"/>
      <c r="X130" s="131"/>
      <c r="Y130" s="130"/>
      <c r="Z130" s="131"/>
      <c r="AA130" s="130"/>
    </row>
    <row r="131" spans="1:27" x14ac:dyDescent="0.25">
      <c r="A131" s="538"/>
      <c r="B131" s="585" t="str">
        <f>IF(A131&lt;&gt;"",INDEX('Base de données'!A$4:L$990,MATCH(A131,'Base de données'!A$4:A$990,0),2),"")</f>
        <v/>
      </c>
      <c r="C131" s="585" t="str">
        <f>IF(A131&lt;&gt;"",INDEX('Base de données'!A$4:L$990,MATCH(A131,'Base de données'!A$4:A$990,0),12),"")</f>
        <v/>
      </c>
      <c r="D131" s="583"/>
      <c r="E131" s="130"/>
      <c r="F131" s="131"/>
      <c r="G131" s="130"/>
      <c r="H131" s="131"/>
      <c r="I131" s="130"/>
      <c r="J131" s="131"/>
      <c r="K131" s="130"/>
      <c r="L131" s="131"/>
      <c r="M131" s="130"/>
      <c r="N131" s="131"/>
      <c r="O131" s="130"/>
      <c r="P131" s="131"/>
      <c r="Q131" s="130"/>
      <c r="R131" s="131"/>
      <c r="S131" s="130"/>
      <c r="T131" s="131"/>
      <c r="U131" s="130"/>
      <c r="V131" s="131"/>
      <c r="W131" s="130"/>
      <c r="X131" s="131"/>
      <c r="Y131" s="130"/>
      <c r="Z131" s="131"/>
      <c r="AA131" s="130"/>
    </row>
    <row r="132" spans="1:27" x14ac:dyDescent="0.25">
      <c r="A132" s="538"/>
      <c r="B132" s="585" t="str">
        <f>IF(A132&lt;&gt;"",INDEX('Base de données'!A$4:L$990,MATCH(A132,'Base de données'!A$4:A$990,0),2),"")</f>
        <v/>
      </c>
      <c r="C132" s="585" t="str">
        <f>IF(A132&lt;&gt;"",INDEX('Base de données'!A$4:L$990,MATCH(A132,'Base de données'!A$4:A$990,0),12),"")</f>
        <v/>
      </c>
      <c r="D132" s="583"/>
      <c r="E132" s="130"/>
      <c r="F132" s="131"/>
      <c r="G132" s="130"/>
      <c r="H132" s="131"/>
      <c r="I132" s="130"/>
      <c r="J132" s="131"/>
      <c r="K132" s="130"/>
      <c r="L132" s="131"/>
      <c r="M132" s="130"/>
      <c r="N132" s="131"/>
      <c r="O132" s="130"/>
      <c r="P132" s="131"/>
      <c r="Q132" s="130"/>
      <c r="R132" s="131"/>
      <c r="S132" s="130"/>
      <c r="T132" s="131"/>
      <c r="U132" s="130"/>
      <c r="V132" s="131"/>
      <c r="W132" s="130"/>
      <c r="X132" s="131"/>
      <c r="Y132" s="130"/>
      <c r="Z132" s="131"/>
      <c r="AA132" s="130"/>
    </row>
    <row r="133" spans="1:27" x14ac:dyDescent="0.25">
      <c r="A133" s="538"/>
      <c r="B133" s="585" t="str">
        <f>IF(A133&lt;&gt;"",INDEX('Base de données'!A$4:L$990,MATCH(A133,'Base de données'!A$4:A$990,0),2),"")</f>
        <v/>
      </c>
      <c r="C133" s="585" t="str">
        <f>IF(A133&lt;&gt;"",INDEX('Base de données'!A$4:L$990,MATCH(A133,'Base de données'!A$4:A$990,0),12),"")</f>
        <v/>
      </c>
      <c r="D133" s="583"/>
      <c r="E133" s="130"/>
      <c r="F133" s="131"/>
      <c r="G133" s="130"/>
      <c r="H133" s="131"/>
      <c r="I133" s="130"/>
      <c r="J133" s="131"/>
      <c r="K133" s="130"/>
      <c r="L133" s="131"/>
      <c r="M133" s="130"/>
      <c r="N133" s="131"/>
      <c r="O133" s="130"/>
      <c r="P133" s="131"/>
      <c r="Q133" s="130"/>
      <c r="R133" s="131"/>
      <c r="S133" s="130"/>
      <c r="T133" s="131"/>
      <c r="U133" s="130"/>
      <c r="V133" s="131"/>
      <c r="W133" s="130"/>
      <c r="X133" s="131"/>
      <c r="Y133" s="130"/>
      <c r="Z133" s="131"/>
      <c r="AA133" s="130"/>
    </row>
    <row r="134" spans="1:27" x14ac:dyDescent="0.25">
      <c r="A134" s="538"/>
      <c r="B134" s="585" t="str">
        <f>IF(A134&lt;&gt;"",INDEX('Base de données'!A$4:L$990,MATCH(A134,'Base de données'!A$4:A$990,0),2),"")</f>
        <v/>
      </c>
      <c r="C134" s="585" t="str">
        <f>IF(A134&lt;&gt;"",INDEX('Base de données'!A$4:L$990,MATCH(A134,'Base de données'!A$4:A$990,0),12),"")</f>
        <v/>
      </c>
      <c r="D134" s="583"/>
      <c r="E134" s="130"/>
      <c r="F134" s="131"/>
      <c r="G134" s="130"/>
      <c r="H134" s="131"/>
      <c r="I134" s="130"/>
      <c r="J134" s="131"/>
      <c r="K134" s="130"/>
      <c r="L134" s="131"/>
      <c r="M134" s="130"/>
      <c r="N134" s="131"/>
      <c r="O134" s="130"/>
      <c r="P134" s="131"/>
      <c r="Q134" s="130"/>
      <c r="R134" s="131"/>
      <c r="S134" s="130"/>
      <c r="T134" s="131"/>
      <c r="U134" s="130"/>
      <c r="V134" s="131"/>
      <c r="W134" s="130"/>
      <c r="X134" s="131"/>
      <c r="Y134" s="130"/>
      <c r="Z134" s="131"/>
      <c r="AA134" s="130"/>
    </row>
    <row r="135" spans="1:27" x14ac:dyDescent="0.25">
      <c r="A135" s="538"/>
      <c r="B135" s="585" t="str">
        <f>IF(A135&lt;&gt;"",INDEX('Base de données'!A$4:L$990,MATCH(A135,'Base de données'!A$4:A$990,0),2),"")</f>
        <v/>
      </c>
      <c r="C135" s="585" t="str">
        <f>IF(A135&lt;&gt;"",INDEX('Base de données'!A$4:L$990,MATCH(A135,'Base de données'!A$4:A$990,0),12),"")</f>
        <v/>
      </c>
      <c r="D135" s="583"/>
      <c r="E135" s="130"/>
      <c r="F135" s="131"/>
      <c r="G135" s="130"/>
      <c r="H135" s="131"/>
      <c r="I135" s="130"/>
      <c r="J135" s="131"/>
      <c r="K135" s="130"/>
      <c r="L135" s="131"/>
      <c r="M135" s="130"/>
      <c r="N135" s="131"/>
      <c r="O135" s="130"/>
      <c r="P135" s="131"/>
      <c r="Q135" s="130"/>
      <c r="R135" s="131"/>
      <c r="S135" s="130"/>
      <c r="T135" s="131"/>
      <c r="U135" s="130"/>
      <c r="V135" s="131"/>
      <c r="W135" s="130"/>
      <c r="X135" s="131"/>
      <c r="Y135" s="130"/>
      <c r="Z135" s="131"/>
      <c r="AA135" s="130"/>
    </row>
    <row r="136" spans="1:27" x14ac:dyDescent="0.25">
      <c r="A136" s="538"/>
      <c r="B136" s="585" t="str">
        <f>IF(A136&lt;&gt;"",INDEX('Base de données'!A$4:L$990,MATCH(A136,'Base de données'!A$4:A$990,0),2),"")</f>
        <v/>
      </c>
      <c r="C136" s="585" t="str">
        <f>IF(A136&lt;&gt;"",INDEX('Base de données'!A$4:L$990,MATCH(A136,'Base de données'!A$4:A$990,0),12),"")</f>
        <v/>
      </c>
      <c r="D136" s="583"/>
      <c r="E136" s="130"/>
      <c r="F136" s="131"/>
      <c r="G136" s="130"/>
      <c r="H136" s="131"/>
      <c r="I136" s="130"/>
      <c r="J136" s="131"/>
      <c r="K136" s="130"/>
      <c r="L136" s="131"/>
      <c r="M136" s="130"/>
      <c r="N136" s="131"/>
      <c r="O136" s="130"/>
      <c r="P136" s="131"/>
      <c r="Q136" s="130"/>
      <c r="R136" s="131"/>
      <c r="S136" s="130"/>
      <c r="T136" s="131"/>
      <c r="U136" s="130"/>
      <c r="V136" s="131"/>
      <c r="W136" s="130"/>
      <c r="X136" s="131"/>
      <c r="Y136" s="130"/>
      <c r="Z136" s="131"/>
      <c r="AA136" s="130"/>
    </row>
    <row r="137" spans="1:27" x14ac:dyDescent="0.25">
      <c r="A137" s="538"/>
      <c r="B137" s="585" t="str">
        <f>IF(A137&lt;&gt;"",INDEX('Base de données'!A$4:L$990,MATCH(A137,'Base de données'!A$4:A$990,0),2),"")</f>
        <v/>
      </c>
      <c r="C137" s="585" t="str">
        <f>IF(A137&lt;&gt;"",INDEX('Base de données'!A$4:L$990,MATCH(A137,'Base de données'!A$4:A$990,0),12),"")</f>
        <v/>
      </c>
      <c r="D137" s="583"/>
      <c r="E137" s="130"/>
      <c r="F137" s="131"/>
      <c r="G137" s="130"/>
      <c r="H137" s="131"/>
      <c r="I137" s="130"/>
      <c r="J137" s="131"/>
      <c r="K137" s="130"/>
      <c r="L137" s="131"/>
      <c r="M137" s="130"/>
      <c r="N137" s="131"/>
      <c r="O137" s="130"/>
      <c r="P137" s="131"/>
      <c r="Q137" s="130"/>
      <c r="R137" s="131"/>
      <c r="S137" s="130"/>
      <c r="T137" s="131"/>
      <c r="U137" s="130"/>
      <c r="V137" s="131"/>
      <c r="W137" s="130"/>
      <c r="X137" s="131"/>
      <c r="Y137" s="130"/>
      <c r="Z137" s="131"/>
      <c r="AA137" s="130"/>
    </row>
    <row r="138" spans="1:27" x14ac:dyDescent="0.25">
      <c r="A138" s="538"/>
      <c r="B138" s="585" t="str">
        <f>IF(A138&lt;&gt;"",INDEX('Base de données'!A$4:L$990,MATCH(A138,'Base de données'!A$4:A$990,0),2),"")</f>
        <v/>
      </c>
      <c r="C138" s="585" t="str">
        <f>IF(A138&lt;&gt;"",INDEX('Base de données'!A$4:L$990,MATCH(A138,'Base de données'!A$4:A$990,0),12),"")</f>
        <v/>
      </c>
      <c r="D138" s="583"/>
      <c r="E138" s="130"/>
      <c r="F138" s="131"/>
      <c r="G138" s="130"/>
      <c r="H138" s="131"/>
      <c r="I138" s="130"/>
      <c r="J138" s="131"/>
      <c r="K138" s="130"/>
      <c r="L138" s="131"/>
      <c r="M138" s="130"/>
      <c r="N138" s="131"/>
      <c r="O138" s="130"/>
      <c r="P138" s="131"/>
      <c r="Q138" s="130"/>
      <c r="R138" s="131"/>
      <c r="S138" s="130"/>
      <c r="T138" s="131"/>
      <c r="U138" s="130"/>
      <c r="V138" s="131"/>
      <c r="W138" s="130"/>
      <c r="X138" s="131"/>
      <c r="Y138" s="130"/>
      <c r="Z138" s="131"/>
      <c r="AA138" s="130"/>
    </row>
    <row r="139" spans="1:27" x14ac:dyDescent="0.25">
      <c r="A139" s="538"/>
      <c r="B139" s="585" t="str">
        <f>IF(A139&lt;&gt;"",INDEX('Base de données'!A$4:L$990,MATCH(A139,'Base de données'!A$4:A$990,0),2),"")</f>
        <v/>
      </c>
      <c r="C139" s="585" t="str">
        <f>IF(A139&lt;&gt;"",INDEX('Base de données'!A$4:L$990,MATCH(A139,'Base de données'!A$4:A$990,0),12),"")</f>
        <v/>
      </c>
      <c r="D139" s="583"/>
      <c r="E139" s="130"/>
      <c r="F139" s="131"/>
      <c r="G139" s="130"/>
      <c r="H139" s="131"/>
      <c r="I139" s="130"/>
      <c r="J139" s="131"/>
      <c r="K139" s="130"/>
      <c r="L139" s="131"/>
      <c r="M139" s="130"/>
      <c r="N139" s="131"/>
      <c r="O139" s="130"/>
      <c r="P139" s="131"/>
      <c r="Q139" s="130"/>
      <c r="R139" s="131"/>
      <c r="S139" s="130"/>
      <c r="T139" s="131"/>
      <c r="U139" s="130"/>
      <c r="V139" s="131"/>
      <c r="W139" s="130"/>
      <c r="X139" s="131"/>
      <c r="Y139" s="130"/>
      <c r="Z139" s="131"/>
      <c r="AA139" s="130"/>
    </row>
    <row r="140" spans="1:27" x14ac:dyDescent="0.25">
      <c r="A140" s="538"/>
      <c r="B140" s="585" t="str">
        <f>IF(A140&lt;&gt;"",INDEX('Base de données'!A$4:L$990,MATCH(A140,'Base de données'!A$4:A$990,0),2),"")</f>
        <v/>
      </c>
      <c r="C140" s="585" t="str">
        <f>IF(A140&lt;&gt;"",INDEX('Base de données'!A$4:L$990,MATCH(A140,'Base de données'!A$4:A$990,0),12),"")</f>
        <v/>
      </c>
      <c r="D140" s="583"/>
      <c r="E140" s="130"/>
      <c r="F140" s="131"/>
      <c r="G140" s="130"/>
      <c r="H140" s="131"/>
      <c r="I140" s="130"/>
      <c r="J140" s="131"/>
      <c r="K140" s="130"/>
      <c r="L140" s="131"/>
      <c r="M140" s="130"/>
      <c r="N140" s="131"/>
      <c r="O140" s="130"/>
      <c r="P140" s="131"/>
      <c r="Q140" s="130"/>
      <c r="R140" s="131"/>
      <c r="S140" s="130"/>
      <c r="T140" s="131"/>
      <c r="U140" s="130"/>
      <c r="V140" s="131"/>
      <c r="W140" s="130"/>
      <c r="X140" s="131"/>
      <c r="Y140" s="130"/>
      <c r="Z140" s="131"/>
      <c r="AA140" s="130"/>
    </row>
    <row r="141" spans="1:27" x14ac:dyDescent="0.25">
      <c r="A141" s="538"/>
      <c r="B141" s="585" t="str">
        <f>IF(A141&lt;&gt;"",INDEX('Base de données'!A$4:L$990,MATCH(A141,'Base de données'!A$4:A$990,0),2),"")</f>
        <v/>
      </c>
      <c r="C141" s="585" t="str">
        <f>IF(A141&lt;&gt;"",INDEX('Base de données'!A$4:L$990,MATCH(A141,'Base de données'!A$4:A$990,0),12),"")</f>
        <v/>
      </c>
      <c r="D141" s="583"/>
      <c r="E141" s="130"/>
      <c r="F141" s="131"/>
      <c r="G141" s="130"/>
      <c r="H141" s="131"/>
      <c r="I141" s="130"/>
      <c r="J141" s="131"/>
      <c r="K141" s="130"/>
      <c r="L141" s="131"/>
      <c r="M141" s="130"/>
      <c r="N141" s="131"/>
      <c r="O141" s="130"/>
      <c r="P141" s="131"/>
      <c r="Q141" s="130"/>
      <c r="R141" s="131"/>
      <c r="S141" s="130"/>
      <c r="T141" s="131"/>
      <c r="U141" s="130"/>
      <c r="V141" s="131"/>
      <c r="W141" s="130"/>
      <c r="X141" s="131"/>
      <c r="Y141" s="130"/>
      <c r="Z141" s="131"/>
      <c r="AA141" s="130"/>
    </row>
    <row r="142" spans="1:27" x14ac:dyDescent="0.25">
      <c r="A142" s="538"/>
      <c r="B142" s="585" t="str">
        <f>IF(A142&lt;&gt;"",INDEX('Base de données'!A$4:L$990,MATCH(A142,'Base de données'!A$4:A$990,0),2),"")</f>
        <v/>
      </c>
      <c r="C142" s="585" t="str">
        <f>IF(A142&lt;&gt;"",INDEX('Base de données'!A$4:L$990,MATCH(A142,'Base de données'!A$4:A$990,0),12),"")</f>
        <v/>
      </c>
      <c r="D142" s="583"/>
      <c r="E142" s="130"/>
      <c r="F142" s="131"/>
      <c r="G142" s="130"/>
      <c r="H142" s="131"/>
      <c r="I142" s="130"/>
      <c r="J142" s="131"/>
      <c r="K142" s="130"/>
      <c r="L142" s="131"/>
      <c r="M142" s="130"/>
      <c r="N142" s="131"/>
      <c r="O142" s="130"/>
      <c r="P142" s="131"/>
      <c r="Q142" s="130"/>
      <c r="R142" s="131"/>
      <c r="S142" s="130"/>
      <c r="T142" s="131"/>
      <c r="U142" s="130"/>
      <c r="V142" s="131"/>
      <c r="W142" s="130"/>
      <c r="X142" s="131"/>
      <c r="Y142" s="130"/>
      <c r="Z142" s="131"/>
      <c r="AA142" s="130"/>
    </row>
    <row r="143" spans="1:27" x14ac:dyDescent="0.25">
      <c r="A143" s="538"/>
      <c r="B143" s="585" t="str">
        <f>IF(A143&lt;&gt;"",INDEX('Base de données'!A$4:L$990,MATCH(A143,'Base de données'!A$4:A$990,0),2),"")</f>
        <v/>
      </c>
      <c r="C143" s="585" t="str">
        <f>IF(A143&lt;&gt;"",INDEX('Base de données'!A$4:L$990,MATCH(A143,'Base de données'!A$4:A$990,0),12),"")</f>
        <v/>
      </c>
      <c r="D143" s="583"/>
      <c r="E143" s="130"/>
      <c r="F143" s="131"/>
      <c r="G143" s="130"/>
      <c r="H143" s="131"/>
      <c r="I143" s="130"/>
      <c r="J143" s="131"/>
      <c r="K143" s="130"/>
      <c r="L143" s="131"/>
      <c r="M143" s="130"/>
      <c r="N143" s="131"/>
      <c r="O143" s="130"/>
      <c r="P143" s="131"/>
      <c r="Q143" s="130"/>
      <c r="R143" s="131"/>
      <c r="S143" s="130"/>
      <c r="T143" s="131"/>
      <c r="U143" s="130"/>
      <c r="V143" s="131"/>
      <c r="W143" s="130"/>
      <c r="X143" s="131"/>
      <c r="Y143" s="130"/>
      <c r="Z143" s="131"/>
      <c r="AA143" s="130"/>
    </row>
    <row r="144" spans="1:27" x14ac:dyDescent="0.25">
      <c r="A144" s="538"/>
      <c r="B144" s="585" t="str">
        <f>IF(A144&lt;&gt;"",INDEX('Base de données'!A$4:L$990,MATCH(A144,'Base de données'!A$4:A$990,0),2),"")</f>
        <v/>
      </c>
      <c r="C144" s="585" t="str">
        <f>IF(A144&lt;&gt;"",INDEX('Base de données'!A$4:L$990,MATCH(A144,'Base de données'!A$4:A$990,0),12),"")</f>
        <v/>
      </c>
      <c r="D144" s="583"/>
      <c r="E144" s="130"/>
      <c r="F144" s="131"/>
      <c r="G144" s="130"/>
      <c r="H144" s="131"/>
      <c r="I144" s="130"/>
      <c r="J144" s="131"/>
      <c r="K144" s="130"/>
      <c r="L144" s="131"/>
      <c r="M144" s="130"/>
      <c r="N144" s="131"/>
      <c r="O144" s="130"/>
      <c r="P144" s="131"/>
      <c r="Q144" s="130"/>
      <c r="R144" s="131"/>
      <c r="S144" s="130"/>
      <c r="T144" s="131"/>
      <c r="U144" s="130"/>
      <c r="V144" s="131"/>
      <c r="W144" s="130"/>
      <c r="X144" s="131"/>
      <c r="Y144" s="130"/>
      <c r="Z144" s="131"/>
      <c r="AA144" s="130"/>
    </row>
    <row r="145" spans="1:27" x14ac:dyDescent="0.25">
      <c r="A145" s="538"/>
      <c r="B145" s="585" t="str">
        <f>IF(A145&lt;&gt;"",INDEX('Base de données'!A$4:L$990,MATCH(A145,'Base de données'!A$4:A$990,0),2),"")</f>
        <v/>
      </c>
      <c r="C145" s="585" t="str">
        <f>IF(A145&lt;&gt;"",INDEX('Base de données'!A$4:L$990,MATCH(A145,'Base de données'!A$4:A$990,0),12),"")</f>
        <v/>
      </c>
      <c r="D145" s="583"/>
      <c r="E145" s="130"/>
      <c r="F145" s="131"/>
      <c r="G145" s="130"/>
      <c r="H145" s="131"/>
      <c r="I145" s="130"/>
      <c r="J145" s="131"/>
      <c r="K145" s="130"/>
      <c r="L145" s="131"/>
      <c r="M145" s="130"/>
      <c r="N145" s="131"/>
      <c r="O145" s="130"/>
      <c r="P145" s="131"/>
      <c r="Q145" s="130"/>
      <c r="R145" s="131"/>
      <c r="S145" s="130"/>
      <c r="T145" s="131"/>
      <c r="U145" s="130"/>
      <c r="V145" s="131"/>
      <c r="W145" s="130"/>
      <c r="X145" s="131"/>
      <c r="Y145" s="130"/>
      <c r="Z145" s="131"/>
      <c r="AA145" s="130"/>
    </row>
    <row r="146" spans="1:27" x14ac:dyDescent="0.25">
      <c r="A146" s="538"/>
      <c r="B146" s="585" t="str">
        <f>IF(A146&lt;&gt;"",INDEX('Base de données'!A$4:L$990,MATCH(A146,'Base de données'!A$4:A$990,0),2),"")</f>
        <v/>
      </c>
      <c r="C146" s="585" t="str">
        <f>IF(A146&lt;&gt;"",INDEX('Base de données'!A$4:L$990,MATCH(A146,'Base de données'!A$4:A$990,0),12),"")</f>
        <v/>
      </c>
      <c r="D146" s="583"/>
      <c r="E146" s="130"/>
      <c r="F146" s="131"/>
      <c r="G146" s="130"/>
      <c r="H146" s="131"/>
      <c r="I146" s="130"/>
      <c r="J146" s="131"/>
      <c r="K146" s="130"/>
      <c r="L146" s="131"/>
      <c r="M146" s="130"/>
      <c r="N146" s="131"/>
      <c r="O146" s="130"/>
      <c r="P146" s="131"/>
      <c r="Q146" s="130"/>
      <c r="R146" s="131"/>
      <c r="S146" s="130"/>
      <c r="T146" s="131"/>
      <c r="U146" s="130"/>
      <c r="V146" s="131"/>
      <c r="W146" s="130"/>
      <c r="X146" s="131"/>
      <c r="Y146" s="130"/>
      <c r="Z146" s="131"/>
      <c r="AA146" s="130"/>
    </row>
    <row r="147" spans="1:27" x14ac:dyDescent="0.25">
      <c r="A147" s="538"/>
      <c r="B147" s="585" t="str">
        <f>IF(A147&lt;&gt;"",INDEX('Base de données'!A$4:L$990,MATCH(A147,'Base de données'!A$4:A$990,0),2),"")</f>
        <v/>
      </c>
      <c r="C147" s="585" t="str">
        <f>IF(A147&lt;&gt;"",INDEX('Base de données'!A$4:L$990,MATCH(A147,'Base de données'!A$4:A$990,0),12),"")</f>
        <v/>
      </c>
      <c r="D147" s="583"/>
      <c r="E147" s="130"/>
      <c r="F147" s="131"/>
      <c r="G147" s="130"/>
      <c r="H147" s="131"/>
      <c r="I147" s="130"/>
      <c r="J147" s="131"/>
      <c r="K147" s="130"/>
      <c r="L147" s="131"/>
      <c r="M147" s="130"/>
      <c r="N147" s="131"/>
      <c r="O147" s="130"/>
      <c r="P147" s="131"/>
      <c r="Q147" s="130"/>
      <c r="R147" s="131"/>
      <c r="S147" s="130"/>
      <c r="T147" s="131"/>
      <c r="U147" s="130"/>
      <c r="V147" s="131"/>
      <c r="W147" s="130"/>
      <c r="X147" s="131"/>
      <c r="Y147" s="130"/>
      <c r="Z147" s="131"/>
      <c r="AA147" s="130"/>
    </row>
    <row r="148" spans="1:27" x14ac:dyDescent="0.25">
      <c r="A148" s="538"/>
      <c r="B148" s="585" t="str">
        <f>IF(A148&lt;&gt;"",INDEX('Base de données'!A$4:L$990,MATCH(A148,'Base de données'!A$4:A$990,0),2),"")</f>
        <v/>
      </c>
      <c r="C148" s="585" t="str">
        <f>IF(A148&lt;&gt;"",INDEX('Base de données'!A$4:L$990,MATCH(A148,'Base de données'!A$4:A$990,0),12),"")</f>
        <v/>
      </c>
      <c r="D148" s="583"/>
      <c r="E148" s="130"/>
      <c r="F148" s="131"/>
      <c r="G148" s="130"/>
      <c r="H148" s="131"/>
      <c r="I148" s="130"/>
      <c r="J148" s="131"/>
      <c r="K148" s="130"/>
      <c r="L148" s="131"/>
      <c r="M148" s="130"/>
      <c r="N148" s="131"/>
      <c r="O148" s="130"/>
      <c r="P148" s="131"/>
      <c r="Q148" s="130"/>
      <c r="R148" s="131"/>
      <c r="S148" s="130"/>
      <c r="T148" s="131"/>
      <c r="U148" s="130"/>
      <c r="V148" s="131"/>
      <c r="W148" s="130"/>
      <c r="X148" s="131"/>
      <c r="Y148" s="130"/>
      <c r="Z148" s="131"/>
      <c r="AA148" s="130"/>
    </row>
    <row r="149" spans="1:27" x14ac:dyDescent="0.25">
      <c r="A149" s="538"/>
      <c r="B149" s="585" t="str">
        <f>IF(A149&lt;&gt;"",INDEX('Base de données'!A$4:L$990,MATCH(A149,'Base de données'!A$4:A$990,0),2),"")</f>
        <v/>
      </c>
      <c r="C149" s="585" t="str">
        <f>IF(A149&lt;&gt;"",INDEX('Base de données'!A$4:L$990,MATCH(A149,'Base de données'!A$4:A$990,0),12),"")</f>
        <v/>
      </c>
      <c r="D149" s="583"/>
      <c r="E149" s="130"/>
      <c r="F149" s="131"/>
      <c r="G149" s="130"/>
      <c r="H149" s="131"/>
      <c r="I149" s="130"/>
      <c r="J149" s="131"/>
      <c r="K149" s="130"/>
      <c r="L149" s="131"/>
      <c r="M149" s="130"/>
      <c r="N149" s="131"/>
      <c r="O149" s="130"/>
      <c r="P149" s="131"/>
      <c r="Q149" s="130"/>
      <c r="R149" s="131"/>
      <c r="S149" s="130"/>
      <c r="T149" s="131"/>
      <c r="U149" s="130"/>
      <c r="V149" s="131"/>
      <c r="W149" s="130"/>
      <c r="X149" s="131"/>
      <c r="Y149" s="130"/>
      <c r="Z149" s="131"/>
      <c r="AA149" s="130"/>
    </row>
    <row r="150" spans="1:27" x14ac:dyDescent="0.25">
      <c r="A150" s="538"/>
      <c r="B150" s="585" t="str">
        <f>IF(A150&lt;&gt;"",INDEX('Base de données'!A$4:L$990,MATCH(A150,'Base de données'!A$4:A$990,0),2),"")</f>
        <v/>
      </c>
      <c r="C150" s="585" t="str">
        <f>IF(A150&lt;&gt;"",INDEX('Base de données'!A$4:L$990,MATCH(A150,'Base de données'!A$4:A$990,0),12),"")</f>
        <v/>
      </c>
      <c r="D150" s="583"/>
      <c r="E150" s="130"/>
      <c r="F150" s="131"/>
      <c r="G150" s="130"/>
      <c r="H150" s="131"/>
      <c r="I150" s="130"/>
      <c r="J150" s="131"/>
      <c r="K150" s="130"/>
      <c r="L150" s="131"/>
      <c r="M150" s="130"/>
      <c r="N150" s="131"/>
      <c r="O150" s="130"/>
      <c r="P150" s="131"/>
      <c r="Q150" s="130"/>
      <c r="R150" s="131"/>
      <c r="S150" s="130"/>
      <c r="T150" s="131"/>
      <c r="U150" s="130"/>
      <c r="V150" s="131"/>
      <c r="W150" s="130"/>
      <c r="X150" s="131"/>
      <c r="Y150" s="130"/>
      <c r="Z150" s="131"/>
      <c r="AA150" s="130"/>
    </row>
    <row r="151" spans="1:27" x14ac:dyDescent="0.25">
      <c r="A151" s="538"/>
      <c r="B151" s="585" t="str">
        <f>IF(A151&lt;&gt;"",INDEX('Base de données'!A$4:L$990,MATCH(A151,'Base de données'!A$4:A$990,0),2),"")</f>
        <v/>
      </c>
      <c r="C151" s="585" t="str">
        <f>IF(A151&lt;&gt;"",INDEX('Base de données'!A$4:L$990,MATCH(A151,'Base de données'!A$4:A$990,0),12),"")</f>
        <v/>
      </c>
      <c r="D151" s="583"/>
      <c r="E151" s="130"/>
      <c r="F151" s="131"/>
      <c r="G151" s="130"/>
      <c r="H151" s="131"/>
      <c r="I151" s="130"/>
      <c r="J151" s="131"/>
      <c r="K151" s="130"/>
      <c r="L151" s="131"/>
      <c r="M151" s="130"/>
      <c r="N151" s="131"/>
      <c r="O151" s="130"/>
      <c r="P151" s="131"/>
      <c r="Q151" s="130"/>
      <c r="R151" s="131"/>
      <c r="S151" s="130"/>
      <c r="T151" s="131"/>
      <c r="U151" s="130"/>
      <c r="V151" s="131"/>
      <c r="W151" s="130"/>
      <c r="X151" s="131"/>
      <c r="Y151" s="130"/>
      <c r="Z151" s="131"/>
      <c r="AA151" s="130"/>
    </row>
    <row r="152" spans="1:27" x14ac:dyDescent="0.25">
      <c r="A152" s="538"/>
      <c r="B152" s="585" t="str">
        <f>IF(A152&lt;&gt;"",INDEX('Base de données'!A$4:L$990,MATCH(A152,'Base de données'!A$4:A$990,0),2),"")</f>
        <v/>
      </c>
      <c r="C152" s="585" t="str">
        <f>IF(A152&lt;&gt;"",INDEX('Base de données'!A$4:L$990,MATCH(A152,'Base de données'!A$4:A$990,0),12),"")</f>
        <v/>
      </c>
      <c r="D152" s="583"/>
      <c r="E152" s="130"/>
      <c r="F152" s="131"/>
      <c r="G152" s="130"/>
      <c r="H152" s="131"/>
      <c r="I152" s="130"/>
      <c r="J152" s="131"/>
      <c r="K152" s="130"/>
      <c r="L152" s="131"/>
      <c r="M152" s="130"/>
      <c r="N152" s="131"/>
      <c r="O152" s="130"/>
      <c r="P152" s="131"/>
      <c r="Q152" s="130"/>
      <c r="R152" s="131"/>
      <c r="S152" s="130"/>
      <c r="T152" s="131"/>
      <c r="U152" s="130"/>
      <c r="V152" s="131"/>
      <c r="W152" s="130"/>
      <c r="X152" s="131"/>
      <c r="Y152" s="130"/>
      <c r="Z152" s="131"/>
      <c r="AA152" s="130"/>
    </row>
    <row r="153" spans="1:27" x14ac:dyDescent="0.25">
      <c r="A153" s="538"/>
      <c r="B153" s="585" t="str">
        <f>IF(A153&lt;&gt;"",INDEX('Base de données'!A$4:L$990,MATCH(A153,'Base de données'!A$4:A$990,0),2),"")</f>
        <v/>
      </c>
      <c r="C153" s="585" t="str">
        <f>IF(A153&lt;&gt;"",INDEX('Base de données'!A$4:L$990,MATCH(A153,'Base de données'!A$4:A$990,0),12),"")</f>
        <v/>
      </c>
      <c r="D153" s="583"/>
      <c r="E153" s="130"/>
      <c r="F153" s="131"/>
      <c r="G153" s="130"/>
      <c r="H153" s="131"/>
      <c r="I153" s="130"/>
      <c r="J153" s="131"/>
      <c r="K153" s="130"/>
      <c r="L153" s="131"/>
      <c r="M153" s="130"/>
      <c r="N153" s="131"/>
      <c r="O153" s="130"/>
      <c r="P153" s="131"/>
      <c r="Q153" s="130"/>
      <c r="R153" s="131"/>
      <c r="S153" s="130"/>
      <c r="T153" s="131"/>
      <c r="U153" s="130"/>
      <c r="V153" s="131"/>
      <c r="W153" s="130"/>
      <c r="X153" s="131"/>
      <c r="Y153" s="130"/>
      <c r="Z153" s="131"/>
      <c r="AA153" s="130"/>
    </row>
    <row r="154" spans="1:27" x14ac:dyDescent="0.25">
      <c r="A154" s="538"/>
      <c r="B154" s="585" t="str">
        <f>IF(A154&lt;&gt;"",INDEX('Base de données'!A$4:L$990,MATCH(A154,'Base de données'!A$4:A$990,0),2),"")</f>
        <v/>
      </c>
      <c r="C154" s="585" t="str">
        <f>IF(A154&lt;&gt;"",INDEX('Base de données'!A$4:L$990,MATCH(A154,'Base de données'!A$4:A$990,0),12),"")</f>
        <v/>
      </c>
      <c r="D154" s="583"/>
      <c r="E154" s="130"/>
      <c r="F154" s="131"/>
      <c r="G154" s="130"/>
      <c r="H154" s="131"/>
      <c r="I154" s="130"/>
      <c r="J154" s="131"/>
      <c r="K154" s="130"/>
      <c r="L154" s="131"/>
      <c r="M154" s="130"/>
      <c r="N154" s="131"/>
      <c r="O154" s="130"/>
      <c r="P154" s="131"/>
      <c r="Q154" s="130"/>
      <c r="R154" s="131"/>
      <c r="S154" s="130"/>
      <c r="T154" s="131"/>
      <c r="U154" s="130"/>
      <c r="V154" s="131"/>
      <c r="W154" s="130"/>
      <c r="X154" s="131"/>
      <c r="Y154" s="130"/>
      <c r="Z154" s="131"/>
      <c r="AA154" s="130"/>
    </row>
    <row r="155" spans="1:27" x14ac:dyDescent="0.25">
      <c r="A155" s="538"/>
      <c r="B155" s="585" t="str">
        <f>IF(A155&lt;&gt;"",INDEX('Base de données'!A$4:L$990,MATCH(A155,'Base de données'!A$4:A$990,0),2),"")</f>
        <v/>
      </c>
      <c r="C155" s="585" t="str">
        <f>IF(A155&lt;&gt;"",INDEX('Base de données'!A$4:L$990,MATCH(A155,'Base de données'!A$4:A$990,0),12),"")</f>
        <v/>
      </c>
      <c r="D155" s="583"/>
      <c r="E155" s="130"/>
      <c r="F155" s="131"/>
      <c r="G155" s="130"/>
      <c r="H155" s="131"/>
      <c r="I155" s="130"/>
      <c r="J155" s="131"/>
      <c r="K155" s="130"/>
      <c r="L155" s="131"/>
      <c r="M155" s="130"/>
      <c r="N155" s="131"/>
      <c r="O155" s="130"/>
      <c r="P155" s="131"/>
      <c r="Q155" s="130"/>
      <c r="R155" s="131"/>
      <c r="S155" s="130"/>
      <c r="T155" s="131"/>
      <c r="U155" s="130"/>
      <c r="V155" s="131"/>
      <c r="W155" s="130"/>
      <c r="X155" s="131"/>
      <c r="Y155" s="130"/>
      <c r="Z155" s="131"/>
      <c r="AA155" s="130"/>
    </row>
    <row r="156" spans="1:27" x14ac:dyDescent="0.25">
      <c r="A156" s="538"/>
      <c r="B156" s="585" t="str">
        <f>IF(A156&lt;&gt;"",INDEX('Base de données'!A$4:L$990,MATCH(A156,'Base de données'!A$4:A$990,0),2),"")</f>
        <v/>
      </c>
      <c r="C156" s="585" t="str">
        <f>IF(A156&lt;&gt;"",INDEX('Base de données'!A$4:L$990,MATCH(A156,'Base de données'!A$4:A$990,0),12),"")</f>
        <v/>
      </c>
      <c r="D156" s="583"/>
      <c r="E156" s="130"/>
      <c r="F156" s="131"/>
      <c r="G156" s="130"/>
      <c r="H156" s="131"/>
      <c r="I156" s="130"/>
      <c r="J156" s="131"/>
      <c r="K156" s="130"/>
      <c r="L156" s="131"/>
      <c r="M156" s="130"/>
      <c r="N156" s="131"/>
      <c r="O156" s="130"/>
      <c r="P156" s="131"/>
      <c r="Q156" s="130"/>
      <c r="R156" s="131"/>
      <c r="S156" s="130"/>
      <c r="T156" s="131"/>
      <c r="U156" s="130"/>
      <c r="V156" s="131"/>
      <c r="W156" s="130"/>
      <c r="X156" s="131"/>
      <c r="Y156" s="130"/>
      <c r="Z156" s="131"/>
      <c r="AA156" s="130"/>
    </row>
    <row r="157" spans="1:27" x14ac:dyDescent="0.25">
      <c r="A157" s="538"/>
      <c r="B157" s="585" t="str">
        <f>IF(A157&lt;&gt;"",INDEX('Base de données'!A$4:L$990,MATCH(A157,'Base de données'!A$4:A$990,0),2),"")</f>
        <v/>
      </c>
      <c r="C157" s="585" t="str">
        <f>IF(A157&lt;&gt;"",INDEX('Base de données'!A$4:L$990,MATCH(A157,'Base de données'!A$4:A$990,0),12),"")</f>
        <v/>
      </c>
      <c r="D157" s="583"/>
      <c r="E157" s="130"/>
      <c r="F157" s="131"/>
      <c r="G157" s="130"/>
      <c r="H157" s="131"/>
      <c r="I157" s="130"/>
      <c r="J157" s="131"/>
      <c r="K157" s="130"/>
      <c r="L157" s="131"/>
      <c r="M157" s="130"/>
      <c r="N157" s="131"/>
      <c r="O157" s="130"/>
      <c r="P157" s="131"/>
      <c r="Q157" s="130"/>
      <c r="R157" s="131"/>
      <c r="S157" s="130"/>
      <c r="T157" s="131"/>
      <c r="U157" s="130"/>
      <c r="V157" s="131"/>
      <c r="W157" s="130"/>
      <c r="X157" s="131"/>
      <c r="Y157" s="130"/>
      <c r="Z157" s="131"/>
      <c r="AA157" s="130"/>
    </row>
    <row r="158" spans="1:27" x14ac:dyDescent="0.25">
      <c r="A158" s="538"/>
      <c r="B158" s="585" t="str">
        <f>IF(A158&lt;&gt;"",INDEX('Base de données'!A$4:L$990,MATCH(A158,'Base de données'!A$4:A$990,0),2),"")</f>
        <v/>
      </c>
      <c r="C158" s="585" t="str">
        <f>IF(A158&lt;&gt;"",INDEX('Base de données'!A$4:L$990,MATCH(A158,'Base de données'!A$4:A$990,0),12),"")</f>
        <v/>
      </c>
      <c r="D158" s="583"/>
      <c r="E158" s="130"/>
      <c r="F158" s="131"/>
      <c r="G158" s="130"/>
      <c r="H158" s="131"/>
      <c r="I158" s="130"/>
      <c r="J158" s="131"/>
      <c r="K158" s="130"/>
      <c r="L158" s="131"/>
      <c r="M158" s="130"/>
      <c r="N158" s="131"/>
      <c r="O158" s="130"/>
      <c r="P158" s="131"/>
      <c r="Q158" s="130"/>
      <c r="R158" s="131"/>
      <c r="S158" s="130"/>
      <c r="T158" s="131"/>
      <c r="U158" s="130"/>
      <c r="V158" s="131"/>
      <c r="W158" s="130"/>
      <c r="X158" s="131"/>
      <c r="Y158" s="130"/>
      <c r="Z158" s="131"/>
      <c r="AA158" s="130"/>
    </row>
    <row r="159" spans="1:27" x14ac:dyDescent="0.25">
      <c r="A159" s="538"/>
      <c r="B159" s="585" t="str">
        <f>IF(A159&lt;&gt;"",INDEX('Base de données'!A$4:L$990,MATCH(A159,'Base de données'!A$4:A$990,0),2),"")</f>
        <v/>
      </c>
      <c r="C159" s="585" t="str">
        <f>IF(A159&lt;&gt;"",INDEX('Base de données'!A$4:L$990,MATCH(A159,'Base de données'!A$4:A$990,0),12),"")</f>
        <v/>
      </c>
      <c r="D159" s="583"/>
      <c r="E159" s="130"/>
      <c r="F159" s="131"/>
      <c r="G159" s="130"/>
      <c r="H159" s="131"/>
      <c r="I159" s="130"/>
      <c r="J159" s="131"/>
      <c r="K159" s="130"/>
      <c r="L159" s="131"/>
      <c r="M159" s="130"/>
      <c r="N159" s="131"/>
      <c r="O159" s="130"/>
      <c r="P159" s="131"/>
      <c r="Q159" s="130"/>
      <c r="R159" s="131"/>
      <c r="S159" s="130"/>
      <c r="T159" s="131"/>
      <c r="U159" s="130"/>
      <c r="V159" s="131"/>
      <c r="W159" s="130"/>
      <c r="X159" s="131"/>
      <c r="Y159" s="130"/>
      <c r="Z159" s="131"/>
      <c r="AA159" s="130"/>
    </row>
    <row r="160" spans="1:27" x14ac:dyDescent="0.25">
      <c r="A160" s="538"/>
      <c r="B160" s="585" t="str">
        <f>IF(A160&lt;&gt;"",INDEX('Base de données'!A$4:L$990,MATCH(A160,'Base de données'!A$4:A$990,0),2),"")</f>
        <v/>
      </c>
      <c r="C160" s="585" t="str">
        <f>IF(A160&lt;&gt;"",INDEX('Base de données'!A$4:L$990,MATCH(A160,'Base de données'!A$4:A$990,0),12),"")</f>
        <v/>
      </c>
      <c r="D160" s="583"/>
      <c r="E160" s="130"/>
      <c r="F160" s="131"/>
      <c r="G160" s="130"/>
      <c r="H160" s="131"/>
      <c r="I160" s="130"/>
      <c r="J160" s="131"/>
      <c r="K160" s="130"/>
      <c r="L160" s="131"/>
      <c r="M160" s="130"/>
      <c r="N160" s="131"/>
      <c r="O160" s="130"/>
      <c r="P160" s="131"/>
      <c r="Q160" s="130"/>
      <c r="R160" s="131"/>
      <c r="S160" s="130"/>
      <c r="T160" s="131"/>
      <c r="U160" s="130"/>
      <c r="V160" s="131"/>
      <c r="W160" s="130"/>
      <c r="X160" s="131"/>
      <c r="Y160" s="130"/>
      <c r="Z160" s="131"/>
      <c r="AA160" s="130"/>
    </row>
    <row r="161" spans="1:27" x14ac:dyDescent="0.25">
      <c r="A161" s="538"/>
      <c r="B161" s="585" t="str">
        <f>IF(A161&lt;&gt;"",INDEX('Base de données'!A$4:L$990,MATCH(A161,'Base de données'!A$4:A$990,0),2),"")</f>
        <v/>
      </c>
      <c r="C161" s="585" t="str">
        <f>IF(A161&lt;&gt;"",INDEX('Base de données'!A$4:L$990,MATCH(A161,'Base de données'!A$4:A$990,0),12),"")</f>
        <v/>
      </c>
      <c r="D161" s="583"/>
      <c r="E161" s="130"/>
      <c r="F161" s="131"/>
      <c r="G161" s="130"/>
      <c r="H161" s="131"/>
      <c r="I161" s="130"/>
      <c r="J161" s="131"/>
      <c r="K161" s="130"/>
      <c r="L161" s="131"/>
      <c r="M161" s="130"/>
      <c r="N161" s="131"/>
      <c r="O161" s="130"/>
      <c r="P161" s="131"/>
      <c r="Q161" s="130"/>
      <c r="R161" s="131"/>
      <c r="S161" s="130"/>
      <c r="T161" s="131"/>
      <c r="U161" s="130"/>
      <c r="V161" s="131"/>
      <c r="W161" s="130"/>
      <c r="X161" s="131"/>
      <c r="Y161" s="130"/>
      <c r="Z161" s="131"/>
      <c r="AA161" s="130"/>
    </row>
    <row r="162" spans="1:27" x14ac:dyDescent="0.25">
      <c r="A162" s="538"/>
      <c r="B162" s="585" t="str">
        <f>IF(A162&lt;&gt;"",INDEX('Base de données'!A$4:L$990,MATCH(A162,'Base de données'!A$4:A$990,0),2),"")</f>
        <v/>
      </c>
      <c r="C162" s="585" t="str">
        <f>IF(A162&lt;&gt;"",INDEX('Base de données'!A$4:L$990,MATCH(A162,'Base de données'!A$4:A$990,0),12),"")</f>
        <v/>
      </c>
      <c r="D162" s="583"/>
      <c r="E162" s="130"/>
      <c r="F162" s="131"/>
      <c r="G162" s="130"/>
      <c r="H162" s="131"/>
      <c r="I162" s="130"/>
      <c r="J162" s="131"/>
      <c r="K162" s="130"/>
      <c r="L162" s="131"/>
      <c r="M162" s="130"/>
      <c r="N162" s="131"/>
      <c r="O162" s="130"/>
      <c r="P162" s="131"/>
      <c r="Q162" s="130"/>
      <c r="R162" s="131"/>
      <c r="S162" s="130"/>
      <c r="T162" s="131"/>
      <c r="U162" s="130"/>
      <c r="V162" s="131"/>
      <c r="W162" s="130"/>
      <c r="X162" s="131"/>
      <c r="Y162" s="130"/>
      <c r="Z162" s="131"/>
      <c r="AA162" s="130"/>
    </row>
    <row r="163" spans="1:27" x14ac:dyDescent="0.25">
      <c r="A163" s="538"/>
      <c r="B163" s="585" t="str">
        <f>IF(A163&lt;&gt;"",INDEX('Base de données'!A$4:L$990,MATCH(A163,'Base de données'!A$4:A$990,0),2),"")</f>
        <v/>
      </c>
      <c r="C163" s="585" t="str">
        <f>IF(A163&lt;&gt;"",INDEX('Base de données'!A$4:L$990,MATCH(A163,'Base de données'!A$4:A$990,0),12),"")</f>
        <v/>
      </c>
      <c r="D163" s="583"/>
      <c r="E163" s="130"/>
      <c r="F163" s="131"/>
      <c r="G163" s="130"/>
      <c r="H163" s="131"/>
      <c r="I163" s="130"/>
      <c r="J163" s="131"/>
      <c r="K163" s="130"/>
      <c r="L163" s="131"/>
      <c r="M163" s="130"/>
      <c r="N163" s="131"/>
      <c r="O163" s="130"/>
      <c r="P163" s="131"/>
      <c r="Q163" s="130"/>
      <c r="R163" s="131"/>
      <c r="S163" s="130"/>
      <c r="T163" s="131"/>
      <c r="U163" s="130"/>
      <c r="V163" s="131"/>
      <c r="W163" s="130"/>
      <c r="X163" s="131"/>
      <c r="Y163" s="130"/>
      <c r="Z163" s="131"/>
      <c r="AA163" s="130"/>
    </row>
    <row r="164" spans="1:27" x14ac:dyDescent="0.25">
      <c r="A164" s="538"/>
      <c r="B164" s="585" t="str">
        <f>IF(A164&lt;&gt;"",INDEX('Base de données'!A$4:L$990,MATCH(A164,'Base de données'!A$4:A$990,0),2),"")</f>
        <v/>
      </c>
      <c r="C164" s="585" t="str">
        <f>IF(A164&lt;&gt;"",INDEX('Base de données'!A$4:L$990,MATCH(A164,'Base de données'!A$4:A$990,0),12),"")</f>
        <v/>
      </c>
      <c r="D164" s="583"/>
      <c r="E164" s="130"/>
      <c r="F164" s="131"/>
      <c r="G164" s="130"/>
      <c r="H164" s="131"/>
      <c r="I164" s="130"/>
      <c r="J164" s="131"/>
      <c r="K164" s="130"/>
      <c r="L164" s="131"/>
      <c r="M164" s="130"/>
      <c r="N164" s="131"/>
      <c r="O164" s="130"/>
      <c r="P164" s="131"/>
      <c r="Q164" s="130"/>
      <c r="R164" s="131"/>
      <c r="S164" s="130"/>
      <c r="T164" s="131"/>
      <c r="U164" s="130"/>
      <c r="V164" s="131"/>
      <c r="W164" s="130"/>
      <c r="X164" s="131"/>
      <c r="Y164" s="130"/>
      <c r="Z164" s="131"/>
      <c r="AA164" s="130"/>
    </row>
    <row r="165" spans="1:27" x14ac:dyDescent="0.25">
      <c r="A165" s="538"/>
      <c r="B165" s="585" t="str">
        <f>IF(A165&lt;&gt;"",INDEX('Base de données'!A$4:L$990,MATCH(A165,'Base de données'!A$4:A$990,0),2),"")</f>
        <v/>
      </c>
      <c r="C165" s="585" t="str">
        <f>IF(A165&lt;&gt;"",INDEX('Base de données'!A$4:L$990,MATCH(A165,'Base de données'!A$4:A$990,0),12),"")</f>
        <v/>
      </c>
      <c r="D165" s="583"/>
      <c r="E165" s="130"/>
      <c r="F165" s="131"/>
      <c r="G165" s="130"/>
      <c r="H165" s="131"/>
      <c r="I165" s="130"/>
      <c r="J165" s="131"/>
      <c r="K165" s="130"/>
      <c r="L165" s="131"/>
      <c r="M165" s="130"/>
      <c r="N165" s="131"/>
      <c r="O165" s="130"/>
      <c r="P165" s="131"/>
      <c r="Q165" s="130"/>
      <c r="R165" s="131"/>
      <c r="S165" s="130"/>
      <c r="T165" s="131"/>
      <c r="U165" s="130"/>
      <c r="V165" s="131"/>
      <c r="W165" s="130"/>
      <c r="X165" s="131"/>
      <c r="Y165" s="130"/>
      <c r="Z165" s="131"/>
      <c r="AA165" s="130"/>
    </row>
    <row r="166" spans="1:27" x14ac:dyDescent="0.25">
      <c r="A166" s="538"/>
      <c r="B166" s="585" t="str">
        <f>IF(A166&lt;&gt;"",INDEX('Base de données'!A$4:L$990,MATCH(A166,'Base de données'!A$4:A$990,0),2),"")</f>
        <v/>
      </c>
      <c r="C166" s="585" t="str">
        <f>IF(A166&lt;&gt;"",INDEX('Base de données'!A$4:L$990,MATCH(A166,'Base de données'!A$4:A$990,0),12),"")</f>
        <v/>
      </c>
      <c r="D166" s="583"/>
      <c r="E166" s="130"/>
      <c r="F166" s="131"/>
      <c r="G166" s="130"/>
      <c r="H166" s="131"/>
      <c r="I166" s="130"/>
      <c r="J166" s="131"/>
      <c r="K166" s="130"/>
      <c r="L166" s="131"/>
      <c r="M166" s="130"/>
      <c r="N166" s="131"/>
      <c r="O166" s="130"/>
      <c r="P166" s="131"/>
      <c r="Q166" s="130"/>
      <c r="R166" s="131"/>
      <c r="S166" s="130"/>
      <c r="T166" s="131"/>
      <c r="U166" s="130"/>
      <c r="V166" s="131"/>
      <c r="W166" s="130"/>
      <c r="X166" s="131"/>
      <c r="Y166" s="130"/>
      <c r="Z166" s="131"/>
      <c r="AA166" s="130"/>
    </row>
    <row r="167" spans="1:27" x14ac:dyDescent="0.25">
      <c r="A167" s="538"/>
      <c r="B167" s="585" t="str">
        <f>IF(A167&lt;&gt;"",INDEX('Base de données'!A$4:L$990,MATCH(A167,'Base de données'!A$4:A$990,0),2),"")</f>
        <v/>
      </c>
      <c r="C167" s="585" t="str">
        <f>IF(A167&lt;&gt;"",INDEX('Base de données'!A$4:L$990,MATCH(A167,'Base de données'!A$4:A$990,0),12),"")</f>
        <v/>
      </c>
      <c r="D167" s="583"/>
      <c r="E167" s="130"/>
      <c r="F167" s="131"/>
      <c r="G167" s="130"/>
      <c r="H167" s="131"/>
      <c r="I167" s="130"/>
      <c r="J167" s="131"/>
      <c r="K167" s="130"/>
      <c r="L167" s="131"/>
      <c r="M167" s="130"/>
      <c r="N167" s="131"/>
      <c r="O167" s="130"/>
      <c r="P167" s="131"/>
      <c r="Q167" s="130"/>
      <c r="R167" s="131"/>
      <c r="S167" s="130"/>
      <c r="T167" s="131"/>
      <c r="U167" s="130"/>
      <c r="V167" s="131"/>
      <c r="W167" s="130"/>
      <c r="X167" s="131"/>
      <c r="Y167" s="130"/>
      <c r="Z167" s="131"/>
      <c r="AA167" s="130"/>
    </row>
    <row r="168" spans="1:27" x14ac:dyDescent="0.25">
      <c r="A168" s="538"/>
      <c r="B168" s="585" t="str">
        <f>IF(A168&lt;&gt;"",INDEX('Base de données'!A$4:L$990,MATCH(A168,'Base de données'!A$4:A$990,0),2),"")</f>
        <v/>
      </c>
      <c r="C168" s="585" t="str">
        <f>IF(A168&lt;&gt;"",INDEX('Base de données'!A$4:L$990,MATCH(A168,'Base de données'!A$4:A$990,0),12),"")</f>
        <v/>
      </c>
      <c r="D168" s="583"/>
      <c r="E168" s="130"/>
      <c r="F168" s="131"/>
      <c r="G168" s="130"/>
      <c r="H168" s="131"/>
      <c r="I168" s="130"/>
      <c r="J168" s="131"/>
      <c r="K168" s="130"/>
      <c r="L168" s="131"/>
      <c r="M168" s="130"/>
      <c r="N168" s="131"/>
      <c r="O168" s="130"/>
      <c r="P168" s="131"/>
      <c r="Q168" s="130"/>
      <c r="R168" s="131"/>
      <c r="S168" s="130"/>
      <c r="T168" s="131"/>
      <c r="U168" s="130"/>
      <c r="V168" s="131"/>
      <c r="W168" s="130"/>
      <c r="X168" s="131"/>
      <c r="Y168" s="130"/>
      <c r="Z168" s="131"/>
      <c r="AA168" s="130"/>
    </row>
    <row r="169" spans="1:27" x14ac:dyDescent="0.25">
      <c r="A169" s="538"/>
      <c r="B169" s="585" t="str">
        <f>IF(A169&lt;&gt;"",INDEX('Base de données'!A$4:L$990,MATCH(A169,'Base de données'!A$4:A$990,0),2),"")</f>
        <v/>
      </c>
      <c r="C169" s="585" t="str">
        <f>IF(A169&lt;&gt;"",INDEX('Base de données'!A$4:L$990,MATCH(A169,'Base de données'!A$4:A$990,0),12),"")</f>
        <v/>
      </c>
      <c r="D169" s="583"/>
      <c r="E169" s="130"/>
      <c r="F169" s="131"/>
      <c r="G169" s="130"/>
      <c r="H169" s="131"/>
      <c r="I169" s="130"/>
      <c r="J169" s="131"/>
      <c r="K169" s="130"/>
      <c r="L169" s="131"/>
      <c r="M169" s="130"/>
      <c r="N169" s="131"/>
      <c r="O169" s="130"/>
      <c r="P169" s="131"/>
      <c r="Q169" s="130"/>
      <c r="R169" s="131"/>
      <c r="S169" s="130"/>
      <c r="T169" s="131"/>
      <c r="U169" s="130"/>
      <c r="V169" s="131"/>
      <c r="W169" s="130"/>
      <c r="X169" s="131"/>
      <c r="Y169" s="130"/>
      <c r="Z169" s="131"/>
      <c r="AA169" s="130"/>
    </row>
    <row r="170" spans="1:27" x14ac:dyDescent="0.25">
      <c r="A170" s="538"/>
      <c r="B170" s="585" t="str">
        <f>IF(A170&lt;&gt;"",INDEX('Base de données'!A$4:L$990,MATCH(A170,'Base de données'!A$4:A$990,0),2),"")</f>
        <v/>
      </c>
      <c r="C170" s="585" t="str">
        <f>IF(A170&lt;&gt;"",INDEX('Base de données'!A$4:L$990,MATCH(A170,'Base de données'!A$4:A$990,0),12),"")</f>
        <v/>
      </c>
      <c r="D170" s="583"/>
      <c r="E170" s="130"/>
      <c r="F170" s="131"/>
      <c r="G170" s="130"/>
      <c r="H170" s="131"/>
      <c r="I170" s="130"/>
      <c r="J170" s="131"/>
      <c r="K170" s="130"/>
      <c r="L170" s="131"/>
      <c r="M170" s="130"/>
      <c r="N170" s="131"/>
      <c r="O170" s="130"/>
      <c r="P170" s="131"/>
      <c r="Q170" s="130"/>
      <c r="R170" s="131"/>
      <c r="S170" s="130"/>
      <c r="T170" s="131"/>
      <c r="U170" s="130"/>
      <c r="V170" s="131"/>
      <c r="W170" s="130"/>
      <c r="X170" s="131"/>
      <c r="Y170" s="130"/>
      <c r="Z170" s="131"/>
      <c r="AA170" s="130"/>
    </row>
    <row r="171" spans="1:27" x14ac:dyDescent="0.25">
      <c r="A171" s="538"/>
      <c r="B171" s="585" t="str">
        <f>IF(A171&lt;&gt;"",INDEX('Base de données'!A$4:L$990,MATCH(A171,'Base de données'!A$4:A$990,0),2),"")</f>
        <v/>
      </c>
      <c r="C171" s="585" t="str">
        <f>IF(A171&lt;&gt;"",INDEX('Base de données'!A$4:L$990,MATCH(A171,'Base de données'!A$4:A$990,0),12),"")</f>
        <v/>
      </c>
      <c r="D171" s="583"/>
      <c r="E171" s="130"/>
      <c r="F171" s="131"/>
      <c r="G171" s="130"/>
      <c r="H171" s="131"/>
      <c r="I171" s="130"/>
      <c r="J171" s="131"/>
      <c r="K171" s="130"/>
      <c r="L171" s="131"/>
      <c r="M171" s="130"/>
      <c r="N171" s="131"/>
      <c r="O171" s="130"/>
      <c r="P171" s="131"/>
      <c r="Q171" s="130"/>
      <c r="R171" s="131"/>
      <c r="S171" s="130"/>
      <c r="T171" s="131"/>
      <c r="U171" s="130"/>
      <c r="V171" s="131"/>
      <c r="W171" s="130"/>
      <c r="X171" s="131"/>
      <c r="Y171" s="130"/>
      <c r="Z171" s="131"/>
      <c r="AA171" s="130"/>
    </row>
    <row r="172" spans="1:27" x14ac:dyDescent="0.25">
      <c r="A172" s="538"/>
      <c r="B172" s="585" t="str">
        <f>IF(A172&lt;&gt;"",INDEX('Base de données'!A$4:L$990,MATCH(A172,'Base de données'!A$4:A$990,0),2),"")</f>
        <v/>
      </c>
      <c r="C172" s="585" t="str">
        <f>IF(A172&lt;&gt;"",INDEX('Base de données'!A$4:L$990,MATCH(A172,'Base de données'!A$4:A$990,0),12),"")</f>
        <v/>
      </c>
      <c r="D172" s="583"/>
      <c r="E172" s="130"/>
      <c r="F172" s="131"/>
      <c r="G172" s="130"/>
      <c r="H172" s="131"/>
      <c r="I172" s="130"/>
      <c r="J172" s="131"/>
      <c r="K172" s="130"/>
      <c r="L172" s="131"/>
      <c r="M172" s="130"/>
      <c r="N172" s="131"/>
      <c r="O172" s="130"/>
      <c r="P172" s="131"/>
      <c r="Q172" s="130"/>
      <c r="R172" s="131"/>
      <c r="S172" s="130"/>
      <c r="T172" s="131"/>
      <c r="U172" s="130"/>
      <c r="V172" s="131"/>
      <c r="W172" s="130"/>
      <c r="X172" s="131"/>
      <c r="Y172" s="130"/>
      <c r="Z172" s="131"/>
      <c r="AA172" s="130"/>
    </row>
    <row r="173" spans="1:27" x14ac:dyDescent="0.25">
      <c r="A173" s="538"/>
      <c r="B173" s="585" t="str">
        <f>IF(A173&lt;&gt;"",INDEX('Base de données'!A$4:L$990,MATCH(A173,'Base de données'!A$4:A$990,0),2),"")</f>
        <v/>
      </c>
      <c r="C173" s="585" t="str">
        <f>IF(A173&lt;&gt;"",INDEX('Base de données'!A$4:L$990,MATCH(A173,'Base de données'!A$4:A$990,0),12),"")</f>
        <v/>
      </c>
      <c r="D173" s="583"/>
      <c r="E173" s="130"/>
      <c r="F173" s="131"/>
      <c r="G173" s="130"/>
      <c r="H173" s="131"/>
      <c r="I173" s="130"/>
      <c r="J173" s="131"/>
      <c r="K173" s="130"/>
      <c r="L173" s="131"/>
      <c r="M173" s="130"/>
      <c r="N173" s="131"/>
      <c r="O173" s="130"/>
      <c r="P173" s="131"/>
      <c r="Q173" s="130"/>
      <c r="R173" s="131"/>
      <c r="S173" s="130"/>
      <c r="T173" s="131"/>
      <c r="U173" s="130"/>
      <c r="V173" s="131"/>
      <c r="W173" s="130"/>
      <c r="X173" s="131"/>
      <c r="Y173" s="130"/>
      <c r="Z173" s="131"/>
      <c r="AA173" s="130"/>
    </row>
    <row r="174" spans="1:27" x14ac:dyDescent="0.25">
      <c r="A174" s="538"/>
      <c r="B174" s="585" t="str">
        <f>IF(A174&lt;&gt;"",INDEX('Base de données'!A$4:L$990,MATCH(A174,'Base de données'!A$4:A$990,0),2),"")</f>
        <v/>
      </c>
      <c r="C174" s="585" t="str">
        <f>IF(A174&lt;&gt;"",INDEX('Base de données'!A$4:L$990,MATCH(A174,'Base de données'!A$4:A$990,0),12),"")</f>
        <v/>
      </c>
      <c r="D174" s="583"/>
      <c r="E174" s="130"/>
      <c r="F174" s="131"/>
      <c r="G174" s="130"/>
      <c r="H174" s="131"/>
      <c r="I174" s="130"/>
      <c r="J174" s="131"/>
      <c r="K174" s="130"/>
      <c r="L174" s="131"/>
      <c r="M174" s="130"/>
      <c r="N174" s="131"/>
      <c r="O174" s="130"/>
      <c r="P174" s="131"/>
      <c r="Q174" s="130"/>
      <c r="R174" s="131"/>
      <c r="S174" s="130"/>
      <c r="T174" s="131"/>
      <c r="U174" s="130"/>
      <c r="V174" s="131"/>
      <c r="W174" s="130"/>
      <c r="X174" s="131"/>
      <c r="Y174" s="130"/>
      <c r="Z174" s="131"/>
      <c r="AA174" s="130"/>
    </row>
    <row r="175" spans="1:27" x14ac:dyDescent="0.25">
      <c r="A175" s="538"/>
      <c r="B175" s="585" t="str">
        <f>IF(A175&lt;&gt;"",INDEX('Base de données'!A$4:L$990,MATCH(A175,'Base de données'!A$4:A$990,0),2),"")</f>
        <v/>
      </c>
      <c r="C175" s="585" t="str">
        <f>IF(A175&lt;&gt;"",INDEX('Base de données'!A$4:L$990,MATCH(A175,'Base de données'!A$4:A$990,0),12),"")</f>
        <v/>
      </c>
      <c r="D175" s="583"/>
      <c r="E175" s="130"/>
      <c r="F175" s="131"/>
      <c r="G175" s="130"/>
      <c r="H175" s="131"/>
      <c r="I175" s="130"/>
      <c r="J175" s="131"/>
      <c r="K175" s="130"/>
      <c r="L175" s="131"/>
      <c r="M175" s="130"/>
      <c r="N175" s="131"/>
      <c r="O175" s="130"/>
      <c r="P175" s="131"/>
      <c r="Q175" s="130"/>
      <c r="R175" s="131"/>
      <c r="S175" s="130"/>
      <c r="T175" s="131"/>
      <c r="U175" s="130"/>
      <c r="V175" s="131"/>
      <c r="W175" s="130"/>
      <c r="X175" s="131"/>
      <c r="Y175" s="130"/>
      <c r="Z175" s="131"/>
      <c r="AA175" s="130"/>
    </row>
    <row r="176" spans="1:27" x14ac:dyDescent="0.25">
      <c r="A176" s="538"/>
      <c r="B176" s="585" t="str">
        <f>IF(A176&lt;&gt;"",INDEX('Base de données'!A$4:L$990,MATCH(A176,'Base de données'!A$4:A$990,0),2),"")</f>
        <v/>
      </c>
      <c r="C176" s="585" t="str">
        <f>IF(A176&lt;&gt;"",INDEX('Base de données'!A$4:L$990,MATCH(A176,'Base de données'!A$4:A$990,0),12),"")</f>
        <v/>
      </c>
      <c r="D176" s="583"/>
      <c r="E176" s="130"/>
      <c r="F176" s="131"/>
      <c r="G176" s="130"/>
      <c r="H176" s="131"/>
      <c r="I176" s="130"/>
      <c r="J176" s="131"/>
      <c r="K176" s="130"/>
      <c r="L176" s="131"/>
      <c r="M176" s="130"/>
      <c r="N176" s="131"/>
      <c r="O176" s="130"/>
      <c r="P176" s="131"/>
      <c r="Q176" s="130"/>
      <c r="R176" s="131"/>
      <c r="S176" s="130"/>
      <c r="T176" s="131"/>
      <c r="U176" s="130"/>
      <c r="V176" s="131"/>
      <c r="W176" s="130"/>
      <c r="X176" s="131"/>
      <c r="Y176" s="130"/>
      <c r="Z176" s="131"/>
      <c r="AA176" s="130"/>
    </row>
    <row r="177" spans="1:27" x14ac:dyDescent="0.25">
      <c r="A177" s="538"/>
      <c r="B177" s="585" t="str">
        <f>IF(A177&lt;&gt;"",INDEX('Base de données'!A$4:L$990,MATCH(A177,'Base de données'!A$4:A$990,0),2),"")</f>
        <v/>
      </c>
      <c r="C177" s="585" t="str">
        <f>IF(A177&lt;&gt;"",INDEX('Base de données'!A$4:L$990,MATCH(A177,'Base de données'!A$4:A$990,0),12),"")</f>
        <v/>
      </c>
      <c r="D177" s="583"/>
      <c r="E177" s="130"/>
      <c r="F177" s="131"/>
      <c r="G177" s="130"/>
      <c r="H177" s="131"/>
      <c r="I177" s="130"/>
      <c r="J177" s="131"/>
      <c r="K177" s="130"/>
      <c r="L177" s="131"/>
      <c r="M177" s="130"/>
      <c r="N177" s="131"/>
      <c r="O177" s="130"/>
      <c r="P177" s="131"/>
      <c r="Q177" s="130"/>
      <c r="R177" s="131"/>
      <c r="S177" s="130"/>
      <c r="T177" s="131"/>
      <c r="U177" s="130"/>
      <c r="V177" s="131"/>
      <c r="W177" s="130"/>
      <c r="X177" s="131"/>
      <c r="Y177" s="130"/>
      <c r="Z177" s="131"/>
      <c r="AA177" s="130"/>
    </row>
    <row r="178" spans="1:27" x14ac:dyDescent="0.25">
      <c r="A178" s="538"/>
      <c r="B178" s="585" t="str">
        <f>IF(A178&lt;&gt;"",INDEX('Base de données'!A$4:L$990,MATCH(A178,'Base de données'!A$4:A$990,0),2),"")</f>
        <v/>
      </c>
      <c r="C178" s="585" t="str">
        <f>IF(A178&lt;&gt;"",INDEX('Base de données'!A$4:L$990,MATCH(A178,'Base de données'!A$4:A$990,0),12),"")</f>
        <v/>
      </c>
      <c r="D178" s="583"/>
      <c r="E178" s="130"/>
      <c r="F178" s="131"/>
      <c r="G178" s="130"/>
      <c r="H178" s="131"/>
      <c r="I178" s="130"/>
      <c r="J178" s="131"/>
      <c r="K178" s="130"/>
      <c r="L178" s="131"/>
      <c r="M178" s="130"/>
      <c r="N178" s="131"/>
      <c r="O178" s="130"/>
      <c r="P178" s="131"/>
      <c r="Q178" s="130"/>
      <c r="R178" s="131"/>
      <c r="S178" s="130"/>
      <c r="T178" s="131"/>
      <c r="U178" s="130"/>
      <c r="V178" s="131"/>
      <c r="W178" s="130"/>
      <c r="X178" s="131"/>
      <c r="Y178" s="130"/>
      <c r="Z178" s="131"/>
      <c r="AA178" s="130"/>
    </row>
    <row r="179" spans="1:27" x14ac:dyDescent="0.25">
      <c r="A179" s="538"/>
      <c r="B179" s="585" t="str">
        <f>IF(A179&lt;&gt;"",INDEX('Base de données'!A$4:L$990,MATCH(A179,'Base de données'!A$4:A$990,0),2),"")</f>
        <v/>
      </c>
      <c r="C179" s="585" t="str">
        <f>IF(A179&lt;&gt;"",INDEX('Base de données'!A$4:L$990,MATCH(A179,'Base de données'!A$4:A$990,0),12),"")</f>
        <v/>
      </c>
      <c r="D179" s="583"/>
      <c r="E179" s="130"/>
      <c r="F179" s="131"/>
      <c r="G179" s="130"/>
      <c r="H179" s="131"/>
      <c r="I179" s="130"/>
      <c r="J179" s="131"/>
      <c r="K179" s="130"/>
      <c r="L179" s="131"/>
      <c r="M179" s="130"/>
      <c r="N179" s="131"/>
      <c r="O179" s="130"/>
      <c r="P179" s="131"/>
      <c r="Q179" s="130"/>
      <c r="R179" s="131"/>
      <c r="S179" s="130"/>
      <c r="T179" s="131"/>
      <c r="U179" s="130"/>
      <c r="V179" s="131"/>
      <c r="W179" s="130"/>
      <c r="X179" s="131"/>
      <c r="Y179" s="130"/>
      <c r="Z179" s="131"/>
      <c r="AA179" s="130"/>
    </row>
    <row r="180" spans="1:27" x14ac:dyDescent="0.25">
      <c r="A180" s="538"/>
      <c r="B180" s="585" t="str">
        <f>IF(A180&lt;&gt;"",INDEX('Base de données'!A$4:L$990,MATCH(A180,'Base de données'!A$4:A$990,0),2),"")</f>
        <v/>
      </c>
      <c r="C180" s="585" t="str">
        <f>IF(A180&lt;&gt;"",INDEX('Base de données'!A$4:L$990,MATCH(A180,'Base de données'!A$4:A$990,0),12),"")</f>
        <v/>
      </c>
      <c r="D180" s="583"/>
      <c r="E180" s="130"/>
      <c r="F180" s="131"/>
      <c r="G180" s="130"/>
      <c r="H180" s="131"/>
      <c r="I180" s="130"/>
      <c r="J180" s="131"/>
      <c r="K180" s="130"/>
      <c r="L180" s="131"/>
      <c r="M180" s="130"/>
      <c r="N180" s="131"/>
      <c r="O180" s="130"/>
      <c r="P180" s="131"/>
      <c r="Q180" s="130"/>
      <c r="R180" s="131"/>
      <c r="S180" s="130"/>
      <c r="T180" s="131"/>
      <c r="U180" s="130"/>
      <c r="V180" s="131"/>
      <c r="W180" s="130"/>
      <c r="X180" s="131"/>
      <c r="Y180" s="130"/>
      <c r="Z180" s="131"/>
      <c r="AA180" s="130"/>
    </row>
    <row r="181" spans="1:27" x14ac:dyDescent="0.25">
      <c r="A181" s="538"/>
      <c r="B181" s="585" t="str">
        <f>IF(A181&lt;&gt;"",INDEX('Base de données'!A$4:L$990,MATCH(A181,'Base de données'!A$4:A$990,0),2),"")</f>
        <v/>
      </c>
      <c r="C181" s="585" t="str">
        <f>IF(A181&lt;&gt;"",INDEX('Base de données'!A$4:L$990,MATCH(A181,'Base de données'!A$4:A$990,0),12),"")</f>
        <v/>
      </c>
      <c r="D181" s="583"/>
      <c r="E181" s="130"/>
      <c r="F181" s="131"/>
      <c r="G181" s="130"/>
      <c r="H181" s="131"/>
      <c r="I181" s="130"/>
      <c r="J181" s="131"/>
      <c r="K181" s="130"/>
      <c r="L181" s="131"/>
      <c r="M181" s="130"/>
      <c r="N181" s="131"/>
      <c r="O181" s="130"/>
      <c r="P181" s="131"/>
      <c r="Q181" s="130"/>
      <c r="R181" s="131"/>
      <c r="S181" s="130"/>
      <c r="T181" s="131"/>
      <c r="U181" s="130"/>
      <c r="V181" s="131"/>
      <c r="W181" s="130"/>
      <c r="X181" s="131"/>
      <c r="Y181" s="130"/>
      <c r="Z181" s="131"/>
      <c r="AA181" s="130"/>
    </row>
    <row r="182" spans="1:27" x14ac:dyDescent="0.25">
      <c r="A182" s="538"/>
      <c r="B182" s="585" t="str">
        <f>IF(A182&lt;&gt;"",INDEX('Base de données'!A$4:L$990,MATCH(A182,'Base de données'!A$4:A$990,0),2),"")</f>
        <v/>
      </c>
      <c r="C182" s="585" t="str">
        <f>IF(A182&lt;&gt;"",INDEX('Base de données'!A$4:L$990,MATCH(A182,'Base de données'!A$4:A$990,0),12),"")</f>
        <v/>
      </c>
      <c r="D182" s="583"/>
      <c r="E182" s="130"/>
      <c r="F182" s="131"/>
      <c r="G182" s="130"/>
      <c r="H182" s="131"/>
      <c r="I182" s="130"/>
      <c r="J182" s="131"/>
      <c r="K182" s="130"/>
      <c r="L182" s="131"/>
      <c r="M182" s="130"/>
      <c r="N182" s="131"/>
      <c r="O182" s="130"/>
      <c r="P182" s="131"/>
      <c r="Q182" s="130"/>
      <c r="R182" s="131"/>
      <c r="S182" s="130"/>
      <c r="T182" s="131"/>
      <c r="U182" s="130"/>
      <c r="V182" s="131"/>
      <c r="W182" s="130"/>
      <c r="X182" s="131"/>
      <c r="Y182" s="130"/>
      <c r="Z182" s="131"/>
      <c r="AA182" s="130"/>
    </row>
    <row r="183" spans="1:27" x14ac:dyDescent="0.25">
      <c r="A183" s="538"/>
      <c r="B183" s="585" t="str">
        <f>IF(A183&lt;&gt;"",INDEX('Base de données'!A$4:L$990,MATCH(A183,'Base de données'!A$4:A$990,0),2),"")</f>
        <v/>
      </c>
      <c r="C183" s="585" t="str">
        <f>IF(A183&lt;&gt;"",INDEX('Base de données'!A$4:L$990,MATCH(A183,'Base de données'!A$4:A$990,0),12),"")</f>
        <v/>
      </c>
      <c r="D183" s="583"/>
      <c r="E183" s="130"/>
      <c r="F183" s="131"/>
      <c r="G183" s="130"/>
      <c r="H183" s="131"/>
      <c r="I183" s="130"/>
      <c r="J183" s="131"/>
      <c r="K183" s="130"/>
      <c r="L183" s="131"/>
      <c r="M183" s="130"/>
      <c r="N183" s="131"/>
      <c r="O183" s="130"/>
      <c r="P183" s="131"/>
      <c r="Q183" s="130"/>
      <c r="R183" s="131"/>
      <c r="S183" s="130"/>
      <c r="T183" s="131"/>
      <c r="U183" s="130"/>
      <c r="V183" s="131"/>
      <c r="W183" s="130"/>
      <c r="X183" s="131"/>
      <c r="Y183" s="130"/>
      <c r="Z183" s="131"/>
      <c r="AA183" s="130"/>
    </row>
    <row r="184" spans="1:27" x14ac:dyDescent="0.25">
      <c r="A184" s="538"/>
      <c r="B184" s="585" t="str">
        <f>IF(A184&lt;&gt;"",INDEX('Base de données'!A$4:L$990,MATCH(A184,'Base de données'!A$4:A$990,0),2),"")</f>
        <v/>
      </c>
      <c r="C184" s="585" t="str">
        <f>IF(A184&lt;&gt;"",INDEX('Base de données'!A$4:L$990,MATCH(A184,'Base de données'!A$4:A$990,0),12),"")</f>
        <v/>
      </c>
      <c r="D184" s="583"/>
      <c r="E184" s="130"/>
      <c r="F184" s="131"/>
      <c r="G184" s="130"/>
      <c r="H184" s="131"/>
      <c r="I184" s="130"/>
      <c r="J184" s="131"/>
      <c r="K184" s="130"/>
      <c r="L184" s="131"/>
      <c r="M184" s="130"/>
      <c r="N184" s="131"/>
      <c r="O184" s="130"/>
      <c r="P184" s="131"/>
      <c r="Q184" s="130"/>
      <c r="R184" s="131"/>
      <c r="S184" s="130"/>
      <c r="T184" s="131"/>
      <c r="U184" s="130"/>
      <c r="V184" s="131"/>
      <c r="W184" s="130"/>
      <c r="X184" s="131"/>
      <c r="Y184" s="130"/>
      <c r="Z184" s="131"/>
      <c r="AA184" s="130"/>
    </row>
    <row r="185" spans="1:27" x14ac:dyDescent="0.25">
      <c r="A185" s="538"/>
      <c r="B185" s="585" t="str">
        <f>IF(A185&lt;&gt;"",INDEX('Base de données'!A$4:L$990,MATCH(A185,'Base de données'!A$4:A$990,0),2),"")</f>
        <v/>
      </c>
      <c r="C185" s="585" t="str">
        <f>IF(A185&lt;&gt;"",INDEX('Base de données'!A$4:L$990,MATCH(A185,'Base de données'!A$4:A$990,0),12),"")</f>
        <v/>
      </c>
      <c r="D185" s="583"/>
      <c r="E185" s="130"/>
      <c r="F185" s="131"/>
      <c r="G185" s="130"/>
      <c r="H185" s="131"/>
      <c r="I185" s="130"/>
      <c r="J185" s="131"/>
      <c r="K185" s="130"/>
      <c r="L185" s="131"/>
      <c r="M185" s="130"/>
      <c r="N185" s="131"/>
      <c r="O185" s="130"/>
      <c r="P185" s="131"/>
      <c r="Q185" s="130"/>
      <c r="R185" s="131"/>
      <c r="S185" s="130"/>
      <c r="T185" s="131"/>
      <c r="U185" s="130"/>
      <c r="V185" s="131"/>
      <c r="W185" s="130"/>
      <c r="X185" s="131"/>
      <c r="Y185" s="130"/>
      <c r="Z185" s="131"/>
      <c r="AA185" s="130"/>
    </row>
    <row r="186" spans="1:27" x14ac:dyDescent="0.25">
      <c r="A186" s="538"/>
      <c r="B186" s="585" t="str">
        <f>IF(A186&lt;&gt;"",INDEX('Base de données'!A$4:L$990,MATCH(A186,'Base de données'!A$4:A$990,0),2),"")</f>
        <v/>
      </c>
      <c r="C186" s="585" t="str">
        <f>IF(A186&lt;&gt;"",INDEX('Base de données'!A$4:L$990,MATCH(A186,'Base de données'!A$4:A$990,0),12),"")</f>
        <v/>
      </c>
      <c r="D186" s="583"/>
      <c r="E186" s="130"/>
      <c r="F186" s="131"/>
      <c r="G186" s="130"/>
      <c r="H186" s="131"/>
      <c r="I186" s="130"/>
      <c r="J186" s="131"/>
      <c r="K186" s="130"/>
      <c r="L186" s="131"/>
      <c r="M186" s="130"/>
      <c r="N186" s="131"/>
      <c r="O186" s="130"/>
      <c r="P186" s="131"/>
      <c r="Q186" s="130"/>
      <c r="R186" s="131"/>
      <c r="S186" s="130"/>
      <c r="T186" s="131"/>
      <c r="U186" s="130"/>
      <c r="V186" s="131"/>
      <c r="W186" s="130"/>
      <c r="X186" s="131"/>
      <c r="Y186" s="130"/>
      <c r="Z186" s="131"/>
      <c r="AA186" s="130"/>
    </row>
    <row r="187" spans="1:27" x14ac:dyDescent="0.25">
      <c r="A187" s="538"/>
      <c r="B187" s="585" t="str">
        <f>IF(A187&lt;&gt;"",INDEX('Base de données'!A$4:L$990,MATCH(A187,'Base de données'!A$4:A$990,0),2),"")</f>
        <v/>
      </c>
      <c r="C187" s="585" t="str">
        <f>IF(A187&lt;&gt;"",INDEX('Base de données'!A$4:L$990,MATCH(A187,'Base de données'!A$4:A$990,0),12),"")</f>
        <v/>
      </c>
      <c r="D187" s="583"/>
      <c r="E187" s="130"/>
      <c r="F187" s="131"/>
      <c r="G187" s="130"/>
      <c r="H187" s="131"/>
      <c r="I187" s="130"/>
      <c r="J187" s="131"/>
      <c r="K187" s="130"/>
      <c r="L187" s="131"/>
      <c r="M187" s="130"/>
      <c r="N187" s="131"/>
      <c r="O187" s="130"/>
      <c r="P187" s="131"/>
      <c r="Q187" s="130"/>
      <c r="R187" s="131"/>
      <c r="S187" s="130"/>
      <c r="T187" s="131"/>
      <c r="U187" s="130"/>
      <c r="V187" s="131"/>
      <c r="W187" s="130"/>
      <c r="X187" s="131"/>
      <c r="Y187" s="130"/>
      <c r="Z187" s="131"/>
      <c r="AA187" s="130"/>
    </row>
    <row r="188" spans="1:27" x14ac:dyDescent="0.25">
      <c r="A188" s="538"/>
      <c r="B188" s="585" t="str">
        <f>IF(A188&lt;&gt;"",INDEX('Base de données'!A$4:L$990,MATCH(A188,'Base de données'!A$4:A$990,0),2),"")</f>
        <v/>
      </c>
      <c r="C188" s="585" t="str">
        <f>IF(A188&lt;&gt;"",INDEX('Base de données'!A$4:L$990,MATCH(A188,'Base de données'!A$4:A$990,0),12),"")</f>
        <v/>
      </c>
      <c r="D188" s="583"/>
      <c r="E188" s="130"/>
      <c r="F188" s="131"/>
      <c r="G188" s="130"/>
      <c r="H188" s="131"/>
      <c r="I188" s="130"/>
      <c r="J188" s="131"/>
      <c r="K188" s="130"/>
      <c r="L188" s="131"/>
      <c r="M188" s="130"/>
      <c r="N188" s="131"/>
      <c r="O188" s="130"/>
      <c r="P188" s="131"/>
      <c r="Q188" s="130"/>
      <c r="R188" s="131"/>
      <c r="S188" s="130"/>
      <c r="T188" s="131"/>
      <c r="U188" s="130"/>
      <c r="V188" s="131"/>
      <c r="W188" s="130"/>
      <c r="X188" s="131"/>
      <c r="Y188" s="130"/>
      <c r="Z188" s="131"/>
      <c r="AA188" s="130"/>
    </row>
    <row r="189" spans="1:27" x14ac:dyDescent="0.25">
      <c r="A189" s="538"/>
      <c r="B189" s="585" t="str">
        <f>IF(A189&lt;&gt;"",INDEX('Base de données'!A$4:L$990,MATCH(A189,'Base de données'!A$4:A$990,0),2),"")</f>
        <v/>
      </c>
      <c r="C189" s="585" t="str">
        <f>IF(A189&lt;&gt;"",INDEX('Base de données'!A$4:L$990,MATCH(A189,'Base de données'!A$4:A$990,0),12),"")</f>
        <v/>
      </c>
      <c r="D189" s="583"/>
      <c r="E189" s="130"/>
      <c r="F189" s="131"/>
      <c r="G189" s="130"/>
      <c r="H189" s="131"/>
      <c r="I189" s="130"/>
      <c r="J189" s="131"/>
      <c r="K189" s="130"/>
      <c r="L189" s="131"/>
      <c r="M189" s="130"/>
      <c r="N189" s="131"/>
      <c r="O189" s="130"/>
      <c r="P189" s="131"/>
      <c r="Q189" s="130"/>
      <c r="R189" s="131"/>
      <c r="S189" s="130"/>
      <c r="T189" s="131"/>
      <c r="U189" s="130"/>
      <c r="V189" s="131"/>
      <c r="W189" s="130"/>
      <c r="X189" s="131"/>
      <c r="Y189" s="130"/>
      <c r="Z189" s="131"/>
      <c r="AA189" s="130"/>
    </row>
    <row r="190" spans="1:27" x14ac:dyDescent="0.25">
      <c r="A190" s="538"/>
      <c r="B190" s="585" t="str">
        <f>IF(A190&lt;&gt;"",INDEX('Base de données'!A$4:L$990,MATCH(A190,'Base de données'!A$4:A$990,0),2),"")</f>
        <v/>
      </c>
      <c r="C190" s="585" t="str">
        <f>IF(A190&lt;&gt;"",INDEX('Base de données'!A$4:L$990,MATCH(A190,'Base de données'!A$4:A$990,0),12),"")</f>
        <v/>
      </c>
      <c r="D190" s="583"/>
      <c r="E190" s="130"/>
      <c r="F190" s="131"/>
      <c r="G190" s="130"/>
      <c r="H190" s="131"/>
      <c r="I190" s="130"/>
      <c r="J190" s="131"/>
      <c r="K190" s="130"/>
      <c r="L190" s="131"/>
      <c r="M190" s="130"/>
      <c r="N190" s="131"/>
      <c r="O190" s="130"/>
      <c r="P190" s="131"/>
      <c r="Q190" s="130"/>
      <c r="R190" s="131"/>
      <c r="S190" s="130"/>
      <c r="T190" s="131"/>
      <c r="U190" s="130"/>
      <c r="V190" s="131"/>
      <c r="W190" s="130"/>
      <c r="X190" s="131"/>
      <c r="Y190" s="130"/>
      <c r="Z190" s="131"/>
      <c r="AA190" s="130"/>
    </row>
    <row r="191" spans="1:27" x14ac:dyDescent="0.25">
      <c r="A191" s="538"/>
      <c r="B191" s="585" t="str">
        <f>IF(A191&lt;&gt;"",INDEX('Base de données'!A$4:L$990,MATCH(A191,'Base de données'!A$4:A$990,0),2),"")</f>
        <v/>
      </c>
      <c r="C191" s="585" t="str">
        <f>IF(A191&lt;&gt;"",INDEX('Base de données'!A$4:L$990,MATCH(A191,'Base de données'!A$4:A$990,0),12),"")</f>
        <v/>
      </c>
      <c r="D191" s="583"/>
      <c r="E191" s="130"/>
      <c r="F191" s="131"/>
      <c r="G191" s="130"/>
      <c r="H191" s="131"/>
      <c r="I191" s="130"/>
      <c r="J191" s="131"/>
      <c r="K191" s="130"/>
      <c r="L191" s="131"/>
      <c r="M191" s="130"/>
      <c r="N191" s="131"/>
      <c r="O191" s="130"/>
      <c r="P191" s="131"/>
      <c r="Q191" s="130"/>
      <c r="R191" s="131"/>
      <c r="S191" s="130"/>
      <c r="T191" s="131"/>
      <c r="U191" s="130"/>
      <c r="V191" s="131"/>
      <c r="W191" s="130"/>
      <c r="X191" s="131"/>
      <c r="Y191" s="130"/>
      <c r="Z191" s="131"/>
      <c r="AA191" s="130"/>
    </row>
    <row r="192" spans="1:27" x14ac:dyDescent="0.25">
      <c r="A192" s="538"/>
      <c r="B192" s="585" t="str">
        <f>IF(A192&lt;&gt;"",INDEX('Base de données'!A$4:L$990,MATCH(A192,'Base de données'!A$4:A$990,0),2),"")</f>
        <v/>
      </c>
      <c r="C192" s="585" t="str">
        <f>IF(A192&lt;&gt;"",INDEX('Base de données'!A$4:L$990,MATCH(A192,'Base de données'!A$4:A$990,0),12),"")</f>
        <v/>
      </c>
      <c r="D192" s="583"/>
      <c r="E192" s="130"/>
      <c r="F192" s="131"/>
      <c r="G192" s="130"/>
      <c r="H192" s="131"/>
      <c r="I192" s="130"/>
      <c r="J192" s="131"/>
      <c r="K192" s="130"/>
      <c r="L192" s="131"/>
      <c r="M192" s="130"/>
      <c r="N192" s="131"/>
      <c r="O192" s="130"/>
      <c r="P192" s="131"/>
      <c r="Q192" s="130"/>
      <c r="R192" s="131"/>
      <c r="S192" s="130"/>
      <c r="T192" s="131"/>
      <c r="U192" s="130"/>
      <c r="V192" s="131"/>
      <c r="W192" s="130"/>
      <c r="X192" s="131"/>
      <c r="Y192" s="130"/>
      <c r="Z192" s="131"/>
      <c r="AA192" s="130"/>
    </row>
    <row r="193" spans="1:27" x14ac:dyDescent="0.25">
      <c r="A193" s="538"/>
      <c r="B193" s="585" t="str">
        <f>IF(A193&lt;&gt;"",INDEX('Base de données'!A$4:L$990,MATCH(A193,'Base de données'!A$4:A$990,0),2),"")</f>
        <v/>
      </c>
      <c r="C193" s="585" t="str">
        <f>IF(A193&lt;&gt;"",INDEX('Base de données'!A$4:L$990,MATCH(A193,'Base de données'!A$4:A$990,0),12),"")</f>
        <v/>
      </c>
      <c r="D193" s="583"/>
      <c r="E193" s="130"/>
      <c r="F193" s="131"/>
      <c r="G193" s="130"/>
      <c r="H193" s="131"/>
      <c r="I193" s="130"/>
      <c r="J193" s="131"/>
      <c r="K193" s="130"/>
      <c r="L193" s="131"/>
      <c r="M193" s="130"/>
      <c r="N193" s="131"/>
      <c r="O193" s="130"/>
      <c r="P193" s="131"/>
      <c r="Q193" s="130"/>
      <c r="R193" s="131"/>
      <c r="S193" s="130"/>
      <c r="T193" s="131"/>
      <c r="U193" s="130"/>
      <c r="V193" s="131"/>
      <c r="W193" s="130"/>
      <c r="X193" s="131"/>
      <c r="Y193" s="130"/>
      <c r="Z193" s="131"/>
      <c r="AA193" s="130"/>
    </row>
    <row r="194" spans="1:27" x14ac:dyDescent="0.25">
      <c r="A194" s="538"/>
      <c r="B194" s="585" t="str">
        <f>IF(A194&lt;&gt;"",INDEX('Base de données'!A$4:L$990,MATCH(A194,'Base de données'!A$4:A$990,0),2),"")</f>
        <v/>
      </c>
      <c r="C194" s="585" t="str">
        <f>IF(A194&lt;&gt;"",INDEX('Base de données'!A$4:L$990,MATCH(A194,'Base de données'!A$4:A$990,0),12),"")</f>
        <v/>
      </c>
      <c r="D194" s="583"/>
      <c r="E194" s="130"/>
      <c r="F194" s="131"/>
      <c r="G194" s="130"/>
      <c r="H194" s="131"/>
      <c r="I194" s="130"/>
      <c r="J194" s="131"/>
      <c r="K194" s="130"/>
      <c r="L194" s="131"/>
      <c r="M194" s="130"/>
      <c r="N194" s="131"/>
      <c r="O194" s="130"/>
      <c r="P194" s="131"/>
      <c r="Q194" s="130"/>
      <c r="R194" s="131"/>
      <c r="S194" s="130"/>
      <c r="T194" s="131"/>
      <c r="U194" s="130"/>
      <c r="V194" s="131"/>
      <c r="W194" s="130"/>
      <c r="X194" s="131"/>
      <c r="Y194" s="130"/>
      <c r="Z194" s="131"/>
      <c r="AA194" s="130"/>
    </row>
    <row r="195" spans="1:27" x14ac:dyDescent="0.25">
      <c r="A195" s="538"/>
      <c r="B195" s="585" t="str">
        <f>IF(A195&lt;&gt;"",INDEX('Base de données'!A$4:L$990,MATCH(A195,'Base de données'!A$4:A$990,0),2),"")</f>
        <v/>
      </c>
      <c r="C195" s="585" t="str">
        <f>IF(A195&lt;&gt;"",INDEX('Base de données'!A$4:L$990,MATCH(A195,'Base de données'!A$4:A$990,0),12),"")</f>
        <v/>
      </c>
      <c r="D195" s="583"/>
      <c r="E195" s="130"/>
      <c r="F195" s="131"/>
      <c r="G195" s="130"/>
      <c r="H195" s="131"/>
      <c r="I195" s="130"/>
      <c r="J195" s="131"/>
      <c r="K195" s="130"/>
      <c r="L195" s="131"/>
      <c r="M195" s="130"/>
      <c r="N195" s="131"/>
      <c r="O195" s="130"/>
      <c r="P195" s="131"/>
      <c r="Q195" s="130"/>
      <c r="R195" s="131"/>
      <c r="S195" s="130"/>
      <c r="T195" s="131"/>
      <c r="U195" s="130"/>
      <c r="V195" s="131"/>
      <c r="W195" s="130"/>
      <c r="X195" s="131"/>
      <c r="Y195" s="130"/>
      <c r="Z195" s="131"/>
      <c r="AA195" s="130"/>
    </row>
    <row r="196" spans="1:27" x14ac:dyDescent="0.25">
      <c r="A196" s="538"/>
      <c r="B196" s="585" t="str">
        <f>IF(A196&lt;&gt;"",INDEX('Base de données'!A$4:L$990,MATCH(A196,'Base de données'!A$4:A$990,0),2),"")</f>
        <v/>
      </c>
      <c r="C196" s="585" t="str">
        <f>IF(A196&lt;&gt;"",INDEX('Base de données'!A$4:L$990,MATCH(A196,'Base de données'!A$4:A$990,0),12),"")</f>
        <v/>
      </c>
      <c r="D196" s="583"/>
      <c r="E196" s="130"/>
      <c r="F196" s="131"/>
      <c r="G196" s="130"/>
      <c r="H196" s="131"/>
      <c r="I196" s="130"/>
      <c r="J196" s="131"/>
      <c r="K196" s="130"/>
      <c r="L196" s="131"/>
      <c r="M196" s="130"/>
      <c r="N196" s="131"/>
      <c r="O196" s="130"/>
      <c r="P196" s="131"/>
      <c r="Q196" s="130"/>
      <c r="R196" s="131"/>
      <c r="S196" s="130"/>
      <c r="T196" s="131"/>
      <c r="U196" s="130"/>
      <c r="V196" s="131"/>
      <c r="W196" s="130"/>
      <c r="X196" s="131"/>
      <c r="Y196" s="130"/>
      <c r="Z196" s="131"/>
      <c r="AA196" s="130"/>
    </row>
    <row r="197" spans="1:27" x14ac:dyDescent="0.25">
      <c r="A197" s="538"/>
      <c r="B197" s="585" t="str">
        <f>IF(A197&lt;&gt;"",INDEX('Base de données'!A$4:L$990,MATCH(A197,'Base de données'!A$4:A$990,0),2),"")</f>
        <v/>
      </c>
      <c r="C197" s="585" t="str">
        <f>IF(A197&lt;&gt;"",INDEX('Base de données'!A$4:L$990,MATCH(A197,'Base de données'!A$4:A$990,0),12),"")</f>
        <v/>
      </c>
      <c r="D197" s="583"/>
      <c r="E197" s="130"/>
      <c r="F197" s="131"/>
      <c r="G197" s="130"/>
      <c r="H197" s="131"/>
      <c r="I197" s="130"/>
      <c r="J197" s="131"/>
      <c r="K197" s="130"/>
      <c r="L197" s="131"/>
      <c r="M197" s="130"/>
      <c r="N197" s="131"/>
      <c r="O197" s="130"/>
      <c r="P197" s="131"/>
      <c r="Q197" s="130"/>
      <c r="R197" s="131"/>
      <c r="S197" s="130"/>
      <c r="T197" s="131"/>
      <c r="U197" s="130"/>
      <c r="V197" s="131"/>
      <c r="W197" s="130"/>
      <c r="X197" s="131"/>
      <c r="Y197" s="130"/>
      <c r="Z197" s="131"/>
      <c r="AA197" s="130"/>
    </row>
    <row r="198" spans="1:27" x14ac:dyDescent="0.25">
      <c r="A198" s="538"/>
      <c r="B198" s="585" t="str">
        <f>IF(A198&lt;&gt;"",INDEX('Base de données'!A$4:L$990,MATCH(A198,'Base de données'!A$4:A$990,0),2),"")</f>
        <v/>
      </c>
      <c r="C198" s="585" t="str">
        <f>IF(A198&lt;&gt;"",INDEX('Base de données'!A$4:L$990,MATCH(A198,'Base de données'!A$4:A$990,0),12),"")</f>
        <v/>
      </c>
      <c r="D198" s="583"/>
      <c r="E198" s="130"/>
      <c r="F198" s="131"/>
      <c r="G198" s="130"/>
      <c r="H198" s="131"/>
      <c r="I198" s="130"/>
      <c r="J198" s="131"/>
      <c r="K198" s="130"/>
      <c r="L198" s="131"/>
      <c r="M198" s="130"/>
      <c r="N198" s="131"/>
      <c r="O198" s="130"/>
      <c r="P198" s="131"/>
      <c r="Q198" s="130"/>
      <c r="R198" s="131"/>
      <c r="S198" s="130"/>
      <c r="T198" s="131"/>
      <c r="U198" s="130"/>
      <c r="V198" s="131"/>
      <c r="W198" s="130"/>
      <c r="X198" s="131"/>
      <c r="Y198" s="130"/>
      <c r="Z198" s="131"/>
      <c r="AA198" s="130"/>
    </row>
    <row r="199" spans="1:27" x14ac:dyDescent="0.25">
      <c r="A199" s="538"/>
      <c r="B199" s="585" t="str">
        <f>IF(A199&lt;&gt;"",INDEX('Base de données'!A$4:L$990,MATCH(A199,'Base de données'!A$4:A$990,0),2),"")</f>
        <v/>
      </c>
      <c r="C199" s="585" t="str">
        <f>IF(A199&lt;&gt;"",INDEX('Base de données'!A$4:L$990,MATCH(A199,'Base de données'!A$4:A$990,0),12),"")</f>
        <v/>
      </c>
      <c r="D199" s="583"/>
      <c r="E199" s="130"/>
      <c r="F199" s="131"/>
      <c r="G199" s="130"/>
      <c r="H199" s="131"/>
      <c r="I199" s="130"/>
      <c r="J199" s="131"/>
      <c r="K199" s="130"/>
      <c r="L199" s="131"/>
      <c r="M199" s="130"/>
      <c r="N199" s="131"/>
      <c r="O199" s="130"/>
      <c r="P199" s="131"/>
      <c r="Q199" s="130"/>
      <c r="R199" s="131"/>
      <c r="S199" s="130"/>
      <c r="T199" s="131"/>
      <c r="U199" s="130"/>
      <c r="V199" s="131"/>
      <c r="W199" s="130"/>
      <c r="X199" s="131"/>
      <c r="Y199" s="130"/>
      <c r="Z199" s="131"/>
      <c r="AA199" s="130"/>
    </row>
    <row r="200" spans="1:27" x14ac:dyDescent="0.25">
      <c r="A200" s="538"/>
      <c r="B200" s="585" t="str">
        <f>IF(A200&lt;&gt;"",INDEX('Base de données'!A$4:L$990,MATCH(A200,'Base de données'!A$4:A$990,0),2),"")</f>
        <v/>
      </c>
      <c r="C200" s="585" t="str">
        <f>IF(A200&lt;&gt;"",INDEX('Base de données'!A$4:L$990,MATCH(A200,'Base de données'!A$4:A$990,0),12),"")</f>
        <v/>
      </c>
      <c r="D200" s="583"/>
      <c r="E200" s="130"/>
      <c r="F200" s="131"/>
      <c r="G200" s="130"/>
      <c r="H200" s="131"/>
      <c r="I200" s="130"/>
      <c r="J200" s="131"/>
      <c r="K200" s="130"/>
      <c r="L200" s="131"/>
      <c r="M200" s="130"/>
      <c r="N200" s="131"/>
      <c r="O200" s="130"/>
      <c r="P200" s="131"/>
      <c r="Q200" s="130"/>
      <c r="R200" s="131"/>
      <c r="S200" s="130"/>
      <c r="T200" s="131"/>
      <c r="U200" s="130"/>
      <c r="V200" s="131"/>
      <c r="W200" s="130"/>
      <c r="X200" s="131"/>
      <c r="Y200" s="130"/>
      <c r="Z200" s="131"/>
      <c r="AA200" s="130"/>
    </row>
    <row r="201" spans="1:27" x14ac:dyDescent="0.25">
      <c r="A201" s="538"/>
      <c r="B201" s="585" t="str">
        <f>IF(A201&lt;&gt;"",INDEX('Base de données'!A$4:L$990,MATCH(A201,'Base de données'!A$4:A$990,0),2),"")</f>
        <v/>
      </c>
      <c r="C201" s="585" t="str">
        <f>IF(A201&lt;&gt;"",INDEX('Base de données'!A$4:L$990,MATCH(A201,'Base de données'!A$4:A$990,0),12),"")</f>
        <v/>
      </c>
      <c r="D201" s="583"/>
      <c r="E201" s="130"/>
      <c r="F201" s="131"/>
      <c r="G201" s="130"/>
      <c r="H201" s="131"/>
      <c r="I201" s="130"/>
      <c r="J201" s="131"/>
      <c r="K201" s="130"/>
      <c r="L201" s="131"/>
      <c r="M201" s="130"/>
      <c r="N201" s="131"/>
      <c r="O201" s="130"/>
      <c r="P201" s="131"/>
      <c r="Q201" s="130"/>
      <c r="R201" s="131"/>
      <c r="S201" s="130"/>
      <c r="T201" s="131"/>
      <c r="U201" s="130"/>
      <c r="V201" s="131"/>
      <c r="W201" s="130"/>
      <c r="X201" s="131"/>
      <c r="Y201" s="130"/>
      <c r="Z201" s="131"/>
      <c r="AA201" s="130"/>
    </row>
    <row r="202" spans="1:27" x14ac:dyDescent="0.25">
      <c r="A202" s="538"/>
      <c r="B202" s="585" t="str">
        <f>IF(A202&lt;&gt;"",INDEX('Base de données'!A$4:L$990,MATCH(A202,'Base de données'!A$4:A$990,0),2),"")</f>
        <v/>
      </c>
      <c r="C202" s="585" t="str">
        <f>IF(A202&lt;&gt;"",INDEX('Base de données'!A$4:L$990,MATCH(A202,'Base de données'!A$4:A$990,0),12),"")</f>
        <v/>
      </c>
      <c r="D202" s="583"/>
      <c r="E202" s="130"/>
      <c r="F202" s="131"/>
      <c r="G202" s="130"/>
      <c r="H202" s="131"/>
      <c r="I202" s="130"/>
      <c r="J202" s="131"/>
      <c r="K202" s="130"/>
      <c r="L202" s="131"/>
      <c r="M202" s="130"/>
      <c r="N202" s="131"/>
      <c r="O202" s="130"/>
      <c r="P202" s="131"/>
      <c r="Q202" s="130"/>
      <c r="R202" s="131"/>
      <c r="S202" s="130"/>
      <c r="T202" s="131"/>
      <c r="U202" s="130"/>
      <c r="V202" s="131"/>
      <c r="W202" s="130"/>
      <c r="X202" s="131"/>
      <c r="Y202" s="130"/>
      <c r="Z202" s="131"/>
      <c r="AA202" s="130"/>
    </row>
    <row r="203" spans="1:27" x14ac:dyDescent="0.25">
      <c r="A203" s="538"/>
      <c r="B203" s="585" t="str">
        <f>IF(A203&lt;&gt;"",INDEX('Base de données'!A$4:L$990,MATCH(A203,'Base de données'!A$4:A$990,0),2),"")</f>
        <v/>
      </c>
      <c r="C203" s="585" t="str">
        <f>IF(A203&lt;&gt;"",INDEX('Base de données'!A$4:L$990,MATCH(A203,'Base de données'!A$4:A$990,0),12),"")</f>
        <v/>
      </c>
      <c r="D203" s="583"/>
      <c r="E203" s="130"/>
      <c r="F203" s="131"/>
      <c r="G203" s="130"/>
      <c r="H203" s="131"/>
      <c r="I203" s="130"/>
      <c r="J203" s="131"/>
      <c r="K203" s="130"/>
      <c r="L203" s="131"/>
      <c r="M203" s="130"/>
      <c r="N203" s="131"/>
      <c r="O203" s="130"/>
      <c r="P203" s="131"/>
      <c r="Q203" s="130"/>
      <c r="R203" s="131"/>
      <c r="S203" s="130"/>
      <c r="T203" s="131"/>
      <c r="U203" s="130"/>
      <c r="V203" s="131"/>
      <c r="W203" s="130"/>
      <c r="X203" s="131"/>
      <c r="Y203" s="130"/>
      <c r="Z203" s="131"/>
      <c r="AA203" s="130"/>
    </row>
    <row r="204" spans="1:27" x14ac:dyDescent="0.25">
      <c r="A204" s="538"/>
      <c r="B204" s="585" t="str">
        <f>IF(A204&lt;&gt;"",INDEX('Base de données'!A$4:L$990,MATCH(A204,'Base de données'!A$4:A$990,0),2),"")</f>
        <v/>
      </c>
      <c r="C204" s="585" t="str">
        <f>IF(A204&lt;&gt;"",INDEX('Base de données'!A$4:L$990,MATCH(A204,'Base de données'!A$4:A$990,0),12),"")</f>
        <v/>
      </c>
      <c r="D204" s="583"/>
      <c r="E204" s="130"/>
      <c r="F204" s="131"/>
      <c r="G204" s="130"/>
      <c r="H204" s="131"/>
      <c r="I204" s="130"/>
      <c r="J204" s="131"/>
      <c r="K204" s="130"/>
      <c r="L204" s="131"/>
      <c r="M204" s="130"/>
      <c r="N204" s="131"/>
      <c r="O204" s="130"/>
      <c r="P204" s="131"/>
      <c r="Q204" s="130"/>
      <c r="R204" s="131"/>
      <c r="S204" s="130"/>
      <c r="T204" s="131"/>
      <c r="U204" s="130"/>
      <c r="V204" s="131"/>
      <c r="W204" s="130"/>
      <c r="X204" s="131"/>
      <c r="Y204" s="130"/>
      <c r="Z204" s="131"/>
      <c r="AA204" s="130"/>
    </row>
    <row r="205" spans="1:27" x14ac:dyDescent="0.25">
      <c r="A205" s="538"/>
      <c r="B205" s="585" t="str">
        <f>IF(A205&lt;&gt;"",INDEX('Base de données'!A$4:L$990,MATCH(A205,'Base de données'!A$4:A$990,0),2),"")</f>
        <v/>
      </c>
      <c r="C205" s="585" t="str">
        <f>IF(A205&lt;&gt;"",INDEX('Base de données'!A$4:L$990,MATCH(A205,'Base de données'!A$4:A$990,0),12),"")</f>
        <v/>
      </c>
      <c r="D205" s="583"/>
      <c r="E205" s="130"/>
      <c r="F205" s="131"/>
      <c r="G205" s="130"/>
      <c r="H205" s="131"/>
      <c r="I205" s="130"/>
      <c r="J205" s="131"/>
      <c r="K205" s="130"/>
      <c r="L205" s="131"/>
      <c r="M205" s="130"/>
      <c r="N205" s="131"/>
      <c r="O205" s="130"/>
      <c r="P205" s="131"/>
      <c r="Q205" s="130"/>
      <c r="R205" s="131"/>
      <c r="S205" s="130"/>
      <c r="T205" s="131"/>
      <c r="U205" s="130"/>
      <c r="V205" s="131"/>
      <c r="W205" s="130"/>
      <c r="X205" s="131"/>
      <c r="Y205" s="130"/>
      <c r="Z205" s="131"/>
      <c r="AA205" s="130"/>
    </row>
    <row r="206" spans="1:27" x14ac:dyDescent="0.25">
      <c r="A206" s="538"/>
      <c r="B206" s="585" t="str">
        <f>IF(A206&lt;&gt;"",INDEX('Base de données'!A$4:L$990,MATCH(A206,'Base de données'!A$4:A$990,0),2),"")</f>
        <v/>
      </c>
      <c r="C206" s="585" t="str">
        <f>IF(A206&lt;&gt;"",INDEX('Base de données'!A$4:L$990,MATCH(A206,'Base de données'!A$4:A$990,0),12),"")</f>
        <v/>
      </c>
      <c r="D206" s="583"/>
      <c r="E206" s="130"/>
      <c r="F206" s="131"/>
      <c r="G206" s="130"/>
      <c r="H206" s="131"/>
      <c r="I206" s="130"/>
      <c r="J206" s="131"/>
      <c r="K206" s="130"/>
      <c r="L206" s="131"/>
      <c r="M206" s="130"/>
      <c r="N206" s="131"/>
      <c r="O206" s="130"/>
      <c r="P206" s="131"/>
      <c r="Q206" s="130"/>
      <c r="R206" s="131"/>
      <c r="S206" s="130"/>
      <c r="T206" s="131"/>
      <c r="U206" s="130"/>
      <c r="V206" s="131"/>
      <c r="W206" s="130"/>
      <c r="X206" s="131"/>
      <c r="Y206" s="130"/>
      <c r="Z206" s="131"/>
      <c r="AA206" s="130"/>
    </row>
    <row r="207" spans="1:27" x14ac:dyDescent="0.25">
      <c r="A207" s="538"/>
      <c r="B207" s="585" t="str">
        <f>IF(A207&lt;&gt;"",INDEX('Base de données'!A$4:L$990,MATCH(A207,'Base de données'!A$4:A$990,0),2),"")</f>
        <v/>
      </c>
      <c r="C207" s="585" t="str">
        <f>IF(A207&lt;&gt;"",INDEX('Base de données'!A$4:L$990,MATCH(A207,'Base de données'!A$4:A$990,0),12),"")</f>
        <v/>
      </c>
      <c r="D207" s="583"/>
      <c r="E207" s="130"/>
      <c r="F207" s="131"/>
      <c r="G207" s="130"/>
      <c r="H207" s="131"/>
      <c r="I207" s="130"/>
      <c r="J207" s="131"/>
      <c r="K207" s="130"/>
      <c r="L207" s="131"/>
      <c r="M207" s="130"/>
      <c r="N207" s="131"/>
      <c r="O207" s="130"/>
      <c r="P207" s="131"/>
      <c r="Q207" s="130"/>
      <c r="R207" s="131"/>
      <c r="S207" s="130"/>
      <c r="T207" s="131"/>
      <c r="U207" s="130"/>
      <c r="V207" s="131"/>
      <c r="W207" s="130"/>
      <c r="X207" s="131"/>
      <c r="Y207" s="130"/>
      <c r="Z207" s="131"/>
      <c r="AA207" s="130"/>
    </row>
    <row r="208" spans="1:27" x14ac:dyDescent="0.25">
      <c r="A208" s="538"/>
      <c r="B208" s="585" t="str">
        <f>IF(A208&lt;&gt;"",INDEX('Base de données'!A$4:L$990,MATCH(A208,'Base de données'!A$4:A$990,0),2),"")</f>
        <v/>
      </c>
      <c r="C208" s="585" t="str">
        <f>IF(A208&lt;&gt;"",INDEX('Base de données'!A$4:L$990,MATCH(A208,'Base de données'!A$4:A$990,0),12),"")</f>
        <v/>
      </c>
      <c r="D208" s="583"/>
      <c r="E208" s="130"/>
      <c r="F208" s="131"/>
      <c r="G208" s="130"/>
      <c r="H208" s="131"/>
      <c r="I208" s="130"/>
      <c r="J208" s="131"/>
      <c r="K208" s="130"/>
      <c r="L208" s="131"/>
      <c r="M208" s="130"/>
      <c r="N208" s="131"/>
      <c r="O208" s="130"/>
      <c r="P208" s="131"/>
      <c r="Q208" s="130"/>
      <c r="R208" s="131"/>
      <c r="S208" s="130"/>
      <c r="T208" s="131"/>
      <c r="U208" s="130"/>
      <c r="V208" s="131"/>
      <c r="W208" s="130"/>
      <c r="X208" s="131"/>
      <c r="Y208" s="130"/>
      <c r="Z208" s="131"/>
      <c r="AA208" s="130"/>
    </row>
    <row r="209" spans="1:27" x14ac:dyDescent="0.25">
      <c r="A209" s="538"/>
      <c r="B209" s="585" t="str">
        <f>IF(A209&lt;&gt;"",INDEX('Base de données'!A$4:L$990,MATCH(A209,'Base de données'!A$4:A$990,0),2),"")</f>
        <v/>
      </c>
      <c r="C209" s="585" t="str">
        <f>IF(A209&lt;&gt;"",INDEX('Base de données'!A$4:L$990,MATCH(A209,'Base de données'!A$4:A$990,0),12),"")</f>
        <v/>
      </c>
      <c r="D209" s="583"/>
      <c r="E209" s="130"/>
      <c r="F209" s="131"/>
      <c r="G209" s="130"/>
      <c r="H209" s="131"/>
      <c r="I209" s="130"/>
      <c r="J209" s="131"/>
      <c r="K209" s="130"/>
      <c r="L209" s="131"/>
      <c r="M209" s="130"/>
      <c r="N209" s="131"/>
      <c r="O209" s="130"/>
      <c r="P209" s="131"/>
      <c r="Q209" s="130"/>
      <c r="R209" s="131"/>
      <c r="S209" s="130"/>
      <c r="T209" s="131"/>
      <c r="U209" s="130"/>
      <c r="V209" s="131"/>
      <c r="W209" s="130"/>
      <c r="X209" s="131"/>
      <c r="Y209" s="130"/>
      <c r="Z209" s="131"/>
      <c r="AA209" s="130"/>
    </row>
    <row r="210" spans="1:27" x14ac:dyDescent="0.25">
      <c r="A210" s="538"/>
      <c r="B210" s="585" t="str">
        <f>IF(A210&lt;&gt;"",INDEX('Base de données'!A$4:L$990,MATCH(A210,'Base de données'!A$4:A$990,0),2),"")</f>
        <v/>
      </c>
      <c r="C210" s="585" t="str">
        <f>IF(A210&lt;&gt;"",INDEX('Base de données'!A$4:L$990,MATCH(A210,'Base de données'!A$4:A$990,0),12),"")</f>
        <v/>
      </c>
      <c r="D210" s="583"/>
      <c r="E210" s="130"/>
      <c r="F210" s="131"/>
      <c r="G210" s="130"/>
      <c r="H210" s="131"/>
      <c r="I210" s="130"/>
      <c r="J210" s="131"/>
      <c r="K210" s="130"/>
      <c r="L210" s="131"/>
      <c r="M210" s="130"/>
      <c r="N210" s="131"/>
      <c r="O210" s="130"/>
      <c r="P210" s="131"/>
      <c r="Q210" s="130"/>
      <c r="R210" s="131"/>
      <c r="S210" s="130"/>
      <c r="T210" s="131"/>
      <c r="U210" s="130"/>
      <c r="V210" s="131"/>
      <c r="W210" s="130"/>
      <c r="X210" s="131"/>
      <c r="Y210" s="130"/>
      <c r="Z210" s="131"/>
      <c r="AA210" s="130"/>
    </row>
    <row r="211" spans="1:27" x14ac:dyDescent="0.25">
      <c r="A211" s="538"/>
      <c r="B211" s="585" t="str">
        <f>IF(A211&lt;&gt;"",INDEX('Base de données'!A$4:L$990,MATCH(A211,'Base de données'!A$4:A$990,0),2),"")</f>
        <v/>
      </c>
      <c r="C211" s="585" t="str">
        <f>IF(A211&lt;&gt;"",INDEX('Base de données'!A$4:L$990,MATCH(A211,'Base de données'!A$4:A$990,0),12),"")</f>
        <v/>
      </c>
      <c r="D211" s="583"/>
      <c r="E211" s="130"/>
      <c r="F211" s="131"/>
      <c r="G211" s="130"/>
      <c r="H211" s="131"/>
      <c r="I211" s="130"/>
      <c r="J211" s="131"/>
      <c r="K211" s="130"/>
      <c r="L211" s="131"/>
      <c r="M211" s="130"/>
      <c r="N211" s="131"/>
      <c r="O211" s="130"/>
      <c r="P211" s="131"/>
      <c r="Q211" s="130"/>
      <c r="R211" s="131"/>
      <c r="S211" s="130"/>
      <c r="T211" s="131"/>
      <c r="U211" s="130"/>
      <c r="V211" s="131"/>
      <c r="W211" s="130"/>
      <c r="X211" s="131"/>
      <c r="Y211" s="130"/>
      <c r="Z211" s="131"/>
      <c r="AA211" s="130"/>
    </row>
    <row r="212" spans="1:27" x14ac:dyDescent="0.25">
      <c r="A212" s="538"/>
      <c r="B212" s="585" t="str">
        <f>IF(A212&lt;&gt;"",INDEX('Base de données'!A$4:L$990,MATCH(A212,'Base de données'!A$4:A$990,0),2),"")</f>
        <v/>
      </c>
      <c r="C212" s="585" t="str">
        <f>IF(A212&lt;&gt;"",INDEX('Base de données'!A$4:L$990,MATCH(A212,'Base de données'!A$4:A$990,0),12),"")</f>
        <v/>
      </c>
      <c r="D212" s="583"/>
      <c r="E212" s="130"/>
      <c r="F212" s="131"/>
      <c r="G212" s="130"/>
      <c r="H212" s="131"/>
      <c r="I212" s="130"/>
      <c r="J212" s="131"/>
      <c r="K212" s="130"/>
      <c r="L212" s="131"/>
      <c r="M212" s="130"/>
      <c r="N212" s="131"/>
      <c r="O212" s="130"/>
      <c r="P212" s="131"/>
      <c r="Q212" s="130"/>
      <c r="R212" s="131"/>
      <c r="S212" s="130"/>
      <c r="T212" s="131"/>
      <c r="U212" s="130"/>
      <c r="V212" s="131"/>
      <c r="W212" s="130"/>
      <c r="X212" s="131"/>
      <c r="Y212" s="130"/>
      <c r="Z212" s="131"/>
      <c r="AA212" s="130"/>
    </row>
    <row r="213" spans="1:27" x14ac:dyDescent="0.25">
      <c r="A213" s="538"/>
      <c r="B213" s="585" t="str">
        <f>IF(A213&lt;&gt;"",INDEX('Base de données'!A$4:L$990,MATCH(A213,'Base de données'!A$4:A$990,0),2),"")</f>
        <v/>
      </c>
      <c r="C213" s="585" t="str">
        <f>IF(A213&lt;&gt;"",INDEX('Base de données'!A$4:L$990,MATCH(A213,'Base de données'!A$4:A$990,0),12),"")</f>
        <v/>
      </c>
      <c r="D213" s="583"/>
      <c r="E213" s="130"/>
      <c r="F213" s="131"/>
      <c r="G213" s="130"/>
      <c r="H213" s="131"/>
      <c r="I213" s="130"/>
      <c r="J213" s="131"/>
      <c r="K213" s="130"/>
      <c r="L213" s="131"/>
      <c r="M213" s="130"/>
      <c r="N213" s="131"/>
      <c r="O213" s="130"/>
      <c r="P213" s="131"/>
      <c r="Q213" s="130"/>
      <c r="R213" s="131"/>
      <c r="S213" s="130"/>
      <c r="T213" s="131"/>
      <c r="U213" s="130"/>
      <c r="V213" s="131"/>
      <c r="W213" s="130"/>
      <c r="X213" s="131"/>
      <c r="Y213" s="130"/>
      <c r="Z213" s="131"/>
      <c r="AA213" s="130"/>
    </row>
    <row r="214" spans="1:27" x14ac:dyDescent="0.25">
      <c r="A214" s="538"/>
      <c r="B214" s="585" t="str">
        <f>IF(A214&lt;&gt;"",INDEX('Base de données'!A$4:L$990,MATCH(A214,'Base de données'!A$4:A$990,0),2),"")</f>
        <v/>
      </c>
      <c r="C214" s="585" t="str">
        <f>IF(A214&lt;&gt;"",INDEX('Base de données'!A$4:L$990,MATCH(A214,'Base de données'!A$4:A$990,0),12),"")</f>
        <v/>
      </c>
      <c r="D214" s="583"/>
      <c r="E214" s="130"/>
      <c r="F214" s="131"/>
      <c r="G214" s="130"/>
      <c r="H214" s="131"/>
      <c r="I214" s="130"/>
      <c r="J214" s="131"/>
      <c r="K214" s="130"/>
      <c r="L214" s="131"/>
      <c r="M214" s="130"/>
      <c r="N214" s="131"/>
      <c r="O214" s="130"/>
      <c r="P214" s="131"/>
      <c r="Q214" s="130"/>
      <c r="R214" s="131"/>
      <c r="S214" s="130"/>
      <c r="T214" s="131"/>
      <c r="U214" s="130"/>
      <c r="V214" s="131"/>
      <c r="W214" s="130"/>
      <c r="X214" s="131"/>
      <c r="Y214" s="130"/>
      <c r="Z214" s="131"/>
      <c r="AA214" s="130"/>
    </row>
    <row r="215" spans="1:27" x14ac:dyDescent="0.25">
      <c r="A215" s="538"/>
      <c r="B215" s="585" t="str">
        <f>IF(A215&lt;&gt;"",INDEX('Base de données'!A$4:L$990,MATCH(A215,'Base de données'!A$4:A$990,0),2),"")</f>
        <v/>
      </c>
      <c r="C215" s="585" t="str">
        <f>IF(A215&lt;&gt;"",INDEX('Base de données'!A$4:L$990,MATCH(A215,'Base de données'!A$4:A$990,0),12),"")</f>
        <v/>
      </c>
      <c r="D215" s="583"/>
      <c r="E215" s="130"/>
      <c r="F215" s="131"/>
      <c r="G215" s="130"/>
      <c r="H215" s="131"/>
      <c r="I215" s="130"/>
      <c r="J215" s="131"/>
      <c r="K215" s="130"/>
      <c r="L215" s="131"/>
      <c r="M215" s="130"/>
      <c r="N215" s="131"/>
      <c r="O215" s="130"/>
      <c r="P215" s="131"/>
      <c r="Q215" s="130"/>
      <c r="R215" s="131"/>
      <c r="S215" s="130"/>
      <c r="T215" s="131"/>
      <c r="U215" s="130"/>
      <c r="V215" s="131"/>
      <c r="W215" s="130"/>
      <c r="X215" s="131"/>
      <c r="Y215" s="130"/>
      <c r="Z215" s="131"/>
      <c r="AA215" s="130"/>
    </row>
    <row r="216" spans="1:27" x14ac:dyDescent="0.25">
      <c r="A216" s="538"/>
      <c r="B216" s="585" t="str">
        <f>IF(A216&lt;&gt;"",INDEX('Base de données'!A$4:L$990,MATCH(A216,'Base de données'!A$4:A$990,0),2),"")</f>
        <v/>
      </c>
      <c r="C216" s="585" t="str">
        <f>IF(A216&lt;&gt;"",INDEX('Base de données'!A$4:L$990,MATCH(A216,'Base de données'!A$4:A$990,0),12),"")</f>
        <v/>
      </c>
      <c r="D216" s="583"/>
      <c r="E216" s="130"/>
      <c r="F216" s="131"/>
      <c r="G216" s="130"/>
      <c r="H216" s="131"/>
      <c r="I216" s="130"/>
      <c r="J216" s="131"/>
      <c r="K216" s="130"/>
      <c r="L216" s="131"/>
      <c r="M216" s="130"/>
      <c r="N216" s="131"/>
      <c r="O216" s="130"/>
      <c r="P216" s="131"/>
      <c r="Q216" s="130"/>
      <c r="R216" s="131"/>
      <c r="S216" s="130"/>
      <c r="T216" s="131"/>
      <c r="U216" s="130"/>
      <c r="V216" s="131"/>
      <c r="W216" s="130"/>
      <c r="X216" s="131"/>
      <c r="Y216" s="130"/>
      <c r="Z216" s="131"/>
      <c r="AA216" s="130"/>
    </row>
    <row r="217" spans="1:27" x14ac:dyDescent="0.25">
      <c r="A217" s="538"/>
      <c r="B217" s="585" t="str">
        <f>IF(A217&lt;&gt;"",INDEX('Base de données'!A$4:L$990,MATCH(A217,'Base de données'!A$4:A$990,0),2),"")</f>
        <v/>
      </c>
      <c r="C217" s="585" t="str">
        <f>IF(A217&lt;&gt;"",INDEX('Base de données'!A$4:L$990,MATCH(A217,'Base de données'!A$4:A$990,0),12),"")</f>
        <v/>
      </c>
      <c r="D217" s="583"/>
      <c r="E217" s="130"/>
      <c r="F217" s="131"/>
      <c r="G217" s="130"/>
      <c r="H217" s="131"/>
      <c r="I217" s="130"/>
      <c r="J217" s="131"/>
      <c r="K217" s="130"/>
      <c r="L217" s="131"/>
      <c r="M217" s="130"/>
      <c r="N217" s="131"/>
      <c r="O217" s="130"/>
      <c r="P217" s="131"/>
      <c r="Q217" s="130"/>
      <c r="R217" s="131"/>
      <c r="S217" s="130"/>
      <c r="T217" s="131"/>
      <c r="U217" s="130"/>
      <c r="V217" s="131"/>
      <c r="W217" s="130"/>
      <c r="X217" s="131"/>
      <c r="Y217" s="130"/>
      <c r="Z217" s="131"/>
      <c r="AA217" s="130"/>
    </row>
    <row r="218" spans="1:27" x14ac:dyDescent="0.25">
      <c r="A218" s="538"/>
      <c r="B218" s="585" t="str">
        <f>IF(A218&lt;&gt;"",INDEX('Base de données'!A$4:L$990,MATCH(A218,'Base de données'!A$4:A$990,0),2),"")</f>
        <v/>
      </c>
      <c r="C218" s="585" t="str">
        <f>IF(A218&lt;&gt;"",INDEX('Base de données'!A$4:L$990,MATCH(A218,'Base de données'!A$4:A$990,0),12),"")</f>
        <v/>
      </c>
      <c r="D218" s="583"/>
      <c r="E218" s="130"/>
      <c r="F218" s="131"/>
      <c r="G218" s="130"/>
      <c r="H218" s="131"/>
      <c r="I218" s="130"/>
      <c r="J218" s="131"/>
      <c r="K218" s="130"/>
      <c r="L218" s="131"/>
      <c r="M218" s="130"/>
      <c r="N218" s="131"/>
      <c r="O218" s="130"/>
      <c r="P218" s="131"/>
      <c r="Q218" s="130"/>
      <c r="R218" s="131"/>
      <c r="S218" s="130"/>
      <c r="T218" s="131"/>
      <c r="U218" s="130"/>
      <c r="V218" s="131"/>
      <c r="W218" s="130"/>
      <c r="X218" s="131"/>
      <c r="Y218" s="130"/>
      <c r="Z218" s="131"/>
      <c r="AA218" s="130"/>
    </row>
    <row r="219" spans="1:27" x14ac:dyDescent="0.25">
      <c r="A219" s="538"/>
      <c r="B219" s="585" t="str">
        <f>IF(A219&lt;&gt;"",INDEX('Base de données'!A$4:L$990,MATCH(A219,'Base de données'!A$4:A$990,0),2),"")</f>
        <v/>
      </c>
      <c r="C219" s="585" t="str">
        <f>IF(A219&lt;&gt;"",INDEX('Base de données'!A$4:L$990,MATCH(A219,'Base de données'!A$4:A$990,0),12),"")</f>
        <v/>
      </c>
      <c r="D219" s="583"/>
      <c r="E219" s="130"/>
      <c r="F219" s="131"/>
      <c r="G219" s="130"/>
      <c r="H219" s="131"/>
      <c r="I219" s="130"/>
      <c r="J219" s="131"/>
      <c r="K219" s="130"/>
      <c r="L219" s="131"/>
      <c r="M219" s="130"/>
      <c r="N219" s="131"/>
      <c r="O219" s="130"/>
      <c r="P219" s="131"/>
      <c r="Q219" s="130"/>
      <c r="R219" s="131"/>
      <c r="S219" s="130"/>
      <c r="T219" s="131"/>
      <c r="U219" s="130"/>
      <c r="V219" s="131"/>
      <c r="W219" s="130"/>
      <c r="X219" s="131"/>
      <c r="Y219" s="130"/>
      <c r="Z219" s="131"/>
      <c r="AA219" s="130"/>
    </row>
    <row r="220" spans="1:27" x14ac:dyDescent="0.25">
      <c r="A220" s="538"/>
      <c r="B220" s="585" t="str">
        <f>IF(A220&lt;&gt;"",INDEX('Base de données'!A$4:L$990,MATCH(A220,'Base de données'!A$4:A$990,0),2),"")</f>
        <v/>
      </c>
      <c r="C220" s="585" t="str">
        <f>IF(A220&lt;&gt;"",INDEX('Base de données'!A$4:L$990,MATCH(A220,'Base de données'!A$4:A$990,0),12),"")</f>
        <v/>
      </c>
      <c r="D220" s="583"/>
      <c r="E220" s="130"/>
      <c r="F220" s="131"/>
      <c r="G220" s="130"/>
      <c r="H220" s="131"/>
      <c r="I220" s="130"/>
      <c r="J220" s="131"/>
      <c r="K220" s="130"/>
      <c r="L220" s="131"/>
      <c r="M220" s="130"/>
      <c r="N220" s="131"/>
      <c r="O220" s="130"/>
      <c r="P220" s="131"/>
      <c r="Q220" s="130"/>
      <c r="R220" s="131"/>
      <c r="S220" s="130"/>
      <c r="T220" s="131"/>
      <c r="U220" s="130"/>
      <c r="V220" s="131"/>
      <c r="W220" s="130"/>
      <c r="X220" s="131"/>
      <c r="Y220" s="130"/>
      <c r="Z220" s="131"/>
      <c r="AA220" s="130"/>
    </row>
    <row r="221" spans="1:27" x14ac:dyDescent="0.25">
      <c r="A221" s="538"/>
      <c r="B221" s="585" t="str">
        <f>IF(A221&lt;&gt;"",INDEX('Base de données'!A$4:L$990,MATCH(A221,'Base de données'!A$4:A$990,0),2),"")</f>
        <v/>
      </c>
      <c r="C221" s="585" t="str">
        <f>IF(A221&lt;&gt;"",INDEX('Base de données'!A$4:L$990,MATCH(A221,'Base de données'!A$4:A$990,0),12),"")</f>
        <v/>
      </c>
      <c r="D221" s="583"/>
      <c r="E221" s="130"/>
      <c r="F221" s="131"/>
      <c r="G221" s="130"/>
      <c r="H221" s="131"/>
      <c r="I221" s="130"/>
      <c r="J221" s="131"/>
      <c r="K221" s="130"/>
      <c r="L221" s="131"/>
      <c r="M221" s="130"/>
      <c r="N221" s="131"/>
      <c r="O221" s="130"/>
      <c r="P221" s="131"/>
      <c r="Q221" s="130"/>
      <c r="R221" s="131"/>
      <c r="S221" s="130"/>
      <c r="T221" s="131"/>
      <c r="U221" s="130"/>
      <c r="V221" s="131"/>
      <c r="W221" s="130"/>
      <c r="X221" s="131"/>
      <c r="Y221" s="130"/>
      <c r="Z221" s="131"/>
      <c r="AA221" s="130"/>
    </row>
    <row r="222" spans="1:27" x14ac:dyDescent="0.25">
      <c r="A222" s="538"/>
      <c r="B222" s="585" t="str">
        <f>IF(A222&lt;&gt;"",INDEX('Base de données'!A$4:L$990,MATCH(A222,'Base de données'!A$4:A$990,0),2),"")</f>
        <v/>
      </c>
      <c r="C222" s="585" t="str">
        <f>IF(A222&lt;&gt;"",INDEX('Base de données'!A$4:L$990,MATCH(A222,'Base de données'!A$4:A$990,0),12),"")</f>
        <v/>
      </c>
      <c r="D222" s="583"/>
      <c r="E222" s="130"/>
      <c r="F222" s="131"/>
      <c r="G222" s="130"/>
      <c r="H222" s="131"/>
      <c r="I222" s="130"/>
      <c r="J222" s="131"/>
      <c r="K222" s="130"/>
      <c r="L222" s="131"/>
      <c r="M222" s="130"/>
      <c r="N222" s="131"/>
      <c r="O222" s="130"/>
      <c r="P222" s="131"/>
      <c r="Q222" s="130"/>
      <c r="R222" s="131"/>
      <c r="S222" s="130"/>
      <c r="T222" s="131"/>
      <c r="U222" s="130"/>
      <c r="V222" s="131"/>
      <c r="W222" s="130"/>
      <c r="X222" s="131"/>
      <c r="Y222" s="130"/>
      <c r="Z222" s="131"/>
      <c r="AA222" s="130"/>
    </row>
    <row r="223" spans="1:27" x14ac:dyDescent="0.25">
      <c r="A223" s="538"/>
      <c r="B223" s="585" t="str">
        <f>IF(A223&lt;&gt;"",INDEX('Base de données'!A$4:L$990,MATCH(A223,'Base de données'!A$4:A$990,0),2),"")</f>
        <v/>
      </c>
      <c r="C223" s="585" t="str">
        <f>IF(A223&lt;&gt;"",INDEX('Base de données'!A$4:L$990,MATCH(A223,'Base de données'!A$4:A$990,0),12),"")</f>
        <v/>
      </c>
      <c r="D223" s="583"/>
      <c r="E223" s="130"/>
      <c r="F223" s="131"/>
      <c r="G223" s="130"/>
      <c r="H223" s="131"/>
      <c r="I223" s="130"/>
      <c r="J223" s="131"/>
      <c r="K223" s="130"/>
      <c r="L223" s="131"/>
      <c r="M223" s="130"/>
      <c r="N223" s="131"/>
      <c r="O223" s="130"/>
      <c r="P223" s="131"/>
      <c r="Q223" s="130"/>
      <c r="R223" s="131"/>
      <c r="S223" s="130"/>
      <c r="T223" s="131"/>
      <c r="U223" s="130"/>
      <c r="V223" s="131"/>
      <c r="W223" s="130"/>
      <c r="X223" s="131"/>
      <c r="Y223" s="130"/>
      <c r="Z223" s="131"/>
      <c r="AA223" s="130"/>
    </row>
    <row r="224" spans="1:27" x14ac:dyDescent="0.25">
      <c r="A224" s="538"/>
      <c r="B224" s="585" t="str">
        <f>IF(A224&lt;&gt;"",INDEX('Base de données'!A$4:L$990,MATCH(A224,'Base de données'!A$4:A$990,0),2),"")</f>
        <v/>
      </c>
      <c r="C224" s="585" t="str">
        <f>IF(A224&lt;&gt;"",INDEX('Base de données'!A$4:L$990,MATCH(A224,'Base de données'!A$4:A$990,0),12),"")</f>
        <v/>
      </c>
      <c r="D224" s="583"/>
      <c r="E224" s="130"/>
      <c r="F224" s="131"/>
      <c r="G224" s="130"/>
      <c r="H224" s="131"/>
      <c r="I224" s="130"/>
      <c r="J224" s="131"/>
      <c r="K224" s="130"/>
      <c r="L224" s="131"/>
      <c r="M224" s="130"/>
      <c r="N224" s="131"/>
      <c r="O224" s="130"/>
      <c r="P224" s="131"/>
      <c r="Q224" s="130"/>
      <c r="R224" s="131"/>
      <c r="S224" s="130"/>
      <c r="T224" s="131"/>
      <c r="U224" s="130"/>
      <c r="V224" s="131"/>
      <c r="W224" s="130"/>
      <c r="X224" s="131"/>
      <c r="Y224" s="130"/>
      <c r="Z224" s="131"/>
      <c r="AA224" s="130"/>
    </row>
    <row r="225" spans="1:27" x14ac:dyDescent="0.25">
      <c r="A225" s="538"/>
      <c r="B225" s="585" t="str">
        <f>IF(A225&lt;&gt;"",INDEX('Base de données'!A$4:L$990,MATCH(A225,'Base de données'!A$4:A$990,0),2),"")</f>
        <v/>
      </c>
      <c r="C225" s="585" t="str">
        <f>IF(A225&lt;&gt;"",INDEX('Base de données'!A$4:L$990,MATCH(A225,'Base de données'!A$4:A$990,0),12),"")</f>
        <v/>
      </c>
      <c r="D225" s="583"/>
      <c r="E225" s="130"/>
      <c r="F225" s="131"/>
      <c r="G225" s="130"/>
      <c r="H225" s="131"/>
      <c r="I225" s="130"/>
      <c r="J225" s="131"/>
      <c r="K225" s="130"/>
      <c r="L225" s="131"/>
      <c r="M225" s="130"/>
      <c r="N225" s="131"/>
      <c r="O225" s="130"/>
      <c r="P225" s="131"/>
      <c r="Q225" s="130"/>
      <c r="R225" s="131"/>
      <c r="S225" s="130"/>
      <c r="T225" s="131"/>
      <c r="U225" s="130"/>
      <c r="V225" s="131"/>
      <c r="W225" s="130"/>
      <c r="X225" s="131"/>
      <c r="Y225" s="130"/>
      <c r="Z225" s="131"/>
      <c r="AA225" s="130"/>
    </row>
    <row r="226" spans="1:27" x14ac:dyDescent="0.25">
      <c r="A226" s="538"/>
      <c r="B226" s="585" t="str">
        <f>IF(A226&lt;&gt;"",INDEX('Base de données'!A$4:L$990,MATCH(A226,'Base de données'!A$4:A$990,0),2),"")</f>
        <v/>
      </c>
      <c r="C226" s="585" t="str">
        <f>IF(A226&lt;&gt;"",INDEX('Base de données'!A$4:L$990,MATCH(A226,'Base de données'!A$4:A$990,0),12),"")</f>
        <v/>
      </c>
      <c r="D226" s="583"/>
      <c r="E226" s="130"/>
      <c r="F226" s="131"/>
      <c r="G226" s="130"/>
      <c r="H226" s="131"/>
      <c r="I226" s="130"/>
      <c r="J226" s="131"/>
      <c r="K226" s="130"/>
      <c r="L226" s="131"/>
      <c r="M226" s="130"/>
      <c r="N226" s="131"/>
      <c r="O226" s="130"/>
      <c r="P226" s="131"/>
      <c r="Q226" s="130"/>
      <c r="R226" s="131"/>
      <c r="S226" s="130"/>
      <c r="T226" s="131"/>
      <c r="U226" s="130"/>
      <c r="V226" s="131"/>
      <c r="W226" s="130"/>
      <c r="X226" s="131"/>
      <c r="Y226" s="130"/>
      <c r="Z226" s="131"/>
      <c r="AA226" s="130"/>
    </row>
    <row r="227" spans="1:27" x14ac:dyDescent="0.25">
      <c r="A227" s="538"/>
      <c r="B227" s="585" t="str">
        <f>IF(A227&lt;&gt;"",INDEX('Base de données'!A$4:L$990,MATCH(A227,'Base de données'!A$4:A$990,0),2),"")</f>
        <v/>
      </c>
      <c r="C227" s="585" t="str">
        <f>IF(A227&lt;&gt;"",INDEX('Base de données'!A$4:L$990,MATCH(A227,'Base de données'!A$4:A$990,0),12),"")</f>
        <v/>
      </c>
      <c r="D227" s="583"/>
      <c r="E227" s="130"/>
      <c r="F227" s="131"/>
      <c r="G227" s="130"/>
      <c r="H227" s="131"/>
      <c r="I227" s="130"/>
      <c r="J227" s="131"/>
      <c r="K227" s="130"/>
      <c r="L227" s="131"/>
      <c r="M227" s="130"/>
      <c r="N227" s="131"/>
      <c r="O227" s="130"/>
      <c r="P227" s="131"/>
      <c r="Q227" s="130"/>
      <c r="R227" s="131"/>
      <c r="S227" s="130"/>
      <c r="T227" s="131"/>
      <c r="U227" s="130"/>
      <c r="V227" s="131"/>
      <c r="W227" s="130"/>
      <c r="X227" s="131"/>
      <c r="Y227" s="130"/>
      <c r="Z227" s="131"/>
      <c r="AA227" s="130"/>
    </row>
    <row r="228" spans="1:27" x14ac:dyDescent="0.25">
      <c r="A228" s="538"/>
      <c r="B228" s="585" t="str">
        <f>IF(A228&lt;&gt;"",INDEX('Base de données'!A$4:L$990,MATCH(A228,'Base de données'!A$4:A$990,0),2),"")</f>
        <v/>
      </c>
      <c r="C228" s="585" t="str">
        <f>IF(A228&lt;&gt;"",INDEX('Base de données'!A$4:L$990,MATCH(A228,'Base de données'!A$4:A$990,0),12),"")</f>
        <v/>
      </c>
      <c r="D228" s="583"/>
      <c r="E228" s="130"/>
      <c r="F228" s="131"/>
      <c r="G228" s="130"/>
      <c r="H228" s="131"/>
      <c r="I228" s="130"/>
      <c r="J228" s="131"/>
      <c r="K228" s="130"/>
      <c r="L228" s="131"/>
      <c r="M228" s="130"/>
      <c r="N228" s="131"/>
      <c r="O228" s="130"/>
      <c r="P228" s="131"/>
      <c r="Q228" s="130"/>
      <c r="R228" s="131"/>
      <c r="S228" s="130"/>
      <c r="T228" s="131"/>
      <c r="U228" s="130"/>
      <c r="V228" s="131"/>
      <c r="W228" s="130"/>
      <c r="X228" s="131"/>
      <c r="Y228" s="130"/>
      <c r="Z228" s="131"/>
      <c r="AA228" s="130"/>
    </row>
    <row r="229" spans="1:27" x14ac:dyDescent="0.25">
      <c r="A229" s="538"/>
      <c r="B229" s="585" t="str">
        <f>IF(A229&lt;&gt;"",INDEX('Base de données'!A$4:L$990,MATCH(A229,'Base de données'!A$4:A$990,0),2),"")</f>
        <v/>
      </c>
      <c r="C229" s="585" t="str">
        <f>IF(A229&lt;&gt;"",INDEX('Base de données'!A$4:L$990,MATCH(A229,'Base de données'!A$4:A$990,0),12),"")</f>
        <v/>
      </c>
      <c r="D229" s="583"/>
      <c r="E229" s="130"/>
      <c r="F229" s="131"/>
      <c r="G229" s="130"/>
      <c r="H229" s="131"/>
      <c r="I229" s="130"/>
      <c r="J229" s="131"/>
      <c r="K229" s="130"/>
      <c r="L229" s="131"/>
      <c r="M229" s="130"/>
      <c r="N229" s="131"/>
      <c r="O229" s="130"/>
      <c r="P229" s="131"/>
      <c r="Q229" s="130"/>
      <c r="R229" s="131"/>
      <c r="S229" s="130"/>
      <c r="T229" s="131"/>
      <c r="U229" s="130"/>
      <c r="V229" s="131"/>
      <c r="W229" s="130"/>
      <c r="X229" s="131"/>
      <c r="Y229" s="130"/>
      <c r="Z229" s="131"/>
      <c r="AA229" s="130"/>
    </row>
    <row r="230" spans="1:27" x14ac:dyDescent="0.25">
      <c r="A230" s="538"/>
      <c r="B230" s="585" t="str">
        <f>IF(A230&lt;&gt;"",INDEX('Base de données'!A$4:L$990,MATCH(A230,'Base de données'!A$4:A$990,0),2),"")</f>
        <v/>
      </c>
      <c r="C230" s="585" t="str">
        <f>IF(A230&lt;&gt;"",INDEX('Base de données'!A$4:L$990,MATCH(A230,'Base de données'!A$4:A$990,0),12),"")</f>
        <v/>
      </c>
      <c r="D230" s="583"/>
      <c r="E230" s="130"/>
      <c r="F230" s="131"/>
      <c r="G230" s="130"/>
      <c r="H230" s="131"/>
      <c r="I230" s="130"/>
      <c r="J230" s="131"/>
      <c r="K230" s="130"/>
      <c r="L230" s="131"/>
      <c r="M230" s="130"/>
      <c r="N230" s="131"/>
      <c r="O230" s="130"/>
      <c r="P230" s="131"/>
      <c r="Q230" s="130"/>
      <c r="R230" s="131"/>
      <c r="S230" s="130"/>
      <c r="T230" s="131"/>
      <c r="U230" s="130"/>
      <c r="V230" s="131"/>
      <c r="W230" s="130"/>
      <c r="X230" s="131"/>
      <c r="Y230" s="130"/>
      <c r="Z230" s="131"/>
      <c r="AA230" s="130"/>
    </row>
    <row r="231" spans="1:27" x14ac:dyDescent="0.25">
      <c r="A231" s="538"/>
      <c r="B231" s="585" t="str">
        <f>IF(A231&lt;&gt;"",INDEX('Base de données'!A$4:L$990,MATCH(A231,'Base de données'!A$4:A$990,0),2),"")</f>
        <v/>
      </c>
      <c r="C231" s="585" t="str">
        <f>IF(A231&lt;&gt;"",INDEX('Base de données'!A$4:L$990,MATCH(A231,'Base de données'!A$4:A$990,0),12),"")</f>
        <v/>
      </c>
      <c r="D231" s="583"/>
      <c r="E231" s="130"/>
      <c r="F231" s="131"/>
      <c r="G231" s="130"/>
      <c r="H231" s="131"/>
      <c r="I231" s="130"/>
      <c r="J231" s="131"/>
      <c r="K231" s="130"/>
      <c r="L231" s="131"/>
      <c r="M231" s="130"/>
      <c r="N231" s="131"/>
      <c r="O231" s="130"/>
      <c r="P231" s="131"/>
      <c r="Q231" s="130"/>
      <c r="R231" s="131"/>
      <c r="S231" s="130"/>
      <c r="T231" s="131"/>
      <c r="U231" s="130"/>
      <c r="V231" s="131"/>
      <c r="W231" s="130"/>
      <c r="X231" s="131"/>
      <c r="Y231" s="130"/>
      <c r="Z231" s="131"/>
      <c r="AA231" s="130"/>
    </row>
    <row r="232" spans="1:27" x14ac:dyDescent="0.25">
      <c r="A232" s="538"/>
      <c r="B232" s="585" t="str">
        <f>IF(A232&lt;&gt;"",INDEX('Base de données'!A$4:L$990,MATCH(A232,'Base de données'!A$4:A$990,0),2),"")</f>
        <v/>
      </c>
      <c r="C232" s="585" t="str">
        <f>IF(A232&lt;&gt;"",INDEX('Base de données'!A$4:L$990,MATCH(A232,'Base de données'!A$4:A$990,0),12),"")</f>
        <v/>
      </c>
      <c r="D232" s="583"/>
      <c r="E232" s="130"/>
      <c r="F232" s="131"/>
      <c r="G232" s="130"/>
      <c r="H232" s="131"/>
      <c r="I232" s="130"/>
      <c r="J232" s="131"/>
      <c r="K232" s="130"/>
      <c r="L232" s="131"/>
      <c r="M232" s="130"/>
      <c r="N232" s="131"/>
      <c r="O232" s="130"/>
      <c r="P232" s="131"/>
      <c r="Q232" s="130"/>
      <c r="R232" s="131"/>
      <c r="S232" s="130"/>
      <c r="T232" s="131"/>
      <c r="U232" s="130"/>
      <c r="V232" s="131"/>
      <c r="W232" s="130"/>
      <c r="X232" s="131"/>
      <c r="Y232" s="130"/>
      <c r="Z232" s="131"/>
      <c r="AA232" s="130"/>
    </row>
    <row r="233" spans="1:27" x14ac:dyDescent="0.25">
      <c r="A233" s="538"/>
      <c r="B233" s="585" t="str">
        <f>IF(A233&lt;&gt;"",INDEX('Base de données'!A$4:L$990,MATCH(A233,'Base de données'!A$4:A$990,0),2),"")</f>
        <v/>
      </c>
      <c r="C233" s="585" t="str">
        <f>IF(A233&lt;&gt;"",INDEX('Base de données'!A$4:L$990,MATCH(A233,'Base de données'!A$4:A$990,0),12),"")</f>
        <v/>
      </c>
      <c r="D233" s="583"/>
      <c r="E233" s="130"/>
      <c r="F233" s="131"/>
      <c r="G233" s="130"/>
      <c r="H233" s="131"/>
      <c r="I233" s="130"/>
      <c r="J233" s="131"/>
      <c r="K233" s="130"/>
      <c r="L233" s="131"/>
      <c r="M233" s="130"/>
      <c r="N233" s="131"/>
      <c r="O233" s="130"/>
      <c r="P233" s="131"/>
      <c r="Q233" s="130"/>
      <c r="R233" s="131"/>
      <c r="S233" s="130"/>
      <c r="T233" s="131"/>
      <c r="U233" s="130"/>
      <c r="V233" s="131"/>
      <c r="W233" s="130"/>
      <c r="X233" s="131"/>
      <c r="Y233" s="130"/>
      <c r="Z233" s="131"/>
      <c r="AA233" s="130"/>
    </row>
    <row r="234" spans="1:27" x14ac:dyDescent="0.25">
      <c r="A234" s="538"/>
      <c r="B234" s="585" t="str">
        <f>IF(A234&lt;&gt;"",INDEX('Base de données'!A$4:L$990,MATCH(A234,'Base de données'!A$4:A$990,0),2),"")</f>
        <v/>
      </c>
      <c r="C234" s="585" t="str">
        <f>IF(A234&lt;&gt;"",INDEX('Base de données'!A$4:L$990,MATCH(A234,'Base de données'!A$4:A$990,0),12),"")</f>
        <v/>
      </c>
      <c r="D234" s="583"/>
      <c r="E234" s="130"/>
      <c r="F234" s="131"/>
      <c r="G234" s="130"/>
      <c r="H234" s="131"/>
      <c r="I234" s="130"/>
      <c r="J234" s="131"/>
      <c r="K234" s="130"/>
      <c r="L234" s="131"/>
      <c r="M234" s="130"/>
      <c r="N234" s="131"/>
      <c r="O234" s="130"/>
      <c r="P234" s="131"/>
      <c r="Q234" s="130"/>
      <c r="R234" s="131"/>
      <c r="S234" s="130"/>
      <c r="T234" s="131"/>
      <c r="U234" s="130"/>
      <c r="V234" s="131"/>
      <c r="W234" s="130"/>
      <c r="X234" s="131"/>
      <c r="Y234" s="130"/>
      <c r="Z234" s="131"/>
      <c r="AA234" s="130"/>
    </row>
    <row r="235" spans="1:27" x14ac:dyDescent="0.25">
      <c r="A235" s="538"/>
      <c r="B235" s="585" t="str">
        <f>IF(A235&lt;&gt;"",INDEX('Base de données'!A$4:L$990,MATCH(A235,'Base de données'!A$4:A$990,0),2),"")</f>
        <v/>
      </c>
      <c r="C235" s="585" t="str">
        <f>IF(A235&lt;&gt;"",INDEX('Base de données'!A$4:L$990,MATCH(A235,'Base de données'!A$4:A$990,0),12),"")</f>
        <v/>
      </c>
      <c r="D235" s="583"/>
      <c r="E235" s="130"/>
      <c r="F235" s="131"/>
      <c r="G235" s="130"/>
      <c r="H235" s="131"/>
      <c r="I235" s="130"/>
      <c r="J235" s="131"/>
      <c r="K235" s="130"/>
      <c r="L235" s="131"/>
      <c r="M235" s="130"/>
      <c r="N235" s="131"/>
      <c r="O235" s="130"/>
      <c r="P235" s="131"/>
      <c r="Q235" s="130"/>
      <c r="R235" s="131"/>
      <c r="S235" s="130"/>
      <c r="T235" s="131"/>
      <c r="U235" s="130"/>
      <c r="V235" s="131"/>
      <c r="W235" s="130"/>
      <c r="X235" s="131"/>
      <c r="Y235" s="130"/>
      <c r="Z235" s="131"/>
      <c r="AA235" s="130"/>
    </row>
    <row r="236" spans="1:27" x14ac:dyDescent="0.25">
      <c r="A236" s="538"/>
      <c r="B236" s="585" t="str">
        <f>IF(A236&lt;&gt;"",INDEX('Base de données'!A$4:L$990,MATCH(A236,'Base de données'!A$4:A$990,0),2),"")</f>
        <v/>
      </c>
      <c r="C236" s="585" t="str">
        <f>IF(A236&lt;&gt;"",INDEX('Base de données'!A$4:L$990,MATCH(A236,'Base de données'!A$4:A$990,0),12),"")</f>
        <v/>
      </c>
      <c r="D236" s="583"/>
      <c r="E236" s="130"/>
      <c r="F236" s="131"/>
      <c r="G236" s="130"/>
      <c r="H236" s="131"/>
      <c r="I236" s="130"/>
      <c r="J236" s="131"/>
      <c r="K236" s="130"/>
      <c r="L236" s="131"/>
      <c r="M236" s="130"/>
      <c r="N236" s="131"/>
      <c r="O236" s="130"/>
      <c r="P236" s="131"/>
      <c r="Q236" s="130"/>
      <c r="R236" s="131"/>
      <c r="S236" s="130"/>
      <c r="T236" s="131"/>
      <c r="U236" s="130"/>
      <c r="V236" s="131"/>
      <c r="W236" s="130"/>
      <c r="X236" s="131"/>
      <c r="Y236" s="130"/>
      <c r="Z236" s="131"/>
      <c r="AA236" s="130"/>
    </row>
    <row r="237" spans="1:27" x14ac:dyDescent="0.25">
      <c r="A237" s="538"/>
      <c r="B237" s="585" t="str">
        <f>IF(A237&lt;&gt;"",INDEX('Base de données'!A$4:L$990,MATCH(A237,'Base de données'!A$4:A$990,0),2),"")</f>
        <v/>
      </c>
      <c r="C237" s="585" t="str">
        <f>IF(A237&lt;&gt;"",INDEX('Base de données'!A$4:L$990,MATCH(A237,'Base de données'!A$4:A$990,0),12),"")</f>
        <v/>
      </c>
      <c r="D237" s="583"/>
      <c r="E237" s="130"/>
      <c r="F237" s="131"/>
      <c r="G237" s="130"/>
      <c r="H237" s="131"/>
      <c r="I237" s="130"/>
      <c r="J237" s="131"/>
      <c r="K237" s="130"/>
      <c r="L237" s="131"/>
      <c r="M237" s="130"/>
      <c r="N237" s="131"/>
      <c r="O237" s="130"/>
      <c r="P237" s="131"/>
      <c r="Q237" s="130"/>
      <c r="R237" s="131"/>
      <c r="S237" s="130"/>
      <c r="T237" s="131"/>
      <c r="U237" s="130"/>
      <c r="V237" s="131"/>
      <c r="W237" s="130"/>
      <c r="X237" s="131"/>
      <c r="Y237" s="130"/>
      <c r="Z237" s="131"/>
      <c r="AA237" s="130"/>
    </row>
    <row r="238" spans="1:27" x14ac:dyDescent="0.25">
      <c r="A238" s="538"/>
      <c r="B238" s="585" t="str">
        <f>IF(A238&lt;&gt;"",INDEX('Base de données'!A$4:L$990,MATCH(A238,'Base de données'!A$4:A$990,0),2),"")</f>
        <v/>
      </c>
      <c r="C238" s="585" t="str">
        <f>IF(A238&lt;&gt;"",INDEX('Base de données'!A$4:L$990,MATCH(A238,'Base de données'!A$4:A$990,0),12),"")</f>
        <v/>
      </c>
      <c r="D238" s="583"/>
      <c r="E238" s="130"/>
      <c r="F238" s="131"/>
      <c r="G238" s="130"/>
      <c r="H238" s="131"/>
      <c r="I238" s="130"/>
      <c r="J238" s="131"/>
      <c r="K238" s="130"/>
      <c r="L238" s="131"/>
      <c r="M238" s="130"/>
      <c r="N238" s="131"/>
      <c r="O238" s="130"/>
      <c r="P238" s="131"/>
      <c r="Q238" s="130"/>
      <c r="R238" s="131"/>
      <c r="S238" s="130"/>
      <c r="T238" s="131"/>
      <c r="U238" s="130"/>
      <c r="V238" s="131"/>
      <c r="W238" s="130"/>
      <c r="X238" s="131"/>
      <c r="Y238" s="130"/>
      <c r="Z238" s="131"/>
      <c r="AA238" s="130"/>
    </row>
    <row r="239" spans="1:27" x14ac:dyDescent="0.25">
      <c r="A239" s="538"/>
      <c r="B239" s="585" t="str">
        <f>IF(A239&lt;&gt;"",INDEX('Base de données'!A$4:L$990,MATCH(A239,'Base de données'!A$4:A$990,0),2),"")</f>
        <v/>
      </c>
      <c r="C239" s="585" t="str">
        <f>IF(A239&lt;&gt;"",INDEX('Base de données'!A$4:L$990,MATCH(A239,'Base de données'!A$4:A$990,0),12),"")</f>
        <v/>
      </c>
      <c r="D239" s="583"/>
      <c r="E239" s="130"/>
      <c r="F239" s="131"/>
      <c r="G239" s="130"/>
      <c r="H239" s="131"/>
      <c r="I239" s="130"/>
      <c r="J239" s="131"/>
      <c r="K239" s="130"/>
      <c r="L239" s="131"/>
      <c r="M239" s="130"/>
      <c r="N239" s="131"/>
      <c r="O239" s="130"/>
      <c r="P239" s="131"/>
      <c r="Q239" s="130"/>
      <c r="R239" s="131"/>
      <c r="S239" s="130"/>
      <c r="T239" s="131"/>
      <c r="U239" s="130"/>
      <c r="V239" s="131"/>
      <c r="W239" s="130"/>
      <c r="X239" s="131"/>
      <c r="Y239" s="130"/>
      <c r="Z239" s="131"/>
      <c r="AA239" s="130"/>
    </row>
    <row r="240" spans="1:27" x14ac:dyDescent="0.25">
      <c r="A240" s="538"/>
      <c r="B240" s="585" t="str">
        <f>IF(A240&lt;&gt;"",INDEX('Base de données'!A$4:L$990,MATCH(A240,'Base de données'!A$4:A$990,0),2),"")</f>
        <v/>
      </c>
      <c r="C240" s="585" t="str">
        <f>IF(A240&lt;&gt;"",INDEX('Base de données'!A$4:L$990,MATCH(A240,'Base de données'!A$4:A$990,0),12),"")</f>
        <v/>
      </c>
      <c r="D240" s="583"/>
      <c r="E240" s="130"/>
      <c r="F240" s="131"/>
      <c r="G240" s="130"/>
      <c r="H240" s="131"/>
      <c r="I240" s="130"/>
      <c r="J240" s="131"/>
      <c r="K240" s="130"/>
      <c r="L240" s="131"/>
      <c r="M240" s="130"/>
      <c r="N240" s="131"/>
      <c r="O240" s="130"/>
      <c r="P240" s="131"/>
      <c r="Q240" s="130"/>
      <c r="R240" s="131"/>
      <c r="S240" s="130"/>
      <c r="T240" s="131"/>
      <c r="U240" s="130"/>
      <c r="V240" s="131"/>
      <c r="W240" s="130"/>
      <c r="X240" s="131"/>
      <c r="Y240" s="130"/>
      <c r="Z240" s="131"/>
      <c r="AA240" s="130"/>
    </row>
    <row r="241" spans="1:27" x14ac:dyDescent="0.25">
      <c r="A241" s="538"/>
      <c r="B241" s="585" t="str">
        <f>IF(A241&lt;&gt;"",INDEX('Base de données'!A$4:L$990,MATCH(A241,'Base de données'!A$4:A$990,0),2),"")</f>
        <v/>
      </c>
      <c r="C241" s="585" t="str">
        <f>IF(A241&lt;&gt;"",INDEX('Base de données'!A$4:L$990,MATCH(A241,'Base de données'!A$4:A$990,0),12),"")</f>
        <v/>
      </c>
      <c r="D241" s="583"/>
      <c r="E241" s="130"/>
      <c r="F241" s="131"/>
      <c r="G241" s="130"/>
      <c r="H241" s="131"/>
      <c r="I241" s="130"/>
      <c r="J241" s="131"/>
      <c r="K241" s="130"/>
      <c r="L241" s="131"/>
      <c r="M241" s="130"/>
      <c r="N241" s="131"/>
      <c r="O241" s="130"/>
      <c r="P241" s="131"/>
      <c r="Q241" s="130"/>
      <c r="R241" s="131"/>
      <c r="S241" s="130"/>
      <c r="T241" s="131"/>
      <c r="U241" s="130"/>
      <c r="V241" s="131"/>
      <c r="W241" s="130"/>
      <c r="X241" s="131"/>
      <c r="Y241" s="130"/>
      <c r="Z241" s="131"/>
      <c r="AA241" s="130"/>
    </row>
    <row r="242" spans="1:27" x14ac:dyDescent="0.25">
      <c r="A242" s="538"/>
      <c r="B242" s="585" t="str">
        <f>IF(A242&lt;&gt;"",INDEX('Base de données'!A$4:L$990,MATCH(A242,'Base de données'!A$4:A$990,0),2),"")</f>
        <v/>
      </c>
      <c r="C242" s="585" t="str">
        <f>IF(A242&lt;&gt;"",INDEX('Base de données'!A$4:L$990,MATCH(A242,'Base de données'!A$4:A$990,0),12),"")</f>
        <v/>
      </c>
      <c r="D242" s="583"/>
      <c r="E242" s="130"/>
      <c r="F242" s="131"/>
      <c r="G242" s="130"/>
      <c r="H242" s="131"/>
      <c r="I242" s="130"/>
      <c r="J242" s="131"/>
      <c r="K242" s="130"/>
      <c r="L242" s="131"/>
      <c r="M242" s="130"/>
      <c r="N242" s="131"/>
      <c r="O242" s="130"/>
      <c r="P242" s="131"/>
      <c r="Q242" s="130"/>
      <c r="R242" s="131"/>
      <c r="S242" s="130"/>
      <c r="T242" s="131"/>
      <c r="U242" s="130"/>
      <c r="V242" s="131"/>
      <c r="W242" s="130"/>
      <c r="X242" s="131"/>
      <c r="Y242" s="130"/>
      <c r="Z242" s="131"/>
      <c r="AA242" s="130"/>
    </row>
    <row r="243" spans="1:27" x14ac:dyDescent="0.25">
      <c r="A243" s="538"/>
      <c r="B243" s="585" t="str">
        <f>IF(A243&lt;&gt;"",INDEX('Base de données'!A$4:L$990,MATCH(A243,'Base de données'!A$4:A$990,0),2),"")</f>
        <v/>
      </c>
      <c r="C243" s="585" t="str">
        <f>IF(A243&lt;&gt;"",INDEX('Base de données'!A$4:L$990,MATCH(A243,'Base de données'!A$4:A$990,0),12),"")</f>
        <v/>
      </c>
      <c r="D243" s="583"/>
      <c r="E243" s="130"/>
      <c r="F243" s="131"/>
      <c r="G243" s="130"/>
      <c r="H243" s="131"/>
      <c r="I243" s="130"/>
      <c r="J243" s="131"/>
      <c r="K243" s="130"/>
      <c r="L243" s="131"/>
      <c r="M243" s="130"/>
      <c r="N243" s="131"/>
      <c r="O243" s="130"/>
      <c r="P243" s="131"/>
      <c r="Q243" s="130"/>
      <c r="R243" s="131"/>
      <c r="S243" s="130"/>
      <c r="T243" s="131"/>
      <c r="U243" s="130"/>
      <c r="V243" s="131"/>
      <c r="W243" s="130"/>
      <c r="X243" s="131"/>
      <c r="Y243" s="130"/>
      <c r="Z243" s="131"/>
      <c r="AA243" s="130"/>
    </row>
    <row r="244" spans="1:27" x14ac:dyDescent="0.25">
      <c r="A244" s="538"/>
      <c r="B244" s="585" t="str">
        <f>IF(A244&lt;&gt;"",INDEX('Base de données'!A$4:L$990,MATCH(A244,'Base de données'!A$4:A$990,0),2),"")</f>
        <v/>
      </c>
      <c r="C244" s="585" t="str">
        <f>IF(A244&lt;&gt;"",INDEX('Base de données'!A$4:L$990,MATCH(A244,'Base de données'!A$4:A$990,0),12),"")</f>
        <v/>
      </c>
      <c r="D244" s="583"/>
      <c r="E244" s="130"/>
      <c r="F244" s="131"/>
      <c r="G244" s="130"/>
      <c r="H244" s="131"/>
      <c r="I244" s="130"/>
      <c r="J244" s="131"/>
      <c r="K244" s="130"/>
      <c r="L244" s="131"/>
      <c r="M244" s="130"/>
      <c r="N244" s="131"/>
      <c r="O244" s="130"/>
      <c r="P244" s="131"/>
      <c r="Q244" s="130"/>
      <c r="R244" s="131"/>
      <c r="S244" s="130"/>
      <c r="T244" s="131"/>
      <c r="U244" s="130"/>
      <c r="V244" s="131"/>
      <c r="W244" s="130"/>
      <c r="X244" s="131"/>
      <c r="Y244" s="130"/>
      <c r="Z244" s="131"/>
      <c r="AA244" s="130"/>
    </row>
    <row r="245" spans="1:27" x14ac:dyDescent="0.25">
      <c r="A245" s="538"/>
      <c r="B245" s="585" t="str">
        <f>IF(A245&lt;&gt;"",INDEX('Base de données'!A$4:L$990,MATCH(A245,'Base de données'!A$4:A$990,0),2),"")</f>
        <v/>
      </c>
      <c r="C245" s="585" t="str">
        <f>IF(A245&lt;&gt;"",INDEX('Base de données'!A$4:L$990,MATCH(A245,'Base de données'!A$4:A$990,0),12),"")</f>
        <v/>
      </c>
      <c r="D245" s="583"/>
      <c r="E245" s="130"/>
      <c r="F245" s="131"/>
      <c r="G245" s="130"/>
      <c r="H245" s="131"/>
      <c r="I245" s="130"/>
      <c r="J245" s="131"/>
      <c r="K245" s="130"/>
      <c r="L245" s="131"/>
      <c r="M245" s="130"/>
      <c r="N245" s="131"/>
      <c r="O245" s="130"/>
      <c r="P245" s="131"/>
      <c r="Q245" s="130"/>
      <c r="R245" s="131"/>
      <c r="S245" s="130"/>
      <c r="T245" s="131"/>
      <c r="U245" s="130"/>
      <c r="V245" s="131"/>
      <c r="W245" s="130"/>
      <c r="X245" s="131"/>
      <c r="Y245" s="130"/>
      <c r="Z245" s="131"/>
      <c r="AA245" s="130"/>
    </row>
    <row r="246" spans="1:27" x14ac:dyDescent="0.25">
      <c r="A246" s="538"/>
      <c r="B246" s="585" t="str">
        <f>IF(A246&lt;&gt;"",INDEX('Base de données'!A$4:L$990,MATCH(A246,'Base de données'!A$4:A$990,0),2),"")</f>
        <v/>
      </c>
      <c r="C246" s="585" t="str">
        <f>IF(A246&lt;&gt;"",INDEX('Base de données'!A$4:L$990,MATCH(A246,'Base de données'!A$4:A$990,0),12),"")</f>
        <v/>
      </c>
      <c r="D246" s="583"/>
      <c r="E246" s="130"/>
      <c r="F246" s="131"/>
      <c r="G246" s="130"/>
      <c r="H246" s="131"/>
      <c r="I246" s="130"/>
      <c r="J246" s="131"/>
      <c r="K246" s="130"/>
      <c r="L246" s="131"/>
      <c r="M246" s="130"/>
      <c r="N246" s="131"/>
      <c r="O246" s="130"/>
      <c r="P246" s="131"/>
      <c r="Q246" s="130"/>
      <c r="R246" s="131"/>
      <c r="S246" s="130"/>
      <c r="T246" s="131"/>
      <c r="U246" s="130"/>
      <c r="V246" s="131"/>
      <c r="W246" s="130"/>
      <c r="X246" s="131"/>
      <c r="Y246" s="130"/>
      <c r="Z246" s="131"/>
      <c r="AA246" s="130"/>
    </row>
    <row r="247" spans="1:27" x14ac:dyDescent="0.25">
      <c r="A247" s="538"/>
      <c r="B247" s="585" t="str">
        <f>IF(A247&lt;&gt;"",INDEX('Base de données'!A$4:L$990,MATCH(A247,'Base de données'!A$4:A$990,0),2),"")</f>
        <v/>
      </c>
      <c r="C247" s="585" t="str">
        <f>IF(A247&lt;&gt;"",INDEX('Base de données'!A$4:L$990,MATCH(A247,'Base de données'!A$4:A$990,0),12),"")</f>
        <v/>
      </c>
      <c r="D247" s="583"/>
      <c r="E247" s="130"/>
      <c r="F247" s="131"/>
      <c r="G247" s="130"/>
      <c r="H247" s="131"/>
      <c r="I247" s="130"/>
      <c r="J247" s="131"/>
      <c r="K247" s="130"/>
      <c r="L247" s="131"/>
      <c r="M247" s="130"/>
      <c r="N247" s="131"/>
      <c r="O247" s="130"/>
      <c r="P247" s="131"/>
      <c r="Q247" s="130"/>
      <c r="R247" s="131"/>
      <c r="S247" s="130"/>
      <c r="T247" s="131"/>
      <c r="U247" s="130"/>
      <c r="V247" s="131"/>
      <c r="W247" s="130"/>
      <c r="X247" s="131"/>
      <c r="Y247" s="130"/>
      <c r="Z247" s="131"/>
      <c r="AA247" s="130"/>
    </row>
    <row r="248" spans="1:27" x14ac:dyDescent="0.25">
      <c r="A248" s="538"/>
      <c r="B248" s="585" t="str">
        <f>IF(A248&lt;&gt;"",INDEX('Base de données'!A$4:L$990,MATCH(A248,'Base de données'!A$4:A$990,0),2),"")</f>
        <v/>
      </c>
      <c r="C248" s="585" t="str">
        <f>IF(A248&lt;&gt;"",INDEX('Base de données'!A$4:L$990,MATCH(A248,'Base de données'!A$4:A$990,0),12),"")</f>
        <v/>
      </c>
      <c r="D248" s="583"/>
      <c r="E248" s="130"/>
      <c r="F248" s="131"/>
      <c r="G248" s="130"/>
      <c r="H248" s="131"/>
      <c r="I248" s="130"/>
      <c r="J248" s="131"/>
      <c r="K248" s="130"/>
      <c r="L248" s="131"/>
      <c r="M248" s="130"/>
      <c r="N248" s="131"/>
      <c r="O248" s="130"/>
      <c r="P248" s="131"/>
      <c r="Q248" s="130"/>
      <c r="R248" s="131"/>
      <c r="S248" s="130"/>
      <c r="T248" s="131"/>
      <c r="U248" s="130"/>
      <c r="V248" s="131"/>
      <c r="W248" s="130"/>
      <c r="X248" s="131"/>
      <c r="Y248" s="130"/>
      <c r="Z248" s="131"/>
      <c r="AA248" s="130"/>
    </row>
    <row r="249" spans="1:27" x14ac:dyDescent="0.25">
      <c r="A249" s="538"/>
      <c r="B249" s="585" t="str">
        <f>IF(A249&lt;&gt;"",INDEX('Base de données'!A$4:L$990,MATCH(A249,'Base de données'!A$4:A$990,0),2),"")</f>
        <v/>
      </c>
      <c r="C249" s="585" t="str">
        <f>IF(A249&lt;&gt;"",INDEX('Base de données'!A$4:L$990,MATCH(A249,'Base de données'!A$4:A$990,0),12),"")</f>
        <v/>
      </c>
      <c r="D249" s="583"/>
      <c r="E249" s="130"/>
      <c r="F249" s="131"/>
      <c r="G249" s="130"/>
      <c r="H249" s="131"/>
      <c r="I249" s="130"/>
      <c r="J249" s="131"/>
      <c r="K249" s="130"/>
      <c r="L249" s="131"/>
      <c r="M249" s="130"/>
      <c r="N249" s="131"/>
      <c r="O249" s="130"/>
      <c r="P249" s="131"/>
      <c r="Q249" s="130"/>
      <c r="R249" s="131"/>
      <c r="S249" s="130"/>
      <c r="T249" s="131"/>
      <c r="U249" s="130"/>
      <c r="V249" s="131"/>
      <c r="W249" s="130"/>
      <c r="X249" s="131"/>
      <c r="Y249" s="130"/>
      <c r="Z249" s="131"/>
      <c r="AA249" s="130"/>
    </row>
    <row r="250" spans="1:27" x14ac:dyDescent="0.25">
      <c r="A250" s="538"/>
      <c r="B250" s="585" t="str">
        <f>IF(A250&lt;&gt;"",INDEX('Base de données'!A$4:L$990,MATCH(A250,'Base de données'!A$4:A$990,0),2),"")</f>
        <v/>
      </c>
      <c r="C250" s="585" t="str">
        <f>IF(A250&lt;&gt;"",INDEX('Base de données'!A$4:L$990,MATCH(A250,'Base de données'!A$4:A$990,0),12),"")</f>
        <v/>
      </c>
      <c r="D250" s="583"/>
      <c r="E250" s="130"/>
      <c r="F250" s="131"/>
      <c r="G250" s="130"/>
      <c r="H250" s="131"/>
      <c r="I250" s="130"/>
      <c r="J250" s="131"/>
      <c r="K250" s="130"/>
      <c r="L250" s="131"/>
      <c r="M250" s="130"/>
      <c r="N250" s="131"/>
      <c r="O250" s="130"/>
      <c r="P250" s="131"/>
      <c r="Q250" s="130"/>
      <c r="R250" s="131"/>
      <c r="S250" s="130"/>
      <c r="T250" s="131"/>
      <c r="U250" s="130"/>
      <c r="V250" s="131"/>
      <c r="W250" s="130"/>
      <c r="X250" s="131"/>
      <c r="Y250" s="130"/>
      <c r="Z250" s="131"/>
      <c r="AA250" s="130"/>
    </row>
    <row r="251" spans="1:27" x14ac:dyDescent="0.25">
      <c r="A251" s="538"/>
      <c r="B251" s="585" t="str">
        <f>IF(A251&lt;&gt;"",INDEX('Base de données'!A$4:L$990,MATCH(A251,'Base de données'!A$4:A$990,0),2),"")</f>
        <v/>
      </c>
      <c r="C251" s="585" t="str">
        <f>IF(A251&lt;&gt;"",INDEX('Base de données'!A$4:L$990,MATCH(A251,'Base de données'!A$4:A$990,0),12),"")</f>
        <v/>
      </c>
      <c r="D251" s="583"/>
      <c r="E251" s="130"/>
      <c r="F251" s="131"/>
      <c r="G251" s="130"/>
      <c r="H251" s="131"/>
      <c r="I251" s="130"/>
      <c r="J251" s="131"/>
      <c r="K251" s="130"/>
      <c r="L251" s="131"/>
      <c r="M251" s="130"/>
      <c r="N251" s="131"/>
      <c r="O251" s="130"/>
      <c r="P251" s="131"/>
      <c r="Q251" s="130"/>
      <c r="R251" s="131"/>
      <c r="S251" s="130"/>
      <c r="T251" s="131"/>
      <c r="U251" s="130"/>
      <c r="V251" s="131"/>
      <c r="W251" s="130"/>
      <c r="X251" s="131"/>
      <c r="Y251" s="130"/>
      <c r="Z251" s="131"/>
      <c r="AA251" s="130"/>
    </row>
    <row r="252" spans="1:27" x14ac:dyDescent="0.25">
      <c r="A252" s="538"/>
      <c r="B252" s="585" t="str">
        <f>IF(A252&lt;&gt;"",INDEX('Base de données'!A$4:L$990,MATCH(A252,'Base de données'!A$4:A$990,0),2),"")</f>
        <v/>
      </c>
      <c r="C252" s="585" t="str">
        <f>IF(A252&lt;&gt;"",INDEX('Base de données'!A$4:L$990,MATCH(A252,'Base de données'!A$4:A$990,0),12),"")</f>
        <v/>
      </c>
      <c r="D252" s="583"/>
      <c r="E252" s="130"/>
      <c r="F252" s="131"/>
      <c r="G252" s="130"/>
      <c r="H252" s="131"/>
      <c r="I252" s="130"/>
      <c r="J252" s="131"/>
      <c r="K252" s="130"/>
      <c r="L252" s="131"/>
      <c r="M252" s="130"/>
      <c r="N252" s="131"/>
      <c r="O252" s="130"/>
      <c r="P252" s="131"/>
      <c r="Q252" s="130"/>
      <c r="R252" s="131"/>
      <c r="S252" s="130"/>
      <c r="T252" s="131"/>
      <c r="U252" s="130"/>
      <c r="V252" s="131"/>
      <c r="W252" s="130"/>
      <c r="X252" s="131"/>
      <c r="Y252" s="130"/>
      <c r="Z252" s="131"/>
      <c r="AA252" s="130"/>
    </row>
    <row r="253" spans="1:27" x14ac:dyDescent="0.25">
      <c r="A253" s="538"/>
      <c r="B253" s="585" t="str">
        <f>IF(A253&lt;&gt;"",INDEX('Base de données'!A$4:L$990,MATCH(A253,'Base de données'!A$4:A$990,0),2),"")</f>
        <v/>
      </c>
      <c r="C253" s="585" t="str">
        <f>IF(A253&lt;&gt;"",INDEX('Base de données'!A$4:L$990,MATCH(A253,'Base de données'!A$4:A$990,0),12),"")</f>
        <v/>
      </c>
      <c r="D253" s="583"/>
      <c r="E253" s="130"/>
      <c r="F253" s="131"/>
      <c r="G253" s="130"/>
      <c r="H253" s="131"/>
      <c r="I253" s="130"/>
      <c r="J253" s="131"/>
      <c r="K253" s="130"/>
      <c r="L253" s="131"/>
      <c r="M253" s="130"/>
      <c r="N253" s="131"/>
      <c r="O253" s="130"/>
      <c r="P253" s="131"/>
      <c r="Q253" s="130"/>
      <c r="R253" s="131"/>
      <c r="S253" s="130"/>
      <c r="T253" s="131"/>
      <c r="U253" s="130"/>
      <c r="V253" s="131"/>
      <c r="W253" s="130"/>
      <c r="X253" s="131"/>
      <c r="Y253" s="130"/>
      <c r="Z253" s="131"/>
      <c r="AA253" s="130"/>
    </row>
    <row r="254" spans="1:27" x14ac:dyDescent="0.25">
      <c r="A254" s="538"/>
      <c r="B254" s="585" t="str">
        <f>IF(A254&lt;&gt;"",INDEX('Base de données'!A$4:L$990,MATCH(A254,'Base de données'!A$4:A$990,0),2),"")</f>
        <v/>
      </c>
      <c r="C254" s="585" t="str">
        <f>IF(A254&lt;&gt;"",INDEX('Base de données'!A$4:L$990,MATCH(A254,'Base de données'!A$4:A$990,0),12),"")</f>
        <v/>
      </c>
      <c r="D254" s="583"/>
      <c r="E254" s="130"/>
      <c r="F254" s="131"/>
      <c r="G254" s="130"/>
      <c r="H254" s="131"/>
      <c r="I254" s="130"/>
      <c r="J254" s="131"/>
      <c r="K254" s="130"/>
      <c r="L254" s="131"/>
      <c r="M254" s="130"/>
      <c r="N254" s="131"/>
      <c r="O254" s="130"/>
      <c r="P254" s="131"/>
      <c r="Q254" s="130"/>
      <c r="R254" s="131"/>
      <c r="S254" s="130"/>
      <c r="T254" s="131"/>
      <c r="U254" s="130"/>
      <c r="V254" s="131"/>
      <c r="W254" s="130"/>
      <c r="X254" s="131"/>
      <c r="Y254" s="130"/>
      <c r="Z254" s="131"/>
      <c r="AA254" s="130"/>
    </row>
    <row r="255" spans="1:27" x14ac:dyDescent="0.25">
      <c r="A255" s="538"/>
      <c r="B255" s="585" t="str">
        <f>IF(A255&lt;&gt;"",INDEX('Base de données'!A$4:L$990,MATCH(A255,'Base de données'!A$4:A$990,0),2),"")</f>
        <v/>
      </c>
      <c r="C255" s="585" t="str">
        <f>IF(A255&lt;&gt;"",INDEX('Base de données'!A$4:L$990,MATCH(A255,'Base de données'!A$4:A$990,0),12),"")</f>
        <v/>
      </c>
      <c r="D255" s="583"/>
      <c r="E255" s="130"/>
      <c r="F255" s="131"/>
      <c r="G255" s="130"/>
      <c r="H255" s="131"/>
      <c r="I255" s="130"/>
      <c r="J255" s="131"/>
      <c r="K255" s="130"/>
      <c r="L255" s="131"/>
      <c r="M255" s="130"/>
      <c r="N255" s="131"/>
      <c r="O255" s="130"/>
      <c r="P255" s="131"/>
      <c r="Q255" s="130"/>
      <c r="R255" s="131"/>
      <c r="S255" s="130"/>
      <c r="T255" s="131"/>
      <c r="U255" s="130"/>
      <c r="V255" s="131"/>
      <c r="W255" s="130"/>
      <c r="X255" s="131"/>
      <c r="Y255" s="130"/>
      <c r="Z255" s="131"/>
      <c r="AA255" s="130"/>
    </row>
    <row r="256" spans="1:27" x14ac:dyDescent="0.25">
      <c r="A256" s="538"/>
      <c r="B256" s="585" t="str">
        <f>IF(A256&lt;&gt;"",INDEX('Base de données'!A$4:L$990,MATCH(A256,'Base de données'!A$4:A$990,0),2),"")</f>
        <v/>
      </c>
      <c r="C256" s="585" t="str">
        <f>IF(A256&lt;&gt;"",INDEX('Base de données'!A$4:L$990,MATCH(A256,'Base de données'!A$4:A$990,0),12),"")</f>
        <v/>
      </c>
      <c r="D256" s="583"/>
      <c r="E256" s="130"/>
      <c r="F256" s="131"/>
      <c r="G256" s="130"/>
      <c r="H256" s="131"/>
      <c r="I256" s="130"/>
      <c r="J256" s="131"/>
      <c r="K256" s="130"/>
      <c r="L256" s="131"/>
      <c r="M256" s="130"/>
      <c r="N256" s="131"/>
      <c r="O256" s="130"/>
      <c r="P256" s="131"/>
      <c r="Q256" s="130"/>
      <c r="R256" s="131"/>
      <c r="S256" s="130"/>
      <c r="T256" s="131"/>
      <c r="U256" s="130"/>
      <c r="V256" s="131"/>
      <c r="W256" s="130"/>
      <c r="X256" s="131"/>
      <c r="Y256" s="130"/>
      <c r="Z256" s="131"/>
      <c r="AA256" s="130"/>
    </row>
    <row r="257" spans="1:27" x14ac:dyDescent="0.25">
      <c r="A257" s="538"/>
      <c r="B257" s="585" t="str">
        <f>IF(A257&lt;&gt;"",INDEX('Base de données'!A$4:L$990,MATCH(A257,'Base de données'!A$4:A$990,0),2),"")</f>
        <v/>
      </c>
      <c r="C257" s="585" t="str">
        <f>IF(A257&lt;&gt;"",INDEX('Base de données'!A$4:L$990,MATCH(A257,'Base de données'!A$4:A$990,0),12),"")</f>
        <v/>
      </c>
      <c r="D257" s="583"/>
      <c r="E257" s="130"/>
      <c r="F257" s="131"/>
      <c r="G257" s="130"/>
      <c r="H257" s="131"/>
      <c r="I257" s="130"/>
      <c r="J257" s="131"/>
      <c r="K257" s="130"/>
      <c r="L257" s="131"/>
      <c r="M257" s="130"/>
      <c r="N257" s="131"/>
      <c r="O257" s="130"/>
      <c r="P257" s="131"/>
      <c r="Q257" s="130"/>
      <c r="R257" s="131"/>
      <c r="S257" s="130"/>
      <c r="T257" s="131"/>
      <c r="U257" s="130"/>
      <c r="V257" s="131"/>
      <c r="W257" s="130"/>
      <c r="X257" s="131"/>
      <c r="Y257" s="130"/>
      <c r="Z257" s="131"/>
      <c r="AA257" s="130"/>
    </row>
    <row r="258" spans="1:27" x14ac:dyDescent="0.25">
      <c r="A258" s="538"/>
      <c r="B258" s="585" t="str">
        <f>IF(A258&lt;&gt;"",INDEX('Base de données'!A$4:L$990,MATCH(A258,'Base de données'!A$4:A$990,0),2),"")</f>
        <v/>
      </c>
      <c r="C258" s="585" t="str">
        <f>IF(A258&lt;&gt;"",INDEX('Base de données'!A$4:L$990,MATCH(A258,'Base de données'!A$4:A$990,0),12),"")</f>
        <v/>
      </c>
      <c r="D258" s="583"/>
      <c r="E258" s="130"/>
      <c r="F258" s="131"/>
      <c r="G258" s="130"/>
      <c r="H258" s="131"/>
      <c r="I258" s="130"/>
      <c r="J258" s="131"/>
      <c r="K258" s="130"/>
      <c r="L258" s="131"/>
      <c r="M258" s="130"/>
      <c r="N258" s="131"/>
      <c r="O258" s="130"/>
      <c r="P258" s="131"/>
      <c r="Q258" s="130"/>
      <c r="R258" s="131"/>
      <c r="S258" s="130"/>
      <c r="T258" s="131"/>
      <c r="U258" s="130"/>
      <c r="V258" s="131"/>
      <c r="W258" s="130"/>
      <c r="X258" s="131"/>
      <c r="Y258" s="130"/>
      <c r="Z258" s="131"/>
      <c r="AA258" s="130"/>
    </row>
    <row r="259" spans="1:27" x14ac:dyDescent="0.25">
      <c r="A259" s="538"/>
      <c r="B259" s="585" t="str">
        <f>IF(A259&lt;&gt;"",INDEX('Base de données'!A$4:L$990,MATCH(A259,'Base de données'!A$4:A$990,0),2),"")</f>
        <v/>
      </c>
      <c r="C259" s="585" t="str">
        <f>IF(A259&lt;&gt;"",INDEX('Base de données'!A$4:L$990,MATCH(A259,'Base de données'!A$4:A$990,0),12),"")</f>
        <v/>
      </c>
      <c r="D259" s="583"/>
      <c r="E259" s="130"/>
      <c r="F259" s="131"/>
      <c r="G259" s="130"/>
      <c r="H259" s="131"/>
      <c r="I259" s="130"/>
      <c r="J259" s="131"/>
      <c r="K259" s="130"/>
      <c r="L259" s="131"/>
      <c r="M259" s="130"/>
      <c r="N259" s="131"/>
      <c r="O259" s="130"/>
      <c r="P259" s="131"/>
      <c r="Q259" s="130"/>
      <c r="R259" s="131"/>
      <c r="S259" s="130"/>
      <c r="T259" s="131"/>
      <c r="U259" s="130"/>
      <c r="V259" s="131"/>
      <c r="W259" s="130"/>
      <c r="X259" s="131"/>
      <c r="Y259" s="130"/>
      <c r="Z259" s="131"/>
      <c r="AA259" s="130"/>
    </row>
    <row r="260" spans="1:27" x14ac:dyDescent="0.25">
      <c r="A260" s="538"/>
      <c r="B260" s="585" t="str">
        <f>IF(A260&lt;&gt;"",INDEX('Base de données'!A$4:L$990,MATCH(A260,'Base de données'!A$4:A$990,0),2),"")</f>
        <v/>
      </c>
      <c r="C260" s="585" t="str">
        <f>IF(A260&lt;&gt;"",INDEX('Base de données'!A$4:L$990,MATCH(A260,'Base de données'!A$4:A$990,0),12),"")</f>
        <v/>
      </c>
      <c r="D260" s="583"/>
      <c r="E260" s="130"/>
      <c r="F260" s="131"/>
      <c r="G260" s="130"/>
      <c r="H260" s="131"/>
      <c r="I260" s="130"/>
      <c r="J260" s="131"/>
      <c r="K260" s="130"/>
      <c r="L260" s="131"/>
      <c r="M260" s="130"/>
      <c r="N260" s="131"/>
      <c r="O260" s="130"/>
      <c r="P260" s="131"/>
      <c r="Q260" s="130"/>
      <c r="R260" s="131"/>
      <c r="S260" s="130"/>
      <c r="T260" s="131"/>
      <c r="U260" s="130"/>
      <c r="V260" s="131"/>
      <c r="W260" s="130"/>
      <c r="X260" s="131"/>
      <c r="Y260" s="130"/>
      <c r="Z260" s="131"/>
      <c r="AA260" s="130"/>
    </row>
    <row r="261" spans="1:27" x14ac:dyDescent="0.25">
      <c r="A261" s="538"/>
      <c r="B261" s="585" t="str">
        <f>IF(A261&lt;&gt;"",INDEX('Base de données'!A$4:L$990,MATCH(A261,'Base de données'!A$4:A$990,0),2),"")</f>
        <v/>
      </c>
      <c r="C261" s="585" t="str">
        <f>IF(A261&lt;&gt;"",INDEX('Base de données'!A$4:L$990,MATCH(A261,'Base de données'!A$4:A$990,0),12),"")</f>
        <v/>
      </c>
      <c r="D261" s="583"/>
      <c r="E261" s="130"/>
      <c r="F261" s="131"/>
      <c r="G261" s="130"/>
      <c r="H261" s="131"/>
      <c r="I261" s="130"/>
      <c r="J261" s="131"/>
      <c r="K261" s="130"/>
      <c r="L261" s="131"/>
      <c r="M261" s="130"/>
      <c r="N261" s="131"/>
      <c r="O261" s="130"/>
      <c r="P261" s="131"/>
      <c r="Q261" s="130"/>
      <c r="R261" s="131"/>
      <c r="S261" s="130"/>
      <c r="T261" s="131"/>
      <c r="U261" s="130"/>
      <c r="V261" s="131"/>
      <c r="W261" s="130"/>
      <c r="X261" s="131"/>
      <c r="Y261" s="130"/>
      <c r="Z261" s="131"/>
      <c r="AA261" s="130"/>
    </row>
    <row r="262" spans="1:27" x14ac:dyDescent="0.25">
      <c r="A262" s="538"/>
      <c r="B262" s="585" t="str">
        <f>IF(A262&lt;&gt;"",INDEX('Base de données'!A$4:L$990,MATCH(A262,'Base de données'!A$4:A$990,0),2),"")</f>
        <v/>
      </c>
      <c r="C262" s="585" t="str">
        <f>IF(A262&lt;&gt;"",INDEX('Base de données'!A$4:L$990,MATCH(A262,'Base de données'!A$4:A$990,0),12),"")</f>
        <v/>
      </c>
      <c r="D262" s="583"/>
      <c r="E262" s="130"/>
      <c r="F262" s="131"/>
      <c r="G262" s="130"/>
      <c r="H262" s="131"/>
      <c r="I262" s="130"/>
      <c r="J262" s="131"/>
      <c r="K262" s="130"/>
      <c r="L262" s="131"/>
      <c r="M262" s="130"/>
      <c r="N262" s="131"/>
      <c r="O262" s="130"/>
      <c r="P262" s="131"/>
      <c r="Q262" s="130"/>
      <c r="R262" s="131"/>
      <c r="S262" s="130"/>
      <c r="T262" s="131"/>
      <c r="U262" s="130"/>
      <c r="V262" s="131"/>
      <c r="W262" s="130"/>
      <c r="X262" s="131"/>
      <c r="Y262" s="130"/>
      <c r="Z262" s="131"/>
      <c r="AA262" s="130"/>
    </row>
    <row r="263" spans="1:27" x14ac:dyDescent="0.25">
      <c r="A263" s="538"/>
      <c r="B263" s="585" t="str">
        <f>IF(A263&lt;&gt;"",INDEX('Base de données'!A$4:L$990,MATCH(A263,'Base de données'!A$4:A$990,0),2),"")</f>
        <v/>
      </c>
      <c r="C263" s="585" t="str">
        <f>IF(A263&lt;&gt;"",INDEX('Base de données'!A$4:L$990,MATCH(A263,'Base de données'!A$4:A$990,0),12),"")</f>
        <v/>
      </c>
      <c r="D263" s="583"/>
      <c r="E263" s="130"/>
      <c r="F263" s="131"/>
      <c r="G263" s="130"/>
      <c r="H263" s="131"/>
      <c r="I263" s="130"/>
      <c r="J263" s="131"/>
      <c r="K263" s="130"/>
      <c r="L263" s="131"/>
      <c r="M263" s="130"/>
      <c r="N263" s="131"/>
      <c r="O263" s="130"/>
      <c r="P263" s="131"/>
      <c r="Q263" s="130"/>
      <c r="R263" s="131"/>
      <c r="S263" s="130"/>
      <c r="T263" s="131"/>
      <c r="U263" s="130"/>
      <c r="V263" s="131"/>
      <c r="W263" s="130"/>
      <c r="X263" s="131"/>
      <c r="Y263" s="130"/>
      <c r="Z263" s="131"/>
      <c r="AA263" s="130"/>
    </row>
    <row r="264" spans="1:27" x14ac:dyDescent="0.25">
      <c r="A264" s="538"/>
      <c r="B264" s="585" t="str">
        <f>IF(A264&lt;&gt;"",INDEX('Base de données'!A$4:L$990,MATCH(A264,'Base de données'!A$4:A$990,0),2),"")</f>
        <v/>
      </c>
      <c r="C264" s="585" t="str">
        <f>IF(A264&lt;&gt;"",INDEX('Base de données'!A$4:L$990,MATCH(A264,'Base de données'!A$4:A$990,0),12),"")</f>
        <v/>
      </c>
      <c r="D264" s="583"/>
      <c r="E264" s="130"/>
      <c r="F264" s="131"/>
      <c r="G264" s="130"/>
      <c r="H264" s="131"/>
      <c r="I264" s="130"/>
      <c r="J264" s="131"/>
      <c r="K264" s="130"/>
      <c r="L264" s="131"/>
      <c r="M264" s="130"/>
      <c r="N264" s="131"/>
      <c r="O264" s="130"/>
      <c r="P264" s="131"/>
      <c r="Q264" s="130"/>
      <c r="R264" s="131"/>
      <c r="S264" s="130"/>
      <c r="T264" s="131"/>
      <c r="U264" s="130"/>
      <c r="V264" s="131"/>
      <c r="W264" s="130"/>
      <c r="X264" s="131"/>
      <c r="Y264" s="130"/>
      <c r="Z264" s="131"/>
      <c r="AA264" s="130"/>
    </row>
    <row r="265" spans="1:27" x14ac:dyDescent="0.25">
      <c r="A265" s="538"/>
      <c r="B265" s="585" t="str">
        <f>IF(A265&lt;&gt;"",INDEX('Base de données'!A$4:L$990,MATCH(A265,'Base de données'!A$4:A$990,0),2),"")</f>
        <v/>
      </c>
      <c r="C265" s="585" t="str">
        <f>IF(A265&lt;&gt;"",INDEX('Base de données'!A$4:L$990,MATCH(A265,'Base de données'!A$4:A$990,0),12),"")</f>
        <v/>
      </c>
      <c r="D265" s="583"/>
      <c r="E265" s="130"/>
      <c r="F265" s="131"/>
      <c r="G265" s="130"/>
      <c r="H265" s="131"/>
      <c r="I265" s="130"/>
      <c r="J265" s="131"/>
      <c r="K265" s="130"/>
      <c r="L265" s="131"/>
      <c r="M265" s="130"/>
      <c r="N265" s="131"/>
      <c r="O265" s="130"/>
      <c r="P265" s="131"/>
      <c r="Q265" s="130"/>
      <c r="R265" s="131"/>
      <c r="S265" s="130"/>
      <c r="T265" s="131"/>
      <c r="U265" s="130"/>
      <c r="V265" s="131"/>
      <c r="W265" s="130"/>
      <c r="X265" s="131"/>
      <c r="Y265" s="130"/>
      <c r="Z265" s="131"/>
      <c r="AA265" s="130"/>
    </row>
    <row r="266" spans="1:27" x14ac:dyDescent="0.25">
      <c r="A266" s="538"/>
      <c r="B266" s="585" t="str">
        <f>IF(A266&lt;&gt;"",INDEX('Base de données'!A$4:L$990,MATCH(A266,'Base de données'!A$4:A$990,0),2),"")</f>
        <v/>
      </c>
      <c r="C266" s="585" t="str">
        <f>IF(A266&lt;&gt;"",INDEX('Base de données'!A$4:L$990,MATCH(A266,'Base de données'!A$4:A$990,0),12),"")</f>
        <v/>
      </c>
      <c r="D266" s="583"/>
      <c r="E266" s="130"/>
      <c r="F266" s="131"/>
      <c r="G266" s="130"/>
      <c r="H266" s="131"/>
      <c r="I266" s="130"/>
      <c r="J266" s="131"/>
      <c r="K266" s="130"/>
      <c r="L266" s="131"/>
      <c r="M266" s="130"/>
      <c r="N266" s="131"/>
      <c r="O266" s="130"/>
      <c r="P266" s="131"/>
      <c r="Q266" s="130"/>
      <c r="R266" s="131"/>
      <c r="S266" s="130"/>
      <c r="T266" s="131"/>
      <c r="U266" s="130"/>
      <c r="V266" s="131"/>
      <c r="W266" s="130"/>
      <c r="X266" s="131"/>
      <c r="Y266" s="130"/>
      <c r="Z266" s="131"/>
      <c r="AA266" s="130"/>
    </row>
    <row r="267" spans="1:27" x14ac:dyDescent="0.25">
      <c r="A267" s="538"/>
      <c r="B267" s="585" t="str">
        <f>IF(A267&lt;&gt;"",INDEX('Base de données'!A$4:L$990,MATCH(A267,'Base de données'!A$4:A$990,0),2),"")</f>
        <v/>
      </c>
      <c r="C267" s="585" t="str">
        <f>IF(A267&lt;&gt;"",INDEX('Base de données'!A$4:L$990,MATCH(A267,'Base de données'!A$4:A$990,0),12),"")</f>
        <v/>
      </c>
      <c r="D267" s="583"/>
      <c r="E267" s="130"/>
      <c r="F267" s="131"/>
      <c r="G267" s="130"/>
      <c r="H267" s="131"/>
      <c r="I267" s="130"/>
      <c r="J267" s="131"/>
      <c r="K267" s="130"/>
      <c r="L267" s="131"/>
      <c r="M267" s="130"/>
      <c r="N267" s="131"/>
      <c r="O267" s="130"/>
      <c r="P267" s="131"/>
      <c r="Q267" s="130"/>
      <c r="R267" s="131"/>
      <c r="S267" s="130"/>
      <c r="T267" s="131"/>
      <c r="U267" s="130"/>
      <c r="V267" s="131"/>
      <c r="W267" s="130"/>
      <c r="X267" s="131"/>
      <c r="Y267" s="130"/>
      <c r="Z267" s="131"/>
      <c r="AA267" s="130"/>
    </row>
    <row r="268" spans="1:27" x14ac:dyDescent="0.25">
      <c r="A268" s="538"/>
      <c r="B268" s="585" t="str">
        <f>IF(A268&lt;&gt;"",INDEX('Base de données'!A$4:L$990,MATCH(A268,'Base de données'!A$4:A$990,0),2),"")</f>
        <v/>
      </c>
      <c r="C268" s="585" t="str">
        <f>IF(A268&lt;&gt;"",INDEX('Base de données'!A$4:L$990,MATCH(A268,'Base de données'!A$4:A$990,0),12),"")</f>
        <v/>
      </c>
      <c r="D268" s="583"/>
      <c r="E268" s="130"/>
      <c r="F268" s="131"/>
      <c r="G268" s="130"/>
      <c r="H268" s="131"/>
      <c r="I268" s="130"/>
      <c r="J268" s="131"/>
      <c r="K268" s="130"/>
      <c r="L268" s="131"/>
      <c r="M268" s="130"/>
      <c r="N268" s="131"/>
      <c r="O268" s="130"/>
      <c r="P268" s="131"/>
      <c r="Q268" s="130"/>
      <c r="R268" s="131"/>
      <c r="S268" s="130"/>
      <c r="T268" s="131"/>
      <c r="U268" s="130"/>
      <c r="V268" s="131"/>
      <c r="W268" s="130"/>
      <c r="X268" s="131"/>
      <c r="Y268" s="130"/>
      <c r="Z268" s="131"/>
      <c r="AA268" s="130"/>
    </row>
    <row r="269" spans="1:27" x14ac:dyDescent="0.25">
      <c r="A269" s="538"/>
      <c r="B269" s="585" t="str">
        <f>IF(A269&lt;&gt;"",INDEX('Base de données'!A$4:L$990,MATCH(A269,'Base de données'!A$4:A$990,0),2),"")</f>
        <v/>
      </c>
      <c r="C269" s="585" t="str">
        <f>IF(A269&lt;&gt;"",INDEX('Base de données'!A$4:L$990,MATCH(A269,'Base de données'!A$4:A$990,0),12),"")</f>
        <v/>
      </c>
      <c r="D269" s="583"/>
      <c r="E269" s="130"/>
      <c r="F269" s="131"/>
      <c r="G269" s="130"/>
      <c r="H269" s="131"/>
      <c r="I269" s="130"/>
      <c r="J269" s="131"/>
      <c r="K269" s="130"/>
      <c r="L269" s="131"/>
      <c r="M269" s="130"/>
      <c r="N269" s="131"/>
      <c r="O269" s="130"/>
      <c r="P269" s="131"/>
      <c r="Q269" s="130"/>
      <c r="R269" s="131"/>
      <c r="S269" s="130"/>
      <c r="T269" s="131"/>
      <c r="U269" s="130"/>
      <c r="V269" s="131"/>
      <c r="W269" s="130"/>
      <c r="X269" s="131"/>
      <c r="Y269" s="130"/>
      <c r="Z269" s="131"/>
      <c r="AA269" s="130"/>
    </row>
    <row r="270" spans="1:27" x14ac:dyDescent="0.25">
      <c r="A270" s="538"/>
      <c r="B270" s="585" t="str">
        <f>IF(A270&lt;&gt;"",INDEX('Base de données'!A$4:L$990,MATCH(A270,'Base de données'!A$4:A$990,0),2),"")</f>
        <v/>
      </c>
      <c r="C270" s="585" t="str">
        <f>IF(A270&lt;&gt;"",INDEX('Base de données'!A$4:L$990,MATCH(A270,'Base de données'!A$4:A$990,0),12),"")</f>
        <v/>
      </c>
      <c r="D270" s="583"/>
      <c r="E270" s="130"/>
      <c r="F270" s="131"/>
      <c r="G270" s="130"/>
      <c r="H270" s="131"/>
      <c r="I270" s="130"/>
      <c r="J270" s="131"/>
      <c r="K270" s="130"/>
      <c r="L270" s="131"/>
      <c r="M270" s="130"/>
      <c r="N270" s="131"/>
      <c r="O270" s="130"/>
      <c r="P270" s="131"/>
      <c r="Q270" s="130"/>
      <c r="R270" s="131"/>
      <c r="S270" s="130"/>
      <c r="T270" s="131"/>
      <c r="U270" s="130"/>
      <c r="V270" s="131"/>
      <c r="W270" s="130"/>
      <c r="X270" s="131"/>
      <c r="Y270" s="130"/>
      <c r="Z270" s="131"/>
      <c r="AA270" s="130"/>
    </row>
    <row r="271" spans="1:27" x14ac:dyDescent="0.25">
      <c r="A271" s="538"/>
      <c r="B271" s="585" t="str">
        <f>IF(A271&lt;&gt;"",INDEX('Base de données'!A$4:L$990,MATCH(A271,'Base de données'!A$4:A$990,0),2),"")</f>
        <v/>
      </c>
      <c r="C271" s="585" t="str">
        <f>IF(A271&lt;&gt;"",INDEX('Base de données'!A$4:L$990,MATCH(A271,'Base de données'!A$4:A$990,0),12),"")</f>
        <v/>
      </c>
      <c r="D271" s="583"/>
      <c r="E271" s="130"/>
      <c r="F271" s="131"/>
      <c r="G271" s="130"/>
      <c r="H271" s="131"/>
      <c r="I271" s="130"/>
      <c r="J271" s="131"/>
      <c r="K271" s="130"/>
      <c r="L271" s="131"/>
      <c r="M271" s="130"/>
      <c r="N271" s="131"/>
      <c r="O271" s="130"/>
      <c r="P271" s="131"/>
      <c r="Q271" s="130"/>
      <c r="R271" s="131"/>
      <c r="S271" s="130"/>
      <c r="T271" s="131"/>
      <c r="U271" s="130"/>
      <c r="V271" s="131"/>
      <c r="W271" s="130"/>
      <c r="X271" s="131"/>
      <c r="Y271" s="130"/>
      <c r="Z271" s="131"/>
      <c r="AA271" s="130"/>
    </row>
    <row r="272" spans="1:27" x14ac:dyDescent="0.25">
      <c r="A272" s="538"/>
      <c r="B272" s="585" t="str">
        <f>IF(A272&lt;&gt;"",INDEX('Base de données'!A$4:L$990,MATCH(A272,'Base de données'!A$4:A$990,0),2),"")</f>
        <v/>
      </c>
      <c r="C272" s="585" t="str">
        <f>IF(A272&lt;&gt;"",INDEX('Base de données'!A$4:L$990,MATCH(A272,'Base de données'!A$4:A$990,0),12),"")</f>
        <v/>
      </c>
      <c r="D272" s="583"/>
      <c r="E272" s="130"/>
      <c r="F272" s="131"/>
      <c r="G272" s="130"/>
      <c r="H272" s="131"/>
      <c r="I272" s="130"/>
      <c r="J272" s="131"/>
      <c r="K272" s="130"/>
      <c r="L272" s="131"/>
      <c r="M272" s="130"/>
      <c r="N272" s="131"/>
      <c r="O272" s="130"/>
      <c r="P272" s="131"/>
      <c r="Q272" s="130"/>
      <c r="R272" s="131"/>
      <c r="S272" s="130"/>
      <c r="T272" s="131"/>
      <c r="U272" s="130"/>
      <c r="V272" s="131"/>
      <c r="W272" s="130"/>
      <c r="X272" s="131"/>
      <c r="Y272" s="130"/>
      <c r="Z272" s="131"/>
      <c r="AA272" s="130"/>
    </row>
    <row r="273" spans="1:27" x14ac:dyDescent="0.25">
      <c r="A273" s="538"/>
      <c r="B273" s="585" t="str">
        <f>IF(A273&lt;&gt;"",INDEX('Base de données'!A$4:L$990,MATCH(A273,'Base de données'!A$4:A$990,0),2),"")</f>
        <v/>
      </c>
      <c r="C273" s="585" t="str">
        <f>IF(A273&lt;&gt;"",INDEX('Base de données'!A$4:L$990,MATCH(A273,'Base de données'!A$4:A$990,0),12),"")</f>
        <v/>
      </c>
      <c r="D273" s="583"/>
      <c r="E273" s="130"/>
      <c r="F273" s="131"/>
      <c r="G273" s="130"/>
      <c r="H273" s="131"/>
      <c r="I273" s="130"/>
      <c r="J273" s="131"/>
      <c r="K273" s="130"/>
      <c r="L273" s="131"/>
      <c r="M273" s="130"/>
      <c r="N273" s="131"/>
      <c r="O273" s="130"/>
      <c r="P273" s="131"/>
      <c r="Q273" s="130"/>
      <c r="R273" s="131"/>
      <c r="S273" s="130"/>
      <c r="T273" s="131"/>
      <c r="U273" s="130"/>
      <c r="V273" s="131"/>
      <c r="W273" s="130"/>
      <c r="X273" s="131"/>
      <c r="Y273" s="130"/>
      <c r="Z273" s="131"/>
      <c r="AA273" s="130"/>
    </row>
    <row r="274" spans="1:27" x14ac:dyDescent="0.25">
      <c r="A274" s="538"/>
      <c r="B274" s="585" t="str">
        <f>IF(A274&lt;&gt;"",INDEX('Base de données'!A$4:L$990,MATCH(A274,'Base de données'!A$4:A$990,0),2),"")</f>
        <v/>
      </c>
      <c r="C274" s="585" t="str">
        <f>IF(A274&lt;&gt;"",INDEX('Base de données'!A$4:L$990,MATCH(A274,'Base de données'!A$4:A$990,0),12),"")</f>
        <v/>
      </c>
      <c r="D274" s="583"/>
      <c r="E274" s="130"/>
      <c r="F274" s="131"/>
      <c r="G274" s="130"/>
      <c r="H274" s="131"/>
      <c r="I274" s="130"/>
      <c r="J274" s="131"/>
      <c r="K274" s="130"/>
      <c r="L274" s="131"/>
      <c r="M274" s="130"/>
      <c r="N274" s="131"/>
      <c r="O274" s="130"/>
      <c r="P274" s="131"/>
      <c r="Q274" s="130"/>
      <c r="R274" s="131"/>
      <c r="S274" s="130"/>
      <c r="T274" s="131"/>
      <c r="U274" s="130"/>
      <c r="V274" s="131"/>
      <c r="W274" s="130"/>
      <c r="X274" s="131"/>
      <c r="Y274" s="130"/>
      <c r="Z274" s="131"/>
      <c r="AA274" s="130"/>
    </row>
    <row r="275" spans="1:27" x14ac:dyDescent="0.25">
      <c r="A275" s="538"/>
      <c r="B275" s="585" t="str">
        <f>IF(A275&lt;&gt;"",INDEX('Base de données'!A$4:L$990,MATCH(A275,'Base de données'!A$4:A$990,0),2),"")</f>
        <v/>
      </c>
      <c r="C275" s="585" t="str">
        <f>IF(A275&lt;&gt;"",INDEX('Base de données'!A$4:L$990,MATCH(A275,'Base de données'!A$4:A$990,0),12),"")</f>
        <v/>
      </c>
      <c r="D275" s="583"/>
      <c r="E275" s="130"/>
      <c r="F275" s="131"/>
      <c r="G275" s="130"/>
      <c r="H275" s="131"/>
      <c r="I275" s="130"/>
      <c r="J275" s="131"/>
      <c r="K275" s="130"/>
      <c r="L275" s="131"/>
      <c r="M275" s="130"/>
      <c r="N275" s="131"/>
      <c r="O275" s="130"/>
      <c r="P275" s="131"/>
      <c r="Q275" s="130"/>
      <c r="R275" s="131"/>
      <c r="S275" s="130"/>
      <c r="T275" s="131"/>
      <c r="U275" s="130"/>
      <c r="V275" s="131"/>
      <c r="W275" s="130"/>
      <c r="X275" s="131"/>
      <c r="Y275" s="130"/>
      <c r="Z275" s="131"/>
      <c r="AA275" s="130"/>
    </row>
    <row r="276" spans="1:27" x14ac:dyDescent="0.25">
      <c r="A276" s="538"/>
      <c r="B276" s="585" t="str">
        <f>IF(A276&lt;&gt;"",INDEX('Base de données'!A$4:L$990,MATCH(A276,'Base de données'!A$4:A$990,0),2),"")</f>
        <v/>
      </c>
      <c r="C276" s="585" t="str">
        <f>IF(A276&lt;&gt;"",INDEX('Base de données'!A$4:L$990,MATCH(A276,'Base de données'!A$4:A$990,0),12),"")</f>
        <v/>
      </c>
      <c r="D276" s="583"/>
      <c r="E276" s="130"/>
      <c r="F276" s="131"/>
      <c r="G276" s="130"/>
      <c r="H276" s="131"/>
      <c r="I276" s="130"/>
      <c r="J276" s="131"/>
      <c r="K276" s="130"/>
      <c r="L276" s="131"/>
      <c r="M276" s="130"/>
      <c r="N276" s="131"/>
      <c r="O276" s="130"/>
      <c r="P276" s="131"/>
      <c r="Q276" s="130"/>
      <c r="R276" s="131"/>
      <c r="S276" s="130"/>
      <c r="T276" s="131"/>
      <c r="U276" s="130"/>
      <c r="V276" s="131"/>
      <c r="W276" s="130"/>
      <c r="X276" s="131"/>
      <c r="Y276" s="130"/>
      <c r="Z276" s="131"/>
      <c r="AA276" s="130"/>
    </row>
    <row r="277" spans="1:27" x14ac:dyDescent="0.25">
      <c r="A277" s="538"/>
      <c r="B277" s="585" t="str">
        <f>IF(A277&lt;&gt;"",INDEX('Base de données'!A$4:L$990,MATCH(A277,'Base de données'!A$4:A$990,0),2),"")</f>
        <v/>
      </c>
      <c r="C277" s="585" t="str">
        <f>IF(A277&lt;&gt;"",INDEX('Base de données'!A$4:L$990,MATCH(A277,'Base de données'!A$4:A$990,0),12),"")</f>
        <v/>
      </c>
      <c r="D277" s="583"/>
      <c r="E277" s="130"/>
      <c r="F277" s="131"/>
      <c r="G277" s="130"/>
      <c r="H277" s="131"/>
      <c r="I277" s="130"/>
      <c r="J277" s="131"/>
      <c r="K277" s="130"/>
      <c r="L277" s="131"/>
      <c r="M277" s="130"/>
      <c r="N277" s="131"/>
      <c r="O277" s="130"/>
      <c r="P277" s="131"/>
      <c r="Q277" s="130"/>
      <c r="R277" s="131"/>
      <c r="S277" s="130"/>
      <c r="T277" s="131"/>
      <c r="U277" s="130"/>
      <c r="V277" s="131"/>
      <c r="W277" s="130"/>
      <c r="X277" s="131"/>
      <c r="Y277" s="130"/>
      <c r="Z277" s="131"/>
      <c r="AA277" s="130"/>
    </row>
    <row r="278" spans="1:27" x14ac:dyDescent="0.25">
      <c r="A278" s="538"/>
      <c r="B278" s="585" t="str">
        <f>IF(A278&lt;&gt;"",INDEX('Base de données'!A$4:L$990,MATCH(A278,'Base de données'!A$4:A$990,0),2),"")</f>
        <v/>
      </c>
      <c r="C278" s="585" t="str">
        <f>IF(A278&lt;&gt;"",INDEX('Base de données'!A$4:L$990,MATCH(A278,'Base de données'!A$4:A$990,0),12),"")</f>
        <v/>
      </c>
      <c r="D278" s="583"/>
      <c r="E278" s="130"/>
      <c r="F278" s="131"/>
      <c r="G278" s="130"/>
      <c r="H278" s="131"/>
      <c r="I278" s="130"/>
      <c r="J278" s="131"/>
      <c r="K278" s="130"/>
      <c r="L278" s="131"/>
      <c r="M278" s="130"/>
      <c r="N278" s="131"/>
      <c r="O278" s="130"/>
      <c r="P278" s="131"/>
      <c r="Q278" s="130"/>
      <c r="R278" s="131"/>
      <c r="S278" s="130"/>
      <c r="T278" s="131"/>
      <c r="U278" s="130"/>
      <c r="V278" s="131"/>
      <c r="W278" s="130"/>
      <c r="X278" s="131"/>
      <c r="Y278" s="130"/>
      <c r="Z278" s="131"/>
      <c r="AA278" s="130"/>
    </row>
    <row r="279" spans="1:27" x14ac:dyDescent="0.25">
      <c r="A279" s="538"/>
      <c r="B279" s="585" t="str">
        <f>IF(A279&lt;&gt;"",INDEX('Base de données'!A$4:L$990,MATCH(A279,'Base de données'!A$4:A$990,0),2),"")</f>
        <v/>
      </c>
      <c r="C279" s="585" t="str">
        <f>IF(A279&lt;&gt;"",INDEX('Base de données'!A$4:L$990,MATCH(A279,'Base de données'!A$4:A$990,0),12),"")</f>
        <v/>
      </c>
      <c r="D279" s="583"/>
      <c r="E279" s="130"/>
      <c r="F279" s="131"/>
      <c r="G279" s="130"/>
      <c r="H279" s="131"/>
      <c r="I279" s="130"/>
      <c r="J279" s="131"/>
      <c r="K279" s="130"/>
      <c r="L279" s="131"/>
      <c r="M279" s="130"/>
      <c r="N279" s="131"/>
      <c r="O279" s="130"/>
      <c r="P279" s="131"/>
      <c r="Q279" s="130"/>
      <c r="R279" s="131"/>
      <c r="S279" s="130"/>
      <c r="T279" s="131"/>
      <c r="U279" s="130"/>
      <c r="V279" s="131"/>
      <c r="W279" s="130"/>
      <c r="X279" s="131"/>
      <c r="Y279" s="130"/>
      <c r="Z279" s="131"/>
      <c r="AA279" s="130"/>
    </row>
    <row r="280" spans="1:27" x14ac:dyDescent="0.25">
      <c r="A280" s="538"/>
      <c r="B280" s="585" t="str">
        <f>IF(A280&lt;&gt;"",INDEX('Base de données'!A$4:L$990,MATCH(A280,'Base de données'!A$4:A$990,0),2),"")</f>
        <v/>
      </c>
      <c r="C280" s="585" t="str">
        <f>IF(A280&lt;&gt;"",INDEX('Base de données'!A$4:L$990,MATCH(A280,'Base de données'!A$4:A$990,0),12),"")</f>
        <v/>
      </c>
      <c r="D280" s="583"/>
      <c r="E280" s="130"/>
      <c r="F280" s="131"/>
      <c r="G280" s="130"/>
      <c r="H280" s="131"/>
      <c r="I280" s="130"/>
      <c r="J280" s="131"/>
      <c r="K280" s="130"/>
      <c r="L280" s="131"/>
      <c r="M280" s="130"/>
      <c r="N280" s="131"/>
      <c r="O280" s="130"/>
      <c r="P280" s="131"/>
      <c r="Q280" s="130"/>
      <c r="R280" s="131"/>
      <c r="S280" s="130"/>
      <c r="T280" s="131"/>
      <c r="U280" s="130"/>
      <c r="V280" s="131"/>
      <c r="W280" s="130"/>
      <c r="X280" s="131"/>
      <c r="Y280" s="130"/>
      <c r="Z280" s="131"/>
      <c r="AA280" s="130"/>
    </row>
    <row r="281" spans="1:27" x14ac:dyDescent="0.25">
      <c r="A281" s="538"/>
      <c r="B281" s="585" t="str">
        <f>IF(A281&lt;&gt;"",INDEX('Base de données'!A$4:L$990,MATCH(A281,'Base de données'!A$4:A$990,0),2),"")</f>
        <v/>
      </c>
      <c r="C281" s="585" t="str">
        <f>IF(A281&lt;&gt;"",INDEX('Base de données'!A$4:L$990,MATCH(A281,'Base de données'!A$4:A$990,0),12),"")</f>
        <v/>
      </c>
      <c r="D281" s="583"/>
      <c r="E281" s="130"/>
      <c r="F281" s="131"/>
      <c r="G281" s="130"/>
      <c r="H281" s="131"/>
      <c r="I281" s="130"/>
      <c r="J281" s="131"/>
      <c r="K281" s="130"/>
      <c r="L281" s="131"/>
      <c r="M281" s="130"/>
      <c r="N281" s="131"/>
      <c r="O281" s="130"/>
      <c r="P281" s="131"/>
      <c r="Q281" s="130"/>
      <c r="R281" s="131"/>
      <c r="S281" s="130"/>
      <c r="T281" s="131"/>
      <c r="U281" s="130"/>
      <c r="V281" s="131"/>
      <c r="W281" s="130"/>
      <c r="X281" s="131"/>
      <c r="Y281" s="130"/>
      <c r="Z281" s="131"/>
      <c r="AA281" s="130"/>
    </row>
    <row r="282" spans="1:27" x14ac:dyDescent="0.25">
      <c r="A282" s="538"/>
      <c r="B282" s="585" t="str">
        <f>IF(A282&lt;&gt;"",INDEX('Base de données'!A$4:L$990,MATCH(A282,'Base de données'!A$4:A$990,0),2),"")</f>
        <v/>
      </c>
      <c r="C282" s="585" t="str">
        <f>IF(A282&lt;&gt;"",INDEX('Base de données'!A$4:L$990,MATCH(A282,'Base de données'!A$4:A$990,0),12),"")</f>
        <v/>
      </c>
      <c r="D282" s="583"/>
      <c r="E282" s="130"/>
      <c r="F282" s="131"/>
      <c r="G282" s="130"/>
      <c r="H282" s="131"/>
      <c r="I282" s="130"/>
      <c r="J282" s="131"/>
      <c r="K282" s="130"/>
      <c r="L282" s="131"/>
      <c r="M282" s="130"/>
      <c r="N282" s="131"/>
      <c r="O282" s="130"/>
      <c r="P282" s="131"/>
      <c r="Q282" s="130"/>
      <c r="R282" s="131"/>
      <c r="S282" s="130"/>
      <c r="T282" s="131"/>
      <c r="U282" s="130"/>
      <c r="V282" s="131"/>
      <c r="W282" s="130"/>
      <c r="X282" s="131"/>
      <c r="Y282" s="130"/>
      <c r="Z282" s="131"/>
      <c r="AA282" s="130"/>
    </row>
    <row r="283" spans="1:27" x14ac:dyDescent="0.25">
      <c r="A283" s="538"/>
      <c r="B283" s="585" t="str">
        <f>IF(A283&lt;&gt;"",INDEX('Base de données'!A$4:L$990,MATCH(A283,'Base de données'!A$4:A$990,0),2),"")</f>
        <v/>
      </c>
      <c r="C283" s="585" t="str">
        <f>IF(A283&lt;&gt;"",INDEX('Base de données'!A$4:L$990,MATCH(A283,'Base de données'!A$4:A$990,0),12),"")</f>
        <v/>
      </c>
      <c r="D283" s="583"/>
      <c r="E283" s="130"/>
      <c r="F283" s="131"/>
      <c r="G283" s="130"/>
      <c r="H283" s="131"/>
      <c r="I283" s="130"/>
      <c r="J283" s="131"/>
      <c r="K283" s="130"/>
      <c r="L283" s="131"/>
      <c r="M283" s="130"/>
      <c r="N283" s="131"/>
      <c r="O283" s="130"/>
      <c r="P283" s="131"/>
      <c r="Q283" s="130"/>
      <c r="R283" s="131"/>
      <c r="S283" s="130"/>
      <c r="T283" s="131"/>
      <c r="U283" s="130"/>
      <c r="V283" s="131"/>
      <c r="W283" s="130"/>
      <c r="X283" s="131"/>
      <c r="Y283" s="130"/>
      <c r="Z283" s="131"/>
      <c r="AA283" s="130"/>
    </row>
    <row r="284" spans="1:27" x14ac:dyDescent="0.25">
      <c r="A284" s="538"/>
      <c r="B284" s="585" t="str">
        <f>IF(A284&lt;&gt;"",INDEX('Base de données'!A$4:L$990,MATCH(A284,'Base de données'!A$4:A$990,0),2),"")</f>
        <v/>
      </c>
      <c r="C284" s="585" t="str">
        <f>IF(A284&lt;&gt;"",INDEX('Base de données'!A$4:L$990,MATCH(A284,'Base de données'!A$4:A$990,0),12),"")</f>
        <v/>
      </c>
      <c r="D284" s="583"/>
      <c r="E284" s="130"/>
      <c r="F284" s="131"/>
      <c r="G284" s="130"/>
      <c r="H284" s="131"/>
      <c r="I284" s="130"/>
      <c r="J284" s="131"/>
      <c r="K284" s="130"/>
      <c r="L284" s="131"/>
      <c r="M284" s="130"/>
      <c r="N284" s="131"/>
      <c r="O284" s="130"/>
      <c r="P284" s="131"/>
      <c r="Q284" s="130"/>
      <c r="R284" s="131"/>
      <c r="S284" s="130"/>
      <c r="T284" s="131"/>
      <c r="U284" s="130"/>
      <c r="V284" s="131"/>
      <c r="W284" s="130"/>
      <c r="X284" s="131"/>
      <c r="Y284" s="130"/>
      <c r="Z284" s="131"/>
      <c r="AA284" s="130"/>
    </row>
    <row r="285" spans="1:27" x14ac:dyDescent="0.25">
      <c r="A285" s="538"/>
      <c r="B285" s="585" t="str">
        <f>IF(A285&lt;&gt;"",INDEX('Base de données'!A$4:L$990,MATCH(A285,'Base de données'!A$4:A$990,0),2),"")</f>
        <v/>
      </c>
      <c r="C285" s="585" t="str">
        <f>IF(A285&lt;&gt;"",INDEX('Base de données'!A$4:L$990,MATCH(A285,'Base de données'!A$4:A$990,0),12),"")</f>
        <v/>
      </c>
      <c r="D285" s="583"/>
      <c r="E285" s="130"/>
      <c r="F285" s="131"/>
      <c r="G285" s="130"/>
      <c r="H285" s="131"/>
      <c r="I285" s="130"/>
      <c r="J285" s="131"/>
      <c r="K285" s="130"/>
      <c r="L285" s="131"/>
      <c r="M285" s="130"/>
      <c r="N285" s="131"/>
      <c r="O285" s="130"/>
      <c r="P285" s="131"/>
      <c r="Q285" s="130"/>
      <c r="R285" s="131"/>
      <c r="S285" s="130"/>
      <c r="T285" s="131"/>
      <c r="U285" s="130"/>
      <c r="V285" s="131"/>
      <c r="W285" s="130"/>
      <c r="X285" s="131"/>
      <c r="Y285" s="130"/>
      <c r="Z285" s="131"/>
      <c r="AA285" s="130"/>
    </row>
    <row r="286" spans="1:27" x14ac:dyDescent="0.25">
      <c r="A286" s="538"/>
      <c r="B286" s="585" t="str">
        <f>IF(A286&lt;&gt;"",INDEX('Base de données'!A$4:L$990,MATCH(A286,'Base de données'!A$4:A$990,0),2),"")</f>
        <v/>
      </c>
      <c r="C286" s="585" t="str">
        <f>IF(A286&lt;&gt;"",INDEX('Base de données'!A$4:L$990,MATCH(A286,'Base de données'!A$4:A$990,0),12),"")</f>
        <v/>
      </c>
      <c r="D286" s="583"/>
      <c r="E286" s="130"/>
      <c r="F286" s="131"/>
      <c r="G286" s="130"/>
      <c r="H286" s="131"/>
      <c r="I286" s="130"/>
      <c r="J286" s="131"/>
      <c r="K286" s="130"/>
      <c r="L286" s="131"/>
      <c r="M286" s="130"/>
      <c r="N286" s="131"/>
      <c r="O286" s="130"/>
      <c r="P286" s="131"/>
      <c r="Q286" s="130"/>
      <c r="R286" s="131"/>
      <c r="S286" s="130"/>
      <c r="T286" s="131"/>
      <c r="U286" s="130"/>
      <c r="V286" s="131"/>
      <c r="W286" s="130"/>
      <c r="X286" s="131"/>
      <c r="Y286" s="130"/>
      <c r="Z286" s="131"/>
      <c r="AA286" s="130"/>
    </row>
    <row r="287" spans="1:27" x14ac:dyDescent="0.25">
      <c r="A287" s="538"/>
      <c r="B287" s="585" t="str">
        <f>IF(A287&lt;&gt;"",INDEX('Base de données'!A$4:L$990,MATCH(A287,'Base de données'!A$4:A$990,0),2),"")</f>
        <v/>
      </c>
      <c r="C287" s="585" t="str">
        <f>IF(A287&lt;&gt;"",INDEX('Base de données'!A$4:L$990,MATCH(A287,'Base de données'!A$4:A$990,0),12),"")</f>
        <v/>
      </c>
      <c r="D287" s="583"/>
      <c r="E287" s="130"/>
      <c r="F287" s="131"/>
      <c r="G287" s="130"/>
      <c r="H287" s="131"/>
      <c r="I287" s="130"/>
      <c r="J287" s="131"/>
      <c r="K287" s="130"/>
      <c r="L287" s="131"/>
      <c r="M287" s="130"/>
      <c r="N287" s="131"/>
      <c r="O287" s="130"/>
      <c r="P287" s="131"/>
      <c r="Q287" s="130"/>
      <c r="R287" s="131"/>
      <c r="S287" s="130"/>
      <c r="T287" s="131"/>
      <c r="U287" s="130"/>
      <c r="V287" s="131"/>
      <c r="W287" s="130"/>
      <c r="X287" s="131"/>
      <c r="Y287" s="130"/>
      <c r="Z287" s="131"/>
      <c r="AA287" s="130"/>
    </row>
    <row r="288" spans="1:27" x14ac:dyDescent="0.25">
      <c r="A288" s="538"/>
      <c r="B288" s="585" t="str">
        <f>IF(A288&lt;&gt;"",INDEX('Base de données'!A$4:L$990,MATCH(A288,'Base de données'!A$4:A$990,0),2),"")</f>
        <v/>
      </c>
      <c r="C288" s="585" t="str">
        <f>IF(A288&lt;&gt;"",INDEX('Base de données'!A$4:L$990,MATCH(A288,'Base de données'!A$4:A$990,0),12),"")</f>
        <v/>
      </c>
      <c r="D288" s="583"/>
      <c r="E288" s="130"/>
      <c r="F288" s="131"/>
      <c r="G288" s="130"/>
      <c r="H288" s="131"/>
      <c r="I288" s="130"/>
      <c r="J288" s="131"/>
      <c r="K288" s="130"/>
      <c r="L288" s="131"/>
      <c r="M288" s="130"/>
      <c r="N288" s="131"/>
      <c r="O288" s="130"/>
      <c r="P288" s="131"/>
      <c r="Q288" s="130"/>
      <c r="R288" s="131"/>
      <c r="S288" s="130"/>
      <c r="T288" s="131"/>
      <c r="U288" s="130"/>
      <c r="V288" s="131"/>
      <c r="W288" s="130"/>
      <c r="X288" s="131"/>
      <c r="Y288" s="130"/>
      <c r="Z288" s="131"/>
      <c r="AA288" s="130"/>
    </row>
    <row r="289" spans="1:27" x14ac:dyDescent="0.25">
      <c r="A289" s="538"/>
      <c r="B289" s="585" t="str">
        <f>IF(A289&lt;&gt;"",INDEX('Base de données'!A$4:L$990,MATCH(A289,'Base de données'!A$4:A$990,0),2),"")</f>
        <v/>
      </c>
      <c r="C289" s="585" t="str">
        <f>IF(A289&lt;&gt;"",INDEX('Base de données'!A$4:L$990,MATCH(A289,'Base de données'!A$4:A$990,0),12),"")</f>
        <v/>
      </c>
      <c r="D289" s="583"/>
      <c r="E289" s="130"/>
      <c r="F289" s="131"/>
      <c r="G289" s="130"/>
      <c r="H289" s="131"/>
      <c r="I289" s="130"/>
      <c r="J289" s="131"/>
      <c r="K289" s="130"/>
      <c r="L289" s="131"/>
      <c r="M289" s="130"/>
      <c r="N289" s="131"/>
      <c r="O289" s="130"/>
      <c r="P289" s="131"/>
      <c r="Q289" s="130"/>
      <c r="R289" s="131"/>
      <c r="S289" s="130"/>
      <c r="T289" s="131"/>
      <c r="U289" s="130"/>
      <c r="V289" s="131"/>
      <c r="W289" s="130"/>
      <c r="X289" s="131"/>
      <c r="Y289" s="130"/>
      <c r="Z289" s="131"/>
      <c r="AA289" s="130"/>
    </row>
    <row r="290" spans="1:27" x14ac:dyDescent="0.25">
      <c r="A290" s="538"/>
      <c r="B290" s="585" t="str">
        <f>IF(A290&lt;&gt;"",INDEX('Base de données'!A$4:L$990,MATCH(A290,'Base de données'!A$4:A$990,0),2),"")</f>
        <v/>
      </c>
      <c r="C290" s="585" t="str">
        <f>IF(A290&lt;&gt;"",INDEX('Base de données'!A$4:L$990,MATCH(A290,'Base de données'!A$4:A$990,0),12),"")</f>
        <v/>
      </c>
      <c r="D290" s="583"/>
      <c r="E290" s="130"/>
      <c r="F290" s="131"/>
      <c r="G290" s="130"/>
      <c r="H290" s="131"/>
      <c r="I290" s="130"/>
      <c r="J290" s="131"/>
      <c r="K290" s="130"/>
      <c r="L290" s="131"/>
      <c r="M290" s="130"/>
      <c r="N290" s="131"/>
      <c r="O290" s="130"/>
      <c r="P290" s="131"/>
      <c r="Q290" s="130"/>
      <c r="R290" s="131"/>
      <c r="S290" s="130"/>
      <c r="T290" s="131"/>
      <c r="U290" s="130"/>
      <c r="V290" s="131"/>
      <c r="W290" s="130"/>
      <c r="X290" s="131"/>
      <c r="Y290" s="130"/>
      <c r="Z290" s="131"/>
      <c r="AA290" s="130"/>
    </row>
    <row r="291" spans="1:27" x14ac:dyDescent="0.25">
      <c r="A291" s="538"/>
      <c r="B291" s="585" t="str">
        <f>IF(A291&lt;&gt;"",INDEX('Base de données'!A$4:L$990,MATCH(A291,'Base de données'!A$4:A$990,0),2),"")</f>
        <v/>
      </c>
      <c r="C291" s="585" t="str">
        <f>IF(A291&lt;&gt;"",INDEX('Base de données'!A$4:L$990,MATCH(A291,'Base de données'!A$4:A$990,0),12),"")</f>
        <v/>
      </c>
      <c r="D291" s="583"/>
      <c r="E291" s="130"/>
      <c r="F291" s="131"/>
      <c r="G291" s="130"/>
      <c r="H291" s="131"/>
      <c r="I291" s="130"/>
      <c r="J291" s="131"/>
      <c r="K291" s="130"/>
      <c r="L291" s="131"/>
      <c r="M291" s="130"/>
      <c r="N291" s="131"/>
      <c r="O291" s="130"/>
      <c r="P291" s="131"/>
      <c r="Q291" s="130"/>
      <c r="R291" s="131"/>
      <c r="S291" s="130"/>
      <c r="T291" s="131"/>
      <c r="U291" s="130"/>
      <c r="V291" s="131"/>
      <c r="W291" s="130"/>
      <c r="X291" s="131"/>
      <c r="Y291" s="130"/>
      <c r="Z291" s="131"/>
      <c r="AA291" s="130"/>
    </row>
    <row r="292" spans="1:27" x14ac:dyDescent="0.25">
      <c r="A292" s="538"/>
      <c r="B292" s="585" t="str">
        <f>IF(A292&lt;&gt;"",INDEX('Base de données'!A$4:L$990,MATCH(A292,'Base de données'!A$4:A$990,0),2),"")</f>
        <v/>
      </c>
      <c r="C292" s="585" t="str">
        <f>IF(A292&lt;&gt;"",INDEX('Base de données'!A$4:L$990,MATCH(A292,'Base de données'!A$4:A$990,0),12),"")</f>
        <v/>
      </c>
      <c r="D292" s="583"/>
      <c r="E292" s="130"/>
      <c r="F292" s="131"/>
      <c r="G292" s="130"/>
      <c r="H292" s="131"/>
      <c r="I292" s="130"/>
      <c r="J292" s="131"/>
      <c r="K292" s="130"/>
      <c r="L292" s="131"/>
      <c r="M292" s="130"/>
      <c r="N292" s="131"/>
      <c r="O292" s="130"/>
      <c r="P292" s="131"/>
      <c r="Q292" s="130"/>
      <c r="R292" s="131"/>
      <c r="S292" s="130"/>
      <c r="T292" s="131"/>
      <c r="U292" s="130"/>
      <c r="V292" s="131"/>
      <c r="W292" s="130"/>
      <c r="X292" s="131"/>
      <c r="Y292" s="130"/>
      <c r="Z292" s="131"/>
      <c r="AA292" s="130"/>
    </row>
    <row r="293" spans="1:27" x14ac:dyDescent="0.25">
      <c r="A293" s="538"/>
      <c r="B293" s="585" t="str">
        <f>IF(A293&lt;&gt;"",INDEX('Base de données'!A$4:L$990,MATCH(A293,'Base de données'!A$4:A$990,0),2),"")</f>
        <v/>
      </c>
      <c r="C293" s="585" t="str">
        <f>IF(A293&lt;&gt;"",INDEX('Base de données'!A$4:L$990,MATCH(A293,'Base de données'!A$4:A$990,0),12),"")</f>
        <v/>
      </c>
      <c r="D293" s="583"/>
      <c r="E293" s="130"/>
      <c r="F293" s="131"/>
      <c r="G293" s="130"/>
      <c r="H293" s="131"/>
      <c r="I293" s="130"/>
      <c r="J293" s="131"/>
      <c r="K293" s="130"/>
      <c r="L293" s="131"/>
      <c r="M293" s="130"/>
      <c r="N293" s="131"/>
      <c r="O293" s="130"/>
      <c r="P293" s="131"/>
      <c r="Q293" s="130"/>
      <c r="R293" s="131"/>
      <c r="S293" s="130"/>
      <c r="T293" s="131"/>
      <c r="U293" s="130"/>
      <c r="V293" s="131"/>
      <c r="W293" s="130"/>
      <c r="X293" s="131"/>
      <c r="Y293" s="130"/>
      <c r="Z293" s="131"/>
      <c r="AA293" s="130"/>
    </row>
    <row r="294" spans="1:27" x14ac:dyDescent="0.25">
      <c r="A294" s="538"/>
      <c r="B294" s="585" t="str">
        <f>IF(A294&lt;&gt;"",INDEX('Base de données'!A$4:L$990,MATCH(A294,'Base de données'!A$4:A$990,0),2),"")</f>
        <v/>
      </c>
      <c r="C294" s="585" t="str">
        <f>IF(A294&lt;&gt;"",INDEX('Base de données'!A$4:L$990,MATCH(A294,'Base de données'!A$4:A$990,0),12),"")</f>
        <v/>
      </c>
      <c r="D294" s="583"/>
      <c r="E294" s="130"/>
      <c r="F294" s="131"/>
      <c r="G294" s="130"/>
      <c r="H294" s="131"/>
      <c r="I294" s="130"/>
      <c r="J294" s="131"/>
      <c r="K294" s="130"/>
      <c r="L294" s="131"/>
      <c r="M294" s="130"/>
      <c r="N294" s="131"/>
      <c r="O294" s="130"/>
      <c r="P294" s="131"/>
      <c r="Q294" s="130"/>
      <c r="R294" s="131"/>
      <c r="S294" s="130"/>
      <c r="T294" s="131"/>
      <c r="U294" s="130"/>
      <c r="V294" s="131"/>
      <c r="W294" s="130"/>
      <c r="X294" s="131"/>
      <c r="Y294" s="130"/>
      <c r="Z294" s="131"/>
      <c r="AA294" s="130"/>
    </row>
    <row r="295" spans="1:27" x14ac:dyDescent="0.25">
      <c r="A295" s="538"/>
      <c r="B295" s="585" t="str">
        <f>IF(A295&lt;&gt;"",INDEX('Base de données'!A$4:L$990,MATCH(A295,'Base de données'!A$4:A$990,0),2),"")</f>
        <v/>
      </c>
      <c r="C295" s="585" t="str">
        <f>IF(A295&lt;&gt;"",INDEX('Base de données'!A$4:L$990,MATCH(A295,'Base de données'!A$4:A$990,0),12),"")</f>
        <v/>
      </c>
      <c r="D295" s="583"/>
      <c r="E295" s="130"/>
      <c r="F295" s="131"/>
      <c r="G295" s="130"/>
      <c r="H295" s="131"/>
      <c r="I295" s="130"/>
      <c r="J295" s="131"/>
      <c r="K295" s="130"/>
      <c r="L295" s="131"/>
      <c r="M295" s="130"/>
      <c r="N295" s="131"/>
      <c r="O295" s="130"/>
      <c r="P295" s="131"/>
      <c r="Q295" s="130"/>
      <c r="R295" s="131"/>
      <c r="S295" s="130"/>
      <c r="T295" s="131"/>
      <c r="U295" s="130"/>
      <c r="V295" s="131"/>
      <c r="W295" s="130"/>
      <c r="X295" s="131"/>
      <c r="Y295" s="130"/>
      <c r="Z295" s="131"/>
      <c r="AA295" s="130"/>
    </row>
    <row r="296" spans="1:27" x14ac:dyDescent="0.25">
      <c r="A296" s="538"/>
      <c r="B296" s="585" t="str">
        <f>IF(A296&lt;&gt;"",INDEX('Base de données'!A$4:L$990,MATCH(A296,'Base de données'!A$4:A$990,0),2),"")</f>
        <v/>
      </c>
      <c r="C296" s="585" t="str">
        <f>IF(A296&lt;&gt;"",INDEX('Base de données'!A$4:L$990,MATCH(A296,'Base de données'!A$4:A$990,0),12),"")</f>
        <v/>
      </c>
      <c r="D296" s="583"/>
      <c r="E296" s="130"/>
      <c r="F296" s="131"/>
      <c r="G296" s="130"/>
      <c r="H296" s="131"/>
      <c r="I296" s="130"/>
      <c r="J296" s="131"/>
      <c r="K296" s="130"/>
      <c r="L296" s="131"/>
      <c r="M296" s="130"/>
      <c r="N296" s="131"/>
      <c r="O296" s="130"/>
      <c r="P296" s="131"/>
      <c r="Q296" s="130"/>
      <c r="R296" s="131"/>
      <c r="S296" s="130"/>
      <c r="T296" s="131"/>
      <c r="U296" s="130"/>
      <c r="V296" s="131"/>
      <c r="W296" s="130"/>
      <c r="X296" s="131"/>
      <c r="Y296" s="130"/>
      <c r="Z296" s="131"/>
      <c r="AA296" s="130"/>
    </row>
    <row r="297" spans="1:27" x14ac:dyDescent="0.25">
      <c r="A297" s="538"/>
      <c r="B297" s="585" t="str">
        <f>IF(A297&lt;&gt;"",INDEX('Base de données'!A$4:L$990,MATCH(A297,'Base de données'!A$4:A$990,0),2),"")</f>
        <v/>
      </c>
      <c r="C297" s="585" t="str">
        <f>IF(A297&lt;&gt;"",INDEX('Base de données'!A$4:L$990,MATCH(A297,'Base de données'!A$4:A$990,0),12),"")</f>
        <v/>
      </c>
      <c r="D297" s="583"/>
      <c r="E297" s="130"/>
      <c r="F297" s="131"/>
      <c r="G297" s="130"/>
      <c r="H297" s="131"/>
      <c r="I297" s="130"/>
      <c r="J297" s="131"/>
      <c r="K297" s="130"/>
      <c r="L297" s="131"/>
      <c r="M297" s="130"/>
      <c r="N297" s="131"/>
      <c r="O297" s="130"/>
      <c r="P297" s="131"/>
      <c r="Q297" s="130"/>
      <c r="R297" s="131"/>
      <c r="S297" s="130"/>
      <c r="T297" s="131"/>
      <c r="U297" s="130"/>
      <c r="V297" s="131"/>
      <c r="W297" s="130"/>
      <c r="X297" s="131"/>
      <c r="Y297" s="130"/>
      <c r="Z297" s="131"/>
      <c r="AA297" s="130"/>
    </row>
    <row r="298" spans="1:27" x14ac:dyDescent="0.25">
      <c r="A298" s="538"/>
      <c r="B298" s="585" t="str">
        <f>IF(A298&lt;&gt;"",INDEX('Base de données'!A$4:L$990,MATCH(A298,'Base de données'!A$4:A$990,0),2),"")</f>
        <v/>
      </c>
      <c r="C298" s="585" t="str">
        <f>IF(A298&lt;&gt;"",INDEX('Base de données'!A$4:L$990,MATCH(A298,'Base de données'!A$4:A$990,0),12),"")</f>
        <v/>
      </c>
      <c r="D298" s="583"/>
      <c r="E298" s="130"/>
      <c r="F298" s="131"/>
      <c r="G298" s="130"/>
      <c r="H298" s="131"/>
      <c r="I298" s="130"/>
      <c r="J298" s="131"/>
      <c r="K298" s="130"/>
      <c r="L298" s="131"/>
      <c r="M298" s="130"/>
      <c r="N298" s="131"/>
      <c r="O298" s="130"/>
      <c r="P298" s="131"/>
      <c r="Q298" s="130"/>
      <c r="R298" s="131"/>
      <c r="S298" s="130"/>
      <c r="T298" s="131"/>
      <c r="U298" s="130"/>
      <c r="V298" s="131"/>
      <c r="W298" s="130"/>
      <c r="X298" s="131"/>
      <c r="Y298" s="130"/>
      <c r="Z298" s="131"/>
      <c r="AA298" s="130"/>
    </row>
    <row r="299" spans="1:27" x14ac:dyDescent="0.25">
      <c r="A299" s="538"/>
      <c r="B299" s="585" t="str">
        <f>IF(A299&lt;&gt;"",INDEX('Base de données'!A$4:L$990,MATCH(A299,'Base de données'!A$4:A$990,0),2),"")</f>
        <v/>
      </c>
      <c r="C299" s="585" t="str">
        <f>IF(A299&lt;&gt;"",INDEX('Base de données'!A$4:L$990,MATCH(A299,'Base de données'!A$4:A$990,0),12),"")</f>
        <v/>
      </c>
      <c r="D299" s="583"/>
      <c r="E299" s="130"/>
      <c r="F299" s="131"/>
      <c r="G299" s="130"/>
      <c r="H299" s="131"/>
      <c r="I299" s="130"/>
      <c r="J299" s="131"/>
      <c r="K299" s="130"/>
      <c r="L299" s="131"/>
      <c r="M299" s="130"/>
      <c r="N299" s="131"/>
      <c r="O299" s="130"/>
      <c r="P299" s="131"/>
      <c r="Q299" s="130"/>
      <c r="R299" s="131"/>
      <c r="S299" s="130"/>
      <c r="T299" s="131"/>
      <c r="U299" s="130"/>
      <c r="V299" s="131"/>
      <c r="W299" s="130"/>
      <c r="X299" s="131"/>
      <c r="Y299" s="130"/>
      <c r="Z299" s="131"/>
      <c r="AA299" s="130"/>
    </row>
    <row r="300" spans="1:27" x14ac:dyDescent="0.25">
      <c r="A300" s="538"/>
      <c r="B300" s="585" t="str">
        <f>IF(A300&lt;&gt;"",INDEX('Base de données'!A$4:L$990,MATCH(A300,'Base de données'!A$4:A$990,0),2),"")</f>
        <v/>
      </c>
      <c r="C300" s="585" t="str">
        <f>IF(A300&lt;&gt;"",INDEX('Base de données'!A$4:L$990,MATCH(A300,'Base de données'!A$4:A$990,0),12),"")</f>
        <v/>
      </c>
      <c r="D300" s="583"/>
      <c r="E300" s="130"/>
      <c r="F300" s="131"/>
      <c r="G300" s="130"/>
      <c r="H300" s="131"/>
      <c r="I300" s="130"/>
      <c r="J300" s="131"/>
      <c r="K300" s="130"/>
      <c r="L300" s="131"/>
      <c r="M300" s="130"/>
      <c r="N300" s="131"/>
      <c r="O300" s="130"/>
      <c r="P300" s="131"/>
      <c r="Q300" s="130"/>
      <c r="R300" s="131"/>
      <c r="S300" s="130"/>
      <c r="T300" s="131"/>
      <c r="U300" s="130"/>
      <c r="V300" s="131"/>
      <c r="W300" s="130"/>
      <c r="X300" s="131"/>
      <c r="Y300" s="130"/>
      <c r="Z300" s="131"/>
      <c r="AA300" s="130"/>
    </row>
    <row r="301" spans="1:27" x14ac:dyDescent="0.25">
      <c r="A301" s="538"/>
      <c r="B301" s="585" t="str">
        <f>IF(A301&lt;&gt;"",INDEX('Base de données'!A$4:L$990,MATCH(A301,'Base de données'!A$4:A$990,0),2),"")</f>
        <v/>
      </c>
      <c r="C301" s="585" t="str">
        <f>IF(A301&lt;&gt;"",INDEX('Base de données'!A$4:L$990,MATCH(A301,'Base de données'!A$4:A$990,0),12),"")</f>
        <v/>
      </c>
      <c r="D301" s="583"/>
      <c r="E301" s="130"/>
      <c r="F301" s="131"/>
      <c r="G301" s="130"/>
      <c r="H301" s="131"/>
      <c r="I301" s="130"/>
      <c r="J301" s="131"/>
      <c r="K301" s="130"/>
      <c r="L301" s="131"/>
      <c r="M301" s="130"/>
      <c r="N301" s="131"/>
      <c r="O301" s="130"/>
      <c r="P301" s="131"/>
      <c r="Q301" s="130"/>
      <c r="R301" s="131"/>
      <c r="S301" s="130"/>
      <c r="T301" s="131"/>
      <c r="U301" s="130"/>
      <c r="V301" s="131"/>
      <c r="W301" s="130"/>
      <c r="X301" s="131"/>
      <c r="Y301" s="130"/>
      <c r="Z301" s="131"/>
      <c r="AA301" s="130"/>
    </row>
    <row r="302" spans="1:27" x14ac:dyDescent="0.25">
      <c r="A302" s="538"/>
      <c r="B302" s="585" t="str">
        <f>IF(A302&lt;&gt;"",INDEX('Base de données'!A$4:L$990,MATCH(A302,'Base de données'!A$4:A$990,0),2),"")</f>
        <v/>
      </c>
      <c r="C302" s="585" t="str">
        <f>IF(A302&lt;&gt;"",INDEX('Base de données'!A$4:L$990,MATCH(A302,'Base de données'!A$4:A$990,0),12),"")</f>
        <v/>
      </c>
      <c r="D302" s="583"/>
      <c r="E302" s="130"/>
      <c r="F302" s="131"/>
      <c r="G302" s="130"/>
      <c r="H302" s="131"/>
      <c r="I302" s="130"/>
      <c r="J302" s="131"/>
      <c r="K302" s="130"/>
      <c r="L302" s="131"/>
      <c r="M302" s="130"/>
      <c r="N302" s="131"/>
      <c r="O302" s="130"/>
      <c r="P302" s="131"/>
      <c r="Q302" s="130"/>
      <c r="R302" s="131"/>
      <c r="S302" s="130"/>
      <c r="T302" s="131"/>
      <c r="U302" s="130"/>
      <c r="V302" s="131"/>
      <c r="W302" s="130"/>
      <c r="X302" s="131"/>
      <c r="Y302" s="130"/>
      <c r="Z302" s="131"/>
      <c r="AA302" s="130"/>
    </row>
    <row r="303" spans="1:27" x14ac:dyDescent="0.25">
      <c r="A303" s="538"/>
      <c r="B303" s="585" t="str">
        <f>IF(A303&lt;&gt;"",INDEX('Base de données'!A$4:L$990,MATCH(A303,'Base de données'!A$4:A$990,0),2),"")</f>
        <v/>
      </c>
      <c r="C303" s="585" t="str">
        <f>IF(A303&lt;&gt;"",INDEX('Base de données'!A$4:L$990,MATCH(A303,'Base de données'!A$4:A$990,0),12),"")</f>
        <v/>
      </c>
      <c r="D303" s="583"/>
      <c r="E303" s="130"/>
      <c r="F303" s="131"/>
      <c r="G303" s="130"/>
      <c r="H303" s="131"/>
      <c r="I303" s="130"/>
      <c r="J303" s="131"/>
      <c r="K303" s="130"/>
      <c r="L303" s="131"/>
      <c r="M303" s="130"/>
      <c r="N303" s="131"/>
      <c r="O303" s="130"/>
      <c r="P303" s="131"/>
      <c r="Q303" s="130"/>
      <c r="R303" s="131"/>
      <c r="S303" s="130"/>
      <c r="T303" s="131"/>
      <c r="U303" s="130"/>
      <c r="V303" s="131"/>
      <c r="W303" s="130"/>
      <c r="X303" s="131"/>
      <c r="Y303" s="130"/>
      <c r="Z303" s="131"/>
      <c r="AA303" s="130"/>
    </row>
    <row r="304" spans="1:27" x14ac:dyDescent="0.25">
      <c r="A304" s="538"/>
      <c r="B304" s="585" t="str">
        <f>IF(A304&lt;&gt;"",INDEX('Base de données'!A$4:L$990,MATCH(A304,'Base de données'!A$4:A$990,0),2),"")</f>
        <v/>
      </c>
      <c r="C304" s="585" t="str">
        <f>IF(A304&lt;&gt;"",INDEX('Base de données'!A$4:L$990,MATCH(A304,'Base de données'!A$4:A$990,0),12),"")</f>
        <v/>
      </c>
      <c r="D304" s="583"/>
      <c r="E304" s="130"/>
      <c r="F304" s="131"/>
      <c r="G304" s="130"/>
      <c r="H304" s="131"/>
      <c r="I304" s="130"/>
      <c r="J304" s="131"/>
      <c r="K304" s="130"/>
      <c r="L304" s="131"/>
      <c r="M304" s="130"/>
      <c r="N304" s="131"/>
      <c r="O304" s="130"/>
      <c r="P304" s="131"/>
      <c r="Q304" s="130"/>
      <c r="R304" s="131"/>
      <c r="S304" s="130"/>
      <c r="T304" s="131"/>
      <c r="U304" s="130"/>
      <c r="V304" s="131"/>
      <c r="W304" s="130"/>
      <c r="X304" s="131"/>
      <c r="Y304" s="130"/>
      <c r="Z304" s="131"/>
      <c r="AA304" s="130"/>
    </row>
    <row r="305" spans="1:27" x14ac:dyDescent="0.25">
      <c r="A305" s="538"/>
      <c r="B305" s="585" t="str">
        <f>IF(A305&lt;&gt;"",INDEX('Base de données'!A$4:L$990,MATCH(A305,'Base de données'!A$4:A$990,0),2),"")</f>
        <v/>
      </c>
      <c r="C305" s="585" t="str">
        <f>IF(A305&lt;&gt;"",INDEX('Base de données'!A$4:L$990,MATCH(A305,'Base de données'!A$4:A$990,0),12),"")</f>
        <v/>
      </c>
      <c r="D305" s="583"/>
      <c r="E305" s="130"/>
      <c r="F305" s="131"/>
      <c r="G305" s="130"/>
      <c r="H305" s="131"/>
      <c r="I305" s="130"/>
      <c r="J305" s="131"/>
      <c r="K305" s="130"/>
      <c r="L305" s="131"/>
      <c r="M305" s="130"/>
      <c r="N305" s="131"/>
      <c r="O305" s="130"/>
      <c r="P305" s="131"/>
      <c r="Q305" s="130"/>
      <c r="R305" s="131"/>
      <c r="S305" s="130"/>
      <c r="T305" s="131"/>
      <c r="U305" s="130"/>
      <c r="V305" s="131"/>
      <c r="W305" s="130"/>
      <c r="X305" s="131"/>
      <c r="Y305" s="130"/>
      <c r="Z305" s="131"/>
      <c r="AA305" s="130"/>
    </row>
    <row r="306" spans="1:27" x14ac:dyDescent="0.25">
      <c r="A306" s="538"/>
      <c r="B306" s="585" t="str">
        <f>IF(A306&lt;&gt;"",INDEX('Base de données'!A$4:L$990,MATCH(A306,'Base de données'!A$4:A$990,0),2),"")</f>
        <v/>
      </c>
      <c r="C306" s="585" t="str">
        <f>IF(A306&lt;&gt;"",INDEX('Base de données'!A$4:L$990,MATCH(A306,'Base de données'!A$4:A$990,0),12),"")</f>
        <v/>
      </c>
      <c r="D306" s="583"/>
      <c r="E306" s="130"/>
      <c r="F306" s="131"/>
      <c r="G306" s="130"/>
      <c r="H306" s="131"/>
      <c r="I306" s="130"/>
      <c r="J306" s="131"/>
      <c r="K306" s="130"/>
      <c r="L306" s="131"/>
      <c r="M306" s="130"/>
      <c r="N306" s="131"/>
      <c r="O306" s="130"/>
      <c r="P306" s="131"/>
      <c r="Q306" s="130"/>
      <c r="R306" s="131"/>
      <c r="S306" s="130"/>
      <c r="T306" s="131"/>
      <c r="U306" s="130"/>
      <c r="V306" s="131"/>
      <c r="W306" s="130"/>
      <c r="X306" s="131"/>
      <c r="Y306" s="130"/>
      <c r="Z306" s="131"/>
      <c r="AA306" s="130"/>
    </row>
    <row r="307" spans="1:27" x14ac:dyDescent="0.25">
      <c r="A307" s="538"/>
      <c r="B307" s="585" t="str">
        <f>IF(A307&lt;&gt;"",INDEX('Base de données'!A$4:L$990,MATCH(A307,'Base de données'!A$4:A$990,0),2),"")</f>
        <v/>
      </c>
      <c r="C307" s="585" t="str">
        <f>IF(A307&lt;&gt;"",INDEX('Base de données'!A$4:L$990,MATCH(A307,'Base de données'!A$4:A$990,0),12),"")</f>
        <v/>
      </c>
      <c r="D307" s="583"/>
      <c r="E307" s="130"/>
      <c r="F307" s="131"/>
      <c r="G307" s="130"/>
      <c r="H307" s="131"/>
      <c r="I307" s="130"/>
      <c r="J307" s="131"/>
      <c r="K307" s="130"/>
      <c r="L307" s="131"/>
      <c r="M307" s="130"/>
      <c r="N307" s="131"/>
      <c r="O307" s="130"/>
      <c r="P307" s="131"/>
      <c r="Q307" s="130"/>
      <c r="R307" s="131"/>
      <c r="S307" s="130"/>
      <c r="T307" s="131"/>
      <c r="U307" s="130"/>
      <c r="V307" s="131"/>
      <c r="W307" s="130"/>
      <c r="X307" s="131"/>
      <c r="Y307" s="130"/>
      <c r="Z307" s="131"/>
      <c r="AA307" s="130"/>
    </row>
    <row r="308" spans="1:27" x14ac:dyDescent="0.25">
      <c r="A308" s="538"/>
      <c r="B308" s="585" t="str">
        <f>IF(A308&lt;&gt;"",INDEX('Base de données'!A$4:L$990,MATCH(A308,'Base de données'!A$4:A$990,0),2),"")</f>
        <v/>
      </c>
      <c r="C308" s="585" t="str">
        <f>IF(A308&lt;&gt;"",INDEX('Base de données'!A$4:L$990,MATCH(A308,'Base de données'!A$4:A$990,0),12),"")</f>
        <v/>
      </c>
      <c r="D308" s="583"/>
      <c r="E308" s="130"/>
      <c r="F308" s="131"/>
      <c r="G308" s="130"/>
      <c r="H308" s="131"/>
      <c r="I308" s="130"/>
      <c r="J308" s="131"/>
      <c r="K308" s="130"/>
      <c r="L308" s="131"/>
      <c r="M308" s="130"/>
      <c r="N308" s="131"/>
      <c r="O308" s="130"/>
      <c r="P308" s="131"/>
      <c r="Q308" s="130"/>
      <c r="R308" s="131"/>
      <c r="S308" s="130"/>
      <c r="T308" s="131"/>
      <c r="U308" s="130"/>
      <c r="V308" s="131"/>
      <c r="W308" s="130"/>
      <c r="X308" s="131"/>
      <c r="Y308" s="130"/>
      <c r="Z308" s="131"/>
      <c r="AA308" s="130"/>
    </row>
    <row r="309" spans="1:27" x14ac:dyDescent="0.25">
      <c r="A309" s="538"/>
      <c r="B309" s="585" t="str">
        <f>IF(A309&lt;&gt;"",INDEX('Base de données'!A$4:L$990,MATCH(A309,'Base de données'!A$4:A$990,0),2),"")</f>
        <v/>
      </c>
      <c r="C309" s="585" t="str">
        <f>IF(A309&lt;&gt;"",INDEX('Base de données'!A$4:L$990,MATCH(A309,'Base de données'!A$4:A$990,0),12),"")</f>
        <v/>
      </c>
      <c r="D309" s="583"/>
      <c r="E309" s="130"/>
      <c r="F309" s="131"/>
      <c r="G309" s="130"/>
      <c r="H309" s="131"/>
      <c r="I309" s="130"/>
      <c r="J309" s="131"/>
      <c r="K309" s="130"/>
      <c r="L309" s="131"/>
      <c r="M309" s="130"/>
      <c r="N309" s="131"/>
      <c r="O309" s="130"/>
      <c r="P309" s="131"/>
      <c r="Q309" s="130"/>
      <c r="R309" s="131"/>
      <c r="S309" s="130"/>
      <c r="T309" s="131"/>
      <c r="U309" s="130"/>
      <c r="V309" s="131"/>
      <c r="W309" s="130"/>
      <c r="X309" s="131"/>
      <c r="Y309" s="130"/>
      <c r="Z309" s="131"/>
      <c r="AA309" s="130"/>
    </row>
    <row r="310" spans="1:27" x14ac:dyDescent="0.25">
      <c r="A310" s="538"/>
      <c r="B310" s="585" t="str">
        <f>IF(A310&lt;&gt;"",INDEX('Base de données'!A$4:L$990,MATCH(A310,'Base de données'!A$4:A$990,0),2),"")</f>
        <v/>
      </c>
      <c r="C310" s="585" t="str">
        <f>IF(A310&lt;&gt;"",INDEX('Base de données'!A$4:L$990,MATCH(A310,'Base de données'!A$4:A$990,0),12),"")</f>
        <v/>
      </c>
      <c r="D310" s="583"/>
      <c r="E310" s="130"/>
      <c r="F310" s="131"/>
      <c r="G310" s="130"/>
      <c r="H310" s="131"/>
      <c r="I310" s="130"/>
      <c r="J310" s="131"/>
      <c r="K310" s="130"/>
      <c r="L310" s="131"/>
      <c r="M310" s="130"/>
      <c r="N310" s="131"/>
      <c r="O310" s="130"/>
      <c r="P310" s="131"/>
      <c r="Q310" s="130"/>
      <c r="R310" s="131"/>
      <c r="S310" s="130"/>
      <c r="T310" s="131"/>
      <c r="U310" s="130"/>
      <c r="V310" s="131"/>
      <c r="W310" s="130"/>
      <c r="X310" s="131"/>
      <c r="Y310" s="130"/>
      <c r="Z310" s="131"/>
      <c r="AA310" s="130"/>
    </row>
    <row r="311" spans="1:27" x14ac:dyDescent="0.25">
      <c r="A311" s="538"/>
      <c r="B311" s="585" t="str">
        <f>IF(A311&lt;&gt;"",INDEX('Base de données'!A$4:L$990,MATCH(A311,'Base de données'!A$4:A$990,0),2),"")</f>
        <v/>
      </c>
      <c r="C311" s="585" t="str">
        <f>IF(A311&lt;&gt;"",INDEX('Base de données'!A$4:L$990,MATCH(A311,'Base de données'!A$4:A$990,0),12),"")</f>
        <v/>
      </c>
      <c r="D311" s="583"/>
      <c r="E311" s="130"/>
      <c r="F311" s="131"/>
      <c r="G311" s="130"/>
      <c r="H311" s="131"/>
      <c r="I311" s="130"/>
      <c r="J311" s="131"/>
      <c r="K311" s="130"/>
      <c r="L311" s="131"/>
      <c r="M311" s="130"/>
      <c r="N311" s="131"/>
      <c r="O311" s="130"/>
      <c r="P311" s="131"/>
      <c r="Q311" s="130"/>
      <c r="R311" s="131"/>
      <c r="S311" s="130"/>
      <c r="T311" s="131"/>
      <c r="U311" s="130"/>
      <c r="V311" s="131"/>
      <c r="W311" s="130"/>
      <c r="X311" s="131"/>
      <c r="Y311" s="130"/>
      <c r="Z311" s="131"/>
      <c r="AA311" s="130"/>
    </row>
    <row r="312" spans="1:27" x14ac:dyDescent="0.25">
      <c r="A312" s="538"/>
      <c r="B312" s="585" t="str">
        <f>IF(A312&lt;&gt;"",INDEX('Base de données'!A$4:L$990,MATCH(A312,'Base de données'!A$4:A$990,0),2),"")</f>
        <v/>
      </c>
      <c r="C312" s="585" t="str">
        <f>IF(A312&lt;&gt;"",INDEX('Base de données'!A$4:L$990,MATCH(A312,'Base de données'!A$4:A$990,0),12),"")</f>
        <v/>
      </c>
      <c r="D312" s="583"/>
      <c r="E312" s="130"/>
      <c r="F312" s="131"/>
      <c r="G312" s="130"/>
      <c r="H312" s="131"/>
      <c r="I312" s="130"/>
      <c r="J312" s="131"/>
      <c r="K312" s="130"/>
      <c r="L312" s="131"/>
      <c r="M312" s="130"/>
      <c r="N312" s="131"/>
      <c r="O312" s="130"/>
      <c r="P312" s="131"/>
      <c r="Q312" s="130"/>
      <c r="R312" s="131"/>
      <c r="S312" s="130"/>
      <c r="T312" s="131"/>
      <c r="U312" s="130"/>
      <c r="V312" s="131"/>
      <c r="W312" s="130"/>
      <c r="X312" s="131"/>
      <c r="Y312" s="130"/>
      <c r="Z312" s="131"/>
      <c r="AA312" s="130"/>
    </row>
    <row r="313" spans="1:27" x14ac:dyDescent="0.25">
      <c r="A313" s="538"/>
      <c r="B313" s="585" t="str">
        <f>IF(A313&lt;&gt;"",INDEX('Base de données'!A$4:L$990,MATCH(A313,'Base de données'!A$4:A$990,0),2),"")</f>
        <v/>
      </c>
      <c r="C313" s="585" t="str">
        <f>IF(A313&lt;&gt;"",INDEX('Base de données'!A$4:L$990,MATCH(A313,'Base de données'!A$4:A$990,0),12),"")</f>
        <v/>
      </c>
      <c r="D313" s="583"/>
      <c r="E313" s="130"/>
      <c r="F313" s="131"/>
      <c r="G313" s="130"/>
      <c r="H313" s="131"/>
      <c r="I313" s="130"/>
      <c r="J313" s="131"/>
      <c r="K313" s="130"/>
      <c r="L313" s="131"/>
      <c r="M313" s="130"/>
      <c r="N313" s="131"/>
      <c r="O313" s="130"/>
      <c r="P313" s="131"/>
      <c r="Q313" s="130"/>
      <c r="R313" s="131"/>
      <c r="S313" s="130"/>
      <c r="T313" s="131"/>
      <c r="U313" s="130"/>
      <c r="V313" s="131"/>
      <c r="W313" s="130"/>
      <c r="X313" s="131"/>
      <c r="Y313" s="130"/>
      <c r="Z313" s="131"/>
      <c r="AA313" s="130"/>
    </row>
    <row r="314" spans="1:27" x14ac:dyDescent="0.25">
      <c r="A314" s="538"/>
      <c r="B314" s="585" t="str">
        <f>IF(A314&lt;&gt;"",INDEX('Base de données'!A$4:L$990,MATCH(A314,'Base de données'!A$4:A$990,0),2),"")</f>
        <v/>
      </c>
      <c r="C314" s="585" t="str">
        <f>IF(A314&lt;&gt;"",INDEX('Base de données'!A$4:L$990,MATCH(A314,'Base de données'!A$4:A$990,0),12),"")</f>
        <v/>
      </c>
      <c r="D314" s="583"/>
      <c r="E314" s="130"/>
      <c r="F314" s="131"/>
      <c r="G314" s="130"/>
      <c r="H314" s="131"/>
      <c r="I314" s="130"/>
      <c r="J314" s="131"/>
      <c r="K314" s="130"/>
      <c r="L314" s="131"/>
      <c r="M314" s="130"/>
      <c r="N314" s="131"/>
      <c r="O314" s="130"/>
      <c r="P314" s="131"/>
      <c r="Q314" s="130"/>
      <c r="R314" s="131"/>
      <c r="S314" s="130"/>
      <c r="T314" s="131"/>
      <c r="U314" s="130"/>
      <c r="V314" s="131"/>
      <c r="W314" s="130"/>
      <c r="X314" s="131"/>
      <c r="Y314" s="130"/>
      <c r="Z314" s="131"/>
      <c r="AA314" s="130"/>
    </row>
    <row r="315" spans="1:27" x14ac:dyDescent="0.25">
      <c r="A315" s="538"/>
      <c r="B315" s="585" t="str">
        <f>IF(A315&lt;&gt;"",INDEX('Base de données'!A$4:L$990,MATCH(A315,'Base de données'!A$4:A$990,0),2),"")</f>
        <v/>
      </c>
      <c r="C315" s="585" t="str">
        <f>IF(A315&lt;&gt;"",INDEX('Base de données'!A$4:L$990,MATCH(A315,'Base de données'!A$4:A$990,0),12),"")</f>
        <v/>
      </c>
      <c r="D315" s="583"/>
      <c r="E315" s="130"/>
      <c r="F315" s="131"/>
      <c r="G315" s="130"/>
      <c r="H315" s="131"/>
      <c r="I315" s="130"/>
      <c r="J315" s="131"/>
      <c r="K315" s="130"/>
      <c r="L315" s="131"/>
      <c r="M315" s="130"/>
      <c r="N315" s="131"/>
      <c r="O315" s="130"/>
      <c r="P315" s="131"/>
      <c r="Q315" s="130"/>
      <c r="R315" s="131"/>
      <c r="S315" s="130"/>
      <c r="T315" s="131"/>
      <c r="U315" s="130"/>
      <c r="V315" s="131"/>
      <c r="W315" s="130"/>
      <c r="X315" s="131"/>
      <c r="Y315" s="130"/>
      <c r="Z315" s="131"/>
      <c r="AA315" s="130"/>
    </row>
    <row r="316" spans="1:27" x14ac:dyDescent="0.25">
      <c r="A316" s="538"/>
      <c r="B316" s="585" t="str">
        <f>IF(A316&lt;&gt;"",INDEX('Base de données'!A$4:L$990,MATCH(A316,'Base de données'!A$4:A$990,0),2),"")</f>
        <v/>
      </c>
      <c r="C316" s="585" t="str">
        <f>IF(A316&lt;&gt;"",INDEX('Base de données'!A$4:L$990,MATCH(A316,'Base de données'!A$4:A$990,0),12),"")</f>
        <v/>
      </c>
      <c r="D316" s="583"/>
      <c r="E316" s="130"/>
      <c r="F316" s="131"/>
      <c r="G316" s="130"/>
      <c r="H316" s="131"/>
      <c r="I316" s="130"/>
      <c r="J316" s="131"/>
      <c r="K316" s="130"/>
      <c r="L316" s="131"/>
      <c r="M316" s="130"/>
      <c r="N316" s="131"/>
      <c r="O316" s="130"/>
      <c r="P316" s="131"/>
      <c r="Q316" s="130"/>
      <c r="R316" s="131"/>
      <c r="S316" s="130"/>
      <c r="T316" s="131"/>
      <c r="U316" s="130"/>
      <c r="V316" s="131"/>
      <c r="W316" s="130"/>
      <c r="X316" s="131"/>
      <c r="Y316" s="130"/>
      <c r="Z316" s="131"/>
      <c r="AA316" s="130"/>
    </row>
    <row r="317" spans="1:27" x14ac:dyDescent="0.25">
      <c r="A317" s="538"/>
      <c r="B317" s="585" t="str">
        <f>IF(A317&lt;&gt;"",INDEX('Base de données'!A$4:L$990,MATCH(A317,'Base de données'!A$4:A$990,0),2),"")</f>
        <v/>
      </c>
      <c r="C317" s="585" t="str">
        <f>IF(A317&lt;&gt;"",INDEX('Base de données'!A$4:L$990,MATCH(A317,'Base de données'!A$4:A$990,0),12),"")</f>
        <v/>
      </c>
      <c r="D317" s="583"/>
      <c r="E317" s="130"/>
      <c r="F317" s="131"/>
      <c r="G317" s="130"/>
      <c r="H317" s="131"/>
      <c r="I317" s="130"/>
      <c r="J317" s="131"/>
      <c r="K317" s="130"/>
      <c r="L317" s="131"/>
      <c r="M317" s="130"/>
      <c r="N317" s="131"/>
      <c r="O317" s="130"/>
      <c r="P317" s="131"/>
      <c r="Q317" s="130"/>
      <c r="R317" s="131"/>
      <c r="S317" s="130"/>
      <c r="T317" s="131"/>
      <c r="U317" s="130"/>
      <c r="V317" s="131"/>
      <c r="W317" s="130"/>
      <c r="X317" s="131"/>
      <c r="Y317" s="130"/>
      <c r="Z317" s="131"/>
      <c r="AA317" s="130"/>
    </row>
    <row r="318" spans="1:27" x14ac:dyDescent="0.25">
      <c r="A318" s="538"/>
      <c r="B318" s="585" t="str">
        <f>IF(A318&lt;&gt;"",INDEX('Base de données'!A$4:L$990,MATCH(A318,'Base de données'!A$4:A$990,0),2),"")</f>
        <v/>
      </c>
      <c r="C318" s="585" t="str">
        <f>IF(A318&lt;&gt;"",INDEX('Base de données'!A$4:L$990,MATCH(A318,'Base de données'!A$4:A$990,0),12),"")</f>
        <v/>
      </c>
      <c r="D318" s="583"/>
      <c r="E318" s="130"/>
      <c r="F318" s="131"/>
      <c r="G318" s="130"/>
      <c r="H318" s="131"/>
      <c r="I318" s="130"/>
      <c r="J318" s="131"/>
      <c r="K318" s="130"/>
      <c r="L318" s="131"/>
      <c r="M318" s="130"/>
      <c r="N318" s="131"/>
      <c r="O318" s="130"/>
      <c r="P318" s="131"/>
      <c r="Q318" s="130"/>
      <c r="R318" s="131"/>
      <c r="S318" s="130"/>
      <c r="T318" s="131"/>
      <c r="U318" s="130"/>
      <c r="V318" s="131"/>
      <c r="W318" s="130"/>
      <c r="X318" s="131"/>
      <c r="Y318" s="130"/>
      <c r="Z318" s="131"/>
      <c r="AA318" s="130"/>
    </row>
    <row r="319" spans="1:27" x14ac:dyDescent="0.25">
      <c r="A319" s="538"/>
      <c r="B319" s="585" t="str">
        <f>IF(A319&lt;&gt;"",INDEX('Base de données'!A$4:L$990,MATCH(A319,'Base de données'!A$4:A$990,0),2),"")</f>
        <v/>
      </c>
      <c r="C319" s="585" t="str">
        <f>IF(A319&lt;&gt;"",INDEX('Base de données'!A$4:L$990,MATCH(A319,'Base de données'!A$4:A$990,0),12),"")</f>
        <v/>
      </c>
      <c r="D319" s="583"/>
      <c r="E319" s="130"/>
      <c r="F319" s="131"/>
      <c r="G319" s="130"/>
      <c r="H319" s="131"/>
      <c r="I319" s="130"/>
      <c r="J319" s="131"/>
      <c r="K319" s="130"/>
      <c r="L319" s="131"/>
      <c r="M319" s="130"/>
      <c r="N319" s="131"/>
      <c r="O319" s="130"/>
      <c r="P319" s="131"/>
      <c r="Q319" s="130"/>
      <c r="R319" s="131"/>
      <c r="S319" s="130"/>
      <c r="T319" s="131"/>
      <c r="U319" s="130"/>
      <c r="V319" s="131"/>
      <c r="W319" s="130"/>
      <c r="X319" s="131"/>
      <c r="Y319" s="130"/>
      <c r="Z319" s="131"/>
      <c r="AA319" s="130"/>
    </row>
    <row r="320" spans="1:27" x14ac:dyDescent="0.25">
      <c r="A320" s="538"/>
      <c r="B320" s="585" t="str">
        <f>IF(A320&lt;&gt;"",INDEX('Base de données'!A$4:L$990,MATCH(A320,'Base de données'!A$4:A$990,0),2),"")</f>
        <v/>
      </c>
      <c r="C320" s="585" t="str">
        <f>IF(A320&lt;&gt;"",INDEX('Base de données'!A$4:L$990,MATCH(A320,'Base de données'!A$4:A$990,0),12),"")</f>
        <v/>
      </c>
      <c r="D320" s="583"/>
      <c r="E320" s="130"/>
      <c r="F320" s="131"/>
      <c r="G320" s="130"/>
      <c r="H320" s="131"/>
      <c r="I320" s="130"/>
      <c r="J320" s="131"/>
      <c r="K320" s="130"/>
      <c r="L320" s="131"/>
      <c r="M320" s="130"/>
      <c r="N320" s="131"/>
      <c r="O320" s="130"/>
      <c r="P320" s="131"/>
      <c r="Q320" s="130"/>
      <c r="R320" s="131"/>
      <c r="S320" s="130"/>
      <c r="T320" s="131"/>
      <c r="U320" s="130"/>
      <c r="V320" s="131"/>
      <c r="W320" s="130"/>
      <c r="X320" s="131"/>
      <c r="Y320" s="130"/>
      <c r="Z320" s="131"/>
      <c r="AA320" s="130"/>
    </row>
    <row r="321" spans="1:27" x14ac:dyDescent="0.25">
      <c r="A321" s="538"/>
      <c r="B321" s="585" t="str">
        <f>IF(A321&lt;&gt;"",INDEX('Base de données'!A$4:L$990,MATCH(A321,'Base de données'!A$4:A$990,0),2),"")</f>
        <v/>
      </c>
      <c r="C321" s="585" t="str">
        <f>IF(A321&lt;&gt;"",INDEX('Base de données'!A$4:L$990,MATCH(A321,'Base de données'!A$4:A$990,0),12),"")</f>
        <v/>
      </c>
      <c r="D321" s="583"/>
      <c r="E321" s="130"/>
      <c r="F321" s="131"/>
      <c r="G321" s="130"/>
      <c r="H321" s="131"/>
      <c r="I321" s="130"/>
      <c r="J321" s="131"/>
      <c r="K321" s="130"/>
      <c r="L321" s="131"/>
      <c r="M321" s="130"/>
      <c r="N321" s="131"/>
      <c r="O321" s="130"/>
      <c r="P321" s="131"/>
      <c r="Q321" s="130"/>
      <c r="R321" s="131"/>
      <c r="S321" s="130"/>
      <c r="T321" s="131"/>
      <c r="U321" s="130"/>
      <c r="V321" s="131"/>
      <c r="W321" s="130"/>
      <c r="X321" s="131"/>
      <c r="Y321" s="130"/>
      <c r="Z321" s="131"/>
      <c r="AA321" s="130"/>
    </row>
    <row r="322" spans="1:27" x14ac:dyDescent="0.25">
      <c r="A322" s="538"/>
      <c r="B322" s="585" t="str">
        <f>IF(A322&lt;&gt;"",INDEX('Base de données'!A$4:L$990,MATCH(A322,'Base de données'!A$4:A$990,0),2),"")</f>
        <v/>
      </c>
      <c r="C322" s="585" t="str">
        <f>IF(A322&lt;&gt;"",INDEX('Base de données'!A$4:L$990,MATCH(A322,'Base de données'!A$4:A$990,0),12),"")</f>
        <v/>
      </c>
      <c r="D322" s="583"/>
      <c r="E322" s="130"/>
      <c r="F322" s="131"/>
      <c r="G322" s="130"/>
      <c r="H322" s="131"/>
      <c r="I322" s="130"/>
      <c r="J322" s="131"/>
      <c r="K322" s="130"/>
      <c r="L322" s="131"/>
      <c r="M322" s="130"/>
      <c r="N322" s="131"/>
      <c r="O322" s="130"/>
      <c r="P322" s="131"/>
      <c r="Q322" s="130"/>
      <c r="R322" s="131"/>
      <c r="S322" s="130"/>
      <c r="T322" s="131"/>
      <c r="U322" s="130"/>
      <c r="V322" s="131"/>
      <c r="W322" s="130"/>
      <c r="X322" s="131"/>
      <c r="Y322" s="130"/>
      <c r="Z322" s="131"/>
      <c r="AA322" s="130"/>
    </row>
    <row r="323" spans="1:27" x14ac:dyDescent="0.25">
      <c r="A323" s="538"/>
      <c r="B323" s="585" t="str">
        <f>IF(A323&lt;&gt;"",INDEX('Base de données'!A$4:L$990,MATCH(A323,'Base de données'!A$4:A$990,0),2),"")</f>
        <v/>
      </c>
      <c r="C323" s="585" t="str">
        <f>IF(A323&lt;&gt;"",INDEX('Base de données'!A$4:L$990,MATCH(A323,'Base de données'!A$4:A$990,0),12),"")</f>
        <v/>
      </c>
      <c r="D323" s="583"/>
      <c r="E323" s="130"/>
      <c r="F323" s="131"/>
      <c r="G323" s="130"/>
      <c r="H323" s="131"/>
      <c r="I323" s="130"/>
      <c r="J323" s="131"/>
      <c r="K323" s="130"/>
      <c r="L323" s="131"/>
      <c r="M323" s="130"/>
      <c r="N323" s="131"/>
      <c r="O323" s="130"/>
      <c r="P323" s="131"/>
      <c r="Q323" s="130"/>
      <c r="R323" s="131"/>
      <c r="S323" s="130"/>
      <c r="T323" s="131"/>
      <c r="U323" s="130"/>
      <c r="V323" s="131"/>
      <c r="W323" s="130"/>
      <c r="X323" s="131"/>
      <c r="Y323" s="130"/>
      <c r="Z323" s="131"/>
      <c r="AA323" s="130"/>
    </row>
    <row r="324" spans="1:27" x14ac:dyDescent="0.25">
      <c r="A324" s="538"/>
      <c r="B324" s="585" t="str">
        <f>IF(A324&lt;&gt;"",INDEX('Base de données'!A$4:L$990,MATCH(A324,'Base de données'!A$4:A$990,0),2),"")</f>
        <v/>
      </c>
      <c r="C324" s="585" t="str">
        <f>IF(A324&lt;&gt;"",INDEX('Base de données'!A$4:L$990,MATCH(A324,'Base de données'!A$4:A$990,0),12),"")</f>
        <v/>
      </c>
      <c r="D324" s="583"/>
      <c r="E324" s="130"/>
      <c r="F324" s="131"/>
      <c r="G324" s="130"/>
      <c r="H324" s="131"/>
      <c r="I324" s="130"/>
      <c r="J324" s="131"/>
      <c r="K324" s="130"/>
      <c r="L324" s="131"/>
      <c r="M324" s="130"/>
      <c r="N324" s="131"/>
      <c r="O324" s="130"/>
      <c r="P324" s="131"/>
      <c r="Q324" s="130"/>
      <c r="R324" s="131"/>
      <c r="S324" s="130"/>
      <c r="T324" s="131"/>
      <c r="U324" s="130"/>
      <c r="V324" s="131"/>
      <c r="W324" s="130"/>
      <c r="X324" s="131"/>
      <c r="Y324" s="130"/>
      <c r="Z324" s="131"/>
      <c r="AA324" s="130"/>
    </row>
    <row r="325" spans="1:27" x14ac:dyDescent="0.25">
      <c r="A325" s="538"/>
      <c r="B325" s="585" t="str">
        <f>IF(A325&lt;&gt;"",INDEX('Base de données'!A$4:L$990,MATCH(A325,'Base de données'!A$4:A$990,0),2),"")</f>
        <v/>
      </c>
      <c r="C325" s="585" t="str">
        <f>IF(A325&lt;&gt;"",INDEX('Base de données'!A$4:L$990,MATCH(A325,'Base de données'!A$4:A$990,0),12),"")</f>
        <v/>
      </c>
      <c r="D325" s="583"/>
      <c r="E325" s="130"/>
      <c r="F325" s="131"/>
      <c r="G325" s="130"/>
      <c r="H325" s="131"/>
      <c r="I325" s="130"/>
      <c r="J325" s="131"/>
      <c r="K325" s="130"/>
      <c r="L325" s="131"/>
      <c r="M325" s="130"/>
      <c r="N325" s="131"/>
      <c r="O325" s="130"/>
      <c r="P325" s="131"/>
      <c r="Q325" s="130"/>
      <c r="R325" s="131"/>
      <c r="S325" s="130"/>
      <c r="T325" s="131"/>
      <c r="U325" s="130"/>
      <c r="V325" s="131"/>
      <c r="W325" s="130"/>
      <c r="X325" s="131"/>
      <c r="Y325" s="130"/>
      <c r="Z325" s="131"/>
      <c r="AA325" s="130"/>
    </row>
    <row r="326" spans="1:27" x14ac:dyDescent="0.25">
      <c r="A326" s="538"/>
      <c r="B326" s="585" t="str">
        <f>IF(A326&lt;&gt;"",INDEX('Base de données'!A$4:L$990,MATCH(A326,'Base de données'!A$4:A$990,0),2),"")</f>
        <v/>
      </c>
      <c r="C326" s="585" t="str">
        <f>IF(A326&lt;&gt;"",INDEX('Base de données'!A$4:L$990,MATCH(A326,'Base de données'!A$4:A$990,0),12),"")</f>
        <v/>
      </c>
      <c r="D326" s="583"/>
      <c r="E326" s="130"/>
      <c r="F326" s="131"/>
      <c r="G326" s="130"/>
      <c r="H326" s="131"/>
      <c r="I326" s="130"/>
      <c r="J326" s="131"/>
      <c r="K326" s="130"/>
      <c r="L326" s="131"/>
      <c r="M326" s="130"/>
      <c r="N326" s="131"/>
      <c r="O326" s="130"/>
      <c r="P326" s="131"/>
      <c r="Q326" s="130"/>
      <c r="R326" s="131"/>
      <c r="S326" s="130"/>
      <c r="T326" s="131"/>
      <c r="U326" s="130"/>
      <c r="V326" s="131"/>
      <c r="W326" s="130"/>
      <c r="X326" s="131"/>
      <c r="Y326" s="130"/>
      <c r="Z326" s="131"/>
      <c r="AA326" s="130"/>
    </row>
    <row r="327" spans="1:27" x14ac:dyDescent="0.25">
      <c r="A327" s="538"/>
      <c r="B327" s="585" t="str">
        <f>IF(A327&lt;&gt;"",INDEX('Base de données'!A$4:L$990,MATCH(A327,'Base de données'!A$4:A$990,0),2),"")</f>
        <v/>
      </c>
      <c r="C327" s="585" t="str">
        <f>IF(A327&lt;&gt;"",INDEX('Base de données'!A$4:L$990,MATCH(A327,'Base de données'!A$4:A$990,0),12),"")</f>
        <v/>
      </c>
      <c r="D327" s="583"/>
      <c r="E327" s="130"/>
      <c r="F327" s="131"/>
      <c r="G327" s="130"/>
      <c r="H327" s="131"/>
      <c r="I327" s="130"/>
      <c r="J327" s="131"/>
      <c r="K327" s="130"/>
      <c r="L327" s="131"/>
      <c r="M327" s="130"/>
      <c r="N327" s="131"/>
      <c r="O327" s="130"/>
      <c r="P327" s="131"/>
      <c r="Q327" s="130"/>
      <c r="R327" s="131"/>
      <c r="S327" s="130"/>
      <c r="T327" s="131"/>
      <c r="U327" s="130"/>
      <c r="V327" s="131"/>
      <c r="W327" s="130"/>
      <c r="X327" s="131"/>
      <c r="Y327" s="130"/>
      <c r="Z327" s="131"/>
      <c r="AA327" s="130"/>
    </row>
    <row r="328" spans="1:27" x14ac:dyDescent="0.25">
      <c r="A328" s="538"/>
      <c r="B328" s="585" t="str">
        <f>IF(A328&lt;&gt;"",INDEX('Base de données'!A$4:L$990,MATCH(A328,'Base de données'!A$4:A$990,0),2),"")</f>
        <v/>
      </c>
      <c r="C328" s="585" t="str">
        <f>IF(A328&lt;&gt;"",INDEX('Base de données'!A$4:L$990,MATCH(A328,'Base de données'!A$4:A$990,0),12),"")</f>
        <v/>
      </c>
      <c r="D328" s="583"/>
      <c r="E328" s="130"/>
      <c r="F328" s="131"/>
      <c r="G328" s="130"/>
      <c r="H328" s="131"/>
      <c r="I328" s="130"/>
      <c r="J328" s="131"/>
      <c r="K328" s="130"/>
      <c r="L328" s="131"/>
      <c r="M328" s="130"/>
      <c r="N328" s="131"/>
      <c r="O328" s="130"/>
      <c r="P328" s="131"/>
      <c r="Q328" s="130"/>
      <c r="R328" s="131"/>
      <c r="S328" s="130"/>
      <c r="T328" s="131"/>
      <c r="U328" s="130"/>
      <c r="V328" s="131"/>
      <c r="W328" s="130"/>
      <c r="X328" s="131"/>
      <c r="Y328" s="130"/>
      <c r="Z328" s="131"/>
      <c r="AA328" s="130"/>
    </row>
    <row r="329" spans="1:27" x14ac:dyDescent="0.25">
      <c r="A329" s="538"/>
      <c r="B329" s="585" t="str">
        <f>IF(A329&lt;&gt;"",INDEX('Base de données'!A$4:L$990,MATCH(A329,'Base de données'!A$4:A$990,0),2),"")</f>
        <v/>
      </c>
      <c r="C329" s="585" t="str">
        <f>IF(A329&lt;&gt;"",INDEX('Base de données'!A$4:L$990,MATCH(A329,'Base de données'!A$4:A$990,0),12),"")</f>
        <v/>
      </c>
      <c r="D329" s="583"/>
      <c r="E329" s="130"/>
      <c r="F329" s="131"/>
      <c r="G329" s="130"/>
      <c r="H329" s="131"/>
      <c r="I329" s="130"/>
      <c r="J329" s="131"/>
      <c r="K329" s="130"/>
      <c r="L329" s="131"/>
      <c r="M329" s="130"/>
      <c r="N329" s="131"/>
      <c r="O329" s="130"/>
      <c r="P329" s="131"/>
      <c r="Q329" s="130"/>
      <c r="R329" s="131"/>
      <c r="S329" s="130"/>
      <c r="T329" s="131"/>
      <c r="U329" s="130"/>
      <c r="V329" s="131"/>
      <c r="W329" s="130"/>
      <c r="X329" s="131"/>
      <c r="Y329" s="130"/>
      <c r="Z329" s="131"/>
      <c r="AA329" s="130"/>
    </row>
    <row r="330" spans="1:27" x14ac:dyDescent="0.25">
      <c r="A330" s="538"/>
      <c r="B330" s="585" t="str">
        <f>IF(A330&lt;&gt;"",INDEX('Base de données'!A$4:L$990,MATCH(A330,'Base de données'!A$4:A$990,0),2),"")</f>
        <v/>
      </c>
      <c r="C330" s="585" t="str">
        <f>IF(A330&lt;&gt;"",INDEX('Base de données'!A$4:L$990,MATCH(A330,'Base de données'!A$4:A$990,0),12),"")</f>
        <v/>
      </c>
      <c r="D330" s="583"/>
      <c r="E330" s="130"/>
      <c r="F330" s="131"/>
      <c r="G330" s="130"/>
      <c r="H330" s="131"/>
      <c r="I330" s="130"/>
      <c r="J330" s="131"/>
      <c r="K330" s="130"/>
      <c r="L330" s="131"/>
      <c r="M330" s="130"/>
      <c r="N330" s="131"/>
      <c r="O330" s="130"/>
      <c r="P330" s="131"/>
      <c r="Q330" s="130"/>
      <c r="R330" s="131"/>
      <c r="S330" s="130"/>
      <c r="T330" s="131"/>
      <c r="U330" s="130"/>
      <c r="V330" s="131"/>
      <c r="W330" s="130"/>
      <c r="X330" s="131"/>
      <c r="Y330" s="130"/>
      <c r="Z330" s="131"/>
      <c r="AA330" s="130"/>
    </row>
    <row r="331" spans="1:27" x14ac:dyDescent="0.25">
      <c r="A331" s="538"/>
      <c r="B331" s="585" t="str">
        <f>IF(A331&lt;&gt;"",INDEX('Base de données'!A$4:L$990,MATCH(A331,'Base de données'!A$4:A$990,0),2),"")</f>
        <v/>
      </c>
      <c r="C331" s="585" t="str">
        <f>IF(A331&lt;&gt;"",INDEX('Base de données'!A$4:L$990,MATCH(A331,'Base de données'!A$4:A$990,0),12),"")</f>
        <v/>
      </c>
      <c r="D331" s="583"/>
      <c r="E331" s="130"/>
      <c r="F331" s="131"/>
      <c r="G331" s="130"/>
      <c r="H331" s="131"/>
      <c r="I331" s="130"/>
      <c r="J331" s="131"/>
      <c r="K331" s="130"/>
      <c r="L331" s="131"/>
      <c r="M331" s="130"/>
      <c r="N331" s="131"/>
      <c r="O331" s="130"/>
      <c r="P331" s="131"/>
      <c r="Q331" s="130"/>
      <c r="R331" s="131"/>
      <c r="S331" s="130"/>
      <c r="T331" s="131"/>
      <c r="U331" s="130"/>
      <c r="V331" s="131"/>
      <c r="W331" s="130"/>
      <c r="X331" s="131"/>
      <c r="Y331" s="130"/>
      <c r="Z331" s="131"/>
      <c r="AA331" s="130"/>
    </row>
    <row r="332" spans="1:27" x14ac:dyDescent="0.25">
      <c r="A332" s="538"/>
      <c r="B332" s="585" t="str">
        <f>IF(A332&lt;&gt;"",INDEX('Base de données'!A$4:L$990,MATCH(A332,'Base de données'!A$4:A$990,0),2),"")</f>
        <v/>
      </c>
      <c r="C332" s="585" t="str">
        <f>IF(A332&lt;&gt;"",INDEX('Base de données'!A$4:L$990,MATCH(A332,'Base de données'!A$4:A$990,0),12),"")</f>
        <v/>
      </c>
      <c r="D332" s="583"/>
      <c r="E332" s="130"/>
      <c r="F332" s="131"/>
      <c r="G332" s="130"/>
      <c r="H332" s="131"/>
      <c r="I332" s="130"/>
      <c r="J332" s="131"/>
      <c r="K332" s="130"/>
      <c r="L332" s="131"/>
      <c r="M332" s="130"/>
      <c r="N332" s="131"/>
      <c r="O332" s="130"/>
      <c r="P332" s="131"/>
      <c r="Q332" s="130"/>
      <c r="R332" s="131"/>
      <c r="S332" s="130"/>
      <c r="T332" s="131"/>
      <c r="U332" s="130"/>
      <c r="V332" s="131"/>
      <c r="W332" s="130"/>
      <c r="X332" s="131"/>
      <c r="Y332" s="130"/>
      <c r="Z332" s="131"/>
      <c r="AA332" s="130"/>
    </row>
    <row r="333" spans="1:27" x14ac:dyDescent="0.25">
      <c r="A333" s="538"/>
      <c r="B333" s="585" t="str">
        <f>IF(A333&lt;&gt;"",INDEX('Base de données'!A$4:L$990,MATCH(A333,'Base de données'!A$4:A$990,0),2),"")</f>
        <v/>
      </c>
      <c r="C333" s="585" t="str">
        <f>IF(A333&lt;&gt;"",INDEX('Base de données'!A$4:L$990,MATCH(A333,'Base de données'!A$4:A$990,0),12),"")</f>
        <v/>
      </c>
      <c r="D333" s="583"/>
      <c r="E333" s="130"/>
      <c r="F333" s="131"/>
      <c r="G333" s="130"/>
      <c r="H333" s="131"/>
      <c r="I333" s="130"/>
      <c r="J333" s="131"/>
      <c r="K333" s="130"/>
      <c r="L333" s="131"/>
      <c r="M333" s="130"/>
      <c r="N333" s="131"/>
      <c r="O333" s="130"/>
      <c r="P333" s="131"/>
      <c r="Q333" s="130"/>
      <c r="R333" s="131"/>
      <c r="S333" s="130"/>
      <c r="T333" s="131"/>
      <c r="U333" s="130"/>
      <c r="V333" s="131"/>
      <c r="W333" s="130"/>
      <c r="X333" s="131"/>
      <c r="Y333" s="130"/>
      <c r="Z333" s="131"/>
      <c r="AA333" s="130"/>
    </row>
    <row r="334" spans="1:27" x14ac:dyDescent="0.25">
      <c r="A334" s="538"/>
      <c r="B334" s="585" t="str">
        <f>IF(A334&lt;&gt;"",INDEX('Base de données'!A$4:L$990,MATCH(A334,'Base de données'!A$4:A$990,0),2),"")</f>
        <v/>
      </c>
      <c r="C334" s="585" t="str">
        <f>IF(A334&lt;&gt;"",INDEX('Base de données'!A$4:L$990,MATCH(A334,'Base de données'!A$4:A$990,0),12),"")</f>
        <v/>
      </c>
      <c r="D334" s="583"/>
      <c r="E334" s="130"/>
      <c r="F334" s="131"/>
      <c r="G334" s="130"/>
      <c r="H334" s="131"/>
      <c r="I334" s="130"/>
      <c r="J334" s="131"/>
      <c r="K334" s="130"/>
      <c r="L334" s="131"/>
      <c r="M334" s="130"/>
      <c r="N334" s="131"/>
      <c r="O334" s="130"/>
      <c r="P334" s="131"/>
      <c r="Q334" s="130"/>
      <c r="R334" s="131"/>
      <c r="S334" s="130"/>
      <c r="T334" s="131"/>
      <c r="U334" s="130"/>
      <c r="V334" s="131"/>
      <c r="W334" s="130"/>
      <c r="X334" s="131"/>
      <c r="Y334" s="130"/>
      <c r="Z334" s="131"/>
      <c r="AA334" s="130"/>
    </row>
    <row r="335" spans="1:27" x14ac:dyDescent="0.25">
      <c r="A335" s="538"/>
      <c r="B335" s="585" t="str">
        <f>IF(A335&lt;&gt;"",INDEX('Base de données'!A$4:L$990,MATCH(A335,'Base de données'!A$4:A$990,0),2),"")</f>
        <v/>
      </c>
      <c r="C335" s="585" t="str">
        <f>IF(A335&lt;&gt;"",INDEX('Base de données'!A$4:L$990,MATCH(A335,'Base de données'!A$4:A$990,0),12),"")</f>
        <v/>
      </c>
      <c r="D335" s="583"/>
      <c r="E335" s="130"/>
      <c r="F335" s="131"/>
      <c r="G335" s="130"/>
      <c r="H335" s="131"/>
      <c r="I335" s="130"/>
      <c r="J335" s="131"/>
      <c r="K335" s="130"/>
      <c r="L335" s="131"/>
      <c r="M335" s="130"/>
      <c r="N335" s="131"/>
      <c r="O335" s="130"/>
      <c r="P335" s="131"/>
      <c r="Q335" s="130"/>
      <c r="R335" s="131"/>
      <c r="S335" s="130"/>
      <c r="T335" s="131"/>
      <c r="U335" s="130"/>
      <c r="V335" s="131"/>
      <c r="W335" s="130"/>
      <c r="X335" s="131"/>
      <c r="Y335" s="130"/>
      <c r="Z335" s="131"/>
      <c r="AA335" s="130"/>
    </row>
    <row r="336" spans="1:27" x14ac:dyDescent="0.25">
      <c r="A336" s="538"/>
      <c r="B336" s="585" t="str">
        <f>IF(A336&lt;&gt;"",INDEX('Base de données'!A$4:L$990,MATCH(A336,'Base de données'!A$4:A$990,0),2),"")</f>
        <v/>
      </c>
      <c r="C336" s="585" t="str">
        <f>IF(A336&lt;&gt;"",INDEX('Base de données'!A$4:L$990,MATCH(A336,'Base de données'!A$4:A$990,0),12),"")</f>
        <v/>
      </c>
      <c r="D336" s="583"/>
      <c r="E336" s="130"/>
      <c r="F336" s="131"/>
      <c r="G336" s="130"/>
      <c r="H336" s="131"/>
      <c r="I336" s="130"/>
      <c r="J336" s="131"/>
      <c r="K336" s="130"/>
      <c r="L336" s="131"/>
      <c r="M336" s="130"/>
      <c r="N336" s="131"/>
      <c r="O336" s="130"/>
      <c r="P336" s="131"/>
      <c r="Q336" s="130"/>
      <c r="R336" s="131"/>
      <c r="S336" s="130"/>
      <c r="T336" s="131"/>
      <c r="U336" s="130"/>
      <c r="V336" s="131"/>
      <c r="W336" s="130"/>
      <c r="X336" s="131"/>
      <c r="Y336" s="130"/>
      <c r="Z336" s="131"/>
      <c r="AA336" s="130"/>
    </row>
    <row r="337" spans="1:27" x14ac:dyDescent="0.25">
      <c r="A337" s="538"/>
      <c r="B337" s="585" t="str">
        <f>IF(A337&lt;&gt;"",INDEX('Base de données'!A$4:L$990,MATCH(A337,'Base de données'!A$4:A$990,0),2),"")</f>
        <v/>
      </c>
      <c r="C337" s="585" t="str">
        <f>IF(A337&lt;&gt;"",INDEX('Base de données'!A$4:L$990,MATCH(A337,'Base de données'!A$4:A$990,0),12),"")</f>
        <v/>
      </c>
      <c r="D337" s="583"/>
      <c r="E337" s="130"/>
      <c r="F337" s="131"/>
      <c r="G337" s="130"/>
      <c r="H337" s="131"/>
      <c r="I337" s="130"/>
      <c r="J337" s="131"/>
      <c r="K337" s="130"/>
      <c r="L337" s="131"/>
      <c r="M337" s="130"/>
      <c r="N337" s="131"/>
      <c r="O337" s="130"/>
      <c r="P337" s="131"/>
      <c r="Q337" s="130"/>
      <c r="R337" s="131"/>
      <c r="S337" s="130"/>
      <c r="T337" s="131"/>
      <c r="U337" s="130"/>
      <c r="V337" s="131"/>
      <c r="W337" s="130"/>
      <c r="X337" s="131"/>
      <c r="Y337" s="130"/>
      <c r="Z337" s="131"/>
      <c r="AA337" s="130"/>
    </row>
    <row r="338" spans="1:27" x14ac:dyDescent="0.25">
      <c r="A338" s="538"/>
      <c r="B338" s="585" t="str">
        <f>IF(A338&lt;&gt;"",INDEX('Base de données'!A$4:L$990,MATCH(A338,'Base de données'!A$4:A$990,0),2),"")</f>
        <v/>
      </c>
      <c r="C338" s="585" t="str">
        <f>IF(A338&lt;&gt;"",INDEX('Base de données'!A$4:L$990,MATCH(A338,'Base de données'!A$4:A$990,0),12),"")</f>
        <v/>
      </c>
      <c r="D338" s="583"/>
      <c r="E338" s="130"/>
      <c r="F338" s="131"/>
      <c r="G338" s="130"/>
      <c r="H338" s="131"/>
      <c r="I338" s="130"/>
      <c r="J338" s="131"/>
      <c r="K338" s="130"/>
      <c r="L338" s="131"/>
      <c r="M338" s="130"/>
      <c r="N338" s="131"/>
      <c r="O338" s="130"/>
      <c r="P338" s="131"/>
      <c r="Q338" s="130"/>
      <c r="R338" s="131"/>
      <c r="S338" s="130"/>
      <c r="T338" s="131"/>
      <c r="U338" s="130"/>
      <c r="V338" s="131"/>
      <c r="W338" s="130"/>
      <c r="X338" s="131"/>
      <c r="Y338" s="130"/>
      <c r="Z338" s="131"/>
      <c r="AA338" s="130"/>
    </row>
    <row r="339" spans="1:27" x14ac:dyDescent="0.25">
      <c r="A339" s="538"/>
      <c r="B339" s="585" t="str">
        <f>IF(A339&lt;&gt;"",INDEX('Base de données'!A$4:L$990,MATCH(A339,'Base de données'!A$4:A$990,0),2),"")</f>
        <v/>
      </c>
      <c r="C339" s="585" t="str">
        <f>IF(A339&lt;&gt;"",INDEX('Base de données'!A$4:L$990,MATCH(A339,'Base de données'!A$4:A$990,0),12),"")</f>
        <v/>
      </c>
      <c r="D339" s="583"/>
      <c r="E339" s="130"/>
      <c r="F339" s="131"/>
      <c r="G339" s="130"/>
      <c r="H339" s="131"/>
      <c r="I339" s="130"/>
      <c r="J339" s="131"/>
      <c r="K339" s="130"/>
      <c r="L339" s="131"/>
      <c r="M339" s="130"/>
      <c r="N339" s="131"/>
      <c r="O339" s="130"/>
      <c r="P339" s="131"/>
      <c r="Q339" s="130"/>
      <c r="R339" s="131"/>
      <c r="S339" s="130"/>
      <c r="T339" s="131"/>
      <c r="U339" s="130"/>
      <c r="V339" s="131"/>
      <c r="W339" s="130"/>
      <c r="X339" s="131"/>
      <c r="Y339" s="130"/>
      <c r="Z339" s="131"/>
      <c r="AA339" s="130"/>
    </row>
    <row r="340" spans="1:27" x14ac:dyDescent="0.25">
      <c r="A340" s="538"/>
      <c r="B340" s="585" t="str">
        <f>IF(A340&lt;&gt;"",INDEX('Base de données'!A$4:L$990,MATCH(A340,'Base de données'!A$4:A$990,0),2),"")</f>
        <v/>
      </c>
      <c r="C340" s="585" t="str">
        <f>IF(A340&lt;&gt;"",INDEX('Base de données'!A$4:L$990,MATCH(A340,'Base de données'!A$4:A$990,0),12),"")</f>
        <v/>
      </c>
      <c r="D340" s="583"/>
      <c r="E340" s="130"/>
      <c r="F340" s="131"/>
      <c r="G340" s="130"/>
      <c r="H340" s="131"/>
      <c r="I340" s="130"/>
      <c r="J340" s="131"/>
      <c r="K340" s="130"/>
      <c r="L340" s="131"/>
      <c r="M340" s="130"/>
      <c r="N340" s="131"/>
      <c r="O340" s="130"/>
      <c r="P340" s="131"/>
      <c r="Q340" s="130"/>
      <c r="R340" s="131"/>
      <c r="S340" s="130"/>
      <c r="T340" s="131"/>
      <c r="U340" s="130"/>
      <c r="V340" s="131"/>
      <c r="W340" s="130"/>
      <c r="X340" s="131"/>
      <c r="Y340" s="130"/>
      <c r="Z340" s="131"/>
      <c r="AA340" s="130"/>
    </row>
    <row r="341" spans="1:27" x14ac:dyDescent="0.25">
      <c r="A341" s="538"/>
      <c r="B341" s="585" t="str">
        <f>IF(A341&lt;&gt;"",INDEX('Base de données'!A$4:L$990,MATCH(A341,'Base de données'!A$4:A$990,0),2),"")</f>
        <v/>
      </c>
      <c r="C341" s="585" t="str">
        <f>IF(A341&lt;&gt;"",INDEX('Base de données'!A$4:L$990,MATCH(A341,'Base de données'!A$4:A$990,0),12),"")</f>
        <v/>
      </c>
      <c r="D341" s="583"/>
      <c r="E341" s="130"/>
      <c r="F341" s="131"/>
      <c r="G341" s="130"/>
      <c r="H341" s="131"/>
      <c r="I341" s="130"/>
      <c r="J341" s="131"/>
      <c r="K341" s="130"/>
      <c r="L341" s="131"/>
      <c r="M341" s="130"/>
      <c r="N341" s="131"/>
      <c r="O341" s="130"/>
      <c r="P341" s="131"/>
      <c r="Q341" s="130"/>
      <c r="R341" s="131"/>
      <c r="S341" s="130"/>
      <c r="T341" s="131"/>
      <c r="U341" s="130"/>
      <c r="V341" s="131"/>
      <c r="W341" s="130"/>
      <c r="X341" s="131"/>
      <c r="Y341" s="130"/>
      <c r="Z341" s="131"/>
      <c r="AA341" s="130"/>
    </row>
    <row r="342" spans="1:27" x14ac:dyDescent="0.25">
      <c r="A342" s="538"/>
      <c r="B342" s="585" t="str">
        <f>IF(A342&lt;&gt;"",INDEX('Base de données'!A$4:L$990,MATCH(A342,'Base de données'!A$4:A$990,0),2),"")</f>
        <v/>
      </c>
      <c r="C342" s="585" t="str">
        <f>IF(A342&lt;&gt;"",INDEX('Base de données'!A$4:L$990,MATCH(A342,'Base de données'!A$4:A$990,0),12),"")</f>
        <v/>
      </c>
      <c r="D342" s="583"/>
      <c r="E342" s="130"/>
      <c r="F342" s="131"/>
      <c r="G342" s="130"/>
      <c r="H342" s="131"/>
      <c r="I342" s="130"/>
      <c r="J342" s="131"/>
      <c r="K342" s="130"/>
      <c r="L342" s="131"/>
      <c r="M342" s="130"/>
      <c r="N342" s="131"/>
      <c r="O342" s="130"/>
      <c r="P342" s="131"/>
      <c r="Q342" s="130"/>
      <c r="R342" s="131"/>
      <c r="S342" s="130"/>
      <c r="T342" s="131"/>
      <c r="U342" s="130"/>
      <c r="V342" s="131"/>
      <c r="W342" s="130"/>
      <c r="X342" s="131"/>
      <c r="Y342" s="130"/>
      <c r="Z342" s="131"/>
      <c r="AA342" s="130"/>
    </row>
    <row r="343" spans="1:27" x14ac:dyDescent="0.25">
      <c r="A343" s="538"/>
      <c r="B343" s="585" t="str">
        <f>IF(A343&lt;&gt;"",INDEX('Base de données'!A$4:L$990,MATCH(A343,'Base de données'!A$4:A$990,0),2),"")</f>
        <v/>
      </c>
      <c r="C343" s="585" t="str">
        <f>IF(A343&lt;&gt;"",INDEX('Base de données'!A$4:L$990,MATCH(A343,'Base de données'!A$4:A$990,0),12),"")</f>
        <v/>
      </c>
      <c r="D343" s="583"/>
      <c r="E343" s="130"/>
      <c r="F343" s="131"/>
      <c r="G343" s="130"/>
      <c r="H343" s="131"/>
      <c r="I343" s="130"/>
      <c r="J343" s="131"/>
      <c r="K343" s="130"/>
      <c r="L343" s="131"/>
      <c r="M343" s="130"/>
      <c r="N343" s="131"/>
      <c r="O343" s="130"/>
      <c r="P343" s="131"/>
      <c r="Q343" s="130"/>
      <c r="R343" s="131"/>
      <c r="S343" s="130"/>
      <c r="T343" s="131"/>
      <c r="U343" s="130"/>
      <c r="V343" s="131"/>
      <c r="W343" s="130"/>
      <c r="X343" s="131"/>
      <c r="Y343" s="130"/>
      <c r="Z343" s="131"/>
      <c r="AA343" s="130"/>
    </row>
    <row r="344" spans="1:27" x14ac:dyDescent="0.25">
      <c r="A344" s="538"/>
      <c r="B344" s="585" t="str">
        <f>IF(A344&lt;&gt;"",INDEX('Base de données'!A$4:L$990,MATCH(A344,'Base de données'!A$4:A$990,0),2),"")</f>
        <v/>
      </c>
      <c r="C344" s="585" t="str">
        <f>IF(A344&lt;&gt;"",INDEX('Base de données'!A$4:L$990,MATCH(A344,'Base de données'!A$4:A$990,0),12),"")</f>
        <v/>
      </c>
      <c r="D344" s="583"/>
      <c r="E344" s="130"/>
      <c r="F344" s="131"/>
      <c r="G344" s="130"/>
      <c r="H344" s="131"/>
      <c r="I344" s="130"/>
      <c r="J344" s="131"/>
      <c r="K344" s="130"/>
      <c r="L344" s="131"/>
      <c r="M344" s="130"/>
      <c r="N344" s="131"/>
      <c r="O344" s="130"/>
      <c r="P344" s="131"/>
      <c r="Q344" s="130"/>
      <c r="R344" s="131"/>
      <c r="S344" s="130"/>
      <c r="T344" s="131"/>
      <c r="U344" s="130"/>
      <c r="V344" s="131"/>
      <c r="W344" s="130"/>
      <c r="X344" s="131"/>
      <c r="Y344" s="130"/>
      <c r="Z344" s="131"/>
      <c r="AA344" s="130"/>
    </row>
    <row r="345" spans="1:27" x14ac:dyDescent="0.25">
      <c r="A345" s="538"/>
      <c r="B345" s="585" t="str">
        <f>IF(A345&lt;&gt;"",INDEX('Base de données'!A$4:L$990,MATCH(A345,'Base de données'!A$4:A$990,0),2),"")</f>
        <v/>
      </c>
      <c r="C345" s="585" t="str">
        <f>IF(A345&lt;&gt;"",INDEX('Base de données'!A$4:L$990,MATCH(A345,'Base de données'!A$4:A$990,0),12),"")</f>
        <v/>
      </c>
      <c r="D345" s="583"/>
      <c r="E345" s="130"/>
      <c r="F345" s="131"/>
      <c r="G345" s="130"/>
      <c r="H345" s="131"/>
      <c r="I345" s="130"/>
      <c r="J345" s="131"/>
      <c r="K345" s="130"/>
      <c r="L345" s="131"/>
      <c r="M345" s="130"/>
      <c r="N345" s="131"/>
      <c r="O345" s="130"/>
      <c r="P345" s="131"/>
      <c r="Q345" s="130"/>
      <c r="R345" s="131"/>
      <c r="S345" s="130"/>
      <c r="T345" s="131"/>
      <c r="U345" s="130"/>
      <c r="V345" s="131"/>
      <c r="W345" s="130"/>
      <c r="X345" s="131"/>
      <c r="Y345" s="130"/>
      <c r="Z345" s="131"/>
      <c r="AA345" s="130"/>
    </row>
    <row r="346" spans="1:27" x14ac:dyDescent="0.25">
      <c r="A346" s="538"/>
      <c r="B346" s="585" t="str">
        <f>IF(A346&lt;&gt;"",INDEX('Base de données'!A$4:L$990,MATCH(A346,'Base de données'!A$4:A$990,0),2),"")</f>
        <v/>
      </c>
      <c r="C346" s="585" t="str">
        <f>IF(A346&lt;&gt;"",INDEX('Base de données'!A$4:L$990,MATCH(A346,'Base de données'!A$4:A$990,0),12),"")</f>
        <v/>
      </c>
      <c r="D346" s="583"/>
      <c r="E346" s="130"/>
      <c r="F346" s="131"/>
      <c r="G346" s="130"/>
      <c r="H346" s="131"/>
      <c r="I346" s="130"/>
      <c r="J346" s="131"/>
      <c r="K346" s="130"/>
      <c r="L346" s="131"/>
      <c r="M346" s="130"/>
      <c r="N346" s="131"/>
      <c r="O346" s="130"/>
      <c r="P346" s="131"/>
      <c r="Q346" s="130"/>
      <c r="R346" s="131"/>
      <c r="S346" s="130"/>
      <c r="T346" s="131"/>
      <c r="U346" s="130"/>
      <c r="V346" s="131"/>
      <c r="W346" s="130"/>
      <c r="X346" s="131"/>
      <c r="Y346" s="130"/>
      <c r="Z346" s="131"/>
      <c r="AA346" s="130"/>
    </row>
    <row r="347" spans="1:27" x14ac:dyDescent="0.25">
      <c r="A347" s="538"/>
      <c r="B347" s="585" t="str">
        <f>IF(A347&lt;&gt;"",INDEX('Base de données'!A$4:L$990,MATCH(A347,'Base de données'!A$4:A$990,0),2),"")</f>
        <v/>
      </c>
      <c r="C347" s="585" t="str">
        <f>IF(A347&lt;&gt;"",INDEX('Base de données'!A$4:L$990,MATCH(A347,'Base de données'!A$4:A$990,0),12),"")</f>
        <v/>
      </c>
      <c r="D347" s="583"/>
      <c r="E347" s="130"/>
      <c r="F347" s="131"/>
      <c r="G347" s="130"/>
      <c r="H347" s="131"/>
      <c r="I347" s="130"/>
      <c r="J347" s="131"/>
      <c r="K347" s="130"/>
      <c r="L347" s="131"/>
      <c r="M347" s="130"/>
      <c r="N347" s="131"/>
      <c r="O347" s="130"/>
      <c r="P347" s="131"/>
      <c r="Q347" s="130"/>
      <c r="R347" s="131"/>
      <c r="S347" s="130"/>
      <c r="T347" s="131"/>
      <c r="U347" s="130"/>
      <c r="V347" s="131"/>
      <c r="W347" s="130"/>
      <c r="X347" s="131"/>
      <c r="Y347" s="130"/>
      <c r="Z347" s="131"/>
      <c r="AA347" s="130"/>
    </row>
    <row r="348" spans="1:27" x14ac:dyDescent="0.25">
      <c r="A348" s="538"/>
      <c r="B348" s="585" t="str">
        <f>IF(A348&lt;&gt;"",INDEX('Base de données'!A$4:L$990,MATCH(A348,'Base de données'!A$4:A$990,0),2),"")</f>
        <v/>
      </c>
      <c r="C348" s="585" t="str">
        <f>IF(A348&lt;&gt;"",INDEX('Base de données'!A$4:L$990,MATCH(A348,'Base de données'!A$4:A$990,0),12),"")</f>
        <v/>
      </c>
      <c r="D348" s="583"/>
      <c r="E348" s="130"/>
      <c r="F348" s="131"/>
      <c r="G348" s="130"/>
      <c r="H348" s="131"/>
      <c r="I348" s="130"/>
      <c r="J348" s="131"/>
      <c r="K348" s="130"/>
      <c r="L348" s="131"/>
      <c r="M348" s="130"/>
      <c r="N348" s="131"/>
      <c r="O348" s="130"/>
      <c r="P348" s="131"/>
      <c r="Q348" s="130"/>
      <c r="R348" s="131"/>
      <c r="S348" s="130"/>
      <c r="T348" s="131"/>
      <c r="U348" s="130"/>
      <c r="V348" s="131"/>
      <c r="W348" s="130"/>
      <c r="X348" s="131"/>
      <c r="Y348" s="130"/>
      <c r="Z348" s="131"/>
      <c r="AA348" s="130"/>
    </row>
    <row r="349" spans="1:27" x14ac:dyDescent="0.25">
      <c r="A349" s="538"/>
      <c r="B349" s="585" t="str">
        <f>IF(A349&lt;&gt;"",INDEX('Base de données'!A$4:L$990,MATCH(A349,'Base de données'!A$4:A$990,0),2),"")</f>
        <v/>
      </c>
      <c r="C349" s="585" t="str">
        <f>IF(A349&lt;&gt;"",INDEX('Base de données'!A$4:L$990,MATCH(A349,'Base de données'!A$4:A$990,0),12),"")</f>
        <v/>
      </c>
      <c r="D349" s="583"/>
      <c r="E349" s="130"/>
      <c r="F349" s="131"/>
      <c r="G349" s="130"/>
      <c r="H349" s="131"/>
      <c r="I349" s="130"/>
      <c r="J349" s="131"/>
      <c r="K349" s="130"/>
      <c r="L349" s="131"/>
      <c r="M349" s="130"/>
      <c r="N349" s="131"/>
      <c r="O349" s="130"/>
      <c r="P349" s="131"/>
      <c r="Q349" s="130"/>
      <c r="R349" s="131"/>
      <c r="S349" s="130"/>
      <c r="T349" s="131"/>
      <c r="U349" s="130"/>
      <c r="V349" s="131"/>
      <c r="W349" s="130"/>
      <c r="X349" s="131"/>
      <c r="Y349" s="130"/>
      <c r="Z349" s="131"/>
      <c r="AA349" s="130"/>
    </row>
    <row r="350" spans="1:27" x14ac:dyDescent="0.25">
      <c r="A350" s="538"/>
      <c r="B350" s="585" t="str">
        <f>IF(A350&lt;&gt;"",INDEX('Base de données'!A$4:L$990,MATCH(A350,'Base de données'!A$4:A$990,0),2),"")</f>
        <v/>
      </c>
      <c r="C350" s="585" t="str">
        <f>IF(A350&lt;&gt;"",INDEX('Base de données'!A$4:L$990,MATCH(A350,'Base de données'!A$4:A$990,0),12),"")</f>
        <v/>
      </c>
      <c r="D350" s="583"/>
      <c r="E350" s="130"/>
      <c r="F350" s="131"/>
      <c r="G350" s="130"/>
      <c r="H350" s="131"/>
      <c r="I350" s="130"/>
      <c r="J350" s="131"/>
      <c r="K350" s="130"/>
      <c r="L350" s="131"/>
      <c r="M350" s="130"/>
      <c r="N350" s="131"/>
      <c r="O350" s="130"/>
      <c r="P350" s="131"/>
      <c r="Q350" s="130"/>
      <c r="R350" s="131"/>
      <c r="S350" s="130"/>
      <c r="T350" s="131"/>
      <c r="U350" s="130"/>
      <c r="V350" s="131"/>
      <c r="W350" s="130"/>
      <c r="X350" s="131"/>
      <c r="Y350" s="130"/>
      <c r="Z350" s="131"/>
      <c r="AA350" s="130"/>
    </row>
    <row r="351" spans="1:27" x14ac:dyDescent="0.25">
      <c r="A351" s="538"/>
      <c r="B351" s="585" t="str">
        <f>IF(A351&lt;&gt;"",INDEX('Base de données'!A$4:L$990,MATCH(A351,'Base de données'!A$4:A$990,0),2),"")</f>
        <v/>
      </c>
      <c r="C351" s="585" t="str">
        <f>IF(A351&lt;&gt;"",INDEX('Base de données'!A$4:L$990,MATCH(A351,'Base de données'!A$4:A$990,0),12),"")</f>
        <v/>
      </c>
      <c r="D351" s="583"/>
      <c r="E351" s="130"/>
      <c r="F351" s="131"/>
      <c r="G351" s="130"/>
      <c r="H351" s="131"/>
      <c r="I351" s="130"/>
      <c r="J351" s="131"/>
      <c r="K351" s="130"/>
      <c r="L351" s="131"/>
      <c r="M351" s="130"/>
      <c r="N351" s="131"/>
      <c r="O351" s="130"/>
      <c r="P351" s="131"/>
      <c r="Q351" s="130"/>
      <c r="R351" s="131"/>
      <c r="S351" s="130"/>
      <c r="T351" s="131"/>
      <c r="U351" s="130"/>
      <c r="V351" s="131"/>
      <c r="W351" s="130"/>
      <c r="X351" s="131"/>
      <c r="Y351" s="130"/>
      <c r="Z351" s="131"/>
      <c r="AA351" s="130"/>
    </row>
    <row r="352" spans="1:27" x14ac:dyDescent="0.25">
      <c r="A352" s="538"/>
      <c r="B352" s="585" t="str">
        <f>IF(A352&lt;&gt;"",INDEX('Base de données'!A$4:L$990,MATCH(A352,'Base de données'!A$4:A$990,0),2),"")</f>
        <v/>
      </c>
      <c r="C352" s="585" t="str">
        <f>IF(A352&lt;&gt;"",INDEX('Base de données'!A$4:L$990,MATCH(A352,'Base de données'!A$4:A$990,0),12),"")</f>
        <v/>
      </c>
      <c r="D352" s="583"/>
      <c r="E352" s="130"/>
      <c r="F352" s="131"/>
      <c r="G352" s="130"/>
      <c r="H352" s="131"/>
      <c r="I352" s="130"/>
      <c r="J352" s="131"/>
      <c r="K352" s="130"/>
      <c r="L352" s="131"/>
      <c r="M352" s="130"/>
      <c r="N352" s="131"/>
      <c r="O352" s="130"/>
      <c r="P352" s="131"/>
      <c r="Q352" s="130"/>
      <c r="R352" s="131"/>
      <c r="S352" s="130"/>
      <c r="T352" s="131"/>
      <c r="U352" s="130"/>
      <c r="V352" s="131"/>
      <c r="W352" s="130"/>
      <c r="X352" s="131"/>
      <c r="Y352" s="130"/>
      <c r="Z352" s="131"/>
      <c r="AA352" s="130"/>
    </row>
    <row r="353" spans="1:27" x14ac:dyDescent="0.25">
      <c r="A353" s="538"/>
      <c r="B353" s="585" t="str">
        <f>IF(A353&lt;&gt;"",INDEX('Base de données'!A$4:L$990,MATCH(A353,'Base de données'!A$4:A$990,0),2),"")</f>
        <v/>
      </c>
      <c r="C353" s="585" t="str">
        <f>IF(A353&lt;&gt;"",INDEX('Base de données'!A$4:L$990,MATCH(A353,'Base de données'!A$4:A$990,0),12),"")</f>
        <v/>
      </c>
      <c r="D353" s="583"/>
      <c r="E353" s="130"/>
      <c r="F353" s="131"/>
      <c r="G353" s="130"/>
      <c r="H353" s="131"/>
      <c r="I353" s="130"/>
      <c r="J353" s="131"/>
      <c r="K353" s="130"/>
      <c r="L353" s="131"/>
      <c r="M353" s="130"/>
      <c r="N353" s="131"/>
      <c r="O353" s="130"/>
      <c r="P353" s="131"/>
      <c r="Q353" s="130"/>
      <c r="R353" s="131"/>
      <c r="S353" s="130"/>
      <c r="T353" s="131"/>
      <c r="U353" s="130"/>
      <c r="V353" s="131"/>
      <c r="W353" s="130"/>
      <c r="X353" s="131"/>
      <c r="Y353" s="130"/>
      <c r="Z353" s="131"/>
      <c r="AA353" s="130"/>
    </row>
    <row r="354" spans="1:27" x14ac:dyDescent="0.25">
      <c r="A354" s="538"/>
      <c r="B354" s="585" t="str">
        <f>IF(A354&lt;&gt;"",INDEX('Base de données'!A$4:L$990,MATCH(A354,'Base de données'!A$4:A$990,0),2),"")</f>
        <v/>
      </c>
      <c r="C354" s="585" t="str">
        <f>IF(A354&lt;&gt;"",INDEX('Base de données'!A$4:L$990,MATCH(A354,'Base de données'!A$4:A$990,0),12),"")</f>
        <v/>
      </c>
      <c r="D354" s="583"/>
      <c r="E354" s="130"/>
      <c r="F354" s="131"/>
      <c r="G354" s="130"/>
      <c r="H354" s="131"/>
      <c r="I354" s="130"/>
      <c r="J354" s="131"/>
      <c r="K354" s="130"/>
      <c r="L354" s="131"/>
      <c r="M354" s="130"/>
      <c r="N354" s="131"/>
      <c r="O354" s="130"/>
      <c r="P354" s="131"/>
      <c r="Q354" s="130"/>
      <c r="R354" s="131"/>
      <c r="S354" s="130"/>
      <c r="T354" s="131"/>
      <c r="U354" s="130"/>
      <c r="V354" s="131"/>
      <c r="W354" s="130"/>
      <c r="X354" s="131"/>
      <c r="Y354" s="130"/>
      <c r="Z354" s="131"/>
      <c r="AA354" s="130"/>
    </row>
    <row r="355" spans="1:27" x14ac:dyDescent="0.25">
      <c r="A355" s="538"/>
      <c r="B355" s="585" t="str">
        <f>IF(A355&lt;&gt;"",INDEX('Base de données'!A$4:L$990,MATCH(A355,'Base de données'!A$4:A$990,0),2),"")</f>
        <v/>
      </c>
      <c r="C355" s="585" t="str">
        <f>IF(A355&lt;&gt;"",INDEX('Base de données'!A$4:L$990,MATCH(A355,'Base de données'!A$4:A$990,0),12),"")</f>
        <v/>
      </c>
      <c r="D355" s="583"/>
      <c r="E355" s="130"/>
      <c r="F355" s="131"/>
      <c r="G355" s="130"/>
      <c r="H355" s="131"/>
      <c r="I355" s="130"/>
      <c r="J355" s="131"/>
      <c r="K355" s="130"/>
      <c r="L355" s="131"/>
      <c r="M355" s="130"/>
      <c r="N355" s="131"/>
      <c r="O355" s="130"/>
      <c r="P355" s="131"/>
      <c r="Q355" s="130"/>
      <c r="R355" s="131"/>
      <c r="S355" s="130"/>
      <c r="T355" s="131"/>
      <c r="U355" s="130"/>
      <c r="V355" s="131"/>
      <c r="W355" s="130"/>
      <c r="X355" s="131"/>
      <c r="Y355" s="130"/>
      <c r="Z355" s="131"/>
      <c r="AA355" s="130"/>
    </row>
    <row r="356" spans="1:27" x14ac:dyDescent="0.25">
      <c r="A356" s="538"/>
      <c r="B356" s="585" t="str">
        <f>IF(A356&lt;&gt;"",INDEX('Base de données'!A$4:L$990,MATCH(A356,'Base de données'!A$4:A$990,0),2),"")</f>
        <v/>
      </c>
      <c r="C356" s="585" t="str">
        <f>IF(A356&lt;&gt;"",INDEX('Base de données'!A$4:L$990,MATCH(A356,'Base de données'!A$4:A$990,0),12),"")</f>
        <v/>
      </c>
      <c r="D356" s="583"/>
      <c r="E356" s="130"/>
      <c r="F356" s="131"/>
      <c r="G356" s="130"/>
      <c r="H356" s="131"/>
      <c r="I356" s="130"/>
      <c r="J356" s="131"/>
      <c r="K356" s="130"/>
      <c r="L356" s="131"/>
      <c r="M356" s="130"/>
      <c r="N356" s="131"/>
      <c r="O356" s="130"/>
      <c r="P356" s="131"/>
      <c r="Q356" s="130"/>
      <c r="R356" s="131"/>
      <c r="S356" s="130"/>
      <c r="T356" s="131"/>
      <c r="U356" s="130"/>
      <c r="V356" s="131"/>
      <c r="W356" s="130"/>
      <c r="X356" s="131"/>
      <c r="Y356" s="130"/>
      <c r="Z356" s="131"/>
      <c r="AA356" s="130"/>
    </row>
    <row r="357" spans="1:27" x14ac:dyDescent="0.25">
      <c r="A357" s="538"/>
      <c r="B357" s="585" t="str">
        <f>IF(A357&lt;&gt;"",INDEX('Base de données'!A$4:L$990,MATCH(A357,'Base de données'!A$4:A$990,0),2),"")</f>
        <v/>
      </c>
      <c r="C357" s="585" t="str">
        <f>IF(A357&lt;&gt;"",INDEX('Base de données'!A$4:L$990,MATCH(A357,'Base de données'!A$4:A$990,0),12),"")</f>
        <v/>
      </c>
      <c r="D357" s="583"/>
      <c r="E357" s="130"/>
      <c r="F357" s="131"/>
      <c r="G357" s="130"/>
      <c r="H357" s="131"/>
      <c r="I357" s="130"/>
      <c r="J357" s="131"/>
      <c r="K357" s="130"/>
      <c r="L357" s="131"/>
      <c r="M357" s="130"/>
      <c r="N357" s="131"/>
      <c r="O357" s="130"/>
      <c r="P357" s="131"/>
      <c r="Q357" s="130"/>
      <c r="R357" s="131"/>
      <c r="S357" s="130"/>
      <c r="T357" s="131"/>
      <c r="U357" s="130"/>
      <c r="V357" s="131"/>
      <c r="W357" s="130"/>
      <c r="X357" s="131"/>
      <c r="Y357" s="130"/>
      <c r="Z357" s="131"/>
      <c r="AA357" s="130"/>
    </row>
    <row r="358" spans="1:27" x14ac:dyDescent="0.25">
      <c r="A358" s="538"/>
      <c r="B358" s="585" t="str">
        <f>IF(A358&lt;&gt;"",INDEX('Base de données'!A$4:L$990,MATCH(A358,'Base de données'!A$4:A$990,0),2),"")</f>
        <v/>
      </c>
      <c r="C358" s="585" t="str">
        <f>IF(A358&lt;&gt;"",INDEX('Base de données'!A$4:L$990,MATCH(A358,'Base de données'!A$4:A$990,0),12),"")</f>
        <v/>
      </c>
      <c r="D358" s="583"/>
      <c r="E358" s="130"/>
      <c r="F358" s="131"/>
      <c r="G358" s="130"/>
      <c r="H358" s="131"/>
      <c r="I358" s="130"/>
      <c r="J358" s="131"/>
      <c r="K358" s="130"/>
      <c r="L358" s="131"/>
      <c r="M358" s="130"/>
      <c r="N358" s="131"/>
      <c r="O358" s="130"/>
      <c r="P358" s="131"/>
      <c r="Q358" s="130"/>
      <c r="R358" s="131"/>
      <c r="S358" s="130"/>
      <c r="T358" s="131"/>
      <c r="U358" s="130"/>
      <c r="V358" s="131"/>
      <c r="W358" s="130"/>
      <c r="X358" s="131"/>
      <c r="Y358" s="130"/>
      <c r="Z358" s="131"/>
      <c r="AA358" s="130"/>
    </row>
    <row r="359" spans="1:27" x14ac:dyDescent="0.25">
      <c r="A359" s="538"/>
      <c r="B359" s="585" t="str">
        <f>IF(A359&lt;&gt;"",INDEX('Base de données'!A$4:L$990,MATCH(A359,'Base de données'!A$4:A$990,0),2),"")</f>
        <v/>
      </c>
      <c r="C359" s="585" t="str">
        <f>IF(A359&lt;&gt;"",INDEX('Base de données'!A$4:L$990,MATCH(A359,'Base de données'!A$4:A$990,0),12),"")</f>
        <v/>
      </c>
      <c r="D359" s="583"/>
      <c r="E359" s="130"/>
      <c r="F359" s="131"/>
      <c r="G359" s="130"/>
      <c r="H359" s="131"/>
      <c r="I359" s="130"/>
      <c r="J359" s="131"/>
      <c r="K359" s="130"/>
      <c r="L359" s="131"/>
      <c r="M359" s="130"/>
      <c r="N359" s="131"/>
      <c r="O359" s="130"/>
      <c r="P359" s="131"/>
      <c r="Q359" s="130"/>
      <c r="R359" s="131"/>
      <c r="S359" s="130"/>
      <c r="T359" s="131"/>
      <c r="U359" s="130"/>
      <c r="V359" s="131"/>
      <c r="W359" s="130"/>
      <c r="X359" s="131"/>
      <c r="Y359" s="130"/>
      <c r="Z359" s="131"/>
      <c r="AA359" s="130"/>
    </row>
    <row r="360" spans="1:27" x14ac:dyDescent="0.25">
      <c r="A360" s="538"/>
      <c r="B360" s="585" t="str">
        <f>IF(A360&lt;&gt;"",INDEX('Base de données'!A$4:L$990,MATCH(A360,'Base de données'!A$4:A$990,0),2),"")</f>
        <v/>
      </c>
      <c r="C360" s="585" t="str">
        <f>IF(A360&lt;&gt;"",INDEX('Base de données'!A$4:L$990,MATCH(A360,'Base de données'!A$4:A$990,0),12),"")</f>
        <v/>
      </c>
      <c r="D360" s="583"/>
      <c r="E360" s="130"/>
      <c r="F360" s="131"/>
      <c r="G360" s="130"/>
      <c r="H360" s="131"/>
      <c r="I360" s="130"/>
      <c r="J360" s="131"/>
      <c r="K360" s="130"/>
      <c r="L360" s="131"/>
      <c r="M360" s="130"/>
      <c r="N360" s="131"/>
      <c r="O360" s="130"/>
      <c r="P360" s="131"/>
      <c r="Q360" s="130"/>
      <c r="R360" s="131"/>
      <c r="S360" s="130"/>
      <c r="T360" s="131"/>
      <c r="U360" s="130"/>
      <c r="V360" s="131"/>
      <c r="W360" s="130"/>
      <c r="X360" s="131"/>
      <c r="Y360" s="130"/>
      <c r="Z360" s="131"/>
      <c r="AA360" s="130"/>
    </row>
    <row r="361" spans="1:27" x14ac:dyDescent="0.25">
      <c r="A361" s="538"/>
      <c r="B361" s="585" t="str">
        <f>IF(A361&lt;&gt;"",INDEX('Base de données'!A$4:L$990,MATCH(A361,'Base de données'!A$4:A$990,0),2),"")</f>
        <v/>
      </c>
      <c r="C361" s="585" t="str">
        <f>IF(A361&lt;&gt;"",INDEX('Base de données'!A$4:L$990,MATCH(A361,'Base de données'!A$4:A$990,0),12),"")</f>
        <v/>
      </c>
      <c r="D361" s="584"/>
      <c r="E361" s="133"/>
      <c r="F361" s="131"/>
      <c r="G361" s="130"/>
      <c r="H361" s="131"/>
      <c r="I361" s="130"/>
      <c r="J361" s="131"/>
      <c r="K361" s="130"/>
      <c r="L361" s="131"/>
      <c r="M361" s="130"/>
      <c r="N361" s="131"/>
      <c r="O361" s="130"/>
      <c r="P361" s="131"/>
      <c r="Q361" s="130"/>
      <c r="R361" s="131"/>
      <c r="S361" s="130"/>
      <c r="T361" s="131"/>
      <c r="U361" s="130"/>
      <c r="V361" s="131"/>
      <c r="W361" s="130"/>
      <c r="X361" s="131"/>
      <c r="Y361" s="130"/>
      <c r="Z361" s="131"/>
      <c r="AA361" s="130"/>
    </row>
    <row r="362" spans="1:27" x14ac:dyDescent="0.25">
      <c r="B362" s="87" t="str">
        <f>IF(A362&lt;&gt;"",INDEX('Base de données'!A$4:L$990,MATCH(' TVA M'!A362,'Base de données'!A$4:A$990,0),2),"")</f>
        <v/>
      </c>
      <c r="C362" s="87" t="str">
        <f>IF(A362&lt;&gt;"",INDEX('Base de données'!A$4:L$990,MATCH(' TVA M'!A362,'Base de données'!A$4:A$990,0),12),"")</f>
        <v/>
      </c>
    </row>
    <row r="363" spans="1:27" x14ac:dyDescent="0.25">
      <c r="B363" s="87" t="str">
        <f>IF(A363&lt;&gt;"",INDEX('Base de données'!A$4:L$990,MATCH(' TVA M'!A363,'Base de données'!A$4:A$990,0),2),"")</f>
        <v/>
      </c>
      <c r="C363" s="87" t="str">
        <f>IF(A363&lt;&gt;"",INDEX('Base de données'!A$4:L$990,MATCH(' TVA M'!A363,'Base de données'!A$4:A$990,0),12),"")</f>
        <v/>
      </c>
    </row>
    <row r="364" spans="1:27" x14ac:dyDescent="0.25">
      <c r="B364" s="87" t="str">
        <f>IF(A364&lt;&gt;"",INDEX('Base de données'!A$4:L$990,MATCH(' TVA M'!A364,'Base de données'!A$4:A$990,0),2),"")</f>
        <v/>
      </c>
      <c r="C364" s="87" t="str">
        <f>IF(A364&lt;&gt;"",INDEX('Base de données'!A$4:L$990,MATCH(' TVA M'!A364,'Base de données'!A$4:A$990,0),12),"")</f>
        <v/>
      </c>
    </row>
    <row r="365" spans="1:27" x14ac:dyDescent="0.25">
      <c r="B365" s="87" t="str">
        <f>IF(A365&lt;&gt;"",INDEX('Base de données'!A$4:L$990,MATCH(' TVA M'!A365,'Base de données'!A$4:A$990,0),2),"")</f>
        <v/>
      </c>
      <c r="C365" s="87" t="str">
        <f>IF(A365&lt;&gt;"",INDEX('Base de données'!A$4:L$990,MATCH(' TVA M'!A365,'Base de données'!A$4:A$990,0),12),"")</f>
        <v/>
      </c>
      <c r="D365" s="123"/>
      <c r="E365" s="123"/>
      <c r="F365" s="124"/>
      <c r="G365" s="123"/>
      <c r="H365" s="123"/>
      <c r="I365" s="123"/>
      <c r="J365" s="123"/>
      <c r="K365" s="123"/>
      <c r="L365" s="125"/>
    </row>
    <row r="366" spans="1:27" x14ac:dyDescent="0.25">
      <c r="B366" s="87" t="str">
        <f>IF(A366&lt;&gt;"",INDEX('Base de données'!A$4:L$990,MATCH(' TVA M'!A366,'Base de données'!A$4:A$990,0),2),"")</f>
        <v/>
      </c>
      <c r="C366" s="87" t="str">
        <f>IF(A366&lt;&gt;"",INDEX('Base de données'!A$4:L$990,MATCH(' TVA M'!A366,'Base de données'!A$4:A$990,0),12),"")</f>
        <v/>
      </c>
    </row>
    <row r="367" spans="1:27" x14ac:dyDescent="0.25">
      <c r="B367" s="87" t="str">
        <f>IF(A367&lt;&gt;"",INDEX('Base de données'!A$4:L$990,MATCH(' TVA M'!A367,'Base de données'!A$4:A$990,0),2),"")</f>
        <v/>
      </c>
      <c r="C367" s="87" t="str">
        <f>IF(A367&lt;&gt;"",INDEX('Base de données'!A$4:L$990,MATCH(' TVA M'!A367,'Base de données'!A$4:A$990,0),12),"")</f>
        <v/>
      </c>
    </row>
    <row r="368" spans="1:27" x14ac:dyDescent="0.25">
      <c r="B368" s="87" t="str">
        <f>IF(A368&lt;&gt;"",INDEX('Base de données'!A$4:L$990,MATCH(' TVA M'!A368,'Base de données'!A$4:A$990,0),2),"")</f>
        <v/>
      </c>
      <c r="C368" s="87" t="str">
        <f>IF(A368&lt;&gt;"",INDEX('Base de données'!A$4:L$990,MATCH(' TVA M'!A368,'Base de données'!A$4:A$990,0),12),"")</f>
        <v/>
      </c>
    </row>
    <row r="369" spans="2:3" x14ac:dyDescent="0.25">
      <c r="B369" s="87" t="str">
        <f>IF(A369&lt;&gt;"",INDEX('Base de données'!A$4:L$990,MATCH(' TVA M'!A369,'Base de données'!A$4:A$990,0),2),"")</f>
        <v/>
      </c>
      <c r="C369" s="87" t="str">
        <f>IF(A369&lt;&gt;"",INDEX('Base de données'!A$4:L$990,MATCH(' TVA M'!A369,'Base de données'!A$4:A$990,0),12),"")</f>
        <v/>
      </c>
    </row>
    <row r="370" spans="2:3" x14ac:dyDescent="0.25">
      <c r="B370" s="87" t="str">
        <f>IF(A370&lt;&gt;"",INDEX('Base de données'!A$4:L$990,MATCH(' TVA M'!A370,'Base de données'!A$4:A$990,0),2),"")</f>
        <v/>
      </c>
      <c r="C370" s="87" t="str">
        <f>IF(A370&lt;&gt;"",INDEX('Base de données'!A$4:L$990,MATCH(' TVA M'!A370,'Base de données'!A$4:A$990,0),12),"")</f>
        <v/>
      </c>
    </row>
    <row r="371" spans="2:3" x14ac:dyDescent="0.25">
      <c r="B371" s="87" t="str">
        <f>IF(A371&lt;&gt;"",INDEX('Base de données'!A$4:L$990,MATCH(' TVA M'!A371,'Base de données'!A$4:A$990,0),2),"")</f>
        <v/>
      </c>
      <c r="C371" s="87" t="str">
        <f>IF(A371&lt;&gt;"",INDEX('Base de données'!A$4:L$990,MATCH(' TVA M'!A371,'Base de données'!A$4:A$990,0),12),"")</f>
        <v/>
      </c>
    </row>
    <row r="372" spans="2:3" x14ac:dyDescent="0.25">
      <c r="B372" s="87" t="str">
        <f>IF(A372&lt;&gt;"",INDEX('Base de données'!A$4:L$990,MATCH(' TVA M'!A372,'Base de données'!A$4:A$990,0),2),"")</f>
        <v/>
      </c>
      <c r="C372" s="87" t="str">
        <f>IF(A372&lt;&gt;"",INDEX('Base de données'!A$4:L$990,MATCH(' TVA M'!A372,'Base de données'!A$4:A$990,0),12),"")</f>
        <v/>
      </c>
    </row>
    <row r="373" spans="2:3" x14ac:dyDescent="0.25">
      <c r="B373" s="87" t="str">
        <f>IF(A373&lt;&gt;"",INDEX('Base de données'!A$4:L$990,MATCH(' TVA M'!A373,'Base de données'!A$4:A$990,0),2),"")</f>
        <v/>
      </c>
      <c r="C373" s="87" t="str">
        <f>IF(A373&lt;&gt;"",INDEX('Base de données'!A$4:L$990,MATCH(' TVA M'!A373,'Base de données'!A$4:A$990,0),12),"")</f>
        <v/>
      </c>
    </row>
    <row r="374" spans="2:3" x14ac:dyDescent="0.25">
      <c r="B374" s="87" t="str">
        <f>IF(A374&lt;&gt;"",INDEX('Base de données'!A$4:L$990,MATCH(' TVA M'!A374,'Base de données'!A$4:A$990,0),2),"")</f>
        <v/>
      </c>
      <c r="C374" s="87" t="str">
        <f>IF(A374&lt;&gt;"",INDEX('Base de données'!A$4:L$990,MATCH(' TVA M'!A374,'Base de données'!A$4:A$990,0),12),"")</f>
        <v/>
      </c>
    </row>
    <row r="375" spans="2:3" x14ac:dyDescent="0.25">
      <c r="B375" s="87" t="str">
        <f>IF(A375&lt;&gt;"",INDEX('Base de données'!A$4:L$990,MATCH(' TVA M'!A375,'Base de données'!A$4:A$990,0),2),"")</f>
        <v/>
      </c>
      <c r="C375" s="87" t="str">
        <f>IF(A375&lt;&gt;"",INDEX('Base de données'!A$4:L$990,MATCH(' TVA M'!A375,'Base de données'!A$4:A$990,0),12),"")</f>
        <v/>
      </c>
    </row>
    <row r="376" spans="2:3" x14ac:dyDescent="0.25">
      <c r="B376" s="87" t="str">
        <f>IF(A376&lt;&gt;"",INDEX('Base de données'!A$4:L$990,MATCH(' TVA M'!A376,'Base de données'!A$4:A$990,0),2),"")</f>
        <v/>
      </c>
      <c r="C376" s="87" t="str">
        <f>IF(A376&lt;&gt;"",INDEX('Base de données'!A$4:L$990,MATCH(' TVA M'!A376,'Base de données'!A$4:A$990,0),12),"")</f>
        <v/>
      </c>
    </row>
    <row r="377" spans="2:3" x14ac:dyDescent="0.25">
      <c r="B377" s="87" t="str">
        <f>IF(A377&lt;&gt;"",INDEX('Base de données'!A$4:L$990,MATCH(' TVA M'!A377,'Base de données'!A$4:A$990,0),2),"")</f>
        <v/>
      </c>
      <c r="C377" s="87" t="str">
        <f>IF(A377&lt;&gt;"",INDEX('Base de données'!A$4:L$990,MATCH(' TVA M'!A377,'Base de données'!A$4:A$990,0),12),"")</f>
        <v/>
      </c>
    </row>
    <row r="378" spans="2:3" x14ac:dyDescent="0.25">
      <c r="B378" s="87" t="str">
        <f>IF(A378&lt;&gt;"",INDEX('Base de données'!A$4:L$990,MATCH(' TVA M'!A378,'Base de données'!A$4:A$990,0),2),"")</f>
        <v/>
      </c>
      <c r="C378" s="87" t="str">
        <f>IF(A378&lt;&gt;"",INDEX('Base de données'!A$4:L$990,MATCH(' TVA M'!A378,'Base de données'!A$4:A$990,0),12),"")</f>
        <v/>
      </c>
    </row>
    <row r="379" spans="2:3" x14ac:dyDescent="0.25">
      <c r="B379" s="87" t="str">
        <f>IF(A379&lt;&gt;"",INDEX('Base de données'!A$4:L$990,MATCH(' TVA M'!A379,'Base de données'!A$4:A$990,0),2),"")</f>
        <v/>
      </c>
      <c r="C379" s="87" t="str">
        <f>IF(A379&lt;&gt;"",INDEX('Base de données'!A$4:L$990,MATCH(' TVA M'!A379,'Base de données'!A$4:A$990,0),12),"")</f>
        <v/>
      </c>
    </row>
    <row r="380" spans="2:3" x14ac:dyDescent="0.25">
      <c r="B380" s="87" t="str">
        <f>IF(A380&lt;&gt;"",INDEX('Base de données'!A$4:L$990,MATCH(' TVA M'!A380,'Base de données'!A$4:A$990,0),2),"")</f>
        <v/>
      </c>
      <c r="C380" s="87" t="str">
        <f>IF(A380&lt;&gt;"",INDEX('Base de données'!A$4:L$990,MATCH(' TVA M'!A380,'Base de données'!A$4:A$990,0),12),"")</f>
        <v/>
      </c>
    </row>
    <row r="381" spans="2:3" x14ac:dyDescent="0.25">
      <c r="B381" s="87" t="str">
        <f>IF(A381&lt;&gt;"",INDEX('Base de données'!A$4:L$990,MATCH(' TVA M'!A381,'Base de données'!A$4:A$990,0),2),"")</f>
        <v/>
      </c>
      <c r="C381" s="87" t="str">
        <f>IF(A381&lt;&gt;"",INDEX('Base de données'!A$4:L$990,MATCH(' TVA M'!A381,'Base de données'!A$4:A$990,0),12),"")</f>
        <v/>
      </c>
    </row>
    <row r="382" spans="2:3" x14ac:dyDescent="0.25">
      <c r="B382" s="87" t="str">
        <f>IF(A382&lt;&gt;"",INDEX('Base de données'!A$4:L$990,MATCH(' TVA M'!A382,'Base de données'!A$4:A$990,0),2),"")</f>
        <v/>
      </c>
      <c r="C382" s="87" t="str">
        <f>IF(A382&lt;&gt;"",INDEX('Base de données'!A$4:L$990,MATCH(' TVA M'!A382,'Base de données'!A$4:A$990,0),12),"")</f>
        <v/>
      </c>
    </row>
    <row r="383" spans="2:3" x14ac:dyDescent="0.25">
      <c r="B383" s="87" t="str">
        <f>IF(A383&lt;&gt;"",INDEX('Base de données'!A$4:L$990,MATCH(' TVA M'!A383,'Base de données'!A$4:A$990,0),2),"")</f>
        <v/>
      </c>
      <c r="C383" s="87" t="str">
        <f>IF(A383&lt;&gt;"",INDEX('Base de données'!A$4:L$990,MATCH(' TVA M'!A383,'Base de données'!A$4:A$990,0),12),"")</f>
        <v/>
      </c>
    </row>
    <row r="384" spans="2:3" x14ac:dyDescent="0.25">
      <c r="B384" s="87" t="str">
        <f>IF(A384&lt;&gt;"",INDEX('Base de données'!A$4:L$990,MATCH(' TVA M'!A384,'Base de données'!A$4:A$990,0),2),"")</f>
        <v/>
      </c>
      <c r="C384" s="87" t="str">
        <f>IF(A384&lt;&gt;"",INDEX('Base de données'!A$4:L$990,MATCH(' TVA M'!A384,'Base de données'!A$4:A$990,0),12),"")</f>
        <v/>
      </c>
    </row>
    <row r="385" spans="2:3" x14ac:dyDescent="0.25">
      <c r="B385" s="87" t="str">
        <f>IF(A385&lt;&gt;"",INDEX('Base de données'!A$4:L$990,MATCH(' TVA M'!A385,'Base de données'!A$4:A$990,0),2),"")</f>
        <v/>
      </c>
      <c r="C385" s="87" t="str">
        <f>IF(A385&lt;&gt;"",INDEX('Base de données'!A$4:L$990,MATCH(' TVA M'!A385,'Base de données'!A$4:A$990,0),12),"")</f>
        <v/>
      </c>
    </row>
    <row r="386" spans="2:3" x14ac:dyDescent="0.25">
      <c r="B386" s="87" t="str">
        <f>IF(A386&lt;&gt;"",INDEX('Base de données'!A$4:L$990,MATCH(' TVA M'!A386,'Base de données'!A$4:A$990,0),2),"")</f>
        <v/>
      </c>
      <c r="C386" s="87" t="str">
        <f>IF(A386&lt;&gt;"",INDEX('Base de données'!A$4:L$990,MATCH(' TVA M'!A386,'Base de données'!A$4:A$990,0),12),"")</f>
        <v/>
      </c>
    </row>
    <row r="387" spans="2:3" x14ac:dyDescent="0.25">
      <c r="B387" s="87" t="str">
        <f>IF(A387&lt;&gt;"",INDEX('Base de données'!A$4:L$990,MATCH(' TVA M'!A387,'Base de données'!A$4:A$990,0),2),"")</f>
        <v/>
      </c>
      <c r="C387" s="87" t="str">
        <f>IF(A387&lt;&gt;"",INDEX('Base de données'!A$4:L$990,MATCH(' TVA M'!A387,'Base de données'!A$4:A$990,0),12),"")</f>
        <v/>
      </c>
    </row>
    <row r="388" spans="2:3" x14ac:dyDescent="0.25">
      <c r="B388" s="87" t="str">
        <f>IF(A388&lt;&gt;"",INDEX('Base de données'!A$4:L$990,MATCH(' TVA M'!A388,'Base de données'!A$4:A$990,0),2),"")</f>
        <v/>
      </c>
      <c r="C388" s="87" t="str">
        <f>IF(A388&lt;&gt;"",INDEX('Base de données'!A$4:L$990,MATCH(' TVA M'!A388,'Base de données'!A$4:A$990,0),12),"")</f>
        <v/>
      </c>
    </row>
    <row r="389" spans="2:3" x14ac:dyDescent="0.25">
      <c r="B389" s="87" t="str">
        <f>IF(A389&lt;&gt;"",INDEX('Base de données'!A$4:L$990,MATCH(' TVA M'!A389,'Base de données'!A$4:A$990,0),2),"")</f>
        <v/>
      </c>
      <c r="C389" s="87" t="str">
        <f>IF(A389&lt;&gt;"",INDEX('Base de données'!A$4:L$990,MATCH(' TVA M'!A389,'Base de données'!A$4:A$990,0),12),"")</f>
        <v/>
      </c>
    </row>
    <row r="390" spans="2:3" x14ac:dyDescent="0.25">
      <c r="B390" s="87" t="str">
        <f>IF(A390&lt;&gt;"",INDEX('Base de données'!A$4:L$990,MATCH(' TVA M'!A390,'Base de données'!A$4:A$990,0),2),"")</f>
        <v/>
      </c>
      <c r="C390" s="87" t="str">
        <f>IF(A390&lt;&gt;"",INDEX('Base de données'!A$4:L$990,MATCH(' TVA M'!A390,'Base de données'!A$4:A$990,0),12),"")</f>
        <v/>
      </c>
    </row>
    <row r="391" spans="2:3" x14ac:dyDescent="0.25">
      <c r="B391" s="87" t="str">
        <f>IF(A391&lt;&gt;"",INDEX('Base de données'!A$4:L$990,MATCH(' TVA M'!A391,'Base de données'!A$4:A$990,0),2),"")</f>
        <v/>
      </c>
      <c r="C391" s="87" t="str">
        <f>IF(A391&lt;&gt;"",INDEX('Base de données'!A$4:L$990,MATCH(' TVA M'!A391,'Base de données'!A$4:A$990,0),12),"")</f>
        <v/>
      </c>
    </row>
    <row r="392" spans="2:3" x14ac:dyDescent="0.25">
      <c r="B392" s="87" t="str">
        <f>IF(A392&lt;&gt;"",INDEX('Base de données'!A$4:L$990,MATCH(' TVA M'!A392,'Base de données'!A$4:A$990,0),2),"")</f>
        <v/>
      </c>
      <c r="C392" s="87" t="str">
        <f>IF(A392&lt;&gt;"",INDEX('Base de données'!A$4:L$990,MATCH(' TVA M'!A392,'Base de données'!A$4:A$990,0),12),"")</f>
        <v/>
      </c>
    </row>
    <row r="393" spans="2:3" x14ac:dyDescent="0.25">
      <c r="B393" s="87" t="str">
        <f>IF(A393&lt;&gt;"",INDEX('Base de données'!A$4:L$990,MATCH(' TVA M'!A393,'Base de données'!A$4:A$990,0),2),"")</f>
        <v/>
      </c>
      <c r="C393" s="87" t="str">
        <f>IF(A393&lt;&gt;"",INDEX('Base de données'!A$4:L$990,MATCH(' TVA M'!A393,'Base de données'!A$4:A$990,0),12),"")</f>
        <v/>
      </c>
    </row>
    <row r="394" spans="2:3" x14ac:dyDescent="0.25">
      <c r="B394" s="87" t="str">
        <f>IF(A394&lt;&gt;"",INDEX('Base de données'!A$4:L$990,MATCH(' TVA M'!A394,'Base de données'!A$4:A$990,0),2),"")</f>
        <v/>
      </c>
      <c r="C394" s="87" t="str">
        <f>IF(A394&lt;&gt;"",INDEX('Base de données'!A$4:L$990,MATCH(' TVA M'!A394,'Base de données'!A$4:A$990,0),12),"")</f>
        <v/>
      </c>
    </row>
    <row r="395" spans="2:3" x14ac:dyDescent="0.25">
      <c r="B395" s="87" t="str">
        <f>IF(A395&lt;&gt;"",INDEX('Base de données'!A$4:L$990,MATCH(' TVA M'!A395,'Base de données'!A$4:A$990,0),2),"")</f>
        <v/>
      </c>
      <c r="C395" s="87" t="str">
        <f>IF(A395&lt;&gt;"",INDEX('Base de données'!A$4:L$990,MATCH(' TVA M'!A395,'Base de données'!A$4:A$990,0),12),"")</f>
        <v/>
      </c>
    </row>
    <row r="396" spans="2:3" x14ac:dyDescent="0.25">
      <c r="B396" s="87" t="str">
        <f>IF(A396&lt;&gt;"",INDEX('Base de données'!A$4:L$990,MATCH(' TVA M'!A396,'Base de données'!A$4:A$990,0),2),"")</f>
        <v/>
      </c>
      <c r="C396" s="87" t="str">
        <f>IF(A396&lt;&gt;"",INDEX('Base de données'!A$4:L$990,MATCH(' TVA M'!A396,'Base de données'!A$4:A$990,0),12),"")</f>
        <v/>
      </c>
    </row>
    <row r="397" spans="2:3" x14ac:dyDescent="0.25">
      <c r="B397" s="87" t="str">
        <f>IF(A397&lt;&gt;"",INDEX('Base de données'!A$4:L$990,MATCH(' TVA M'!A397,'Base de données'!A$4:A$990,0),2),"")</f>
        <v/>
      </c>
      <c r="C397" s="87" t="str">
        <f>IF(A397&lt;&gt;"",INDEX('Base de données'!A$4:L$990,MATCH(' TVA M'!A397,'Base de données'!A$4:A$990,0),12),"")</f>
        <v/>
      </c>
    </row>
    <row r="398" spans="2:3" x14ac:dyDescent="0.25">
      <c r="B398" s="87" t="str">
        <f>IF(A398&lt;&gt;"",INDEX('Base de données'!A$4:L$990,MATCH(' TVA M'!A398,'Base de données'!A$4:A$990,0),2),"")</f>
        <v/>
      </c>
      <c r="C398" s="87" t="str">
        <f>IF(A398&lt;&gt;"",INDEX('Base de données'!A$4:L$990,MATCH(' TVA M'!A398,'Base de données'!A$4:A$990,0),12),"")</f>
        <v/>
      </c>
    </row>
    <row r="399" spans="2:3" x14ac:dyDescent="0.25">
      <c r="B399" s="87" t="str">
        <f>IF(A399&lt;&gt;"",INDEX('Base de données'!A$4:L$990,MATCH(' TVA M'!A399,'Base de données'!A$4:A$990,0),2),"")</f>
        <v/>
      </c>
      <c r="C399" s="87" t="str">
        <f>IF(A399&lt;&gt;"",INDEX('Base de données'!A$4:L$990,MATCH(' TVA M'!A399,'Base de données'!A$4:A$990,0),12),"")</f>
        <v/>
      </c>
    </row>
    <row r="400" spans="2:3" x14ac:dyDescent="0.25">
      <c r="B400" s="87" t="str">
        <f>IF(A400&lt;&gt;"",INDEX('Base de données'!A$4:L$990,MATCH(' TVA M'!A400,'Base de données'!A$4:A$990,0),2),"")</f>
        <v/>
      </c>
      <c r="C400" s="87" t="str">
        <f>IF(A400&lt;&gt;"",INDEX('Base de données'!A$4:L$990,MATCH(' TVA M'!A400,'Base de données'!A$4:A$990,0),12),"")</f>
        <v/>
      </c>
    </row>
    <row r="401" spans="2:3" x14ac:dyDescent="0.25">
      <c r="B401" s="87" t="str">
        <f>IF(A401&lt;&gt;"",INDEX('Base de données'!A$4:L$990,MATCH(' TVA M'!A401,'Base de données'!A$4:A$990,0),2),"")</f>
        <v/>
      </c>
      <c r="C401" s="87" t="str">
        <f>IF(A401&lt;&gt;"",INDEX('Base de données'!A$4:L$990,MATCH(' TVA M'!A401,'Base de données'!A$4:A$990,0),12),"")</f>
        <v/>
      </c>
    </row>
    <row r="402" spans="2:3" x14ac:dyDescent="0.25">
      <c r="B402" s="87" t="str">
        <f>IF(A402&lt;&gt;"",INDEX('Base de données'!A$4:L$990,MATCH(' TVA M'!A402,'Base de données'!A$4:A$990,0),2),"")</f>
        <v/>
      </c>
      <c r="C402" s="87" t="str">
        <f>IF(A402&lt;&gt;"",INDEX('Base de données'!A$4:L$990,MATCH(' TVA M'!A402,'Base de données'!A$4:A$990,0),12),"")</f>
        <v/>
      </c>
    </row>
    <row r="403" spans="2:3" x14ac:dyDescent="0.25">
      <c r="B403" s="87" t="str">
        <f>IF(A403&lt;&gt;"",INDEX('Base de données'!A$4:L$990,MATCH(' TVA M'!A403,'Base de données'!A$4:A$990,0),2),"")</f>
        <v/>
      </c>
      <c r="C403" s="87" t="str">
        <f>IF(A403&lt;&gt;"",INDEX('Base de données'!A$4:L$990,MATCH(' TVA M'!A403,'Base de données'!A$4:A$990,0),12),"")</f>
        <v/>
      </c>
    </row>
    <row r="404" spans="2:3" x14ac:dyDescent="0.25">
      <c r="B404" s="87" t="str">
        <f>IF(A404&lt;&gt;"",INDEX('Base de données'!A$4:L$990,MATCH(' TVA M'!A404,'Base de données'!A$4:A$990,0),2),"")</f>
        <v/>
      </c>
      <c r="C404" s="87" t="str">
        <f>IF(A404&lt;&gt;"",INDEX('Base de données'!A$4:L$990,MATCH(' TVA M'!A404,'Base de données'!A$4:A$990,0),12),"")</f>
        <v/>
      </c>
    </row>
    <row r="405" spans="2:3" x14ac:dyDescent="0.25">
      <c r="B405" s="87" t="str">
        <f>IF(A405&lt;&gt;"",INDEX('Base de données'!A$4:L$990,MATCH(' TVA M'!A405,'Base de données'!A$4:A$990,0),2),"")</f>
        <v/>
      </c>
      <c r="C405" s="87" t="str">
        <f>IF(A405&lt;&gt;"",INDEX('Base de données'!A$4:L$990,MATCH(' TVA M'!A405,'Base de données'!A$4:A$990,0),12),"")</f>
        <v/>
      </c>
    </row>
    <row r="406" spans="2:3" x14ac:dyDescent="0.25">
      <c r="B406" s="87" t="str">
        <f>IF(A406&lt;&gt;"",INDEX('Base de données'!A$4:L$990,MATCH(' TVA M'!A406,'Base de données'!A$4:A$990,0),2),"")</f>
        <v/>
      </c>
      <c r="C406" s="87" t="str">
        <f>IF(A406&lt;&gt;"",INDEX('Base de données'!A$4:L$990,MATCH(' TVA M'!A406,'Base de données'!A$4:A$990,0),12),"")</f>
        <v/>
      </c>
    </row>
    <row r="407" spans="2:3" x14ac:dyDescent="0.25">
      <c r="B407" s="87" t="str">
        <f>IF(A407&lt;&gt;"",INDEX('Base de données'!A$4:L$990,MATCH(' TVA M'!A407,'Base de données'!A$4:A$990,0),2),"")</f>
        <v/>
      </c>
      <c r="C407" s="87" t="str">
        <f>IF(A407&lt;&gt;"",INDEX('Base de données'!A$4:L$990,MATCH(' TVA M'!A407,'Base de données'!A$4:A$990,0),12),"")</f>
        <v/>
      </c>
    </row>
    <row r="408" spans="2:3" x14ac:dyDescent="0.25">
      <c r="B408" s="87" t="str">
        <f>IF(A408&lt;&gt;"",INDEX('Base de données'!A$4:L$990,MATCH(' TVA M'!A408,'Base de données'!A$4:A$990,0),2),"")</f>
        <v/>
      </c>
      <c r="C408" s="87" t="str">
        <f>IF(A408&lt;&gt;"",INDEX('Base de données'!A$4:L$990,MATCH(' TVA M'!A408,'Base de données'!A$4:A$990,0),12),"")</f>
        <v/>
      </c>
    </row>
    <row r="409" spans="2:3" x14ac:dyDescent="0.25">
      <c r="B409" s="87" t="str">
        <f>IF(A409&lt;&gt;"",INDEX('Base de données'!A$4:L$990,MATCH(' TVA M'!A409,'Base de données'!A$4:A$990,0),2),"")</f>
        <v/>
      </c>
      <c r="C409" s="87" t="str">
        <f>IF(A409&lt;&gt;"",INDEX('Base de données'!A$4:L$990,MATCH(' TVA M'!A409,'Base de données'!A$4:A$990,0),12),"")</f>
        <v/>
      </c>
    </row>
    <row r="410" spans="2:3" x14ac:dyDescent="0.25">
      <c r="B410" s="87" t="str">
        <f>IF(A410&lt;&gt;"",INDEX('Base de données'!A$4:L$990,MATCH(' TVA M'!A410,'Base de données'!A$4:A$990,0),2),"")</f>
        <v/>
      </c>
      <c r="C410" s="87" t="str">
        <f>IF(A410&lt;&gt;"",INDEX('Base de données'!A$4:L$990,MATCH(' TVA M'!A410,'Base de données'!A$4:A$990,0),12),"")</f>
        <v/>
      </c>
    </row>
    <row r="411" spans="2:3" x14ac:dyDescent="0.25">
      <c r="B411" s="87" t="str">
        <f>IF(A411&lt;&gt;"",INDEX('Base de données'!A$4:L$990,MATCH(' TVA M'!A411,'Base de données'!A$4:A$990,0),2),"")</f>
        <v/>
      </c>
      <c r="C411" s="87" t="str">
        <f>IF(A411&lt;&gt;"",INDEX('Base de données'!A$4:L$990,MATCH(' TVA M'!A411,'Base de données'!A$4:A$990,0),12),"")</f>
        <v/>
      </c>
    </row>
    <row r="412" spans="2:3" x14ac:dyDescent="0.25">
      <c r="B412" s="87" t="str">
        <f>IF(A412&lt;&gt;"",INDEX('Base de données'!A$4:L$990,MATCH(' TVA M'!A412,'Base de données'!A$4:A$990,0),2),"")</f>
        <v/>
      </c>
      <c r="C412" s="87" t="str">
        <f>IF(A412&lt;&gt;"",INDEX('Base de données'!A$4:L$990,MATCH(' TVA M'!A412,'Base de données'!A$4:A$990,0),12),"")</f>
        <v/>
      </c>
    </row>
    <row r="413" spans="2:3" x14ac:dyDescent="0.25">
      <c r="B413" s="87" t="str">
        <f>IF(A413&lt;&gt;"",INDEX('Base de données'!A$4:L$990,MATCH(' TVA M'!A413,'Base de données'!A$4:A$990,0),2),"")</f>
        <v/>
      </c>
      <c r="C413" s="87" t="str">
        <f>IF(A413&lt;&gt;"",INDEX('Base de données'!A$4:L$990,MATCH(' TVA M'!A413,'Base de données'!A$4:A$990,0),12),"")</f>
        <v/>
      </c>
    </row>
    <row r="414" spans="2:3" x14ac:dyDescent="0.25">
      <c r="B414" s="87" t="str">
        <f>IF(A414&lt;&gt;"",INDEX('Base de données'!A$4:L$990,MATCH(' TVA M'!A414,'Base de données'!A$4:A$990,0),2),"")</f>
        <v/>
      </c>
      <c r="C414" s="87" t="str">
        <f>IF(A414&lt;&gt;"",INDEX('Base de données'!A$4:L$990,MATCH(' TVA M'!A414,'Base de données'!A$4:A$990,0),12),"")</f>
        <v/>
      </c>
    </row>
    <row r="415" spans="2:3" x14ac:dyDescent="0.25">
      <c r="B415" s="87" t="str">
        <f>IF(A415&lt;&gt;"",INDEX('Base de données'!A$4:L$990,MATCH(' TVA M'!A415,'Base de données'!A$4:A$990,0),2),"")</f>
        <v/>
      </c>
      <c r="C415" s="87" t="str">
        <f>IF(A415&lt;&gt;"",INDEX('Base de données'!A$4:L$990,MATCH(' TVA M'!A415,'Base de données'!A$4:A$990,0),12),"")</f>
        <v/>
      </c>
    </row>
    <row r="416" spans="2:3" x14ac:dyDescent="0.25">
      <c r="B416" s="87" t="str">
        <f>IF(A416&lt;&gt;"",INDEX('Base de données'!A$4:L$990,MATCH(' TVA M'!A416,'Base de données'!A$4:A$990,0),2),"")</f>
        <v/>
      </c>
      <c r="C416" s="87" t="str">
        <f>IF(A416&lt;&gt;"",INDEX('Base de données'!A$4:L$990,MATCH(' TVA M'!A416,'Base de données'!A$4:A$990,0),12),"")</f>
        <v/>
      </c>
    </row>
    <row r="417" spans="2:3" x14ac:dyDescent="0.25">
      <c r="B417" s="87" t="str">
        <f>IF(A417&lt;&gt;"",INDEX('Base de données'!A$4:L$990,MATCH(' TVA M'!A417,'Base de données'!A$4:A$990,0),2),"")</f>
        <v/>
      </c>
      <c r="C417" s="87" t="str">
        <f>IF(A417&lt;&gt;"",INDEX('Base de données'!A$4:L$990,MATCH(' TVA M'!A417,'Base de données'!A$4:A$990,0),12),"")</f>
        <v/>
      </c>
    </row>
    <row r="418" spans="2:3" x14ac:dyDescent="0.25">
      <c r="B418" s="87" t="str">
        <f>IF(A418&lt;&gt;"",INDEX('Base de données'!A$4:L$990,MATCH(' TVA M'!A418,'Base de données'!A$4:A$990,0),2),"")</f>
        <v/>
      </c>
      <c r="C418" s="87" t="str">
        <f>IF(A418&lt;&gt;"",INDEX('Base de données'!A$4:L$990,MATCH(' TVA M'!A418,'Base de données'!A$4:A$990,0),12),"")</f>
        <v/>
      </c>
    </row>
    <row r="419" spans="2:3" x14ac:dyDescent="0.25">
      <c r="B419" s="87" t="str">
        <f>IF(A419&lt;&gt;"",INDEX('Base de données'!A$4:L$990,MATCH(' TVA M'!A419,'Base de données'!A$4:A$990,0),2),"")</f>
        <v/>
      </c>
      <c r="C419" s="87" t="str">
        <f>IF(A419&lt;&gt;"",INDEX('Base de données'!A$4:L$990,MATCH(' TVA M'!A419,'Base de données'!A$4:A$990,0),12),"")</f>
        <v/>
      </c>
    </row>
    <row r="420" spans="2:3" x14ac:dyDescent="0.25">
      <c r="B420" s="87" t="str">
        <f>IF(A420&lt;&gt;"",INDEX('Base de données'!A$4:L$990,MATCH(' TVA M'!A420,'Base de données'!A$4:A$990,0),2),"")</f>
        <v/>
      </c>
      <c r="C420" s="87" t="str">
        <f>IF(A420&lt;&gt;"",INDEX('Base de données'!A$4:L$990,MATCH(' TVA M'!A420,'Base de données'!A$4:A$990,0),12),"")</f>
        <v/>
      </c>
    </row>
    <row r="421" spans="2:3" x14ac:dyDescent="0.25">
      <c r="B421" s="87" t="str">
        <f>IF(A421&lt;&gt;"",INDEX('Base de données'!A$4:L$990,MATCH(' TVA M'!A421,'Base de données'!A$4:A$990,0),2),"")</f>
        <v/>
      </c>
      <c r="C421" s="87" t="str">
        <f>IF(A421&lt;&gt;"",INDEX('Base de données'!A$4:L$990,MATCH(' TVA M'!A421,'Base de données'!A$4:A$990,0),12),"")</f>
        <v/>
      </c>
    </row>
    <row r="422" spans="2:3" x14ac:dyDescent="0.25">
      <c r="B422" s="87" t="str">
        <f>IF(A422&lt;&gt;"",INDEX('Base de données'!A$4:L$990,MATCH(' TVA M'!A422,'Base de données'!A$4:A$990,0),2),"")</f>
        <v/>
      </c>
      <c r="C422" s="87" t="str">
        <f>IF(A422&lt;&gt;"",INDEX('Base de données'!A$4:L$990,MATCH(' TVA M'!A422,'Base de données'!A$4:A$990,0),12),"")</f>
        <v/>
      </c>
    </row>
    <row r="423" spans="2:3" x14ac:dyDescent="0.25">
      <c r="B423" s="87" t="str">
        <f>IF(A423&lt;&gt;"",INDEX('Base de données'!A$4:L$990,MATCH(' TVA M'!A423,'Base de données'!A$4:A$990,0),2),"")</f>
        <v/>
      </c>
      <c r="C423" s="87" t="str">
        <f>IF(A423&lt;&gt;"",INDEX('Base de données'!A$4:L$990,MATCH(' TVA M'!A423,'Base de données'!A$4:A$990,0),12),"")</f>
        <v/>
      </c>
    </row>
    <row r="424" spans="2:3" x14ac:dyDescent="0.25">
      <c r="B424" s="87" t="str">
        <f>IF(A424&lt;&gt;"",INDEX('Base de données'!A$4:L$990,MATCH(' TVA M'!A424,'Base de données'!A$4:A$990,0),2),"")</f>
        <v/>
      </c>
      <c r="C424" s="87" t="str">
        <f>IF(A424&lt;&gt;"",INDEX('Base de données'!A$4:L$990,MATCH(' TVA M'!A424,'Base de données'!A$4:A$990,0),12),"")</f>
        <v/>
      </c>
    </row>
    <row r="425" spans="2:3" x14ac:dyDescent="0.25">
      <c r="B425" s="87" t="str">
        <f>IF(A425&lt;&gt;"",INDEX('Base de données'!A$4:L$990,MATCH(' TVA M'!A425,'Base de données'!A$4:A$990,0),2),"")</f>
        <v/>
      </c>
      <c r="C425" s="87" t="str">
        <f>IF(A425&lt;&gt;"",INDEX('Base de données'!A$4:L$990,MATCH(' TVA M'!A425,'Base de données'!A$4:A$990,0),12),"")</f>
        <v/>
      </c>
    </row>
    <row r="426" spans="2:3" x14ac:dyDescent="0.25">
      <c r="B426" s="87" t="str">
        <f>IF(A426&lt;&gt;"",INDEX('Base de données'!A$4:L$990,MATCH(' TVA M'!A426,'Base de données'!A$4:A$990,0),2),"")</f>
        <v/>
      </c>
      <c r="C426" s="87" t="str">
        <f>IF(A426&lt;&gt;"",INDEX('Base de données'!A$4:L$990,MATCH(' TVA M'!A426,'Base de données'!A$4:A$990,0),12),"")</f>
        <v/>
      </c>
    </row>
    <row r="427" spans="2:3" x14ac:dyDescent="0.25">
      <c r="B427" s="87" t="str">
        <f>IF(A427&lt;&gt;"",INDEX('Base de données'!A$4:L$990,MATCH(' TVA M'!A427,'Base de données'!A$4:A$990,0),2),"")</f>
        <v/>
      </c>
      <c r="C427" s="87" t="str">
        <f>IF(A427&lt;&gt;"",INDEX('Base de données'!A$4:L$990,MATCH(' TVA M'!A427,'Base de données'!A$4:A$990,0),12),"")</f>
        <v/>
      </c>
    </row>
    <row r="428" spans="2:3" x14ac:dyDescent="0.25">
      <c r="B428" s="87" t="str">
        <f>IF(A428&lt;&gt;"",INDEX('Base de données'!A$4:L$990,MATCH(' TVA M'!A428,'Base de données'!A$4:A$990,0),2),"")</f>
        <v/>
      </c>
      <c r="C428" s="87" t="str">
        <f>IF(A428&lt;&gt;"",INDEX('Base de données'!A$4:L$990,MATCH(' TVA M'!A428,'Base de données'!A$4:A$990,0),12),"")</f>
        <v/>
      </c>
    </row>
    <row r="429" spans="2:3" x14ac:dyDescent="0.25">
      <c r="B429" s="87" t="str">
        <f>IF(A429&lt;&gt;"",INDEX('Base de données'!A$4:L$990,MATCH(' TVA M'!A429,'Base de données'!A$4:A$990,0),2),"")</f>
        <v/>
      </c>
      <c r="C429" s="87" t="str">
        <f>IF(A429&lt;&gt;"",INDEX('Base de données'!A$4:L$990,MATCH(' TVA M'!A429,'Base de données'!A$4:A$990,0),12),"")</f>
        <v/>
      </c>
    </row>
    <row r="430" spans="2:3" x14ac:dyDescent="0.25">
      <c r="B430" s="87" t="str">
        <f>IF(A430&lt;&gt;"",INDEX('Base de données'!A$4:L$990,MATCH(' TVA M'!A430,'Base de données'!A$4:A$990,0),2),"")</f>
        <v/>
      </c>
      <c r="C430" s="87" t="str">
        <f>IF(A430&lt;&gt;"",INDEX('Base de données'!A$4:L$990,MATCH(' TVA M'!A430,'Base de données'!A$4:A$990,0),12),"")</f>
        <v/>
      </c>
    </row>
    <row r="431" spans="2:3" x14ac:dyDescent="0.25">
      <c r="B431" s="87" t="str">
        <f>IF(A431&lt;&gt;"",INDEX('Base de données'!A$4:L$990,MATCH(' TVA M'!A431,'Base de données'!A$4:A$990,0),2),"")</f>
        <v/>
      </c>
      <c r="C431" s="87" t="str">
        <f>IF(A431&lt;&gt;"",INDEX('Base de données'!A$4:L$990,MATCH(' TVA M'!A431,'Base de données'!A$4:A$990,0),12),"")</f>
        <v/>
      </c>
    </row>
    <row r="432" spans="2:3" x14ac:dyDescent="0.25">
      <c r="B432" s="87" t="str">
        <f>IF(A432&lt;&gt;"",INDEX('Base de données'!A$4:L$990,MATCH(' TVA M'!A432,'Base de données'!A$4:A$990,0),2),"")</f>
        <v/>
      </c>
      <c r="C432" s="87" t="str">
        <f>IF(A432&lt;&gt;"",INDEX('Base de données'!A$4:L$990,MATCH(' TVA M'!A432,'Base de données'!A$4:A$990,0),12),"")</f>
        <v/>
      </c>
    </row>
    <row r="433" spans="2:3" x14ac:dyDescent="0.25">
      <c r="B433" s="87" t="str">
        <f>IF(A433&lt;&gt;"",INDEX('Base de données'!A$4:L$990,MATCH(' TVA M'!A433,'Base de données'!A$4:A$990,0),2),"")</f>
        <v/>
      </c>
      <c r="C433" s="87" t="str">
        <f>IF(A433&lt;&gt;"",INDEX('Base de données'!A$4:L$990,MATCH(' TVA M'!A433,'Base de données'!A$4:A$990,0),12),"")</f>
        <v/>
      </c>
    </row>
    <row r="434" spans="2:3" x14ac:dyDescent="0.25">
      <c r="B434" s="87" t="str">
        <f>IF(A434&lt;&gt;"",INDEX('Base de données'!A$4:L$990,MATCH(' TVA M'!A434,'Base de données'!A$4:A$990,0),2),"")</f>
        <v/>
      </c>
      <c r="C434" s="87" t="str">
        <f>IF(A434&lt;&gt;"",INDEX('Base de données'!A$4:L$990,MATCH(' TVA M'!A434,'Base de données'!A$4:A$990,0),12),"")</f>
        <v/>
      </c>
    </row>
    <row r="435" spans="2:3" x14ac:dyDescent="0.25">
      <c r="B435" s="87" t="str">
        <f>IF(A435&lt;&gt;"",INDEX('Base de données'!A$4:L$990,MATCH(' TVA M'!A435,'Base de données'!A$4:A$990,0),2),"")</f>
        <v/>
      </c>
      <c r="C435" s="87" t="str">
        <f>IF(A435&lt;&gt;"",INDEX('Base de données'!A$4:L$990,MATCH(' TVA M'!A435,'Base de données'!A$4:A$990,0),12),"")</f>
        <v/>
      </c>
    </row>
    <row r="436" spans="2:3" x14ac:dyDescent="0.25">
      <c r="B436" s="87" t="str">
        <f>IF(A436&lt;&gt;"",INDEX('Base de données'!A$4:L$990,MATCH(' TVA M'!A436,'Base de données'!A$4:A$990,0),2),"")</f>
        <v/>
      </c>
      <c r="C436" s="87" t="str">
        <f>IF(A436&lt;&gt;"",INDEX('Base de données'!A$4:L$990,MATCH(' TVA M'!A436,'Base de données'!A$4:A$990,0),12),"")</f>
        <v/>
      </c>
    </row>
    <row r="437" spans="2:3" x14ac:dyDescent="0.25">
      <c r="B437" s="87" t="str">
        <f>IF(A437&lt;&gt;"",INDEX('Base de données'!A$4:L$990,MATCH(' TVA M'!A437,'Base de données'!A$4:A$990,0),2),"")</f>
        <v/>
      </c>
      <c r="C437" s="87" t="str">
        <f>IF(A437&lt;&gt;"",INDEX('Base de données'!A$4:L$990,MATCH(' TVA M'!A437,'Base de données'!A$4:A$990,0),12),"")</f>
        <v/>
      </c>
    </row>
    <row r="438" spans="2:3" x14ac:dyDescent="0.25">
      <c r="B438" s="87" t="str">
        <f>IF(A438&lt;&gt;"",INDEX('Base de données'!A$4:L$990,MATCH(' TVA M'!A438,'Base de données'!A$4:A$990,0),2),"")</f>
        <v/>
      </c>
      <c r="C438" s="87" t="str">
        <f>IF(A438&lt;&gt;"",INDEX('Base de données'!A$4:L$990,MATCH(' TVA M'!A438,'Base de données'!A$4:A$990,0),12),"")</f>
        <v/>
      </c>
    </row>
    <row r="439" spans="2:3" x14ac:dyDescent="0.25">
      <c r="B439" s="87" t="str">
        <f>IF(A439&lt;&gt;"",INDEX('Base de données'!A$4:L$990,MATCH(' TVA M'!A439,'Base de données'!A$4:A$990,0),2),"")</f>
        <v/>
      </c>
      <c r="C439" s="87" t="str">
        <f>IF(A439&lt;&gt;"",INDEX('Base de données'!A$4:L$990,MATCH(' TVA M'!A439,'Base de données'!A$4:A$990,0),12),"")</f>
        <v/>
      </c>
    </row>
    <row r="440" spans="2:3" x14ac:dyDescent="0.25">
      <c r="B440" s="87" t="str">
        <f>IF(A440&lt;&gt;"",INDEX('Base de données'!A$4:L$990,MATCH(' TVA M'!A440,'Base de données'!A$4:A$990,0),2),"")</f>
        <v/>
      </c>
      <c r="C440" s="87" t="str">
        <f>IF(A440&lt;&gt;"",INDEX('Base de données'!A$4:L$990,MATCH(' TVA M'!A440,'Base de données'!A$4:A$990,0),12),"")</f>
        <v/>
      </c>
    </row>
    <row r="441" spans="2:3" x14ac:dyDescent="0.25">
      <c r="B441" s="87" t="str">
        <f>IF(A441&lt;&gt;"",INDEX('Base de données'!A$4:L$990,MATCH(' TVA M'!A441,'Base de données'!A$4:A$990,0),2),"")</f>
        <v/>
      </c>
      <c r="C441" s="87" t="str">
        <f>IF(A441&lt;&gt;"",INDEX('Base de données'!A$4:L$990,MATCH(' TVA M'!A441,'Base de données'!A$4:A$990,0),12),"")</f>
        <v/>
      </c>
    </row>
    <row r="442" spans="2:3" x14ac:dyDescent="0.25">
      <c r="B442" s="87" t="str">
        <f>IF(A442&lt;&gt;"",INDEX('Base de données'!A$4:L$990,MATCH(' TVA M'!A442,'Base de données'!A$4:A$990,0),2),"")</f>
        <v/>
      </c>
      <c r="C442" s="87" t="str">
        <f>IF(A442&lt;&gt;"",INDEX('Base de données'!A$4:L$990,MATCH(' TVA M'!A442,'Base de données'!A$4:A$990,0),12),"")</f>
        <v/>
      </c>
    </row>
    <row r="443" spans="2:3" x14ac:dyDescent="0.25">
      <c r="B443" s="87" t="str">
        <f>IF(A443&lt;&gt;"",INDEX('Base de données'!A$4:L$990,MATCH(' TVA M'!A443,'Base de données'!A$4:A$990,0),2),"")</f>
        <v/>
      </c>
      <c r="C443" s="87" t="str">
        <f>IF(A443&lt;&gt;"",INDEX('Base de données'!A$4:L$990,MATCH(' TVA M'!A443,'Base de données'!A$4:A$990,0),12),"")</f>
        <v/>
      </c>
    </row>
    <row r="444" spans="2:3" x14ac:dyDescent="0.25">
      <c r="B444" s="87" t="str">
        <f>IF(A444&lt;&gt;"",INDEX('Base de données'!A$4:L$990,MATCH(' TVA M'!A444,'Base de données'!A$4:A$990,0),2),"")</f>
        <v/>
      </c>
      <c r="C444" s="87" t="str">
        <f>IF(A444&lt;&gt;"",INDEX('Base de données'!A$4:L$990,MATCH(' TVA M'!A444,'Base de données'!A$4:A$990,0),12),"")</f>
        <v/>
      </c>
    </row>
    <row r="445" spans="2:3" x14ac:dyDescent="0.25">
      <c r="B445" s="87" t="str">
        <f>IF(A445&lt;&gt;"",INDEX('Base de données'!A$4:L$990,MATCH(' TVA M'!A445,'Base de données'!A$4:A$990,0),2),"")</f>
        <v/>
      </c>
      <c r="C445" s="87" t="str">
        <f>IF(A445&lt;&gt;"",INDEX('Base de données'!A$4:L$990,MATCH(' TVA M'!A445,'Base de données'!A$4:A$990,0),12),"")</f>
        <v/>
      </c>
    </row>
    <row r="446" spans="2:3" x14ac:dyDescent="0.25">
      <c r="B446" s="87" t="str">
        <f>IF(A446&lt;&gt;"",INDEX('Base de données'!A$4:L$990,MATCH(' TVA M'!A446,'Base de données'!A$4:A$990,0),2),"")</f>
        <v/>
      </c>
      <c r="C446" s="87" t="str">
        <f>IF(A446&lt;&gt;"",INDEX('Base de données'!A$4:L$990,MATCH(' TVA M'!A446,'Base de données'!A$4:A$990,0),12),"")</f>
        <v/>
      </c>
    </row>
    <row r="447" spans="2:3" x14ac:dyDescent="0.25">
      <c r="B447" s="87" t="str">
        <f>IF(A447&lt;&gt;"",INDEX('Base de données'!A$4:L$990,MATCH(' TVA M'!A447,'Base de données'!A$4:A$990,0),2),"")</f>
        <v/>
      </c>
      <c r="C447" s="87" t="str">
        <f>IF(A447&lt;&gt;"",INDEX('Base de données'!A$4:L$990,MATCH(' TVA M'!A447,'Base de données'!A$4:A$990,0),12),"")</f>
        <v/>
      </c>
    </row>
    <row r="448" spans="2:3" x14ac:dyDescent="0.25">
      <c r="B448" s="87" t="str">
        <f>IF(A448&lt;&gt;"",INDEX('Base de données'!A$4:L$990,MATCH(' TVA M'!A448,'Base de données'!A$4:A$990,0),2),"")</f>
        <v/>
      </c>
      <c r="C448" s="87" t="str">
        <f>IF(A448&lt;&gt;"",INDEX('Base de données'!A$4:L$990,MATCH(' TVA M'!A448,'Base de données'!A$4:A$990,0),12),"")</f>
        <v/>
      </c>
    </row>
    <row r="449" spans="2:3" x14ac:dyDescent="0.25">
      <c r="B449" s="87" t="str">
        <f>IF(A449&lt;&gt;"",INDEX('Base de données'!A$4:L$990,MATCH(' TVA M'!A449,'Base de données'!A$4:A$990,0),2),"")</f>
        <v/>
      </c>
      <c r="C449" s="87" t="str">
        <f>IF(A449&lt;&gt;"",INDEX('Base de données'!A$4:L$990,MATCH(' TVA M'!A449,'Base de données'!A$4:A$990,0),12),"")</f>
        <v/>
      </c>
    </row>
    <row r="450" spans="2:3" x14ac:dyDescent="0.25">
      <c r="B450" s="87" t="str">
        <f>IF(A450&lt;&gt;"",INDEX('Base de données'!A$4:L$990,MATCH(' TVA M'!A450,'Base de données'!A$4:A$990,0),2),"")</f>
        <v/>
      </c>
      <c r="C450" s="87" t="str">
        <f>IF(A450&lt;&gt;"",INDEX('Base de données'!A$4:L$990,MATCH(' TVA M'!A450,'Base de données'!A$4:A$990,0),12),"")</f>
        <v/>
      </c>
    </row>
    <row r="451" spans="2:3" x14ac:dyDescent="0.25">
      <c r="B451" s="87" t="str">
        <f>IF(A451&lt;&gt;"",INDEX('Base de données'!A$4:L$990,MATCH(' TVA M'!A451,'Base de données'!A$4:A$990,0),2),"")</f>
        <v/>
      </c>
      <c r="C451" s="87" t="str">
        <f>IF(A451&lt;&gt;"",INDEX('Base de données'!A$4:L$990,MATCH(' TVA M'!A451,'Base de données'!A$4:A$990,0),12),"")</f>
        <v/>
      </c>
    </row>
    <row r="452" spans="2:3" x14ac:dyDescent="0.25">
      <c r="B452" s="87" t="str">
        <f>IF(A452&lt;&gt;"",INDEX('Base de données'!A$4:L$990,MATCH(' TVA M'!A452,'Base de données'!A$4:A$990,0),2),"")</f>
        <v/>
      </c>
      <c r="C452" s="87" t="str">
        <f>IF(A452&lt;&gt;"",INDEX('Base de données'!A$4:L$990,MATCH(' TVA M'!A452,'Base de données'!A$4:A$990,0),12),"")</f>
        <v/>
      </c>
    </row>
    <row r="453" spans="2:3" x14ac:dyDescent="0.25">
      <c r="B453" s="87" t="str">
        <f>IF(A453&lt;&gt;"",INDEX('Base de données'!A$4:L$990,MATCH(' TVA M'!A453,'Base de données'!A$4:A$990,0),2),"")</f>
        <v/>
      </c>
      <c r="C453" s="87" t="str">
        <f>IF(A453&lt;&gt;"",INDEX('Base de données'!A$4:L$990,MATCH(' TVA M'!A453,'Base de données'!A$4:A$990,0),12),"")</f>
        <v/>
      </c>
    </row>
    <row r="454" spans="2:3" x14ac:dyDescent="0.25">
      <c r="B454" s="87" t="str">
        <f>IF(A454&lt;&gt;"",INDEX('Base de données'!A$4:L$990,MATCH(' TVA M'!A454,'Base de données'!A$4:A$990,0),2),"")</f>
        <v/>
      </c>
      <c r="C454" s="87" t="str">
        <f>IF(A454&lt;&gt;"",INDEX('Base de données'!A$4:L$990,MATCH(' TVA M'!A454,'Base de données'!A$4:A$990,0),12),"")</f>
        <v/>
      </c>
    </row>
    <row r="455" spans="2:3" x14ac:dyDescent="0.25">
      <c r="B455" s="87" t="str">
        <f>IF(A455&lt;&gt;"",INDEX('Base de données'!A$4:L$990,MATCH(' TVA M'!A455,'Base de données'!A$4:A$990,0),2),"")</f>
        <v/>
      </c>
      <c r="C455" s="87" t="str">
        <f>IF(A455&lt;&gt;"",INDEX('Base de données'!A$4:L$990,MATCH(' TVA M'!A455,'Base de données'!A$4:A$990,0),12),"")</f>
        <v/>
      </c>
    </row>
    <row r="456" spans="2:3" x14ac:dyDescent="0.25">
      <c r="B456" s="87" t="str">
        <f>IF(A456&lt;&gt;"",INDEX('Base de données'!A$4:L$990,MATCH(' TVA M'!A456,'Base de données'!A$4:A$990,0),2),"")</f>
        <v/>
      </c>
      <c r="C456" s="87" t="str">
        <f>IF(A456&lt;&gt;"",INDEX('Base de données'!A$4:L$990,MATCH(' TVA M'!A456,'Base de données'!A$4:A$990,0),12),"")</f>
        <v/>
      </c>
    </row>
    <row r="457" spans="2:3" x14ac:dyDescent="0.25">
      <c r="B457" s="87" t="str">
        <f>IF(A457&lt;&gt;"",INDEX('Base de données'!A$4:L$990,MATCH(' TVA M'!A457,'Base de données'!A$4:A$990,0),2),"")</f>
        <v/>
      </c>
      <c r="C457" s="87" t="str">
        <f>IF(A457&lt;&gt;"",INDEX('Base de données'!A$4:L$990,MATCH(' TVA M'!A457,'Base de données'!A$4:A$990,0),12),"")</f>
        <v/>
      </c>
    </row>
    <row r="458" spans="2:3" x14ac:dyDescent="0.25">
      <c r="B458" s="87" t="str">
        <f>IF(A458&lt;&gt;"",INDEX('Base de données'!A$4:L$990,MATCH(' TVA M'!A458,'Base de données'!A$4:A$990,0),2),"")</f>
        <v/>
      </c>
      <c r="C458" s="87" t="str">
        <f>IF(A458&lt;&gt;"",INDEX('Base de données'!A$4:L$990,MATCH(' TVA M'!A458,'Base de données'!A$4:A$990,0),12),"")</f>
        <v/>
      </c>
    </row>
    <row r="459" spans="2:3" x14ac:dyDescent="0.25">
      <c r="B459" s="87" t="str">
        <f>IF(A459&lt;&gt;"",INDEX('Base de données'!A$4:L$990,MATCH(' TVA M'!A459,'Base de données'!A$4:A$990,0),2),"")</f>
        <v/>
      </c>
      <c r="C459" s="87" t="str">
        <f>IF(A459&lt;&gt;"",INDEX('Base de données'!A$4:L$990,MATCH(' TVA M'!A459,'Base de données'!A$4:A$990,0),12),"")</f>
        <v/>
      </c>
    </row>
    <row r="460" spans="2:3" x14ac:dyDescent="0.25">
      <c r="B460" s="87" t="str">
        <f>IF(A460&lt;&gt;"",INDEX('Base de données'!A$4:L$990,MATCH(' TVA M'!A460,'Base de données'!A$4:A$990,0),2),"")</f>
        <v/>
      </c>
      <c r="C460" s="87" t="str">
        <f>IF(A460&lt;&gt;"",INDEX('Base de données'!A$4:L$990,MATCH(' TVA M'!A460,'Base de données'!A$4:A$990,0),12),"")</f>
        <v/>
      </c>
    </row>
    <row r="461" spans="2:3" x14ac:dyDescent="0.25">
      <c r="B461" s="87" t="str">
        <f>IF(A461&lt;&gt;"",INDEX('Base de données'!A$4:L$990,MATCH(' TVA M'!A461,'Base de données'!A$4:A$990,0),2),"")</f>
        <v/>
      </c>
      <c r="C461" s="87" t="str">
        <f>IF(A461&lt;&gt;"",INDEX('Base de données'!A$4:L$990,MATCH(' TVA M'!A461,'Base de données'!A$4:A$990,0),12),"")</f>
        <v/>
      </c>
    </row>
    <row r="462" spans="2:3" x14ac:dyDescent="0.25">
      <c r="B462" s="87" t="str">
        <f>IF(A462&lt;&gt;"",INDEX('Base de données'!A$4:L$990,MATCH(' TVA M'!A462,'Base de données'!A$4:A$990,0),2),"")</f>
        <v/>
      </c>
      <c r="C462" s="87" t="str">
        <f>IF(A462&lt;&gt;"",INDEX('Base de données'!A$4:L$990,MATCH(' TVA M'!A462,'Base de données'!A$4:A$990,0),12),"")</f>
        <v/>
      </c>
    </row>
    <row r="463" spans="2:3" x14ac:dyDescent="0.25">
      <c r="B463" s="87" t="str">
        <f>IF(A463&lt;&gt;"",INDEX('Base de données'!A$4:L$990,MATCH(' TVA M'!A463,'Base de données'!A$4:A$990,0),2),"")</f>
        <v/>
      </c>
      <c r="C463" s="87" t="str">
        <f>IF(A463&lt;&gt;"",INDEX('Base de données'!A$4:L$990,MATCH(' TVA M'!A463,'Base de données'!A$4:A$990,0),12),"")</f>
        <v/>
      </c>
    </row>
    <row r="464" spans="2:3" x14ac:dyDescent="0.25">
      <c r="B464" s="87" t="str">
        <f>IF(A464&lt;&gt;"",INDEX('Base de données'!A$4:L$990,MATCH(' TVA M'!A464,'Base de données'!A$4:A$990,0),2),"")</f>
        <v/>
      </c>
      <c r="C464" s="87" t="str">
        <f>IF(A464&lt;&gt;"",INDEX('Base de données'!A$4:L$990,MATCH(' TVA M'!A464,'Base de données'!A$4:A$990,0),12),"")</f>
        <v/>
      </c>
    </row>
    <row r="465" spans="2:3" x14ac:dyDescent="0.25">
      <c r="B465" s="87" t="str">
        <f>IF(A465&lt;&gt;"",INDEX('Base de données'!A$4:L$990,MATCH(' TVA M'!A465,'Base de données'!A$4:A$990,0),2),"")</f>
        <v/>
      </c>
      <c r="C465" s="87" t="str">
        <f>IF(A465&lt;&gt;"",INDEX('Base de données'!A$4:L$990,MATCH(' TVA M'!A465,'Base de données'!A$4:A$990,0),12),"")</f>
        <v/>
      </c>
    </row>
    <row r="466" spans="2:3" x14ac:dyDescent="0.25">
      <c r="B466" s="87" t="str">
        <f>IF(A466&lt;&gt;"",INDEX('Base de données'!A$4:L$990,MATCH(' TVA M'!A466,'Base de données'!A$4:A$990,0),2),"")</f>
        <v/>
      </c>
      <c r="C466" s="87" t="str">
        <f>IF(A466&lt;&gt;"",INDEX('Base de données'!A$4:L$990,MATCH(' TVA M'!A466,'Base de données'!A$4:A$990,0),12),"")</f>
        <v/>
      </c>
    </row>
    <row r="467" spans="2:3" x14ac:dyDescent="0.25">
      <c r="B467" s="87" t="str">
        <f>IF(A467&lt;&gt;"",INDEX('Base de données'!A$4:L$990,MATCH(' TVA M'!A467,'Base de données'!A$4:A$990,0),2),"")</f>
        <v/>
      </c>
      <c r="C467" s="87" t="str">
        <f>IF(A467&lt;&gt;"",INDEX('Base de données'!A$4:L$990,MATCH(' TVA M'!A467,'Base de données'!A$4:A$990,0),12),"")</f>
        <v/>
      </c>
    </row>
    <row r="468" spans="2:3" x14ac:dyDescent="0.25">
      <c r="B468" s="87" t="str">
        <f>IF(A468&lt;&gt;"",INDEX('Base de données'!A$4:L$990,MATCH(' TVA M'!A468,'Base de données'!A$4:A$990,0),2),"")</f>
        <v/>
      </c>
      <c r="C468" s="87" t="str">
        <f>IF(A468&lt;&gt;"",INDEX('Base de données'!A$4:L$990,MATCH(' TVA M'!A468,'Base de données'!A$4:A$990,0),12),"")</f>
        <v/>
      </c>
    </row>
    <row r="469" spans="2:3" x14ac:dyDescent="0.25">
      <c r="B469" s="87" t="str">
        <f>IF(A469&lt;&gt;"",INDEX('Base de données'!A$4:L$990,MATCH(' TVA M'!A469,'Base de données'!A$4:A$990,0),2),"")</f>
        <v/>
      </c>
      <c r="C469" s="87" t="str">
        <f>IF(A469&lt;&gt;"",INDEX('Base de données'!A$4:L$990,MATCH(' TVA M'!A469,'Base de données'!A$4:A$990,0),12),"")</f>
        <v/>
      </c>
    </row>
    <row r="470" spans="2:3" x14ac:dyDescent="0.25">
      <c r="B470" s="87" t="str">
        <f>IF(A470&lt;&gt;"",INDEX('Base de données'!A$4:L$990,MATCH(' TVA M'!A470,'Base de données'!A$4:A$990,0),2),"")</f>
        <v/>
      </c>
      <c r="C470" s="87" t="str">
        <f>IF(A470&lt;&gt;"",INDEX('Base de données'!A$4:L$990,MATCH(' TVA M'!A470,'Base de données'!A$4:A$990,0),12),"")</f>
        <v/>
      </c>
    </row>
    <row r="471" spans="2:3" x14ac:dyDescent="0.25">
      <c r="B471" s="87" t="str">
        <f>IF(A471&lt;&gt;"",INDEX('Base de données'!A$4:L$990,MATCH(' TVA M'!A471,'Base de données'!A$4:A$990,0),2),"")</f>
        <v/>
      </c>
      <c r="C471" s="87" t="str">
        <f>IF(A471&lt;&gt;"",INDEX('Base de données'!A$4:L$990,MATCH(' TVA M'!A471,'Base de données'!A$4:A$990,0),12),"")</f>
        <v/>
      </c>
    </row>
    <row r="472" spans="2:3" x14ac:dyDescent="0.25">
      <c r="B472" s="87" t="str">
        <f>IF(A472&lt;&gt;"",INDEX('Base de données'!A$4:L$990,MATCH(' TVA M'!A472,'Base de données'!A$4:A$990,0),2),"")</f>
        <v/>
      </c>
      <c r="C472" s="87" t="str">
        <f>IF(A472&lt;&gt;"",INDEX('Base de données'!A$4:L$990,MATCH(' TVA M'!A472,'Base de données'!A$4:A$990,0),12),"")</f>
        <v/>
      </c>
    </row>
    <row r="473" spans="2:3" x14ac:dyDescent="0.25">
      <c r="B473" s="87" t="str">
        <f>IF(A473&lt;&gt;"",INDEX('Base de données'!A$4:L$990,MATCH(' TVA M'!A473,'Base de données'!A$4:A$990,0),2),"")</f>
        <v/>
      </c>
      <c r="C473" s="87" t="str">
        <f>IF(A473&lt;&gt;"",INDEX('Base de données'!A$4:L$990,MATCH(' TVA M'!A473,'Base de données'!A$4:A$990,0),12),"")</f>
        <v/>
      </c>
    </row>
    <row r="474" spans="2:3" x14ac:dyDescent="0.25">
      <c r="B474" s="87" t="str">
        <f>IF(A474&lt;&gt;"",INDEX('Base de données'!A$4:L$990,MATCH(' TVA M'!A474,'Base de données'!A$4:A$990,0),2),"")</f>
        <v/>
      </c>
      <c r="C474" s="87" t="str">
        <f>IF(A474&lt;&gt;"",INDEX('Base de données'!A$4:L$990,MATCH(' TVA M'!A474,'Base de données'!A$4:A$990,0),12),"")</f>
        <v/>
      </c>
    </row>
    <row r="475" spans="2:3" x14ac:dyDescent="0.25">
      <c r="B475" s="87" t="str">
        <f>IF(A475&lt;&gt;"",INDEX('Base de données'!A$4:L$990,MATCH(' TVA M'!A475,'Base de données'!A$4:A$990,0),2),"")</f>
        <v/>
      </c>
      <c r="C475" s="87" t="str">
        <f>IF(A475&lt;&gt;"",INDEX('Base de données'!A$4:L$990,MATCH(' TVA M'!A475,'Base de données'!A$4:A$990,0),12),"")</f>
        <v/>
      </c>
    </row>
    <row r="476" spans="2:3" x14ac:dyDescent="0.25">
      <c r="B476" s="87" t="str">
        <f>IF(A476&lt;&gt;"",INDEX('Base de données'!A$4:L$990,MATCH(' TVA M'!A476,'Base de données'!A$4:A$990,0),2),"")</f>
        <v/>
      </c>
      <c r="C476" s="87" t="str">
        <f>IF(A476&lt;&gt;"",INDEX('Base de données'!A$4:L$990,MATCH(' TVA M'!A476,'Base de données'!A$4:A$990,0),12),"")</f>
        <v/>
      </c>
    </row>
    <row r="477" spans="2:3" x14ac:dyDescent="0.25">
      <c r="B477" s="87" t="str">
        <f>IF(A477&lt;&gt;"",INDEX('Base de données'!A$4:L$990,MATCH(' TVA M'!A477,'Base de données'!A$4:A$990,0),2),"")</f>
        <v/>
      </c>
      <c r="C477" s="87" t="str">
        <f>IF(A477&lt;&gt;"",INDEX('Base de données'!A$4:L$990,MATCH(' TVA M'!A477,'Base de données'!A$4:A$990,0),12),"")</f>
        <v/>
      </c>
    </row>
    <row r="478" spans="2:3" x14ac:dyDescent="0.25">
      <c r="B478" s="87" t="str">
        <f>IF(A478&lt;&gt;"",INDEX('Base de données'!A$4:L$990,MATCH(' TVA M'!A478,'Base de données'!A$4:A$990,0),2),"")</f>
        <v/>
      </c>
      <c r="C478" s="87" t="str">
        <f>IF(A478&lt;&gt;"",INDEX('Base de données'!A$4:L$990,MATCH(' TVA M'!A478,'Base de données'!A$4:A$990,0),12),"")</f>
        <v/>
      </c>
    </row>
    <row r="479" spans="2:3" x14ac:dyDescent="0.25">
      <c r="B479" s="87" t="str">
        <f>IF(A479&lt;&gt;"",INDEX('Base de données'!A$4:L$990,MATCH(' TVA M'!A479,'Base de données'!A$4:A$990,0),2),"")</f>
        <v/>
      </c>
      <c r="C479" s="87" t="str">
        <f>IF(A479&lt;&gt;"",INDEX('Base de données'!A$4:L$990,MATCH(' TVA M'!A479,'Base de données'!A$4:A$990,0),12),"")</f>
        <v/>
      </c>
    </row>
    <row r="480" spans="2:3" x14ac:dyDescent="0.25">
      <c r="B480" s="87" t="str">
        <f>IF(A480&lt;&gt;"",INDEX('Base de données'!A$4:L$990,MATCH(' TVA M'!A480,'Base de données'!A$4:A$990,0),2),"")</f>
        <v/>
      </c>
      <c r="C480" s="87" t="str">
        <f>IF(A480&lt;&gt;"",INDEX('Base de données'!A$4:L$990,MATCH(' TVA M'!A480,'Base de données'!A$4:A$990,0),12),"")</f>
        <v/>
      </c>
    </row>
    <row r="481" spans="2:3" x14ac:dyDescent="0.25">
      <c r="B481" s="87" t="str">
        <f>IF(A481&lt;&gt;"",INDEX('Base de données'!A$4:L$990,MATCH(' TVA M'!A481,'Base de données'!A$4:A$990,0),2),"")</f>
        <v/>
      </c>
      <c r="C481" s="87" t="str">
        <f>IF(A481&lt;&gt;"",INDEX('Base de données'!A$4:L$990,MATCH(' TVA M'!A481,'Base de données'!A$4:A$990,0),12),"")</f>
        <v/>
      </c>
    </row>
    <row r="482" spans="2:3" x14ac:dyDescent="0.25">
      <c r="B482" s="87" t="str">
        <f>IF(A482&lt;&gt;"",INDEX('Base de données'!A$4:L$990,MATCH(' TVA M'!A482,'Base de données'!A$4:A$990,0),2),"")</f>
        <v/>
      </c>
      <c r="C482" s="87" t="str">
        <f>IF(A482&lt;&gt;"",INDEX('Base de données'!A$4:L$990,MATCH(' TVA M'!A482,'Base de données'!A$4:A$990,0),12),"")</f>
        <v/>
      </c>
    </row>
    <row r="483" spans="2:3" x14ac:dyDescent="0.25">
      <c r="B483" s="87" t="str">
        <f>IF(A483&lt;&gt;"",INDEX('Base de données'!A$4:L$990,MATCH(' TVA M'!A483,'Base de données'!A$4:A$990,0),2),"")</f>
        <v/>
      </c>
      <c r="C483" s="87" t="str">
        <f>IF(A483&lt;&gt;"",INDEX('Base de données'!A$4:L$990,MATCH(' TVA M'!A483,'Base de données'!A$4:A$990,0),12),"")</f>
        <v/>
      </c>
    </row>
    <row r="484" spans="2:3" x14ac:dyDescent="0.25">
      <c r="B484" s="87" t="str">
        <f>IF(A484&lt;&gt;"",INDEX('Base de données'!A$4:L$990,MATCH(' TVA M'!A484,'Base de données'!A$4:A$990,0),2),"")</f>
        <v/>
      </c>
      <c r="C484" s="87" t="str">
        <f>IF(A484&lt;&gt;"",INDEX('Base de données'!A$4:L$990,MATCH(' TVA M'!A484,'Base de données'!A$4:A$990,0),12),"")</f>
        <v/>
      </c>
    </row>
    <row r="485" spans="2:3" x14ac:dyDescent="0.25">
      <c r="B485" s="87" t="str">
        <f>IF(A485&lt;&gt;"",INDEX('Base de données'!A$4:L$990,MATCH(' TVA M'!A485,'Base de données'!A$4:A$990,0),2),"")</f>
        <v/>
      </c>
      <c r="C485" s="87" t="str">
        <f>IF(A485&lt;&gt;"",INDEX('Base de données'!A$4:L$990,MATCH(' TVA M'!A485,'Base de données'!A$4:A$990,0),12),"")</f>
        <v/>
      </c>
    </row>
    <row r="486" spans="2:3" x14ac:dyDescent="0.25">
      <c r="B486" s="87" t="str">
        <f>IF(A486&lt;&gt;"",INDEX('Base de données'!A$4:L$990,MATCH(' TVA M'!A486,'Base de données'!A$4:A$990,0),2),"")</f>
        <v/>
      </c>
      <c r="C486" s="87" t="str">
        <f>IF(A486&lt;&gt;"",INDEX('Base de données'!A$4:L$990,MATCH(' TVA M'!A486,'Base de données'!A$4:A$990,0),12),"")</f>
        <v/>
      </c>
    </row>
    <row r="487" spans="2:3" x14ac:dyDescent="0.25">
      <c r="B487" s="87" t="str">
        <f>IF(A487&lt;&gt;"",INDEX('Base de données'!A$4:L$990,MATCH(' TVA M'!A487,'Base de données'!A$4:A$990,0),2),"")</f>
        <v/>
      </c>
      <c r="C487" s="87" t="str">
        <f>IF(A487&lt;&gt;"",INDEX('Base de données'!A$4:L$990,MATCH(' TVA M'!A487,'Base de données'!A$4:A$990,0),12),"")</f>
        <v/>
      </c>
    </row>
    <row r="488" spans="2:3" x14ac:dyDescent="0.25">
      <c r="B488" s="87" t="str">
        <f>IF(A488&lt;&gt;"",INDEX('Base de données'!A$4:L$990,MATCH(' TVA M'!A488,'Base de données'!A$4:A$990,0),2),"")</f>
        <v/>
      </c>
      <c r="C488" s="87" t="str">
        <f>IF(A488&lt;&gt;"",INDEX('Base de données'!A$4:L$990,MATCH(' TVA M'!A488,'Base de données'!A$4:A$990,0),12),"")</f>
        <v/>
      </c>
    </row>
    <row r="489" spans="2:3" x14ac:dyDescent="0.25">
      <c r="B489" s="87" t="str">
        <f>IF(A489&lt;&gt;"",INDEX('Base de données'!A$4:L$990,MATCH(' TVA M'!A489,'Base de données'!A$4:A$990,0),2),"")</f>
        <v/>
      </c>
      <c r="C489" s="87" t="str">
        <f>IF(A489&lt;&gt;"",INDEX('Base de données'!A$4:L$990,MATCH(' TVA M'!A489,'Base de données'!A$4:A$990,0),12),"")</f>
        <v/>
      </c>
    </row>
    <row r="490" spans="2:3" x14ac:dyDescent="0.25">
      <c r="B490" s="87" t="str">
        <f>IF(A490&lt;&gt;"",INDEX('Base de données'!A$4:L$990,MATCH(' TVA M'!A490,'Base de données'!A$4:A$990,0),2),"")</f>
        <v/>
      </c>
      <c r="C490" s="87" t="str">
        <f>IF(A490&lt;&gt;"",INDEX('Base de données'!A$4:L$990,MATCH(' TVA M'!A490,'Base de données'!A$4:A$990,0),12),"")</f>
        <v/>
      </c>
    </row>
    <row r="491" spans="2:3" x14ac:dyDescent="0.25">
      <c r="B491" s="87" t="str">
        <f>IF(A491&lt;&gt;"",INDEX('Base de données'!A$4:L$990,MATCH(' TVA M'!A491,'Base de données'!A$4:A$990,0),2),"")</f>
        <v/>
      </c>
      <c r="C491" s="87" t="str">
        <f>IF(A491&lt;&gt;"",INDEX('Base de données'!A$4:L$990,MATCH(' TVA M'!A491,'Base de données'!A$4:A$990,0),12),"")</f>
        <v/>
      </c>
    </row>
    <row r="492" spans="2:3" x14ac:dyDescent="0.25">
      <c r="B492" s="87" t="str">
        <f>IF(A492&lt;&gt;"",INDEX('Base de données'!A$4:L$990,MATCH(' TVA M'!A492,'Base de données'!A$4:A$990,0),2),"")</f>
        <v/>
      </c>
      <c r="C492" s="87" t="str">
        <f>IF(A492&lt;&gt;"",INDEX('Base de données'!A$4:L$990,MATCH(' TVA M'!A492,'Base de données'!A$4:A$990,0),12),"")</f>
        <v/>
      </c>
    </row>
    <row r="493" spans="2:3" x14ac:dyDescent="0.25">
      <c r="B493" s="87" t="str">
        <f>IF(A493&lt;&gt;"",INDEX('Base de données'!A$4:L$990,MATCH(' TVA M'!A493,'Base de données'!A$4:A$990,0),2),"")</f>
        <v/>
      </c>
      <c r="C493" s="87" t="str">
        <f>IF(A493&lt;&gt;"",INDEX('Base de données'!A$4:L$990,MATCH(' TVA M'!A493,'Base de données'!A$4:A$990,0),12),"")</f>
        <v/>
      </c>
    </row>
    <row r="494" spans="2:3" x14ac:dyDescent="0.25">
      <c r="B494" s="87" t="str">
        <f>IF(A494&lt;&gt;"",INDEX('Base de données'!A$4:L$990,MATCH(' TVA M'!A494,'Base de données'!A$4:A$990,0),2),"")</f>
        <v/>
      </c>
      <c r="C494" s="87" t="str">
        <f>IF(A494&lt;&gt;"",INDEX('Base de données'!A$4:L$990,MATCH(' TVA M'!A494,'Base de données'!A$4:A$990,0),12),"")</f>
        <v/>
      </c>
    </row>
    <row r="495" spans="2:3" x14ac:dyDescent="0.25">
      <c r="B495" s="87" t="str">
        <f>IF(A495&lt;&gt;"",INDEX('Base de données'!A$4:L$990,MATCH(' TVA M'!A495,'Base de données'!A$4:A$990,0),2),"")</f>
        <v/>
      </c>
      <c r="C495" s="87" t="str">
        <f>IF(A495&lt;&gt;"",INDEX('Base de données'!A$4:L$990,MATCH(' TVA M'!A495,'Base de données'!A$4:A$990,0),12),"")</f>
        <v/>
      </c>
    </row>
    <row r="496" spans="2:3" x14ac:dyDescent="0.25">
      <c r="B496" s="87" t="str">
        <f>IF(A496&lt;&gt;"",INDEX('Base de données'!A$4:L$990,MATCH(' TVA M'!A496,'Base de données'!A$4:A$990,0),2),"")</f>
        <v/>
      </c>
      <c r="C496" s="87" t="str">
        <f>IF(A496&lt;&gt;"",INDEX('Base de données'!A$4:L$990,MATCH(' TVA M'!A496,'Base de données'!A$4:A$990,0),12),"")</f>
        <v/>
      </c>
    </row>
    <row r="497" spans="2:3" x14ac:dyDescent="0.25">
      <c r="B497" s="87" t="str">
        <f>IF(A497&lt;&gt;"",INDEX('Base de données'!A$4:L$990,MATCH(' TVA M'!A497,'Base de données'!A$4:A$990,0),2),"")</f>
        <v/>
      </c>
      <c r="C497" s="87" t="str">
        <f>IF(A497&lt;&gt;"",INDEX('Base de données'!A$4:L$990,MATCH(' TVA M'!A497,'Base de données'!A$4:A$990,0),12),"")</f>
        <v/>
      </c>
    </row>
    <row r="498" spans="2:3" x14ac:dyDescent="0.25">
      <c r="B498" s="87" t="str">
        <f>IF(A498&lt;&gt;"",INDEX('Base de données'!A$4:L$990,MATCH(' TVA M'!A498,'Base de données'!A$4:A$990,0),2),"")</f>
        <v/>
      </c>
      <c r="C498" s="87" t="str">
        <f>IF(A498&lt;&gt;"",INDEX('Base de données'!A$4:L$990,MATCH(' TVA M'!A498,'Base de données'!A$4:A$990,0),12),"")</f>
        <v/>
      </c>
    </row>
    <row r="499" spans="2:3" x14ac:dyDescent="0.25">
      <c r="B499" s="87" t="str">
        <f>IF(A499&lt;&gt;"",INDEX('Base de données'!A$4:L$990,MATCH(' TVA M'!A499,'Base de données'!A$4:A$990,0),2),"")</f>
        <v/>
      </c>
      <c r="C499" s="87" t="str">
        <f>IF(A499&lt;&gt;"",INDEX('Base de données'!A$4:L$990,MATCH(' TVA M'!A499,'Base de données'!A$4:A$990,0),12),"")</f>
        <v/>
      </c>
    </row>
    <row r="500" spans="2:3" x14ac:dyDescent="0.25">
      <c r="B500" s="87" t="str">
        <f>IF(A500&lt;&gt;"",INDEX('Base de données'!A$4:L$990,MATCH(' TVA M'!A500,'Base de données'!A$4:A$990,0),2),"")</f>
        <v/>
      </c>
      <c r="C500" s="87" t="str">
        <f>IF(A500&lt;&gt;"",INDEX('Base de données'!A$4:L$990,MATCH(' TVA M'!A500,'Base de données'!A$4:A$990,0),12),"")</f>
        <v/>
      </c>
    </row>
    <row r="501" spans="2:3" x14ac:dyDescent="0.25">
      <c r="B501" s="87" t="str">
        <f>IF(A501&lt;&gt;"",INDEX('Base de données'!A$4:L$990,MATCH(' TVA M'!A501,'Base de données'!A$4:A$990,0),2),"")</f>
        <v/>
      </c>
      <c r="C501" s="87" t="str">
        <f>IF(A501&lt;&gt;"",INDEX('Base de données'!A$4:L$990,MATCH(' TVA M'!A501,'Base de données'!A$4:A$990,0),12),"")</f>
        <v/>
      </c>
    </row>
    <row r="502" spans="2:3" x14ac:dyDescent="0.25">
      <c r="B502" s="87" t="str">
        <f>IF(A502&lt;&gt;"",INDEX('Base de données'!A$4:L$990,MATCH(' TVA M'!A502,'Base de données'!A$4:A$990,0),2),"")</f>
        <v/>
      </c>
      <c r="C502" s="87" t="str">
        <f>IF(A502&lt;&gt;"",INDEX('Base de données'!A$4:L$990,MATCH(' TVA M'!A502,'Base de données'!A$4:A$990,0),12),"")</f>
        <v/>
      </c>
    </row>
    <row r="503" spans="2:3" x14ac:dyDescent="0.25">
      <c r="B503" s="87" t="str">
        <f>IF(A503&lt;&gt;"",INDEX('Base de données'!A$4:L$990,MATCH(' TVA M'!A503,'Base de données'!A$4:A$990,0),2),"")</f>
        <v/>
      </c>
      <c r="C503" s="87" t="str">
        <f>IF(A503&lt;&gt;"",INDEX('Base de données'!A$4:L$990,MATCH(' TVA M'!A503,'Base de données'!A$4:A$990,0),12),"")</f>
        <v/>
      </c>
    </row>
    <row r="504" spans="2:3" x14ac:dyDescent="0.25">
      <c r="B504" s="87" t="str">
        <f>IF(A504&lt;&gt;"",INDEX('Base de données'!A$4:L$990,MATCH(' TVA M'!A504,'Base de données'!A$4:A$990,0),2),"")</f>
        <v/>
      </c>
      <c r="C504" s="87" t="str">
        <f>IF(A504&lt;&gt;"",INDEX('Base de données'!A$4:L$990,MATCH(' TVA M'!A504,'Base de données'!A$4:A$990,0),12),"")</f>
        <v/>
      </c>
    </row>
    <row r="505" spans="2:3" x14ac:dyDescent="0.25">
      <c r="B505" s="87" t="str">
        <f>IF(A505&lt;&gt;"",INDEX('Base de données'!A$4:L$990,MATCH(' TVA M'!A505,'Base de données'!A$4:A$990,0),2),"")</f>
        <v/>
      </c>
      <c r="C505" s="87" t="str">
        <f>IF(A505&lt;&gt;"",INDEX('Base de données'!A$4:L$990,MATCH(' TVA M'!A505,'Base de données'!A$4:A$990,0),12),"")</f>
        <v/>
      </c>
    </row>
    <row r="506" spans="2:3" x14ac:dyDescent="0.25">
      <c r="B506" s="87" t="str">
        <f>IF(A506&lt;&gt;"",INDEX('Base de données'!A$4:L$990,MATCH(' TVA M'!A506,'Base de données'!A$4:A$990,0),2),"")</f>
        <v/>
      </c>
      <c r="C506" s="87" t="str">
        <f>IF(A506&lt;&gt;"",INDEX('Base de données'!A$4:L$990,MATCH(' TVA M'!A506,'Base de données'!A$4:A$990,0),12),"")</f>
        <v/>
      </c>
    </row>
    <row r="507" spans="2:3" x14ac:dyDescent="0.25">
      <c r="B507" s="87" t="str">
        <f>IF(A507&lt;&gt;"",INDEX('Base de données'!A$4:L$990,MATCH(' TVA M'!A507,'Base de données'!A$4:A$990,0),2),"")</f>
        <v/>
      </c>
      <c r="C507" s="87" t="str">
        <f>IF(A507&lt;&gt;"",INDEX('Base de données'!A$4:L$990,MATCH(' TVA M'!A507,'Base de données'!A$4:A$990,0),12),"")</f>
        <v/>
      </c>
    </row>
    <row r="508" spans="2:3" x14ac:dyDescent="0.25">
      <c r="B508" s="87" t="str">
        <f>IF(A508&lt;&gt;"",INDEX('Base de données'!A$4:L$990,MATCH(' TVA M'!A508,'Base de données'!A$4:A$990,0),2),"")</f>
        <v/>
      </c>
      <c r="C508" s="87" t="str">
        <f>IF(A508&lt;&gt;"",INDEX('Base de données'!A$4:L$990,MATCH(' TVA M'!A508,'Base de données'!A$4:A$990,0),12),"")</f>
        <v/>
      </c>
    </row>
    <row r="509" spans="2:3" x14ac:dyDescent="0.25">
      <c r="B509" s="87" t="str">
        <f>IF(A509&lt;&gt;"",INDEX('Base de données'!A$4:L$990,MATCH(' TVA M'!A509,'Base de données'!A$4:A$990,0),2),"")</f>
        <v/>
      </c>
      <c r="C509" s="87" t="str">
        <f>IF(A509&lt;&gt;"",INDEX('Base de données'!A$4:L$990,MATCH(' TVA M'!A509,'Base de données'!A$4:A$990,0),12),"")</f>
        <v/>
      </c>
    </row>
    <row r="510" spans="2:3" x14ac:dyDescent="0.25">
      <c r="B510" s="87" t="str">
        <f>IF(A510&lt;&gt;"",INDEX('Base de données'!A$4:L$990,MATCH(' TVA M'!A510,'Base de données'!A$4:A$990,0),2),"")</f>
        <v/>
      </c>
      <c r="C510" s="87" t="str">
        <f>IF(A510&lt;&gt;"",INDEX('Base de données'!A$4:L$990,MATCH(' TVA M'!A510,'Base de données'!A$4:A$990,0),12),"")</f>
        <v/>
      </c>
    </row>
    <row r="511" spans="2:3" x14ac:dyDescent="0.25">
      <c r="B511" s="87" t="str">
        <f>IF(A511&lt;&gt;"",INDEX('Base de données'!A$4:L$990,MATCH(' TVA M'!A511,'Base de données'!A$4:A$990,0),2),"")</f>
        <v/>
      </c>
      <c r="C511" s="87" t="str">
        <f>IF(A511&lt;&gt;"",INDEX('Base de données'!A$4:L$990,MATCH(' TVA M'!A511,'Base de données'!A$4:A$990,0),12),"")</f>
        <v/>
      </c>
    </row>
    <row r="512" spans="2:3" x14ac:dyDescent="0.25">
      <c r="B512" s="87" t="str">
        <f>IF(A512&lt;&gt;"",INDEX('Base de données'!A$4:L$990,MATCH(' TVA M'!A512,'Base de données'!A$4:A$990,0),2),"")</f>
        <v/>
      </c>
      <c r="C512" s="87" t="str">
        <f>IF(A512&lt;&gt;"",INDEX('Base de données'!A$4:L$990,MATCH(' TVA M'!A512,'Base de données'!A$4:A$990,0),12),"")</f>
        <v/>
      </c>
    </row>
    <row r="513" spans="2:3" x14ac:dyDescent="0.25">
      <c r="B513" s="87" t="str">
        <f>IF(A513&lt;&gt;"",INDEX('Base de données'!A$4:L$990,MATCH(' TVA M'!A513,'Base de données'!A$4:A$990,0),2),"")</f>
        <v/>
      </c>
      <c r="C513" s="87" t="str">
        <f>IF(A513&lt;&gt;"",INDEX('Base de données'!A$4:L$990,MATCH(' TVA M'!A513,'Base de données'!A$4:A$990,0),12),"")</f>
        <v/>
      </c>
    </row>
    <row r="514" spans="2:3" x14ac:dyDescent="0.25">
      <c r="B514" s="87" t="str">
        <f>IF(A514&lt;&gt;"",INDEX('Base de données'!A$4:L$990,MATCH(' TVA M'!A514,'Base de données'!A$4:A$990,0),2),"")</f>
        <v/>
      </c>
      <c r="C514" s="87" t="str">
        <f>IF(A514&lt;&gt;"",INDEX('Base de données'!A$4:L$990,MATCH(' TVA M'!A514,'Base de données'!A$4:A$990,0),12),"")</f>
        <v/>
      </c>
    </row>
    <row r="515" spans="2:3" x14ac:dyDescent="0.25">
      <c r="B515" s="87" t="str">
        <f>IF(A515&lt;&gt;"",INDEX('Base de données'!A$4:L$990,MATCH(' TVA M'!A515,'Base de données'!A$4:A$990,0),2),"")</f>
        <v/>
      </c>
      <c r="C515" s="87" t="str">
        <f>IF(A515&lt;&gt;"",INDEX('Base de données'!A$4:L$990,MATCH(' TVA M'!A515,'Base de données'!A$4:A$990,0),12),"")</f>
        <v/>
      </c>
    </row>
    <row r="516" spans="2:3" x14ac:dyDescent="0.25">
      <c r="B516" s="87" t="str">
        <f>IF(A516&lt;&gt;"",INDEX('Base de données'!A$4:L$990,MATCH(' TVA M'!A516,'Base de données'!A$4:A$990,0),2),"")</f>
        <v/>
      </c>
      <c r="C516" s="87" t="str">
        <f>IF(A516&lt;&gt;"",INDEX('Base de données'!A$4:L$990,MATCH(' TVA M'!A516,'Base de données'!A$4:A$990,0),12),"")</f>
        <v/>
      </c>
    </row>
    <row r="517" spans="2:3" x14ac:dyDescent="0.25">
      <c r="B517" s="87" t="str">
        <f>IF(A517&lt;&gt;"",INDEX('Base de données'!A$4:L$990,MATCH(' TVA M'!A517,'Base de données'!A$4:A$990,0),2),"")</f>
        <v/>
      </c>
      <c r="C517" s="87" t="str">
        <f>IF(A517&lt;&gt;"",INDEX('Base de données'!A$4:L$990,MATCH(' TVA M'!A517,'Base de données'!A$4:A$990,0),12),"")</f>
        <v/>
      </c>
    </row>
    <row r="518" spans="2:3" x14ac:dyDescent="0.25">
      <c r="B518" s="87" t="str">
        <f>IF(A518&lt;&gt;"",INDEX('Base de données'!A$4:L$990,MATCH(' TVA M'!A518,'Base de données'!A$4:A$990,0),2),"")</f>
        <v/>
      </c>
      <c r="C518" s="87" t="str">
        <f>IF(A518&lt;&gt;"",INDEX('Base de données'!A$4:L$990,MATCH(' TVA M'!A518,'Base de données'!A$4:A$990,0),12),"")</f>
        <v/>
      </c>
    </row>
    <row r="519" spans="2:3" x14ac:dyDescent="0.25">
      <c r="B519" s="87" t="str">
        <f>IF(A519&lt;&gt;"",INDEX('Base de données'!A$4:L$990,MATCH(' TVA M'!A519,'Base de données'!A$4:A$990,0),2),"")</f>
        <v/>
      </c>
      <c r="C519" s="87" t="str">
        <f>IF(A519&lt;&gt;"",INDEX('Base de données'!A$4:L$990,MATCH(' TVA M'!A519,'Base de données'!A$4:A$990,0),12),"")</f>
        <v/>
      </c>
    </row>
    <row r="520" spans="2:3" x14ac:dyDescent="0.25">
      <c r="B520" s="87" t="str">
        <f>IF(A520&lt;&gt;"",INDEX('Base de données'!A$4:L$990,MATCH(' TVA M'!A520,'Base de données'!A$4:A$990,0),2),"")</f>
        <v/>
      </c>
      <c r="C520" s="87" t="str">
        <f>IF(A520&lt;&gt;"",INDEX('Base de données'!A$4:L$990,MATCH(' TVA M'!A520,'Base de données'!A$4:A$990,0),12),"")</f>
        <v/>
      </c>
    </row>
    <row r="521" spans="2:3" x14ac:dyDescent="0.25">
      <c r="B521" s="87" t="str">
        <f>IF(A521&lt;&gt;"",INDEX('Base de données'!A$4:L$990,MATCH(' TVA M'!A521,'Base de données'!A$4:A$990,0),2),"")</f>
        <v/>
      </c>
      <c r="C521" s="87" t="str">
        <f>IF(A521&lt;&gt;"",INDEX('Base de données'!A$4:L$990,MATCH(' TVA M'!A521,'Base de données'!A$4:A$990,0),12),"")</f>
        <v/>
      </c>
    </row>
    <row r="522" spans="2:3" x14ac:dyDescent="0.25">
      <c r="B522" s="87" t="str">
        <f>IF(A522&lt;&gt;"",INDEX('Base de données'!A$4:L$990,MATCH(' TVA M'!A522,'Base de données'!A$4:A$990,0),2),"")</f>
        <v/>
      </c>
      <c r="C522" s="87" t="str">
        <f>IF(A522&lt;&gt;"",INDEX('Base de données'!A$4:L$990,MATCH(' TVA M'!A522,'Base de données'!A$4:A$990,0),12),"")</f>
        <v/>
      </c>
    </row>
    <row r="523" spans="2:3" x14ac:dyDescent="0.25">
      <c r="B523" s="87" t="str">
        <f>IF(A523&lt;&gt;"",INDEX('Base de données'!A$4:L$990,MATCH(' TVA M'!A523,'Base de données'!A$4:A$990,0),2),"")</f>
        <v/>
      </c>
      <c r="C523" s="87" t="str">
        <f>IF(A523&lt;&gt;"",INDEX('Base de données'!A$4:L$990,MATCH(' TVA M'!A523,'Base de données'!A$4:A$990,0),12),"")</f>
        <v/>
      </c>
    </row>
    <row r="524" spans="2:3" x14ac:dyDescent="0.25">
      <c r="B524" s="87" t="str">
        <f>IF(A524&lt;&gt;"",INDEX('Base de données'!A$4:L$990,MATCH(' TVA M'!A524,'Base de données'!A$4:A$990,0),2),"")</f>
        <v/>
      </c>
      <c r="C524" s="87" t="str">
        <f>IF(A524&lt;&gt;"",INDEX('Base de données'!A$4:L$990,MATCH(' TVA M'!A524,'Base de données'!A$4:A$990,0),12),"")</f>
        <v/>
      </c>
    </row>
    <row r="525" spans="2:3" x14ac:dyDescent="0.25">
      <c r="B525" s="87" t="str">
        <f>IF(A525&lt;&gt;"",INDEX('Base de données'!A$4:L$990,MATCH(' TVA M'!A525,'Base de données'!A$4:A$990,0),2),"")</f>
        <v/>
      </c>
      <c r="C525" s="87" t="str">
        <f>IF(A525&lt;&gt;"",INDEX('Base de données'!A$4:L$990,MATCH(' TVA M'!A525,'Base de données'!A$4:A$990,0),12),"")</f>
        <v/>
      </c>
    </row>
    <row r="526" spans="2:3" x14ac:dyDescent="0.25">
      <c r="B526" s="87" t="str">
        <f>IF(A526&lt;&gt;"",INDEX('Base de données'!A$4:L$990,MATCH(' TVA M'!A526,'Base de données'!A$4:A$990,0),2),"")</f>
        <v/>
      </c>
      <c r="C526" s="87" t="str">
        <f>IF(A526&lt;&gt;"",INDEX('Base de données'!A$4:L$990,MATCH(' TVA M'!A526,'Base de données'!A$4:A$990,0),12),"")</f>
        <v/>
      </c>
    </row>
    <row r="527" spans="2:3" x14ac:dyDescent="0.25">
      <c r="B527" s="87" t="str">
        <f>IF(A527&lt;&gt;"",INDEX('Base de données'!A$4:L$990,MATCH(' TVA M'!A527,'Base de données'!A$4:A$990,0),2),"")</f>
        <v/>
      </c>
      <c r="C527" s="87" t="str">
        <f>IF(A527&lt;&gt;"",INDEX('Base de données'!A$4:L$990,MATCH(' TVA M'!A527,'Base de données'!A$4:A$990,0),12),"")</f>
        <v/>
      </c>
    </row>
    <row r="528" spans="2:3" x14ac:dyDescent="0.25">
      <c r="B528" s="87" t="str">
        <f>IF(A528&lt;&gt;"",INDEX('Base de données'!A$4:L$990,MATCH(' TVA M'!A528,'Base de données'!A$4:A$990,0),2),"")</f>
        <v/>
      </c>
      <c r="C528" s="87" t="str">
        <f>IF(A528&lt;&gt;"",INDEX('Base de données'!A$4:L$990,MATCH(' TVA M'!A528,'Base de données'!A$4:A$990,0),12),"")</f>
        <v/>
      </c>
    </row>
    <row r="529" spans="2:3" x14ac:dyDescent="0.25">
      <c r="B529" s="87" t="str">
        <f>IF(A529&lt;&gt;"",INDEX('Base de données'!A$4:L$990,MATCH(' TVA M'!A529,'Base de données'!A$4:A$990,0),2),"")</f>
        <v/>
      </c>
      <c r="C529" s="87" t="str">
        <f>IF(A529&lt;&gt;"",INDEX('Base de données'!A$4:L$990,MATCH(' TVA M'!A529,'Base de données'!A$4:A$990,0),12),"")</f>
        <v/>
      </c>
    </row>
    <row r="530" spans="2:3" x14ac:dyDescent="0.25">
      <c r="B530" s="87" t="str">
        <f>IF(A530&lt;&gt;"",INDEX('Base de données'!A$4:L$990,MATCH(' TVA M'!A530,'Base de données'!A$4:A$990,0),2),"")</f>
        <v/>
      </c>
      <c r="C530" s="87" t="str">
        <f>IF(A530&lt;&gt;"",INDEX('Base de données'!A$4:L$990,MATCH(' TVA M'!A530,'Base de données'!A$4:A$990,0),12),"")</f>
        <v/>
      </c>
    </row>
    <row r="531" spans="2:3" x14ac:dyDescent="0.25">
      <c r="B531" s="87" t="str">
        <f>IF(A531&lt;&gt;"",INDEX('Base de données'!A$4:L$990,MATCH(' TVA M'!A531,'Base de données'!A$4:A$990,0),2),"")</f>
        <v/>
      </c>
      <c r="C531" s="87" t="str">
        <f>IF(A531&lt;&gt;"",INDEX('Base de données'!A$4:L$990,MATCH(' TVA M'!A531,'Base de données'!A$4:A$990,0),12),"")</f>
        <v/>
      </c>
    </row>
    <row r="532" spans="2:3" x14ac:dyDescent="0.25">
      <c r="B532" s="87" t="str">
        <f>IF(A532&lt;&gt;"",INDEX('Base de données'!A$4:L$990,MATCH(' TVA M'!A532,'Base de données'!A$4:A$990,0),2),"")</f>
        <v/>
      </c>
      <c r="C532" s="87" t="str">
        <f>IF(A532&lt;&gt;"",INDEX('Base de données'!A$4:L$990,MATCH(' TVA M'!A532,'Base de données'!A$4:A$990,0),12),"")</f>
        <v/>
      </c>
    </row>
    <row r="533" spans="2:3" x14ac:dyDescent="0.25">
      <c r="B533" s="87" t="str">
        <f>IF(A533&lt;&gt;"",INDEX('Base de données'!A$4:L$990,MATCH(' TVA M'!A533,'Base de données'!A$4:A$990,0),2),"")</f>
        <v/>
      </c>
      <c r="C533" s="87" t="str">
        <f>IF(A533&lt;&gt;"",INDEX('Base de données'!A$4:L$990,MATCH(' TVA M'!A533,'Base de données'!A$4:A$990,0),12),"")</f>
        <v/>
      </c>
    </row>
    <row r="534" spans="2:3" x14ac:dyDescent="0.25">
      <c r="B534" s="87" t="str">
        <f>IF(A534&lt;&gt;"",INDEX('Base de données'!A$4:L$990,MATCH(' TVA M'!A534,'Base de données'!A$4:A$990,0),2),"")</f>
        <v/>
      </c>
      <c r="C534" s="87" t="str">
        <f>IF(A534&lt;&gt;"",INDEX('Base de données'!A$4:L$990,MATCH(' TVA M'!A534,'Base de données'!A$4:A$990,0),12),"")</f>
        <v/>
      </c>
    </row>
    <row r="535" spans="2:3" x14ac:dyDescent="0.25">
      <c r="B535" s="87" t="str">
        <f>IF(A535&lt;&gt;"",INDEX('Base de données'!A$4:L$990,MATCH(' TVA M'!A535,'Base de données'!A$4:A$990,0),2),"")</f>
        <v/>
      </c>
      <c r="C535" s="87" t="str">
        <f>IF(A535&lt;&gt;"",INDEX('Base de données'!A$4:L$990,MATCH(' TVA M'!A535,'Base de données'!A$4:A$990,0),12),"")</f>
        <v/>
      </c>
    </row>
    <row r="536" spans="2:3" x14ac:dyDescent="0.25">
      <c r="B536" s="87" t="str">
        <f>IF(A536&lt;&gt;"",INDEX('Base de données'!A$4:L$990,MATCH(' TVA M'!A536,'Base de données'!A$4:A$990,0),2),"")</f>
        <v/>
      </c>
      <c r="C536" s="87" t="str">
        <f>IF(A536&lt;&gt;"",INDEX('Base de données'!A$4:L$990,MATCH(' TVA M'!A536,'Base de données'!A$4:A$990,0),12),"")</f>
        <v/>
      </c>
    </row>
    <row r="537" spans="2:3" x14ac:dyDescent="0.25">
      <c r="B537" s="87" t="str">
        <f>IF(A537&lt;&gt;"",INDEX('Base de données'!A$4:L$990,MATCH(' TVA M'!A537,'Base de données'!A$4:A$990,0),2),"")</f>
        <v/>
      </c>
      <c r="C537" s="87" t="str">
        <f>IF(A537&lt;&gt;"",INDEX('Base de données'!A$4:L$990,MATCH(' TVA M'!A537,'Base de données'!A$4:A$990,0),12),"")</f>
        <v/>
      </c>
    </row>
    <row r="538" spans="2:3" x14ac:dyDescent="0.25">
      <c r="B538" s="87" t="str">
        <f>IF(A538&lt;&gt;"",INDEX('Base de données'!A$4:L$990,MATCH(' TVA M'!A538,'Base de données'!A$4:A$990,0),2),"")</f>
        <v/>
      </c>
      <c r="C538" s="87" t="str">
        <f>IF(A538&lt;&gt;"",INDEX('Base de données'!A$4:L$990,MATCH(' TVA M'!A538,'Base de données'!A$4:A$990,0),12),"")</f>
        <v/>
      </c>
    </row>
    <row r="539" spans="2:3" x14ac:dyDescent="0.25">
      <c r="B539" s="87" t="str">
        <f>IF(A539&lt;&gt;"",INDEX('Base de données'!A$4:L$990,MATCH(' TVA M'!A539,'Base de données'!A$4:A$990,0),2),"")</f>
        <v/>
      </c>
      <c r="C539" s="87" t="str">
        <f>IF(A539&lt;&gt;"",INDEX('Base de données'!A$4:L$990,MATCH(' TVA M'!A539,'Base de données'!A$4:A$990,0),12),"")</f>
        <v/>
      </c>
    </row>
    <row r="540" spans="2:3" x14ac:dyDescent="0.25">
      <c r="B540" s="87" t="str">
        <f>IF(A540&lt;&gt;"",INDEX('Base de données'!A$4:L$990,MATCH(' TVA M'!A540,'Base de données'!A$4:A$990,0),2),"")</f>
        <v/>
      </c>
      <c r="C540" s="87" t="str">
        <f>IF(A540&lt;&gt;"",INDEX('Base de données'!A$4:L$990,MATCH(' TVA M'!A540,'Base de données'!A$4:A$990,0),12),"")</f>
        <v/>
      </c>
    </row>
    <row r="541" spans="2:3" x14ac:dyDescent="0.25">
      <c r="B541" s="87" t="str">
        <f>IF(A541&lt;&gt;"",INDEX('Base de données'!A$4:L$990,MATCH(' TVA M'!A541,'Base de données'!A$4:A$990,0),2),"")</f>
        <v/>
      </c>
      <c r="C541" s="87" t="str">
        <f>IF(A541&lt;&gt;"",INDEX('Base de données'!A$4:L$990,MATCH(' TVA M'!A541,'Base de données'!A$4:A$990,0),12),"")</f>
        <v/>
      </c>
    </row>
    <row r="542" spans="2:3" x14ac:dyDescent="0.25">
      <c r="B542" s="87" t="str">
        <f>IF(A542&lt;&gt;"",INDEX('Base de données'!A$4:L$990,MATCH(' TVA M'!A542,'Base de données'!A$4:A$990,0),2),"")</f>
        <v/>
      </c>
      <c r="C542" s="87" t="str">
        <f>IF(A542&lt;&gt;"",INDEX('Base de données'!A$4:L$990,MATCH(' TVA M'!A542,'Base de données'!A$4:A$990,0),12),"")</f>
        <v/>
      </c>
    </row>
    <row r="543" spans="2:3" x14ac:dyDescent="0.25">
      <c r="B543" s="87" t="str">
        <f>IF(A543&lt;&gt;"",INDEX('Base de données'!A$4:L$990,MATCH(' TVA M'!A543,'Base de données'!A$4:A$990,0),2),"")</f>
        <v/>
      </c>
      <c r="C543" s="87" t="str">
        <f>IF(A543&lt;&gt;"",INDEX('Base de données'!A$4:L$990,MATCH(' TVA M'!A543,'Base de données'!A$4:A$990,0),12),"")</f>
        <v/>
      </c>
    </row>
    <row r="544" spans="2:3" x14ac:dyDescent="0.25">
      <c r="B544" s="87" t="str">
        <f>IF(A544&lt;&gt;"",INDEX('Base de données'!A$4:L$990,MATCH(' TVA M'!A544,'Base de données'!A$4:A$990,0),2),"")</f>
        <v/>
      </c>
      <c r="C544" s="87" t="str">
        <f>IF(A544&lt;&gt;"",INDEX('Base de données'!A$4:L$990,MATCH(' TVA M'!A544,'Base de données'!A$4:A$990,0),12),"")</f>
        <v/>
      </c>
    </row>
    <row r="545" spans="2:3" x14ac:dyDescent="0.25">
      <c r="B545" s="87" t="str">
        <f>IF(A545&lt;&gt;"",INDEX('Base de données'!A$4:L$990,MATCH(' TVA M'!A545,'Base de données'!A$4:A$990,0),2),"")</f>
        <v/>
      </c>
      <c r="C545" s="87" t="str">
        <f>IF(A545&lt;&gt;"",INDEX('Base de données'!A$4:L$990,MATCH(' TVA M'!A545,'Base de données'!A$4:A$990,0),12),"")</f>
        <v/>
      </c>
    </row>
    <row r="546" spans="2:3" x14ac:dyDescent="0.25">
      <c r="B546" s="87" t="str">
        <f>IF(A546&lt;&gt;"",INDEX('Base de données'!A$4:L$990,MATCH(' TVA M'!A546,'Base de données'!A$4:A$990,0),2),"")</f>
        <v/>
      </c>
      <c r="C546" s="87" t="str">
        <f>IF(A546&lt;&gt;"",INDEX('Base de données'!A$4:L$990,MATCH(' TVA M'!A546,'Base de données'!A$4:A$990,0),12),"")</f>
        <v/>
      </c>
    </row>
    <row r="547" spans="2:3" x14ac:dyDescent="0.25">
      <c r="B547" s="87" t="str">
        <f>IF(A547&lt;&gt;"",INDEX('Base de données'!A$4:L$990,MATCH(' TVA M'!A547,'Base de données'!A$4:A$990,0),2),"")</f>
        <v/>
      </c>
      <c r="C547" s="87" t="str">
        <f>IF(A547&lt;&gt;"",INDEX('Base de données'!A$4:L$990,MATCH(' TVA M'!A547,'Base de données'!A$4:A$990,0),12),"")</f>
        <v/>
      </c>
    </row>
    <row r="548" spans="2:3" x14ac:dyDescent="0.25">
      <c r="B548" s="87" t="str">
        <f>IF(A548&lt;&gt;"",INDEX('Base de données'!A$4:L$990,MATCH(' TVA M'!A548,'Base de données'!A$4:A$990,0),2),"")</f>
        <v/>
      </c>
      <c r="C548" s="87" t="str">
        <f>IF(A548&lt;&gt;"",INDEX('Base de données'!A$4:L$990,MATCH(' TVA M'!A548,'Base de données'!A$4:A$990,0),12),"")</f>
        <v/>
      </c>
    </row>
    <row r="549" spans="2:3" x14ac:dyDescent="0.25">
      <c r="B549" s="87" t="str">
        <f>IF(A549&lt;&gt;"",INDEX('Base de données'!A$4:L$990,MATCH(' TVA M'!A549,'Base de données'!A$4:A$990,0),2),"")</f>
        <v/>
      </c>
      <c r="C549" s="87" t="str">
        <f>IF(A549&lt;&gt;"",INDEX('Base de données'!A$4:L$990,MATCH(' TVA M'!A549,'Base de données'!A$4:A$990,0),12),"")</f>
        <v/>
      </c>
    </row>
    <row r="550" spans="2:3" x14ac:dyDescent="0.25">
      <c r="B550" s="87" t="str">
        <f>IF(A550&lt;&gt;"",INDEX('Base de données'!A$4:L$990,MATCH(' TVA M'!A550,'Base de données'!A$4:A$990,0),2),"")</f>
        <v/>
      </c>
      <c r="C550" s="87" t="str">
        <f>IF(A550&lt;&gt;"",INDEX('Base de données'!A$4:L$990,MATCH(' TVA M'!A550,'Base de données'!A$4:A$990,0),12),"")</f>
        <v/>
      </c>
    </row>
    <row r="551" spans="2:3" x14ac:dyDescent="0.25">
      <c r="B551" s="87" t="str">
        <f>IF(A551&lt;&gt;"",INDEX('Base de données'!A$4:L$990,MATCH(' TVA M'!A551,'Base de données'!A$4:A$990,0),2),"")</f>
        <v/>
      </c>
      <c r="C551" s="87" t="str">
        <f>IF(A551&lt;&gt;"",INDEX('Base de données'!A$4:L$990,MATCH(' TVA M'!A551,'Base de données'!A$4:A$990,0),12),"")</f>
        <v/>
      </c>
    </row>
    <row r="552" spans="2:3" x14ac:dyDescent="0.25">
      <c r="B552" s="87" t="str">
        <f>IF(A552&lt;&gt;"",INDEX('Base de données'!A$4:L$990,MATCH(' TVA M'!A552,'Base de données'!A$4:A$990,0),2),"")</f>
        <v/>
      </c>
      <c r="C552" s="87" t="str">
        <f>IF(A552&lt;&gt;"",INDEX('Base de données'!A$4:L$990,MATCH(' TVA M'!A552,'Base de données'!A$4:A$990,0),12),"")</f>
        <v/>
      </c>
    </row>
    <row r="553" spans="2:3" x14ac:dyDescent="0.25">
      <c r="B553" s="87" t="str">
        <f>IF(A553&lt;&gt;"",INDEX('Base de données'!A$4:L$990,MATCH(' TVA M'!A553,'Base de données'!A$4:A$990,0),2),"")</f>
        <v/>
      </c>
      <c r="C553" s="87" t="str">
        <f>IF(A553&lt;&gt;"",INDEX('Base de données'!A$4:L$990,MATCH(' TVA M'!A553,'Base de données'!A$4:A$990,0),12),"")</f>
        <v/>
      </c>
    </row>
    <row r="554" spans="2:3" x14ac:dyDescent="0.25">
      <c r="B554" s="87" t="str">
        <f>IF(A554&lt;&gt;"",INDEX('Base de données'!A$4:L$990,MATCH(' TVA M'!A554,'Base de données'!A$4:A$990,0),2),"")</f>
        <v/>
      </c>
      <c r="C554" s="87" t="str">
        <f>IF(A554&lt;&gt;"",INDEX('Base de données'!A$4:L$990,MATCH(' TVA M'!A554,'Base de données'!A$4:A$990,0),12),"")</f>
        <v/>
      </c>
    </row>
    <row r="555" spans="2:3" x14ac:dyDescent="0.25">
      <c r="B555" s="87" t="str">
        <f>IF(A555&lt;&gt;"",INDEX('Base de données'!A$4:L$990,MATCH(' TVA M'!A555,'Base de données'!A$4:A$990,0),2),"")</f>
        <v/>
      </c>
      <c r="C555" s="87" t="str">
        <f>IF(A555&lt;&gt;"",INDEX('Base de données'!A$4:L$990,MATCH(' TVA M'!A555,'Base de données'!A$4:A$990,0),12),"")</f>
        <v/>
      </c>
    </row>
    <row r="556" spans="2:3" x14ac:dyDescent="0.25">
      <c r="B556" s="87" t="str">
        <f>IF(A556&lt;&gt;"",INDEX('Base de données'!A$4:L$990,MATCH(' TVA M'!A556,'Base de données'!A$4:A$990,0),2),"")</f>
        <v/>
      </c>
      <c r="C556" s="87" t="str">
        <f>IF(A556&lt;&gt;"",INDEX('Base de données'!A$4:L$990,MATCH(' TVA M'!A556,'Base de données'!A$4:A$990,0),12),"")</f>
        <v/>
      </c>
    </row>
    <row r="557" spans="2:3" x14ac:dyDescent="0.25">
      <c r="B557" s="87" t="str">
        <f>IF(A557&lt;&gt;"",INDEX('Base de données'!A$4:L$990,MATCH(' TVA M'!A557,'Base de données'!A$4:A$990,0),2),"")</f>
        <v/>
      </c>
      <c r="C557" s="87" t="str">
        <f>IF(A557&lt;&gt;"",INDEX('Base de données'!A$4:L$990,MATCH(' TVA M'!A557,'Base de données'!A$4:A$990,0),12),"")</f>
        <v/>
      </c>
    </row>
    <row r="558" spans="2:3" x14ac:dyDescent="0.25">
      <c r="B558" s="87" t="str">
        <f>IF(A558&lt;&gt;"",INDEX('Base de données'!A$4:L$990,MATCH(' TVA M'!A558,'Base de données'!A$4:A$990,0),2),"")</f>
        <v/>
      </c>
      <c r="C558" s="87" t="str">
        <f>IF(A558&lt;&gt;"",INDEX('Base de données'!A$4:L$990,MATCH(' TVA M'!A558,'Base de données'!A$4:A$990,0),12),"")</f>
        <v/>
      </c>
    </row>
    <row r="559" spans="2:3" x14ac:dyDescent="0.25">
      <c r="B559" s="87" t="str">
        <f>IF(A559&lt;&gt;"",INDEX('Base de données'!A$4:L$990,MATCH(' TVA M'!A559,'Base de données'!A$4:A$990,0),2),"")</f>
        <v/>
      </c>
      <c r="C559" s="87" t="str">
        <f>IF(A559&lt;&gt;"",INDEX('Base de données'!A$4:L$990,MATCH(' TVA M'!A559,'Base de données'!A$4:A$990,0),12),"")</f>
        <v/>
      </c>
    </row>
    <row r="560" spans="2:3" x14ac:dyDescent="0.25">
      <c r="B560" s="87" t="str">
        <f>IF(A560&lt;&gt;"",INDEX('Base de données'!A$4:L$990,MATCH(' TVA M'!A560,'Base de données'!A$4:A$990,0),2),"")</f>
        <v/>
      </c>
      <c r="C560" s="87" t="str">
        <f>IF(A560&lt;&gt;"",INDEX('Base de données'!A$4:L$990,MATCH(' TVA M'!A560,'Base de données'!A$4:A$990,0),12),"")</f>
        <v/>
      </c>
    </row>
    <row r="561" spans="2:3" x14ac:dyDescent="0.25">
      <c r="B561" s="87" t="str">
        <f>IF(A561&lt;&gt;"",INDEX('Base de données'!A$4:L$990,MATCH(' TVA M'!A561,'Base de données'!A$4:A$990,0),2),"")</f>
        <v/>
      </c>
      <c r="C561" s="87" t="str">
        <f>IF(A561&lt;&gt;"",INDEX('Base de données'!A$4:L$990,MATCH(' TVA M'!A561,'Base de données'!A$4:A$990,0),12),"")</f>
        <v/>
      </c>
    </row>
    <row r="562" spans="2:3" x14ac:dyDescent="0.25">
      <c r="B562" s="87" t="str">
        <f>IF(A562&lt;&gt;"",INDEX('Base de données'!A$4:L$990,MATCH(' TVA M'!A562,'Base de données'!A$4:A$990,0),2),"")</f>
        <v/>
      </c>
      <c r="C562" s="87" t="str">
        <f>IF(A562&lt;&gt;"",INDEX('Base de données'!A$4:L$990,MATCH(' TVA M'!A562,'Base de données'!A$4:A$990,0),12),"")</f>
        <v/>
      </c>
    </row>
    <row r="563" spans="2:3" x14ac:dyDescent="0.25">
      <c r="B563" s="87" t="str">
        <f>IF(A563&lt;&gt;"",INDEX('Base de données'!A$4:L$990,MATCH(' TVA M'!A563,'Base de données'!A$4:A$990,0),2),"")</f>
        <v/>
      </c>
      <c r="C563" s="87" t="str">
        <f>IF(A563&lt;&gt;"",INDEX('Base de données'!A$4:L$990,MATCH(' TVA M'!A563,'Base de données'!A$4:A$990,0),12),"")</f>
        <v/>
      </c>
    </row>
    <row r="564" spans="2:3" x14ac:dyDescent="0.25">
      <c r="B564" s="87" t="str">
        <f>IF(A564&lt;&gt;"",INDEX('Base de données'!A$4:L$990,MATCH(' TVA M'!A564,'Base de données'!A$4:A$990,0),2),"")</f>
        <v/>
      </c>
      <c r="C564" s="87" t="str">
        <f>IF(A564&lt;&gt;"",INDEX('Base de données'!A$4:L$990,MATCH(' TVA M'!A564,'Base de données'!A$4:A$990,0),12),"")</f>
        <v/>
      </c>
    </row>
    <row r="565" spans="2:3" x14ac:dyDescent="0.25">
      <c r="B565" s="87" t="str">
        <f>IF(A565&lt;&gt;"",INDEX('Base de données'!A$4:L$990,MATCH(' TVA M'!A565,'Base de données'!A$4:A$990,0),2),"")</f>
        <v/>
      </c>
      <c r="C565" s="87" t="str">
        <f>IF(A565&lt;&gt;"",INDEX('Base de données'!A$4:L$990,MATCH(' TVA M'!A565,'Base de données'!A$4:A$990,0),12),"")</f>
        <v/>
      </c>
    </row>
    <row r="566" spans="2:3" x14ac:dyDescent="0.25">
      <c r="B566" s="87" t="str">
        <f>IF(A566&lt;&gt;"",INDEX('Base de données'!A$4:L$990,MATCH(' TVA M'!A566,'Base de données'!A$4:A$990,0),2),"")</f>
        <v/>
      </c>
      <c r="C566" s="87" t="str">
        <f>IF(A566&lt;&gt;"",INDEX('Base de données'!A$4:L$990,MATCH(' TVA M'!A566,'Base de données'!A$4:A$990,0),12),"")</f>
        <v/>
      </c>
    </row>
    <row r="567" spans="2:3" x14ac:dyDescent="0.25">
      <c r="B567" s="87" t="str">
        <f>IF(A567&lt;&gt;"",INDEX('Base de données'!A$4:L$990,MATCH(' TVA M'!A567,'Base de données'!A$4:A$990,0),2),"")</f>
        <v/>
      </c>
      <c r="C567" s="87" t="str">
        <f>IF(A567&lt;&gt;"",INDEX('Base de données'!A$4:L$990,MATCH(' TVA M'!A567,'Base de données'!A$4:A$990,0),12),"")</f>
        <v/>
      </c>
    </row>
    <row r="568" spans="2:3" x14ac:dyDescent="0.25">
      <c r="B568" s="87" t="str">
        <f>IF(A568&lt;&gt;"",INDEX('Base de données'!A$4:L$990,MATCH(' TVA M'!A568,'Base de données'!A$4:A$990,0),2),"")</f>
        <v/>
      </c>
      <c r="C568" s="87" t="str">
        <f>IF(A568&lt;&gt;"",INDEX('Base de données'!A$4:L$990,MATCH(' TVA M'!A568,'Base de données'!A$4:A$990,0),12),"")</f>
        <v/>
      </c>
    </row>
    <row r="569" spans="2:3" x14ac:dyDescent="0.25">
      <c r="B569" s="87" t="str">
        <f>IF(A569&lt;&gt;"",INDEX('Base de données'!A$4:L$990,MATCH(' TVA M'!A569,'Base de données'!A$4:A$990,0),2),"")</f>
        <v/>
      </c>
      <c r="C569" s="87" t="str">
        <f>IF(A569&lt;&gt;"",INDEX('Base de données'!A$4:L$990,MATCH(' TVA M'!A569,'Base de données'!A$4:A$990,0),12),"")</f>
        <v/>
      </c>
    </row>
    <row r="570" spans="2:3" x14ac:dyDescent="0.25">
      <c r="B570" s="87" t="str">
        <f>IF(A570&lt;&gt;"",INDEX('Base de données'!A$4:L$990,MATCH(' TVA M'!A570,'Base de données'!A$4:A$990,0),2),"")</f>
        <v/>
      </c>
      <c r="C570" s="87" t="str">
        <f>IF(A570&lt;&gt;"",INDEX('Base de données'!A$4:L$990,MATCH(' TVA M'!A570,'Base de données'!A$4:A$990,0),12),"")</f>
        <v/>
      </c>
    </row>
    <row r="571" spans="2:3" x14ac:dyDescent="0.25">
      <c r="B571" s="87" t="str">
        <f>IF(A571&lt;&gt;"",INDEX('Base de données'!A$4:L$990,MATCH(' TVA M'!A571,'Base de données'!A$4:A$990,0),2),"")</f>
        <v/>
      </c>
      <c r="C571" s="87" t="str">
        <f>IF(A571&lt;&gt;"",INDEX('Base de données'!A$4:L$990,MATCH(' TVA M'!A571,'Base de données'!A$4:A$990,0),12),"")</f>
        <v/>
      </c>
    </row>
    <row r="572" spans="2:3" x14ac:dyDescent="0.25">
      <c r="B572" s="87" t="str">
        <f>IF(A572&lt;&gt;"",INDEX('Base de données'!A$4:L$990,MATCH(' TVA M'!A572,'Base de données'!A$4:A$990,0),2),"")</f>
        <v/>
      </c>
      <c r="C572" s="87" t="str">
        <f>IF(A572&lt;&gt;"",INDEX('Base de données'!A$4:L$990,MATCH(' TVA M'!A572,'Base de données'!A$4:A$990,0),12),"")</f>
        <v/>
      </c>
    </row>
    <row r="573" spans="2:3" x14ac:dyDescent="0.25">
      <c r="B573" s="87" t="str">
        <f>IF(A573&lt;&gt;"",INDEX('Base de données'!A$4:L$990,MATCH(' TVA M'!A573,'Base de données'!A$4:A$990,0),2),"")</f>
        <v/>
      </c>
      <c r="C573" s="87" t="str">
        <f>IF(A573&lt;&gt;"",INDEX('Base de données'!A$4:L$990,MATCH(' TVA M'!A573,'Base de données'!A$4:A$990,0),12),"")</f>
        <v/>
      </c>
    </row>
    <row r="574" spans="2:3" x14ac:dyDescent="0.25">
      <c r="B574" s="87" t="str">
        <f>IF(A574&lt;&gt;"",INDEX('Base de données'!A$4:L$990,MATCH(' TVA M'!A574,'Base de données'!A$4:A$990,0),2),"")</f>
        <v/>
      </c>
      <c r="C574" s="87" t="str">
        <f>IF(A574&lt;&gt;"",INDEX('Base de données'!A$4:L$990,MATCH(' TVA M'!A574,'Base de données'!A$4:A$990,0),12),"")</f>
        <v/>
      </c>
    </row>
    <row r="575" spans="2:3" x14ac:dyDescent="0.25">
      <c r="B575" s="87" t="str">
        <f>IF(A575&lt;&gt;"",INDEX('Base de données'!A$4:L$990,MATCH(' TVA M'!A575,'Base de données'!A$4:A$990,0),2),"")</f>
        <v/>
      </c>
      <c r="C575" s="87" t="str">
        <f>IF(A575&lt;&gt;"",INDEX('Base de données'!A$4:L$990,MATCH(' TVA M'!A575,'Base de données'!A$4:A$990,0),12),"")</f>
        <v/>
      </c>
    </row>
    <row r="576" spans="2:3" x14ac:dyDescent="0.25">
      <c r="B576" s="87" t="str">
        <f>IF(A576&lt;&gt;"",INDEX('Base de données'!A$4:L$990,MATCH(' TVA M'!A576,'Base de données'!A$4:A$990,0),2),"")</f>
        <v/>
      </c>
      <c r="C576" s="87" t="str">
        <f>IF(A576&lt;&gt;"",INDEX('Base de données'!A$4:L$990,MATCH(' TVA M'!A576,'Base de données'!A$4:A$990,0),12),"")</f>
        <v/>
      </c>
    </row>
    <row r="577" spans="2:3" x14ac:dyDescent="0.25">
      <c r="B577" s="87" t="str">
        <f>IF(A577&lt;&gt;"",INDEX('Base de données'!A$4:L$990,MATCH(' TVA M'!A577,'Base de données'!A$4:A$990,0),2),"")</f>
        <v/>
      </c>
      <c r="C577" s="87" t="str">
        <f>IF(A577&lt;&gt;"",INDEX('Base de données'!A$4:L$990,MATCH(' TVA M'!A577,'Base de données'!A$4:A$990,0),12),"")</f>
        <v/>
      </c>
    </row>
    <row r="578" spans="2:3" x14ac:dyDescent="0.25">
      <c r="B578" s="87" t="str">
        <f>IF(A578&lt;&gt;"",INDEX('Base de données'!A$4:L$990,MATCH(' TVA M'!A578,'Base de données'!A$4:A$990,0),2),"")</f>
        <v/>
      </c>
      <c r="C578" s="87" t="str">
        <f>IF(A578&lt;&gt;"",INDEX('Base de données'!A$4:L$990,MATCH(' TVA M'!A578,'Base de données'!A$4:A$990,0),12),"")</f>
        <v/>
      </c>
    </row>
    <row r="579" spans="2:3" x14ac:dyDescent="0.25">
      <c r="B579" s="87" t="str">
        <f>IF(A579&lt;&gt;"",INDEX('Base de données'!A$4:L$990,MATCH(' TVA M'!A579,'Base de données'!A$4:A$990,0),2),"")</f>
        <v/>
      </c>
      <c r="C579" s="87" t="str">
        <f>IF(A579&lt;&gt;"",INDEX('Base de données'!A$4:L$990,MATCH(' TVA M'!A579,'Base de données'!A$4:A$990,0),12),"")</f>
        <v/>
      </c>
    </row>
    <row r="580" spans="2:3" x14ac:dyDescent="0.25">
      <c r="B580" s="87" t="str">
        <f>IF(A580&lt;&gt;"",INDEX('Base de données'!A$4:L$990,MATCH(' TVA M'!A580,'Base de données'!A$4:A$990,0),2),"")</f>
        <v/>
      </c>
      <c r="C580" s="87" t="str">
        <f>IF(A580&lt;&gt;"",INDEX('Base de données'!A$4:L$990,MATCH(' TVA M'!A580,'Base de données'!A$4:A$990,0),12),"")</f>
        <v/>
      </c>
    </row>
    <row r="581" spans="2:3" x14ac:dyDescent="0.25">
      <c r="B581" s="87" t="str">
        <f>IF(A581&lt;&gt;"",INDEX('Base de données'!A$4:L$990,MATCH(' TVA M'!A581,'Base de données'!A$4:A$990,0),2),"")</f>
        <v/>
      </c>
      <c r="C581" s="87" t="str">
        <f>IF(A581&lt;&gt;"",INDEX('Base de données'!A$4:L$990,MATCH(' TVA M'!A581,'Base de données'!A$4:A$990,0),12),"")</f>
        <v/>
      </c>
    </row>
    <row r="582" spans="2:3" x14ac:dyDescent="0.25">
      <c r="B582" s="87" t="str">
        <f>IF(A582&lt;&gt;"",INDEX('Base de données'!A$4:L$990,MATCH(' TVA M'!A582,'Base de données'!A$4:A$990,0),2),"")</f>
        <v/>
      </c>
      <c r="C582" s="87" t="str">
        <f>IF(A582&lt;&gt;"",INDEX('Base de données'!A$4:L$990,MATCH(' TVA M'!A582,'Base de données'!A$4:A$990,0),12),"")</f>
        <v/>
      </c>
    </row>
    <row r="583" spans="2:3" x14ac:dyDescent="0.25">
      <c r="B583" s="87" t="str">
        <f>IF(A583&lt;&gt;"",INDEX('Base de données'!A$4:L$990,MATCH(' TVA M'!A583,'Base de données'!A$4:A$990,0),2),"")</f>
        <v/>
      </c>
      <c r="C583" s="87" t="str">
        <f>IF(A583&lt;&gt;"",INDEX('Base de données'!A$4:L$990,MATCH(' TVA M'!A583,'Base de données'!A$4:A$990,0),12),"")</f>
        <v/>
      </c>
    </row>
    <row r="584" spans="2:3" x14ac:dyDescent="0.25">
      <c r="B584" s="87" t="str">
        <f>IF(A584&lt;&gt;"",INDEX('Base de données'!A$4:L$990,MATCH(' TVA M'!A584,'Base de données'!A$4:A$990,0),2),"")</f>
        <v/>
      </c>
      <c r="C584" s="87" t="str">
        <f>IF(A584&lt;&gt;"",INDEX('Base de données'!A$4:L$990,MATCH(' TVA M'!A584,'Base de données'!A$4:A$990,0),12),"")</f>
        <v/>
      </c>
    </row>
    <row r="585" spans="2:3" x14ac:dyDescent="0.25">
      <c r="B585" s="87" t="str">
        <f>IF(A585&lt;&gt;"",INDEX('Base de données'!A$4:L$990,MATCH(' TVA M'!A585,'Base de données'!A$4:A$990,0),2),"")</f>
        <v/>
      </c>
      <c r="C585" s="87" t="str">
        <f>IF(A585&lt;&gt;"",INDEX('Base de données'!A$4:L$990,MATCH(' TVA M'!A585,'Base de données'!A$4:A$990,0),12),"")</f>
        <v/>
      </c>
    </row>
    <row r="586" spans="2:3" x14ac:dyDescent="0.25">
      <c r="B586" s="87" t="str">
        <f>IF(A586&lt;&gt;"",INDEX('Base de données'!A$4:L$990,MATCH(' TVA M'!A586,'Base de données'!A$4:A$990,0),2),"")</f>
        <v/>
      </c>
      <c r="C586" s="87" t="str">
        <f>IF(A586&lt;&gt;"",INDEX('Base de données'!A$4:L$990,MATCH(' TVA M'!A586,'Base de données'!A$4:A$990,0),12),"")</f>
        <v/>
      </c>
    </row>
    <row r="587" spans="2:3" x14ac:dyDescent="0.25">
      <c r="B587" s="87" t="str">
        <f>IF(A587&lt;&gt;"",INDEX('Base de données'!A$4:L$990,MATCH(' TVA M'!A587,'Base de données'!A$4:A$990,0),2),"")</f>
        <v/>
      </c>
      <c r="C587" s="87" t="str">
        <f>IF(A587&lt;&gt;"",INDEX('Base de données'!A$4:L$990,MATCH(' TVA M'!A587,'Base de données'!A$4:A$990,0),12),"")</f>
        <v/>
      </c>
    </row>
    <row r="588" spans="2:3" x14ac:dyDescent="0.25">
      <c r="B588" s="87" t="str">
        <f>IF(A588&lt;&gt;"",INDEX('Base de données'!A$4:L$990,MATCH(' TVA M'!A588,'Base de données'!A$4:A$990,0),2),"")</f>
        <v/>
      </c>
      <c r="C588" s="87" t="str">
        <f>IF(A588&lt;&gt;"",INDEX('Base de données'!A$4:L$990,MATCH(' TVA M'!A588,'Base de données'!A$4:A$990,0),12),"")</f>
        <v/>
      </c>
    </row>
    <row r="589" spans="2:3" x14ac:dyDescent="0.25">
      <c r="B589" s="87" t="str">
        <f>IF(A589&lt;&gt;"",INDEX('Base de données'!A$4:L$990,MATCH(' TVA M'!A589,'Base de données'!A$4:A$990,0),2),"")</f>
        <v/>
      </c>
      <c r="C589" s="87" t="str">
        <f>IF(A589&lt;&gt;"",INDEX('Base de données'!A$4:L$990,MATCH(' TVA M'!A589,'Base de données'!A$4:A$990,0),12),"")</f>
        <v/>
      </c>
    </row>
    <row r="590" spans="2:3" x14ac:dyDescent="0.25">
      <c r="B590" s="87" t="str">
        <f>IF(A590&lt;&gt;"",INDEX('Base de données'!A$4:L$990,MATCH(' TVA M'!A590,'Base de données'!A$4:A$990,0),2),"")</f>
        <v/>
      </c>
      <c r="C590" s="87" t="str">
        <f>IF(A590&lt;&gt;"",INDEX('Base de données'!A$4:L$990,MATCH(' TVA M'!A590,'Base de données'!A$4:A$990,0),12),"")</f>
        <v/>
      </c>
    </row>
    <row r="591" spans="2:3" x14ac:dyDescent="0.25">
      <c r="B591" s="87" t="str">
        <f>IF(A591&lt;&gt;"",INDEX('Base de données'!A$4:L$990,MATCH(' TVA M'!A591,'Base de données'!A$4:A$990,0),2),"")</f>
        <v/>
      </c>
      <c r="C591" s="87" t="str">
        <f>IF(A591&lt;&gt;"",INDEX('Base de données'!A$4:L$990,MATCH(' TVA M'!A591,'Base de données'!A$4:A$990,0),12),"")</f>
        <v/>
      </c>
    </row>
    <row r="592" spans="2:3" x14ac:dyDescent="0.25">
      <c r="B592" s="87" t="str">
        <f>IF(A592&lt;&gt;"",INDEX('Base de données'!A$4:L$990,MATCH(' TVA M'!A592,'Base de données'!A$4:A$990,0),2),"")</f>
        <v/>
      </c>
      <c r="C592" s="87" t="str">
        <f>IF(A592&lt;&gt;"",INDEX('Base de données'!A$4:L$990,MATCH(' TVA M'!A592,'Base de données'!A$4:A$990,0),12),"")</f>
        <v/>
      </c>
    </row>
    <row r="593" spans="2:3" x14ac:dyDescent="0.25">
      <c r="B593" s="87" t="str">
        <f>IF(A593&lt;&gt;"",INDEX('Base de données'!A$4:L$990,MATCH(' TVA M'!A593,'Base de données'!A$4:A$990,0),2),"")</f>
        <v/>
      </c>
      <c r="C593" s="87" t="str">
        <f>IF(A593&lt;&gt;"",INDEX('Base de données'!A$4:L$990,MATCH(' TVA M'!A593,'Base de données'!A$4:A$990,0),12),"")</f>
        <v/>
      </c>
    </row>
    <row r="594" spans="2:3" x14ac:dyDescent="0.25">
      <c r="B594" s="87" t="str">
        <f>IF(A594&lt;&gt;"",INDEX('Base de données'!A$4:L$990,MATCH(' TVA M'!A594,'Base de données'!A$4:A$990,0),2),"")</f>
        <v/>
      </c>
      <c r="C594" s="87" t="str">
        <f>IF(A594&lt;&gt;"",INDEX('Base de données'!A$4:L$990,MATCH(' TVA M'!A594,'Base de données'!A$4:A$990,0),12),"")</f>
        <v/>
      </c>
    </row>
    <row r="595" spans="2:3" x14ac:dyDescent="0.25">
      <c r="B595" s="87" t="str">
        <f>IF(A595&lt;&gt;"",INDEX('Base de données'!A$4:L$990,MATCH(' TVA M'!A595,'Base de données'!A$4:A$990,0),2),"")</f>
        <v/>
      </c>
      <c r="C595" s="87" t="str">
        <f>IF(A595&lt;&gt;"",INDEX('Base de données'!A$4:L$990,MATCH(' TVA M'!A595,'Base de données'!A$4:A$990,0),12),"")</f>
        <v/>
      </c>
    </row>
    <row r="596" spans="2:3" x14ac:dyDescent="0.25">
      <c r="B596" s="87" t="str">
        <f>IF(A596&lt;&gt;"",INDEX('Base de données'!A$4:L$990,MATCH(' TVA M'!A596,'Base de données'!A$4:A$990,0),2),"")</f>
        <v/>
      </c>
      <c r="C596" s="87" t="str">
        <f>IF(A596&lt;&gt;"",INDEX('Base de données'!A$4:L$990,MATCH(' TVA M'!A596,'Base de données'!A$4:A$990,0),12),"")</f>
        <v/>
      </c>
    </row>
    <row r="597" spans="2:3" x14ac:dyDescent="0.25">
      <c r="B597" s="87" t="str">
        <f>IF(A597&lt;&gt;"",INDEX('Base de données'!A$4:L$990,MATCH(' TVA M'!A597,'Base de données'!A$4:A$990,0),2),"")</f>
        <v/>
      </c>
      <c r="C597" s="87" t="str">
        <f>IF(A597&lt;&gt;"",INDEX('Base de données'!A$4:L$990,MATCH(' TVA M'!A597,'Base de données'!A$4:A$990,0),12),"")</f>
        <v/>
      </c>
    </row>
    <row r="598" spans="2:3" x14ac:dyDescent="0.25">
      <c r="B598" s="87" t="str">
        <f>IF(A598&lt;&gt;"",INDEX('Base de données'!A$4:L$990,MATCH(' TVA M'!A598,'Base de données'!A$4:A$990,0),2),"")</f>
        <v/>
      </c>
      <c r="C598" s="87" t="str">
        <f>IF(A598&lt;&gt;"",INDEX('Base de données'!A$4:L$990,MATCH(' TVA M'!A598,'Base de données'!A$4:A$990,0),12),"")</f>
        <v/>
      </c>
    </row>
    <row r="599" spans="2:3" x14ac:dyDescent="0.25">
      <c r="B599" s="87" t="str">
        <f>IF(A599&lt;&gt;"",INDEX('Base de données'!A$4:L$990,MATCH(' TVA M'!A599,'Base de données'!A$4:A$990,0),2),"")</f>
        <v/>
      </c>
      <c r="C599" s="87" t="str">
        <f>IF(A599&lt;&gt;"",INDEX('Base de données'!A$4:L$990,MATCH(' TVA M'!A599,'Base de données'!A$4:A$990,0),12),"")</f>
        <v/>
      </c>
    </row>
    <row r="600" spans="2:3" x14ac:dyDescent="0.25">
      <c r="B600" s="87" t="str">
        <f>IF(A600&lt;&gt;"",INDEX('Base de données'!A$4:L$990,MATCH(' TVA M'!A600,'Base de données'!A$4:A$990,0),2),"")</f>
        <v/>
      </c>
      <c r="C600" s="87" t="str">
        <f>IF(A600&lt;&gt;"",INDEX('Base de données'!A$4:L$990,MATCH(' TVA M'!A600,'Base de données'!A$4:A$990,0),12),"")</f>
        <v/>
      </c>
    </row>
    <row r="601" spans="2:3" x14ac:dyDescent="0.25">
      <c r="B601" s="87" t="str">
        <f>IF(A601&lt;&gt;"",INDEX('Base de données'!A$4:L$990,MATCH(' TVA M'!A601,'Base de données'!A$4:A$990,0),2),"")</f>
        <v/>
      </c>
      <c r="C601" s="87" t="str">
        <f>IF(A601&lt;&gt;"",INDEX('Base de données'!A$4:L$990,MATCH(' TVA M'!A601,'Base de données'!A$4:A$990,0),12),"")</f>
        <v/>
      </c>
    </row>
    <row r="602" spans="2:3" x14ac:dyDescent="0.25">
      <c r="B602" s="87" t="str">
        <f>IF(A602&lt;&gt;"",INDEX('Base de données'!A$4:L$990,MATCH(' TVA M'!A602,'Base de données'!A$4:A$990,0),2),"")</f>
        <v/>
      </c>
      <c r="C602" s="87" t="str">
        <f>IF(A602&lt;&gt;"",INDEX('Base de données'!A$4:L$990,MATCH(' TVA M'!A602,'Base de données'!A$4:A$990,0),12),"")</f>
        <v/>
      </c>
    </row>
    <row r="603" spans="2:3" x14ac:dyDescent="0.25">
      <c r="B603" s="87" t="str">
        <f>IF(A603&lt;&gt;"",INDEX('Base de données'!A$4:L$990,MATCH(' TVA M'!A603,'Base de données'!A$4:A$990,0),2),"")</f>
        <v/>
      </c>
      <c r="C603" s="87" t="str">
        <f>IF(A603&lt;&gt;"",INDEX('Base de données'!A$4:L$990,MATCH(' TVA M'!A603,'Base de données'!A$4:A$990,0),12),"")</f>
        <v/>
      </c>
    </row>
    <row r="604" spans="2:3" x14ac:dyDescent="0.25">
      <c r="B604" s="87" t="str">
        <f>IF(A604&lt;&gt;"",INDEX('Base de données'!A$4:L$990,MATCH(' TVA M'!A604,'Base de données'!A$4:A$990,0),2),"")</f>
        <v/>
      </c>
      <c r="C604" s="87" t="str">
        <f>IF(A604&lt;&gt;"",INDEX('Base de données'!A$4:L$990,MATCH(' TVA M'!A604,'Base de données'!A$4:A$990,0),12),"")</f>
        <v/>
      </c>
    </row>
    <row r="605" spans="2:3" x14ac:dyDescent="0.25">
      <c r="B605" s="87" t="str">
        <f>IF(A605&lt;&gt;"",INDEX('Base de données'!A$4:L$990,MATCH(' TVA M'!A605,'Base de données'!A$4:A$990,0),2),"")</f>
        <v/>
      </c>
      <c r="C605" s="87" t="str">
        <f>IF(A605&lt;&gt;"",INDEX('Base de données'!A$4:L$990,MATCH(' TVA M'!A605,'Base de données'!A$4:A$990,0),12),"")</f>
        <v/>
      </c>
    </row>
    <row r="606" spans="2:3" x14ac:dyDescent="0.25">
      <c r="B606" s="87" t="str">
        <f>IF(A606&lt;&gt;"",INDEX('Base de données'!A$4:L$990,MATCH(' TVA M'!A606,'Base de données'!A$4:A$990,0),2),"")</f>
        <v/>
      </c>
      <c r="C606" s="87" t="str">
        <f>IF(A606&lt;&gt;"",INDEX('Base de données'!A$4:L$990,MATCH(' TVA M'!A606,'Base de données'!A$4:A$990,0),12),"")</f>
        <v/>
      </c>
    </row>
    <row r="607" spans="2:3" x14ac:dyDescent="0.25">
      <c r="B607" s="87" t="str">
        <f>IF(A607&lt;&gt;"",INDEX('Base de données'!A$4:L$990,MATCH(' TVA M'!A607,'Base de données'!A$4:A$990,0),2),"")</f>
        <v/>
      </c>
      <c r="C607" s="87" t="str">
        <f>IF(A607&lt;&gt;"",INDEX('Base de données'!A$4:L$990,MATCH(' TVA M'!A607,'Base de données'!A$4:A$990,0),12),"")</f>
        <v/>
      </c>
    </row>
    <row r="608" spans="2:3" x14ac:dyDescent="0.25">
      <c r="B608" s="87" t="str">
        <f>IF(A608&lt;&gt;"",INDEX('Base de données'!A$4:L$990,MATCH(' TVA M'!A608,'Base de données'!A$4:A$990,0),2),"")</f>
        <v/>
      </c>
      <c r="C608" s="87" t="str">
        <f>IF(A608&lt;&gt;"",INDEX('Base de données'!A$4:L$990,MATCH(' TVA M'!A608,'Base de données'!A$4:A$990,0),12),"")</f>
        <v/>
      </c>
    </row>
    <row r="609" spans="2:3" x14ac:dyDescent="0.25">
      <c r="B609" s="87" t="str">
        <f>IF(A609&lt;&gt;"",INDEX('Base de données'!A$4:L$990,MATCH(' TVA M'!A609,'Base de données'!A$4:A$990,0),2),"")</f>
        <v/>
      </c>
      <c r="C609" s="87" t="str">
        <f>IF(A609&lt;&gt;"",INDEX('Base de données'!A$4:L$990,MATCH(' TVA M'!A609,'Base de données'!A$4:A$990,0),12),"")</f>
        <v/>
      </c>
    </row>
    <row r="610" spans="2:3" x14ac:dyDescent="0.25">
      <c r="B610" s="87" t="str">
        <f>IF(A610&lt;&gt;"",INDEX('Base de données'!A$4:L$990,MATCH(' TVA M'!A610,'Base de données'!A$4:A$990,0),2),"")</f>
        <v/>
      </c>
      <c r="C610" s="87" t="str">
        <f>IF(A610&lt;&gt;"",INDEX('Base de données'!A$4:L$990,MATCH(' TVA M'!A610,'Base de données'!A$4:A$990,0),12),"")</f>
        <v/>
      </c>
    </row>
    <row r="611" spans="2:3" x14ac:dyDescent="0.25">
      <c r="B611" s="87" t="str">
        <f>IF(A611&lt;&gt;"",INDEX('Base de données'!A$4:L$990,MATCH(' TVA M'!A611,'Base de données'!A$4:A$990,0),2),"")</f>
        <v/>
      </c>
      <c r="C611" s="87" t="str">
        <f>IF(A611&lt;&gt;"",INDEX('Base de données'!A$4:L$990,MATCH(' TVA M'!A611,'Base de données'!A$4:A$990,0),12),"")</f>
        <v/>
      </c>
    </row>
    <row r="612" spans="2:3" x14ac:dyDescent="0.25">
      <c r="B612" s="87" t="str">
        <f>IF(A612&lt;&gt;"",INDEX('Base de données'!A$4:L$990,MATCH(' TVA M'!A612,'Base de données'!A$4:A$990,0),2),"")</f>
        <v/>
      </c>
      <c r="C612" s="87" t="str">
        <f>IF(A612&lt;&gt;"",INDEX('Base de données'!A$4:L$990,MATCH(' TVA M'!A612,'Base de données'!A$4:A$990,0),12),"")</f>
        <v/>
      </c>
    </row>
    <row r="613" spans="2:3" x14ac:dyDescent="0.25">
      <c r="B613" s="87" t="str">
        <f>IF(A613&lt;&gt;"",INDEX('Base de données'!A$4:L$990,MATCH(' TVA M'!A613,'Base de données'!A$4:A$990,0),2),"")</f>
        <v/>
      </c>
      <c r="C613" s="87" t="str">
        <f>IF(A613&lt;&gt;"",INDEX('Base de données'!A$4:L$990,MATCH(' TVA M'!A613,'Base de données'!A$4:A$990,0),12),"")</f>
        <v/>
      </c>
    </row>
    <row r="614" spans="2:3" x14ac:dyDescent="0.25">
      <c r="B614" s="87" t="str">
        <f>IF(A614&lt;&gt;"",INDEX('Base de données'!A$4:L$990,MATCH(' TVA M'!A614,'Base de données'!A$4:A$990,0),2),"")</f>
        <v/>
      </c>
      <c r="C614" s="87" t="str">
        <f>IF(A614&lt;&gt;"",INDEX('Base de données'!A$4:L$990,MATCH(' TVA M'!A614,'Base de données'!A$4:A$990,0),12),"")</f>
        <v/>
      </c>
    </row>
    <row r="615" spans="2:3" x14ac:dyDescent="0.25">
      <c r="B615" s="87" t="str">
        <f>IF(A615&lt;&gt;"",INDEX('Base de données'!A$4:L$990,MATCH(' TVA M'!A615,'Base de données'!A$4:A$990,0),2),"")</f>
        <v/>
      </c>
      <c r="C615" s="87" t="str">
        <f>IF(A615&lt;&gt;"",INDEX('Base de données'!A$4:L$990,MATCH(' TVA M'!A615,'Base de données'!A$4:A$990,0),12),"")</f>
        <v/>
      </c>
    </row>
    <row r="616" spans="2:3" x14ac:dyDescent="0.25">
      <c r="B616" s="87" t="str">
        <f>IF(A616&lt;&gt;"",INDEX('Base de données'!A$4:L$990,MATCH(' TVA M'!A616,'Base de données'!A$4:A$990,0),2),"")</f>
        <v/>
      </c>
      <c r="C616" s="87" t="str">
        <f>IF(A616&lt;&gt;"",INDEX('Base de données'!A$4:L$990,MATCH(' TVA M'!A616,'Base de données'!A$4:A$990,0),12),"")</f>
        <v/>
      </c>
    </row>
    <row r="617" spans="2:3" x14ac:dyDescent="0.25">
      <c r="B617" s="87" t="str">
        <f>IF(A617&lt;&gt;"",INDEX('Base de données'!A$4:L$990,MATCH(' TVA M'!A617,'Base de données'!A$4:A$990,0),2),"")</f>
        <v/>
      </c>
      <c r="C617" s="87" t="str">
        <f>IF(A617&lt;&gt;"",INDEX('Base de données'!A$4:L$990,MATCH(' TVA M'!A617,'Base de données'!A$4:A$990,0),12),"")</f>
        <v/>
      </c>
    </row>
    <row r="618" spans="2:3" x14ac:dyDescent="0.25">
      <c r="B618" s="87" t="str">
        <f>IF(A618&lt;&gt;"",INDEX('Base de données'!A$4:L$990,MATCH(' TVA M'!A618,'Base de données'!A$4:A$990,0),2),"")</f>
        <v/>
      </c>
      <c r="C618" s="87" t="str">
        <f>IF(A618&lt;&gt;"",INDEX('Base de données'!A$4:L$990,MATCH(' TVA M'!A618,'Base de données'!A$4:A$990,0),12),"")</f>
        <v/>
      </c>
    </row>
    <row r="619" spans="2:3" x14ac:dyDescent="0.25">
      <c r="B619" s="87" t="str">
        <f>IF(A619&lt;&gt;"",INDEX('Base de données'!A$4:L$990,MATCH(' TVA M'!A619,'Base de données'!A$4:A$990,0),2),"")</f>
        <v/>
      </c>
      <c r="C619" s="87" t="str">
        <f>IF(A619&lt;&gt;"",INDEX('Base de données'!A$4:L$990,MATCH(' TVA M'!A619,'Base de données'!A$4:A$990,0),12),"")</f>
        <v/>
      </c>
    </row>
    <row r="620" spans="2:3" x14ac:dyDescent="0.25">
      <c r="B620" s="87" t="str">
        <f>IF(A620&lt;&gt;"",INDEX('Base de données'!A$4:L$990,MATCH(' TVA M'!A620,'Base de données'!A$4:A$990,0),2),"")</f>
        <v/>
      </c>
      <c r="C620" s="87" t="str">
        <f>IF(A620&lt;&gt;"",INDEX('Base de données'!A$4:L$990,MATCH(' TVA M'!A620,'Base de données'!A$4:A$990,0),12),"")</f>
        <v/>
      </c>
    </row>
    <row r="621" spans="2:3" x14ac:dyDescent="0.25">
      <c r="B621" s="87" t="str">
        <f>IF(A621&lt;&gt;"",INDEX('Base de données'!A$4:L$990,MATCH(' TVA M'!A621,'Base de données'!A$4:A$990,0),2),"")</f>
        <v/>
      </c>
      <c r="C621" s="87" t="str">
        <f>IF(A621&lt;&gt;"",INDEX('Base de données'!A$4:L$990,MATCH(' TVA M'!A621,'Base de données'!A$4:A$990,0),12),"")</f>
        <v/>
      </c>
    </row>
    <row r="622" spans="2:3" x14ac:dyDescent="0.25">
      <c r="B622" s="87" t="str">
        <f>IF(A622&lt;&gt;"",INDEX('Base de données'!A$4:L$990,MATCH(' TVA M'!A622,'Base de données'!A$4:A$990,0),2),"")</f>
        <v/>
      </c>
      <c r="C622" s="87" t="str">
        <f>IF(A622&lt;&gt;"",INDEX('Base de données'!A$4:L$990,MATCH(' TVA M'!A622,'Base de données'!A$4:A$990,0),12),"")</f>
        <v/>
      </c>
    </row>
    <row r="623" spans="2:3" x14ac:dyDescent="0.25">
      <c r="B623" s="87" t="str">
        <f>IF(A623&lt;&gt;"",INDEX('Base de données'!A$4:L$990,MATCH(' TVA M'!A623,'Base de données'!A$4:A$990,0),2),"")</f>
        <v/>
      </c>
      <c r="C623" s="87" t="str">
        <f>IF(A623&lt;&gt;"",INDEX('Base de données'!A$4:L$990,MATCH(' TVA M'!A623,'Base de données'!A$4:A$990,0),12),"")</f>
        <v/>
      </c>
    </row>
    <row r="624" spans="2:3" x14ac:dyDescent="0.25">
      <c r="B624" s="87" t="str">
        <f>IF(A624&lt;&gt;"",INDEX('Base de données'!A$4:L$990,MATCH(' TVA M'!A624,'Base de données'!A$4:A$990,0),2),"")</f>
        <v/>
      </c>
      <c r="C624" s="87" t="str">
        <f>IF(A624&lt;&gt;"",INDEX('Base de données'!A$4:L$990,MATCH(' TVA M'!A624,'Base de données'!A$4:A$990,0),12),"")</f>
        <v/>
      </c>
    </row>
    <row r="625" spans="2:3" x14ac:dyDescent="0.25">
      <c r="B625" s="87" t="str">
        <f>IF(A625&lt;&gt;"",INDEX('Base de données'!A$4:L$990,MATCH(' TVA M'!A625,'Base de données'!A$4:A$990,0),2),"")</f>
        <v/>
      </c>
      <c r="C625" s="87" t="str">
        <f>IF(A625&lt;&gt;"",INDEX('Base de données'!A$4:L$990,MATCH(' TVA M'!A625,'Base de données'!A$4:A$990,0),12),"")</f>
        <v/>
      </c>
    </row>
    <row r="626" spans="2:3" x14ac:dyDescent="0.25">
      <c r="B626" s="87" t="str">
        <f>IF(A626&lt;&gt;"",INDEX('Base de données'!A$4:L$990,MATCH(' TVA M'!A626,'Base de données'!A$4:A$990,0),2),"")</f>
        <v/>
      </c>
      <c r="C626" s="87" t="str">
        <f>IF(A626&lt;&gt;"",INDEX('Base de données'!A$4:L$990,MATCH(' TVA M'!A626,'Base de données'!A$4:A$990,0),12),"")</f>
        <v/>
      </c>
    </row>
    <row r="627" spans="2:3" x14ac:dyDescent="0.25">
      <c r="B627" s="87" t="str">
        <f>IF(A627&lt;&gt;"",INDEX('Base de données'!A$4:L$990,MATCH(' TVA M'!A627,'Base de données'!A$4:A$990,0),2),"")</f>
        <v/>
      </c>
      <c r="C627" s="87" t="str">
        <f>IF(A627&lt;&gt;"",INDEX('Base de données'!A$4:L$990,MATCH(' TVA M'!A627,'Base de données'!A$4:A$990,0),12),"")</f>
        <v/>
      </c>
    </row>
    <row r="628" spans="2:3" x14ac:dyDescent="0.25">
      <c r="B628" s="87" t="str">
        <f>IF(A628&lt;&gt;"",INDEX('Base de données'!A$4:L$990,MATCH(' TVA M'!A628,'Base de données'!A$4:A$990,0),2),"")</f>
        <v/>
      </c>
      <c r="C628" s="87" t="str">
        <f>IF(A628&lt;&gt;"",INDEX('Base de données'!A$4:L$990,MATCH(' TVA M'!A628,'Base de données'!A$4:A$990,0),12),"")</f>
        <v/>
      </c>
    </row>
    <row r="629" spans="2:3" x14ac:dyDescent="0.25">
      <c r="B629" s="87" t="str">
        <f>IF(A629&lt;&gt;"",INDEX('Base de données'!A$4:L$990,MATCH(' TVA M'!A629,'Base de données'!A$4:A$990,0),2),"")</f>
        <v/>
      </c>
      <c r="C629" s="87" t="str">
        <f>IF(A629&lt;&gt;"",INDEX('Base de données'!A$4:L$990,MATCH(' TVA M'!A629,'Base de données'!A$4:A$990,0),12),"")</f>
        <v/>
      </c>
    </row>
    <row r="630" spans="2:3" x14ac:dyDescent="0.25">
      <c r="B630" s="87" t="str">
        <f>IF(A630&lt;&gt;"",INDEX('Base de données'!A$4:L$990,MATCH(' TVA M'!A630,'Base de données'!A$4:A$990,0),2),"")</f>
        <v/>
      </c>
      <c r="C630" s="87" t="str">
        <f>IF(A630&lt;&gt;"",INDEX('Base de données'!A$4:L$990,MATCH(' TVA M'!A630,'Base de données'!A$4:A$990,0),12),"")</f>
        <v/>
      </c>
    </row>
    <row r="631" spans="2:3" x14ac:dyDescent="0.25">
      <c r="B631" s="87" t="str">
        <f>IF(A631&lt;&gt;"",INDEX('Base de données'!A$4:L$990,MATCH(' TVA M'!A631,'Base de données'!A$4:A$990,0),2),"")</f>
        <v/>
      </c>
      <c r="C631" s="87" t="str">
        <f>IF(A631&lt;&gt;"",INDEX('Base de données'!A$4:L$990,MATCH(' TVA M'!A631,'Base de données'!A$4:A$990,0),12),"")</f>
        <v/>
      </c>
    </row>
    <row r="632" spans="2:3" x14ac:dyDescent="0.25">
      <c r="B632" s="87" t="str">
        <f>IF(A632&lt;&gt;"",INDEX('Base de données'!A$4:L$990,MATCH(' TVA M'!A632,'Base de données'!A$4:A$990,0),2),"")</f>
        <v/>
      </c>
      <c r="C632" s="87" t="str">
        <f>IF(A632&lt;&gt;"",INDEX('Base de données'!A$4:L$990,MATCH(' TVA M'!A632,'Base de données'!A$4:A$990,0),12),"")</f>
        <v/>
      </c>
    </row>
    <row r="633" spans="2:3" x14ac:dyDescent="0.25">
      <c r="B633" s="87" t="str">
        <f>IF(A633&lt;&gt;"",INDEX('Base de données'!A$4:L$990,MATCH(' TVA M'!A633,'Base de données'!A$4:A$990,0),2),"")</f>
        <v/>
      </c>
      <c r="C633" s="87" t="str">
        <f>IF(A633&lt;&gt;"",INDEX('Base de données'!A$4:L$990,MATCH(' TVA M'!A633,'Base de données'!A$4:A$990,0),12),"")</f>
        <v/>
      </c>
    </row>
    <row r="634" spans="2:3" x14ac:dyDescent="0.25">
      <c r="B634" s="87" t="str">
        <f>IF(A634&lt;&gt;"",INDEX('Base de données'!A$4:L$990,MATCH(' TVA M'!A634,'Base de données'!A$4:A$990,0),2),"")</f>
        <v/>
      </c>
      <c r="C634" s="87" t="str">
        <f>IF(A634&lt;&gt;"",INDEX('Base de données'!A$4:L$990,MATCH(' TVA M'!A634,'Base de données'!A$4:A$990,0),12),"")</f>
        <v/>
      </c>
    </row>
    <row r="635" spans="2:3" x14ac:dyDescent="0.25">
      <c r="B635" s="87" t="str">
        <f>IF(A635&lt;&gt;"",INDEX('Base de données'!A$4:L$990,MATCH(' TVA M'!A635,'Base de données'!A$4:A$990,0),2),"")</f>
        <v/>
      </c>
      <c r="C635" s="87" t="str">
        <f>IF(A635&lt;&gt;"",INDEX('Base de données'!A$4:L$990,MATCH(' TVA M'!A635,'Base de données'!A$4:A$990,0),12),"")</f>
        <v/>
      </c>
    </row>
    <row r="636" spans="2:3" x14ac:dyDescent="0.25">
      <c r="B636" s="87" t="str">
        <f>IF(A636&lt;&gt;"",INDEX('Base de données'!A$4:L$990,MATCH(' TVA M'!A636,'Base de données'!A$4:A$990,0),2),"")</f>
        <v/>
      </c>
      <c r="C636" s="87" t="str">
        <f>IF(A636&lt;&gt;"",INDEX('Base de données'!A$4:L$990,MATCH(' TVA M'!A636,'Base de données'!A$4:A$990,0),12),"")</f>
        <v/>
      </c>
    </row>
    <row r="637" spans="2:3" x14ac:dyDescent="0.25">
      <c r="B637" s="87" t="str">
        <f>IF(A637&lt;&gt;"",INDEX('Base de données'!A$4:L$990,MATCH(' TVA M'!A637,'Base de données'!A$4:A$990,0),2),"")</f>
        <v/>
      </c>
      <c r="C637" s="87" t="str">
        <f>IF(A637&lt;&gt;"",INDEX('Base de données'!A$4:L$990,MATCH(' TVA M'!A637,'Base de données'!A$4:A$990,0),12),"")</f>
        <v/>
      </c>
    </row>
    <row r="638" spans="2:3" x14ac:dyDescent="0.25">
      <c r="B638" s="87" t="str">
        <f>IF(A638&lt;&gt;"",INDEX('Base de données'!A$4:L$990,MATCH(' TVA M'!A638,'Base de données'!A$4:A$990,0),2),"")</f>
        <v/>
      </c>
      <c r="C638" s="87" t="str">
        <f>IF(A638&lt;&gt;"",INDEX('Base de données'!A$4:L$990,MATCH(' TVA M'!A638,'Base de données'!A$4:A$990,0),12),"")</f>
        <v/>
      </c>
    </row>
    <row r="639" spans="2:3" x14ac:dyDescent="0.25">
      <c r="B639" s="87" t="str">
        <f>IF(A639&lt;&gt;"",INDEX('Base de données'!A$4:L$990,MATCH(' TVA M'!A639,'Base de données'!A$4:A$990,0),2),"")</f>
        <v/>
      </c>
      <c r="C639" s="87" t="str">
        <f>IF(A639&lt;&gt;"",INDEX('Base de données'!A$4:L$990,MATCH(' TVA M'!A639,'Base de données'!A$4:A$990,0),12),"")</f>
        <v/>
      </c>
    </row>
    <row r="640" spans="2:3" x14ac:dyDescent="0.25">
      <c r="B640" s="87" t="str">
        <f>IF(A640&lt;&gt;"",INDEX('Base de données'!A$4:L$990,MATCH(' TVA M'!A640,'Base de données'!A$4:A$990,0),2),"")</f>
        <v/>
      </c>
      <c r="C640" s="87" t="str">
        <f>IF(A640&lt;&gt;"",INDEX('Base de données'!A$4:L$990,MATCH(' TVA M'!A640,'Base de données'!A$4:A$990,0),12),"")</f>
        <v/>
      </c>
    </row>
    <row r="641" spans="2:3" x14ac:dyDescent="0.25">
      <c r="B641" s="87" t="str">
        <f>IF(A641&lt;&gt;"",INDEX('Base de données'!A$4:L$990,MATCH(' TVA M'!A641,'Base de données'!A$4:A$990,0),2),"")</f>
        <v/>
      </c>
      <c r="C641" s="87" t="str">
        <f>IF(A641&lt;&gt;"",INDEX('Base de données'!A$4:L$990,MATCH(' TVA M'!A641,'Base de données'!A$4:A$990,0),12),"")</f>
        <v/>
      </c>
    </row>
    <row r="642" spans="2:3" x14ac:dyDescent="0.25">
      <c r="B642" s="87" t="str">
        <f>IF(A642&lt;&gt;"",INDEX('Base de données'!A$4:L$990,MATCH(' TVA M'!A642,'Base de données'!A$4:A$990,0),2),"")</f>
        <v/>
      </c>
      <c r="C642" s="87" t="str">
        <f>IF(A642&lt;&gt;"",INDEX('Base de données'!A$4:L$990,MATCH(' TVA M'!A642,'Base de données'!A$4:A$990,0),12),"")</f>
        <v/>
      </c>
    </row>
    <row r="643" spans="2:3" x14ac:dyDescent="0.25">
      <c r="B643" s="87" t="str">
        <f>IF(A643&lt;&gt;"",INDEX('Base de données'!A$4:L$990,MATCH(' TVA M'!A643,'Base de données'!A$4:A$990,0),2),"")</f>
        <v/>
      </c>
      <c r="C643" s="87" t="str">
        <f>IF(A643&lt;&gt;"",INDEX('Base de données'!A$4:L$990,MATCH(' TVA M'!A643,'Base de données'!A$4:A$990,0),12),"")</f>
        <v/>
      </c>
    </row>
    <row r="644" spans="2:3" x14ac:dyDescent="0.25">
      <c r="B644" s="87" t="str">
        <f>IF(A644&lt;&gt;"",INDEX('Base de données'!A$4:L$990,MATCH(' TVA M'!A644,'Base de données'!A$4:A$990,0),2),"")</f>
        <v/>
      </c>
      <c r="C644" s="87" t="str">
        <f>IF(A644&lt;&gt;"",INDEX('Base de données'!A$4:L$990,MATCH(' TVA M'!A644,'Base de données'!A$4:A$990,0),12),"")</f>
        <v/>
      </c>
    </row>
    <row r="645" spans="2:3" x14ac:dyDescent="0.25">
      <c r="B645" s="87" t="str">
        <f>IF(A645&lt;&gt;"",INDEX('Base de données'!A$4:L$990,MATCH(' TVA M'!A645,'Base de données'!A$4:A$990,0),2),"")</f>
        <v/>
      </c>
      <c r="C645" s="87" t="str">
        <f>IF(A645&lt;&gt;"",INDEX('Base de données'!A$4:L$990,MATCH(' TVA M'!A645,'Base de données'!A$4:A$990,0),12),"")</f>
        <v/>
      </c>
    </row>
    <row r="646" spans="2:3" x14ac:dyDescent="0.25">
      <c r="B646" s="87" t="str">
        <f>IF(A646&lt;&gt;"",INDEX('Base de données'!A$4:L$990,MATCH(' TVA M'!A646,'Base de données'!A$4:A$990,0),2),"")</f>
        <v/>
      </c>
      <c r="C646" s="87" t="str">
        <f>IF(A646&lt;&gt;"",INDEX('Base de données'!A$4:L$990,MATCH(' TVA M'!A646,'Base de données'!A$4:A$990,0),12),"")</f>
        <v/>
      </c>
    </row>
    <row r="647" spans="2:3" x14ac:dyDescent="0.25">
      <c r="B647" s="87" t="str">
        <f>IF(A647&lt;&gt;"",INDEX('Base de données'!A$4:L$990,MATCH(' TVA M'!A647,'Base de données'!A$4:A$990,0),2),"")</f>
        <v/>
      </c>
      <c r="C647" s="87" t="str">
        <f>IF(A647&lt;&gt;"",INDEX('Base de données'!A$4:L$990,MATCH(' TVA M'!A647,'Base de données'!A$4:A$990,0),12),"")</f>
        <v/>
      </c>
    </row>
    <row r="648" spans="2:3" x14ac:dyDescent="0.25">
      <c r="B648" s="87" t="str">
        <f>IF(A648&lt;&gt;"",INDEX('Base de données'!A$4:L$990,MATCH(' TVA M'!A648,'Base de données'!A$4:A$990,0),2),"")</f>
        <v/>
      </c>
      <c r="C648" s="87" t="str">
        <f>IF(A648&lt;&gt;"",INDEX('Base de données'!A$4:L$990,MATCH(' TVA M'!A648,'Base de données'!A$4:A$990,0),12),"")</f>
        <v/>
      </c>
    </row>
    <row r="649" spans="2:3" x14ac:dyDescent="0.25">
      <c r="B649" s="87" t="str">
        <f>IF(A649&lt;&gt;"",INDEX('Base de données'!A$4:L$990,MATCH(' TVA M'!A649,'Base de données'!A$4:A$990,0),2),"")</f>
        <v/>
      </c>
      <c r="C649" s="87" t="str">
        <f>IF(A649&lt;&gt;"",INDEX('Base de données'!A$4:L$990,MATCH(' TVA M'!A649,'Base de données'!A$4:A$990,0),12),"")</f>
        <v/>
      </c>
    </row>
    <row r="650" spans="2:3" x14ac:dyDescent="0.25">
      <c r="B650" s="87" t="str">
        <f>IF(A650&lt;&gt;"",INDEX('Base de données'!A$4:L$990,MATCH(' TVA M'!A650,'Base de données'!A$4:A$990,0),2),"")</f>
        <v/>
      </c>
      <c r="C650" s="87" t="str">
        <f>IF(A650&lt;&gt;"",INDEX('Base de données'!A$4:L$990,MATCH(' TVA M'!A650,'Base de données'!A$4:A$990,0),12),"")</f>
        <v/>
      </c>
    </row>
    <row r="651" spans="2:3" x14ac:dyDescent="0.25">
      <c r="B651" s="87" t="str">
        <f>IF(A651&lt;&gt;"",INDEX('Base de données'!A$4:L$990,MATCH(' TVA M'!A651,'Base de données'!A$4:A$990,0),2),"")</f>
        <v/>
      </c>
      <c r="C651" s="87" t="str">
        <f>IF(A651&lt;&gt;"",INDEX('Base de données'!A$4:L$990,MATCH(' TVA M'!A651,'Base de données'!A$4:A$990,0),12),"")</f>
        <v/>
      </c>
    </row>
    <row r="652" spans="2:3" x14ac:dyDescent="0.25">
      <c r="B652" s="87" t="str">
        <f>IF(A652&lt;&gt;"",INDEX('Base de données'!A$4:L$990,MATCH(' TVA M'!A652,'Base de données'!A$4:A$990,0),2),"")</f>
        <v/>
      </c>
      <c r="C652" s="87" t="str">
        <f>IF(A652&lt;&gt;"",INDEX('Base de données'!A$4:L$990,MATCH(' TVA M'!A652,'Base de données'!A$4:A$990,0),12),"")</f>
        <v/>
      </c>
    </row>
    <row r="653" spans="2:3" x14ac:dyDescent="0.25">
      <c r="B653" s="87" t="str">
        <f>IF(A653&lt;&gt;"",INDEX('Base de données'!A$4:L$990,MATCH(' TVA M'!A653,'Base de données'!A$4:A$990,0),2),"")</f>
        <v/>
      </c>
      <c r="C653" s="87" t="str">
        <f>IF(A653&lt;&gt;"",INDEX('Base de données'!A$4:L$990,MATCH(' TVA M'!A653,'Base de données'!A$4:A$990,0),12),"")</f>
        <v/>
      </c>
    </row>
    <row r="654" spans="2:3" x14ac:dyDescent="0.25">
      <c r="B654" s="87" t="str">
        <f>IF(A654&lt;&gt;"",INDEX('Base de données'!A$4:L$990,MATCH(' TVA M'!A654,'Base de données'!A$4:A$990,0),2),"")</f>
        <v/>
      </c>
      <c r="C654" s="87" t="str">
        <f>IF(A654&lt;&gt;"",INDEX('Base de données'!A$4:L$990,MATCH(' TVA M'!A654,'Base de données'!A$4:A$990,0),12),"")</f>
        <v/>
      </c>
    </row>
    <row r="655" spans="2:3" x14ac:dyDescent="0.25">
      <c r="B655" s="87" t="str">
        <f>IF(A655&lt;&gt;"",INDEX('Base de données'!A$4:L$990,MATCH(' TVA M'!A655,'Base de données'!A$4:A$990,0),2),"")</f>
        <v/>
      </c>
      <c r="C655" s="87" t="str">
        <f>IF(A655&lt;&gt;"",INDEX('Base de données'!A$4:L$990,MATCH(' TVA M'!A655,'Base de données'!A$4:A$990,0),12),"")</f>
        <v/>
      </c>
    </row>
    <row r="656" spans="2:3" x14ac:dyDescent="0.25">
      <c r="B656" s="87" t="str">
        <f>IF(A656&lt;&gt;"",INDEX('Base de données'!A$4:L$990,MATCH(' TVA M'!A656,'Base de données'!A$4:A$990,0),2),"")</f>
        <v/>
      </c>
      <c r="C656" s="87" t="str">
        <f>IF(A656&lt;&gt;"",INDEX('Base de données'!A$4:L$990,MATCH(' TVA M'!A656,'Base de données'!A$4:A$990,0),12),"")</f>
        <v/>
      </c>
    </row>
    <row r="657" spans="2:3" x14ac:dyDescent="0.25">
      <c r="B657" s="87" t="str">
        <f>IF(A657&lt;&gt;"",INDEX('Base de données'!A$4:L$990,MATCH(' TVA M'!A657,'Base de données'!A$4:A$990,0),2),"")</f>
        <v/>
      </c>
      <c r="C657" s="87" t="str">
        <f>IF(A657&lt;&gt;"",INDEX('Base de données'!A$4:L$990,MATCH(' TVA M'!A657,'Base de données'!A$4:A$990,0),12),"")</f>
        <v/>
      </c>
    </row>
    <row r="658" spans="2:3" x14ac:dyDescent="0.25">
      <c r="B658" s="87" t="str">
        <f>IF(A658&lt;&gt;"",INDEX('Base de données'!A$4:L$990,MATCH(' TVA M'!A658,'Base de données'!A$4:A$990,0),2),"")</f>
        <v/>
      </c>
      <c r="C658" s="87" t="str">
        <f>IF(A658&lt;&gt;"",INDEX('Base de données'!A$4:L$990,MATCH(' TVA M'!A658,'Base de données'!A$4:A$990,0),12),"")</f>
        <v/>
      </c>
    </row>
    <row r="659" spans="2:3" x14ac:dyDescent="0.25">
      <c r="B659" s="87" t="str">
        <f>IF(A659&lt;&gt;"",INDEX('Base de données'!A$4:L$990,MATCH(' TVA M'!A659,'Base de données'!A$4:A$990,0),2),"")</f>
        <v/>
      </c>
      <c r="C659" s="87" t="str">
        <f>IF(A659&lt;&gt;"",INDEX('Base de données'!A$4:L$990,MATCH(' TVA M'!A659,'Base de données'!A$4:A$990,0),12),"")</f>
        <v/>
      </c>
    </row>
    <row r="660" spans="2:3" x14ac:dyDescent="0.25">
      <c r="B660" s="87" t="str">
        <f>IF(A660&lt;&gt;"",INDEX('Base de données'!A$4:L$990,MATCH(' TVA M'!A660,'Base de données'!A$4:A$990,0),2),"")</f>
        <v/>
      </c>
      <c r="C660" s="87" t="str">
        <f>IF(A660&lt;&gt;"",INDEX('Base de données'!A$4:L$990,MATCH(' TVA M'!A660,'Base de données'!A$4:A$990,0),12),"")</f>
        <v/>
      </c>
    </row>
    <row r="661" spans="2:3" x14ac:dyDescent="0.25">
      <c r="B661" s="87" t="str">
        <f>IF(A661&lt;&gt;"",INDEX('Base de données'!A$4:L$990,MATCH(' TVA M'!A661,'Base de données'!A$4:A$990,0),2),"")</f>
        <v/>
      </c>
      <c r="C661" s="87" t="str">
        <f>IF(A661&lt;&gt;"",INDEX('Base de données'!A$4:L$990,MATCH(' TVA M'!A661,'Base de données'!A$4:A$990,0),12),"")</f>
        <v/>
      </c>
    </row>
    <row r="662" spans="2:3" x14ac:dyDescent="0.25">
      <c r="B662" s="87" t="str">
        <f>IF(A662&lt;&gt;"",INDEX('Base de données'!A$4:L$990,MATCH(' TVA M'!A662,'Base de données'!A$4:A$990,0),2),"")</f>
        <v/>
      </c>
      <c r="C662" s="87" t="str">
        <f>IF(A662&lt;&gt;"",INDEX('Base de données'!A$4:L$990,MATCH(' TVA M'!A662,'Base de données'!A$4:A$990,0),12),"")</f>
        <v/>
      </c>
    </row>
    <row r="663" spans="2:3" x14ac:dyDescent="0.25">
      <c r="B663" s="87" t="str">
        <f>IF(A663&lt;&gt;"",INDEX('Base de données'!A$4:L$990,MATCH(' TVA M'!A663,'Base de données'!A$4:A$990,0),2),"")</f>
        <v/>
      </c>
      <c r="C663" s="87" t="str">
        <f>IF(A663&lt;&gt;"",INDEX('Base de données'!A$4:L$990,MATCH(' TVA M'!A663,'Base de données'!A$4:A$990,0),12),"")</f>
        <v/>
      </c>
    </row>
    <row r="664" spans="2:3" x14ac:dyDescent="0.25">
      <c r="B664" s="87" t="str">
        <f>IF(A664&lt;&gt;"",INDEX('Base de données'!A$4:L$990,MATCH(' TVA M'!A664,'Base de données'!A$4:A$990,0),2),"")</f>
        <v/>
      </c>
      <c r="C664" s="87" t="str">
        <f>IF(A664&lt;&gt;"",INDEX('Base de données'!A$4:L$990,MATCH(' TVA M'!A664,'Base de données'!A$4:A$990,0),12),"")</f>
        <v/>
      </c>
    </row>
    <row r="665" spans="2:3" x14ac:dyDescent="0.25">
      <c r="B665" s="87" t="str">
        <f>IF(A665&lt;&gt;"",INDEX('Base de données'!A$4:L$990,MATCH(' TVA M'!A665,'Base de données'!A$4:A$990,0),2),"")</f>
        <v/>
      </c>
      <c r="C665" s="87" t="str">
        <f>IF(A665&lt;&gt;"",INDEX('Base de données'!A$4:L$990,MATCH(' TVA M'!A665,'Base de données'!A$4:A$990,0),12),"")</f>
        <v/>
      </c>
    </row>
    <row r="666" spans="2:3" x14ac:dyDescent="0.25">
      <c r="B666" s="87" t="str">
        <f>IF(A666&lt;&gt;"",INDEX('Base de données'!A$4:L$990,MATCH(' TVA M'!A666,'Base de données'!A$4:A$990,0),2),"")</f>
        <v/>
      </c>
      <c r="C666" s="87" t="str">
        <f>IF(A666&lt;&gt;"",INDEX('Base de données'!A$4:L$990,MATCH(' TVA M'!A666,'Base de données'!A$4:A$990,0),12),"")</f>
        <v/>
      </c>
    </row>
    <row r="667" spans="2:3" x14ac:dyDescent="0.25">
      <c r="B667" s="87" t="str">
        <f>IF(A667&lt;&gt;"",INDEX('Base de données'!A$4:L$990,MATCH(' TVA M'!A667,'Base de données'!A$4:A$990,0),2),"")</f>
        <v/>
      </c>
      <c r="C667" s="87" t="str">
        <f>IF(A667&lt;&gt;"",INDEX('Base de données'!A$4:L$990,MATCH(' TVA M'!A667,'Base de données'!A$4:A$990,0),12),"")</f>
        <v/>
      </c>
    </row>
    <row r="668" spans="2:3" x14ac:dyDescent="0.25">
      <c r="B668" s="87" t="str">
        <f>IF(A668&lt;&gt;"",INDEX('Base de données'!A$4:L$990,MATCH(' TVA M'!A668,'Base de données'!A$4:A$990,0),2),"")</f>
        <v/>
      </c>
      <c r="C668" s="87" t="str">
        <f>IF(A668&lt;&gt;"",INDEX('Base de données'!A$4:L$990,MATCH(' TVA M'!A668,'Base de données'!A$4:A$990,0),12),"")</f>
        <v/>
      </c>
    </row>
    <row r="669" spans="2:3" x14ac:dyDescent="0.25">
      <c r="B669" s="87" t="str">
        <f>IF(A669&lt;&gt;"",INDEX('Base de données'!A$4:L$990,MATCH(' TVA M'!A669,'Base de données'!A$4:A$990,0),2),"")</f>
        <v/>
      </c>
      <c r="C669" s="87" t="str">
        <f>IF(A669&lt;&gt;"",INDEX('Base de données'!A$4:L$990,MATCH(' TVA M'!A669,'Base de données'!A$4:A$990,0),12),"")</f>
        <v/>
      </c>
    </row>
    <row r="670" spans="2:3" x14ac:dyDescent="0.25">
      <c r="B670" s="87" t="str">
        <f>IF(A670&lt;&gt;"",INDEX('Base de données'!A$4:L$990,MATCH(' TVA M'!A670,'Base de données'!A$4:A$990,0),2),"")</f>
        <v/>
      </c>
      <c r="C670" s="87" t="str">
        <f>IF(A670&lt;&gt;"",INDEX('Base de données'!A$4:L$990,MATCH(' TVA M'!A670,'Base de données'!A$4:A$990,0),12),"")</f>
        <v/>
      </c>
    </row>
    <row r="671" spans="2:3" x14ac:dyDescent="0.25">
      <c r="B671" s="87" t="str">
        <f>IF(A671&lt;&gt;"",INDEX('Base de données'!A$4:L$990,MATCH(' TVA M'!A671,'Base de données'!A$4:A$990,0),2),"")</f>
        <v/>
      </c>
      <c r="C671" s="87" t="str">
        <f>IF(A671&lt;&gt;"",INDEX('Base de données'!A$4:L$990,MATCH(' TVA M'!A671,'Base de données'!A$4:A$990,0),12),"")</f>
        <v/>
      </c>
    </row>
    <row r="672" spans="2:3" x14ac:dyDescent="0.25">
      <c r="B672" s="87" t="str">
        <f>IF(A672&lt;&gt;"",INDEX('Base de données'!A$4:L$990,MATCH(' TVA M'!A672,'Base de données'!A$4:A$990,0),2),"")</f>
        <v/>
      </c>
      <c r="C672" s="87" t="str">
        <f>IF(A672&lt;&gt;"",INDEX('Base de données'!A$4:L$990,MATCH(' TVA M'!A672,'Base de données'!A$4:A$990,0),12),"")</f>
        <v/>
      </c>
    </row>
    <row r="673" spans="2:3" x14ac:dyDescent="0.25">
      <c r="B673" s="87" t="str">
        <f>IF(A673&lt;&gt;"",INDEX('Base de données'!A$4:L$990,MATCH(' TVA M'!A673,'Base de données'!A$4:A$990,0),2),"")</f>
        <v/>
      </c>
      <c r="C673" s="87" t="str">
        <f>IF(A673&lt;&gt;"",INDEX('Base de données'!A$4:L$990,MATCH(' TVA M'!A673,'Base de données'!A$4:A$990,0),12),"")</f>
        <v/>
      </c>
    </row>
    <row r="674" spans="2:3" x14ac:dyDescent="0.25">
      <c r="B674" s="87" t="str">
        <f>IF(A674&lt;&gt;"",INDEX('Base de données'!A$4:L$990,MATCH(' TVA M'!A674,'Base de données'!A$4:A$990,0),2),"")</f>
        <v/>
      </c>
      <c r="C674" s="87" t="str">
        <f>IF(A674&lt;&gt;"",INDEX('Base de données'!A$4:L$990,MATCH(' TVA M'!A674,'Base de données'!A$4:A$990,0),12),"")</f>
        <v/>
      </c>
    </row>
    <row r="675" spans="2:3" x14ac:dyDescent="0.25">
      <c r="B675" s="87" t="str">
        <f>IF(A675&lt;&gt;"",INDEX('Base de données'!A$4:L$990,MATCH(' TVA M'!A675,'Base de données'!A$4:A$990,0),2),"")</f>
        <v/>
      </c>
      <c r="C675" s="87" t="str">
        <f>IF(A675&lt;&gt;"",INDEX('Base de données'!A$4:L$990,MATCH(' TVA M'!A675,'Base de données'!A$4:A$990,0),12),"")</f>
        <v/>
      </c>
    </row>
    <row r="676" spans="2:3" x14ac:dyDescent="0.25">
      <c r="B676" s="87" t="str">
        <f>IF(A676&lt;&gt;"",INDEX('Base de données'!A$4:L$990,MATCH(' TVA M'!A676,'Base de données'!A$4:A$990,0),2),"")</f>
        <v/>
      </c>
      <c r="C676" s="87" t="str">
        <f>IF(A676&lt;&gt;"",INDEX('Base de données'!A$4:L$990,MATCH(' TVA M'!A676,'Base de données'!A$4:A$990,0),12),"")</f>
        <v/>
      </c>
    </row>
    <row r="677" spans="2:3" x14ac:dyDescent="0.25">
      <c r="B677" s="87" t="str">
        <f>IF(A677&lt;&gt;"",INDEX('Base de données'!A$4:L$990,MATCH(' TVA M'!A677,'Base de données'!A$4:A$990,0),2),"")</f>
        <v/>
      </c>
      <c r="C677" s="87" t="str">
        <f>IF(A677&lt;&gt;"",INDEX('Base de données'!A$4:L$990,MATCH(' TVA M'!A677,'Base de données'!A$4:A$990,0),12),"")</f>
        <v/>
      </c>
    </row>
    <row r="678" spans="2:3" x14ac:dyDescent="0.25">
      <c r="B678" s="87" t="str">
        <f>IF(A678&lt;&gt;"",INDEX('Base de données'!A$4:L$990,MATCH(' TVA M'!A678,'Base de données'!A$4:A$990,0),2),"")</f>
        <v/>
      </c>
      <c r="C678" s="87" t="str">
        <f>IF(A678&lt;&gt;"",INDEX('Base de données'!A$4:L$990,MATCH(' TVA M'!A678,'Base de données'!A$4:A$990,0),12),"")</f>
        <v/>
      </c>
    </row>
    <row r="679" spans="2:3" x14ac:dyDescent="0.25">
      <c r="B679" s="87" t="str">
        <f>IF(A679&lt;&gt;"",INDEX('Base de données'!A$4:L$990,MATCH(' TVA M'!A679,'Base de données'!A$4:A$990,0),2),"")</f>
        <v/>
      </c>
      <c r="C679" s="87" t="str">
        <f>IF(A679&lt;&gt;"",INDEX('Base de données'!A$4:L$990,MATCH(' TVA M'!A679,'Base de données'!A$4:A$990,0),12),"")</f>
        <v/>
      </c>
    </row>
    <row r="680" spans="2:3" x14ac:dyDescent="0.25">
      <c r="B680" s="87" t="str">
        <f>IF(A680&lt;&gt;"",INDEX('Base de données'!A$4:L$990,MATCH(' TVA M'!A680,'Base de données'!A$4:A$990,0),2),"")</f>
        <v/>
      </c>
      <c r="C680" s="87" t="str">
        <f>IF(A680&lt;&gt;"",INDEX('Base de données'!A$4:L$990,MATCH(' TVA M'!A680,'Base de données'!A$4:A$990,0),12),"")</f>
        <v/>
      </c>
    </row>
    <row r="681" spans="2:3" x14ac:dyDescent="0.25">
      <c r="B681" s="87" t="str">
        <f>IF(A681&lt;&gt;"",INDEX('Base de données'!A$4:L$990,MATCH(' TVA M'!A681,'Base de données'!A$4:A$990,0),2),"")</f>
        <v/>
      </c>
      <c r="C681" s="87" t="str">
        <f>IF(A681&lt;&gt;"",INDEX('Base de données'!A$4:L$990,MATCH(' TVA M'!A681,'Base de données'!A$4:A$990,0),12),"")</f>
        <v/>
      </c>
    </row>
    <row r="682" spans="2:3" x14ac:dyDescent="0.25">
      <c r="B682" s="87" t="str">
        <f>IF(A682&lt;&gt;"",INDEX('Base de données'!A$4:L$990,MATCH(' TVA M'!A682,'Base de données'!A$4:A$990,0),2),"")</f>
        <v/>
      </c>
      <c r="C682" s="87" t="str">
        <f>IF(A682&lt;&gt;"",INDEX('Base de données'!A$4:L$990,MATCH(' TVA M'!A682,'Base de données'!A$4:A$990,0),12),"")</f>
        <v/>
      </c>
    </row>
    <row r="683" spans="2:3" x14ac:dyDescent="0.25">
      <c r="B683" s="87" t="str">
        <f>IF(A683&lt;&gt;"",INDEX('Base de données'!A$4:L$990,MATCH(' TVA M'!A683,'Base de données'!A$4:A$990,0),2),"")</f>
        <v/>
      </c>
      <c r="C683" s="87" t="str">
        <f>IF(A683&lt;&gt;"",INDEX('Base de données'!A$4:L$990,MATCH(' TVA M'!A683,'Base de données'!A$4:A$990,0),12),"")</f>
        <v/>
      </c>
    </row>
    <row r="684" spans="2:3" x14ac:dyDescent="0.25">
      <c r="B684" s="87" t="str">
        <f>IF(A684&lt;&gt;"",INDEX('Base de données'!A$4:L$990,MATCH(' TVA M'!A684,'Base de données'!A$4:A$990,0),2),"")</f>
        <v/>
      </c>
      <c r="C684" s="87" t="str">
        <f>IF(A684&lt;&gt;"",INDEX('Base de données'!A$4:L$990,MATCH(' TVA M'!A684,'Base de données'!A$4:A$990,0),12),"")</f>
        <v/>
      </c>
    </row>
    <row r="685" spans="2:3" x14ac:dyDescent="0.25">
      <c r="B685" s="87" t="str">
        <f>IF(A685&lt;&gt;"",INDEX('Base de données'!A$4:L$990,MATCH(' TVA M'!A685,'Base de données'!A$4:A$990,0),2),"")</f>
        <v/>
      </c>
      <c r="C685" s="87" t="str">
        <f>IF(A685&lt;&gt;"",INDEX('Base de données'!A$4:L$990,MATCH(' TVA M'!A685,'Base de données'!A$4:A$990,0),12),"")</f>
        <v/>
      </c>
    </row>
    <row r="686" spans="2:3" x14ac:dyDescent="0.25">
      <c r="B686" s="87" t="str">
        <f>IF(A686&lt;&gt;"",INDEX('Base de données'!A$4:L$990,MATCH(' TVA M'!A686,'Base de données'!A$4:A$990,0),2),"")</f>
        <v/>
      </c>
      <c r="C686" s="87" t="str">
        <f>IF(A686&lt;&gt;"",INDEX('Base de données'!A$4:L$990,MATCH(' TVA M'!A686,'Base de données'!A$4:A$990,0),12),"")</f>
        <v/>
      </c>
    </row>
    <row r="687" spans="2:3" x14ac:dyDescent="0.25">
      <c r="B687" s="87" t="str">
        <f>IF(A687&lt;&gt;"",INDEX('Base de données'!A$4:L$990,MATCH(' TVA M'!A687,'Base de données'!A$4:A$990,0),2),"")</f>
        <v/>
      </c>
      <c r="C687" s="87" t="str">
        <f>IF(A687&lt;&gt;"",INDEX('Base de données'!A$4:L$990,MATCH(' TVA M'!A687,'Base de données'!A$4:A$990,0),12),"")</f>
        <v/>
      </c>
    </row>
    <row r="688" spans="2:3" x14ac:dyDescent="0.25">
      <c r="B688" s="87" t="str">
        <f>IF(A688&lt;&gt;"",INDEX('Base de données'!A$4:L$990,MATCH(' TVA M'!A688,'Base de données'!A$4:A$990,0),2),"")</f>
        <v/>
      </c>
      <c r="C688" s="87" t="str">
        <f>IF(A688&lt;&gt;"",INDEX('Base de données'!A$4:L$990,MATCH(' TVA M'!A688,'Base de données'!A$4:A$990,0),12),"")</f>
        <v/>
      </c>
    </row>
    <row r="689" spans="2:3" x14ac:dyDescent="0.25">
      <c r="B689" s="87" t="str">
        <f>IF(A689&lt;&gt;"",INDEX('Base de données'!A$4:L$990,MATCH(' TVA M'!A689,'Base de données'!A$4:A$990,0),2),"")</f>
        <v/>
      </c>
      <c r="C689" s="87" t="str">
        <f>IF(A689&lt;&gt;"",INDEX('Base de données'!A$4:L$990,MATCH(' TVA M'!A689,'Base de données'!A$4:A$990,0),12),"")</f>
        <v/>
      </c>
    </row>
    <row r="690" spans="2:3" x14ac:dyDescent="0.25">
      <c r="B690" s="87" t="str">
        <f>IF(A690&lt;&gt;"",INDEX('Base de données'!A$4:L$990,MATCH(' TVA M'!A690,'Base de données'!A$4:A$990,0),2),"")</f>
        <v/>
      </c>
      <c r="C690" s="87" t="str">
        <f>IF(A690&lt;&gt;"",INDEX('Base de données'!A$4:L$990,MATCH(' TVA M'!A690,'Base de données'!A$4:A$990,0),12),"")</f>
        <v/>
      </c>
    </row>
    <row r="691" spans="2:3" x14ac:dyDescent="0.25">
      <c r="B691" s="87" t="str">
        <f>IF(A691&lt;&gt;"",INDEX('Base de données'!A$4:L$990,MATCH(' TVA M'!A691,'Base de données'!A$4:A$990,0),2),"")</f>
        <v/>
      </c>
      <c r="C691" s="87" t="str">
        <f>IF(A691&lt;&gt;"",INDEX('Base de données'!A$4:L$990,MATCH(' TVA M'!A691,'Base de données'!A$4:A$990,0),12),"")</f>
        <v/>
      </c>
    </row>
    <row r="692" spans="2:3" x14ac:dyDescent="0.25">
      <c r="B692" s="87" t="str">
        <f>IF(A692&lt;&gt;"",INDEX('Base de données'!A$4:L$990,MATCH(' TVA M'!A692,'Base de données'!A$4:A$990,0),2),"")</f>
        <v/>
      </c>
      <c r="C692" s="87" t="str">
        <f>IF(A692&lt;&gt;"",INDEX('Base de données'!A$4:L$990,MATCH(' TVA M'!A692,'Base de données'!A$4:A$990,0),12),"")</f>
        <v/>
      </c>
    </row>
    <row r="693" spans="2:3" x14ac:dyDescent="0.25">
      <c r="B693" s="87" t="str">
        <f>IF(A693&lt;&gt;"",INDEX('Base de données'!A$4:L$990,MATCH(' TVA M'!A693,'Base de données'!A$4:A$990,0),2),"")</f>
        <v/>
      </c>
      <c r="C693" s="87" t="str">
        <f>IF(A693&lt;&gt;"",INDEX('Base de données'!A$4:L$990,MATCH(' TVA M'!A693,'Base de données'!A$4:A$990,0),12),"")</f>
        <v/>
      </c>
    </row>
    <row r="694" spans="2:3" x14ac:dyDescent="0.25">
      <c r="B694" s="87" t="str">
        <f>IF(A694&lt;&gt;"",INDEX('Base de données'!A$4:L$990,MATCH(' TVA M'!A694,'Base de données'!A$4:A$990,0),2),"")</f>
        <v/>
      </c>
      <c r="C694" s="87" t="str">
        <f>IF(A694&lt;&gt;"",INDEX('Base de données'!A$4:L$990,MATCH(' TVA M'!A694,'Base de données'!A$4:A$990,0),12),"")</f>
        <v/>
      </c>
    </row>
    <row r="695" spans="2:3" x14ac:dyDescent="0.25">
      <c r="B695" s="87" t="str">
        <f>IF(A695&lt;&gt;"",INDEX('Base de données'!A$4:L$990,MATCH(' TVA M'!A695,'Base de données'!A$4:A$990,0),2),"")</f>
        <v/>
      </c>
      <c r="C695" s="87" t="str">
        <f>IF(A695&lt;&gt;"",INDEX('Base de données'!A$4:L$990,MATCH(' TVA M'!A695,'Base de données'!A$4:A$990,0),12),"")</f>
        <v/>
      </c>
    </row>
    <row r="696" spans="2:3" x14ac:dyDescent="0.25">
      <c r="B696" s="87" t="str">
        <f>IF(A696&lt;&gt;"",INDEX('Base de données'!A$4:L$990,MATCH(' TVA M'!A696,'Base de données'!A$4:A$990,0),2),"")</f>
        <v/>
      </c>
      <c r="C696" s="87" t="str">
        <f>IF(A696&lt;&gt;"",INDEX('Base de données'!A$4:L$990,MATCH(' TVA M'!A696,'Base de données'!A$4:A$990,0),12),"")</f>
        <v/>
      </c>
    </row>
    <row r="697" spans="2:3" x14ac:dyDescent="0.25">
      <c r="B697" s="87" t="str">
        <f>IF(A697&lt;&gt;"",INDEX('Base de données'!A$4:L$990,MATCH(' TVA M'!A697,'Base de données'!A$4:A$990,0),2),"")</f>
        <v/>
      </c>
      <c r="C697" s="87" t="str">
        <f>IF(A697&lt;&gt;"",INDEX('Base de données'!A$4:L$990,MATCH(' TVA M'!A697,'Base de données'!A$4:A$990,0),12),"")</f>
        <v/>
      </c>
    </row>
    <row r="698" spans="2:3" x14ac:dyDescent="0.25">
      <c r="B698" s="87" t="str">
        <f>IF(A698&lt;&gt;"",INDEX('Base de données'!A$4:L$990,MATCH(' TVA M'!A698,'Base de données'!A$4:A$990,0),2),"")</f>
        <v/>
      </c>
      <c r="C698" s="87" t="str">
        <f>IF(A698&lt;&gt;"",INDEX('Base de données'!A$4:L$990,MATCH(' TVA M'!A698,'Base de données'!A$4:A$990,0),12),"")</f>
        <v/>
      </c>
    </row>
    <row r="699" spans="2:3" x14ac:dyDescent="0.25">
      <c r="B699" s="87" t="str">
        <f>IF(A699&lt;&gt;"",INDEX('Base de données'!A$4:L$990,MATCH(' TVA M'!A699,'Base de données'!A$4:A$990,0),2),"")</f>
        <v/>
      </c>
      <c r="C699" s="87" t="str">
        <f>IF(A699&lt;&gt;"",INDEX('Base de données'!A$4:L$990,MATCH(' TVA M'!A699,'Base de données'!A$4:A$990,0),12),"")</f>
        <v/>
      </c>
    </row>
    <row r="700" spans="2:3" x14ac:dyDescent="0.25">
      <c r="B700" s="87" t="str">
        <f>IF(A700&lt;&gt;"",INDEX('Base de données'!A$4:L$990,MATCH(' TVA M'!A700,'Base de données'!A$4:A$990,0),2),"")</f>
        <v/>
      </c>
      <c r="C700" s="87" t="str">
        <f>IF(A700&lt;&gt;"",INDEX('Base de données'!A$4:L$990,MATCH(' TVA M'!A700,'Base de données'!A$4:A$990,0),12),"")</f>
        <v/>
      </c>
    </row>
    <row r="701" spans="2:3" x14ac:dyDescent="0.25">
      <c r="B701" s="87" t="str">
        <f>IF(A701&lt;&gt;"",INDEX('Base de données'!A$4:L$990,MATCH(' TVA M'!A701,'Base de données'!A$4:A$990,0),2),"")</f>
        <v/>
      </c>
      <c r="C701" s="87" t="str">
        <f>IF(A701&lt;&gt;"",INDEX('Base de données'!A$4:L$990,MATCH(' TVA M'!A701,'Base de données'!A$4:A$990,0),12),"")</f>
        <v/>
      </c>
    </row>
    <row r="702" spans="2:3" x14ac:dyDescent="0.25">
      <c r="B702" s="87" t="str">
        <f>IF(A702&lt;&gt;"",INDEX('Base de données'!A$4:L$990,MATCH(' TVA M'!A702,'Base de données'!A$4:A$990,0),2),"")</f>
        <v/>
      </c>
      <c r="C702" s="87" t="str">
        <f>IF(A702&lt;&gt;"",INDEX('Base de données'!A$4:L$990,MATCH(' TVA M'!A702,'Base de données'!A$4:A$990,0),12),"")</f>
        <v/>
      </c>
    </row>
    <row r="703" spans="2:3" x14ac:dyDescent="0.25">
      <c r="B703" s="87" t="str">
        <f>IF(A703&lt;&gt;"",INDEX('Base de données'!A$4:L$990,MATCH(' TVA M'!A703,'Base de données'!A$4:A$990,0),2),"")</f>
        <v/>
      </c>
      <c r="C703" s="87" t="str">
        <f>IF(A703&lt;&gt;"",INDEX('Base de données'!A$4:L$990,MATCH(' TVA M'!A703,'Base de données'!A$4:A$990,0),12),"")</f>
        <v/>
      </c>
    </row>
    <row r="704" spans="2:3" x14ac:dyDescent="0.25">
      <c r="B704" s="87" t="str">
        <f>IF(A704&lt;&gt;"",INDEX('Base de données'!A$4:L$990,MATCH(' TVA M'!A704,'Base de données'!A$4:A$990,0),2),"")</f>
        <v/>
      </c>
      <c r="C704" s="87" t="str">
        <f>IF(A704&lt;&gt;"",INDEX('Base de données'!A$4:L$990,MATCH(' TVA M'!A704,'Base de données'!A$4:A$990,0),12),"")</f>
        <v/>
      </c>
    </row>
    <row r="705" spans="2:3" x14ac:dyDescent="0.25">
      <c r="B705" s="87" t="str">
        <f>IF(A705&lt;&gt;"",INDEX('Base de données'!A$4:L$990,MATCH(' TVA M'!A705,'Base de données'!A$4:A$990,0),2),"")</f>
        <v/>
      </c>
      <c r="C705" s="87" t="str">
        <f>IF(A705&lt;&gt;"",INDEX('Base de données'!A$4:L$990,MATCH(' TVA M'!A705,'Base de données'!A$4:A$990,0),12),"")</f>
        <v/>
      </c>
    </row>
    <row r="706" spans="2:3" x14ac:dyDescent="0.25">
      <c r="B706" s="87" t="str">
        <f>IF(A706&lt;&gt;"",INDEX('Base de données'!A$4:L$990,MATCH(' TVA M'!A706,'Base de données'!A$4:A$990,0),2),"")</f>
        <v/>
      </c>
      <c r="C706" s="87" t="str">
        <f>IF(A706&lt;&gt;"",INDEX('Base de données'!A$4:L$990,MATCH(' TVA M'!A706,'Base de données'!A$4:A$990,0),12),"")</f>
        <v/>
      </c>
    </row>
    <row r="707" spans="2:3" x14ac:dyDescent="0.25">
      <c r="B707" s="87" t="str">
        <f>IF(A707&lt;&gt;"",INDEX('Base de données'!A$4:L$990,MATCH(' TVA M'!A707,'Base de données'!A$4:A$990,0),2),"")</f>
        <v/>
      </c>
      <c r="C707" s="87" t="str">
        <f>IF(A707&lt;&gt;"",INDEX('Base de données'!A$4:L$990,MATCH(' TVA M'!A707,'Base de données'!A$4:A$990,0),12),"")</f>
        <v/>
      </c>
    </row>
    <row r="708" spans="2:3" x14ac:dyDescent="0.25">
      <c r="B708" s="87" t="str">
        <f>IF(A708&lt;&gt;"",INDEX('Base de données'!A$4:L$990,MATCH(' TVA M'!A708,'Base de données'!A$4:A$990,0),2),"")</f>
        <v/>
      </c>
      <c r="C708" s="87" t="str">
        <f>IF(A708&lt;&gt;"",INDEX('Base de données'!A$4:L$990,MATCH(' TVA M'!A708,'Base de données'!A$4:A$990,0),12),"")</f>
        <v/>
      </c>
    </row>
    <row r="709" spans="2:3" x14ac:dyDescent="0.25">
      <c r="B709" s="87" t="str">
        <f>IF(A709&lt;&gt;"",INDEX('Base de données'!A$4:L$990,MATCH(' TVA M'!A709,'Base de données'!A$4:A$990,0),2),"")</f>
        <v/>
      </c>
      <c r="C709" s="87" t="str">
        <f>IF(A709&lt;&gt;"",INDEX('Base de données'!A$4:L$990,MATCH(' TVA M'!A709,'Base de données'!A$4:A$990,0),12),"")</f>
        <v/>
      </c>
    </row>
    <row r="710" spans="2:3" x14ac:dyDescent="0.25">
      <c r="B710" s="87" t="str">
        <f>IF(A710&lt;&gt;"",INDEX('Base de données'!A$4:L$990,MATCH(' TVA M'!A710,'Base de données'!A$4:A$990,0),2),"")</f>
        <v/>
      </c>
      <c r="C710" s="87" t="str">
        <f>IF(A710&lt;&gt;"",INDEX('Base de données'!A$4:L$990,MATCH(' TVA M'!A710,'Base de données'!A$4:A$990,0),12),"")</f>
        <v/>
      </c>
    </row>
    <row r="711" spans="2:3" x14ac:dyDescent="0.25">
      <c r="B711" s="87" t="str">
        <f>IF(A711&lt;&gt;"",INDEX('Base de données'!A$4:L$990,MATCH(' TVA M'!A711,'Base de données'!A$4:A$990,0),2),"")</f>
        <v/>
      </c>
      <c r="C711" s="87" t="str">
        <f>IF(A711&lt;&gt;"",INDEX('Base de données'!A$4:L$990,MATCH(' TVA M'!A711,'Base de données'!A$4:A$990,0),12),"")</f>
        <v/>
      </c>
    </row>
    <row r="712" spans="2:3" x14ac:dyDescent="0.25">
      <c r="B712" s="87" t="str">
        <f>IF(A712&lt;&gt;"",INDEX('Base de données'!A$4:L$990,MATCH(' TVA M'!A712,'Base de données'!A$4:A$990,0),2),"")</f>
        <v/>
      </c>
      <c r="C712" s="87" t="str">
        <f>IF(A712&lt;&gt;"",INDEX('Base de données'!A$4:L$990,MATCH(' TVA M'!A712,'Base de données'!A$4:A$990,0),12),"")</f>
        <v/>
      </c>
    </row>
    <row r="713" spans="2:3" x14ac:dyDescent="0.25">
      <c r="B713" s="87" t="str">
        <f>IF(A713&lt;&gt;"",INDEX('Base de données'!A$4:L$990,MATCH(' TVA M'!A713,'Base de données'!A$4:A$990,0),2),"")</f>
        <v/>
      </c>
      <c r="C713" s="87" t="str">
        <f>IF(A713&lt;&gt;"",INDEX('Base de données'!A$4:L$990,MATCH(' TVA M'!A713,'Base de données'!A$4:A$990,0),12),"")</f>
        <v/>
      </c>
    </row>
    <row r="714" spans="2:3" x14ac:dyDescent="0.25">
      <c r="B714" s="87" t="str">
        <f>IF(A714&lt;&gt;"",INDEX('Base de données'!A$4:L$990,MATCH(' TVA M'!A714,'Base de données'!A$4:A$990,0),2),"")</f>
        <v/>
      </c>
      <c r="C714" s="87" t="str">
        <f>IF(A714&lt;&gt;"",INDEX('Base de données'!A$4:L$990,MATCH(' TVA M'!A714,'Base de données'!A$4:A$990,0),12),"")</f>
        <v/>
      </c>
    </row>
    <row r="715" spans="2:3" x14ac:dyDescent="0.25">
      <c r="B715" s="87" t="str">
        <f>IF(A715&lt;&gt;"",INDEX('Base de données'!A$4:L$990,MATCH(' TVA M'!A715,'Base de données'!A$4:A$990,0),2),"")</f>
        <v/>
      </c>
      <c r="C715" s="87" t="str">
        <f>IF(A715&lt;&gt;"",INDEX('Base de données'!A$4:L$990,MATCH(' TVA M'!A715,'Base de données'!A$4:A$990,0),12),"")</f>
        <v/>
      </c>
    </row>
    <row r="716" spans="2:3" x14ac:dyDescent="0.25">
      <c r="B716" s="87" t="str">
        <f>IF(A716&lt;&gt;"",INDEX('Base de données'!A$4:L$990,MATCH(' TVA M'!A716,'Base de données'!A$4:A$990,0),2),"")</f>
        <v/>
      </c>
      <c r="C716" s="87" t="str">
        <f>IF(A716&lt;&gt;"",INDEX('Base de données'!A$4:L$990,MATCH(' TVA M'!A716,'Base de données'!A$4:A$990,0),12),"")</f>
        <v/>
      </c>
    </row>
    <row r="717" spans="2:3" x14ac:dyDescent="0.25">
      <c r="B717" s="87" t="str">
        <f>IF(A717&lt;&gt;"",INDEX('Base de données'!A$4:L$990,MATCH(' TVA M'!A717,'Base de données'!A$4:A$990,0),2),"")</f>
        <v/>
      </c>
      <c r="C717" s="87" t="str">
        <f>IF(A717&lt;&gt;"",INDEX('Base de données'!A$4:L$990,MATCH(' TVA M'!A717,'Base de données'!A$4:A$990,0),12),"")</f>
        <v/>
      </c>
    </row>
    <row r="718" spans="2:3" x14ac:dyDescent="0.25">
      <c r="B718" s="87" t="str">
        <f>IF(A718&lt;&gt;"",INDEX('Base de données'!A$4:L$990,MATCH(' TVA M'!A718,'Base de données'!A$4:A$990,0),2),"")</f>
        <v/>
      </c>
      <c r="C718" s="87" t="str">
        <f>IF(A718&lt;&gt;"",INDEX('Base de données'!A$4:L$990,MATCH(' TVA M'!A718,'Base de données'!A$4:A$990,0),12),"")</f>
        <v/>
      </c>
    </row>
    <row r="719" spans="2:3" x14ac:dyDescent="0.25">
      <c r="B719" s="87" t="str">
        <f>IF(A719&lt;&gt;"",INDEX('Base de données'!A$4:L$990,MATCH(' TVA M'!A719,'Base de données'!A$4:A$990,0),2),"")</f>
        <v/>
      </c>
      <c r="C719" s="87" t="str">
        <f>IF(A719&lt;&gt;"",INDEX('Base de données'!A$4:L$990,MATCH(' TVA M'!A719,'Base de données'!A$4:A$990,0),12),"")</f>
        <v/>
      </c>
    </row>
    <row r="720" spans="2:3" x14ac:dyDescent="0.25">
      <c r="B720" s="87" t="str">
        <f>IF(A720&lt;&gt;"",INDEX('Base de données'!A$4:L$990,MATCH(' TVA M'!A720,'Base de données'!A$4:A$990,0),2),"")</f>
        <v/>
      </c>
      <c r="C720" s="87" t="str">
        <f>IF(A720&lt;&gt;"",INDEX('Base de données'!A$4:L$990,MATCH(' TVA M'!A720,'Base de données'!A$4:A$990,0),12),"")</f>
        <v/>
      </c>
    </row>
    <row r="721" spans="2:3" x14ac:dyDescent="0.25">
      <c r="B721" s="87" t="str">
        <f>IF(A721&lt;&gt;"",INDEX('Base de données'!A$4:L$990,MATCH(' TVA M'!A721,'Base de données'!A$4:A$990,0),2),"")</f>
        <v/>
      </c>
      <c r="C721" s="87" t="str">
        <f>IF(A721&lt;&gt;"",INDEX('Base de données'!A$4:L$990,MATCH(' TVA M'!A721,'Base de données'!A$4:A$990,0),12),"")</f>
        <v/>
      </c>
    </row>
    <row r="722" spans="2:3" x14ac:dyDescent="0.25">
      <c r="B722" s="87" t="str">
        <f>IF(A722&lt;&gt;"",INDEX('Base de données'!A$4:L$990,MATCH(' TVA M'!A722,'Base de données'!A$4:A$990,0),2),"")</f>
        <v/>
      </c>
      <c r="C722" s="87" t="str">
        <f>IF(A722&lt;&gt;"",INDEX('Base de données'!A$4:L$990,MATCH(' TVA M'!A722,'Base de données'!A$4:A$990,0),12),"")</f>
        <v/>
      </c>
    </row>
    <row r="723" spans="2:3" x14ac:dyDescent="0.25">
      <c r="B723" s="87" t="str">
        <f>IF(A723&lt;&gt;"",INDEX('Base de données'!A$4:L$990,MATCH(' TVA M'!A723,'Base de données'!A$4:A$990,0),2),"")</f>
        <v/>
      </c>
      <c r="C723" s="87" t="str">
        <f>IF(A723&lt;&gt;"",INDEX('Base de données'!A$4:L$990,MATCH(' TVA M'!A723,'Base de données'!A$4:A$990,0),12),"")</f>
        <v/>
      </c>
    </row>
    <row r="724" spans="2:3" x14ac:dyDescent="0.25">
      <c r="B724" s="87" t="str">
        <f>IF(A724&lt;&gt;"",INDEX('Base de données'!A$4:L$990,MATCH(' TVA M'!A724,'Base de données'!A$4:A$990,0),2),"")</f>
        <v/>
      </c>
      <c r="C724" s="87" t="str">
        <f>IF(A724&lt;&gt;"",INDEX('Base de données'!A$4:L$990,MATCH(' TVA M'!A724,'Base de données'!A$4:A$990,0),12),"")</f>
        <v/>
      </c>
    </row>
    <row r="725" spans="2:3" x14ac:dyDescent="0.25">
      <c r="B725" s="87" t="str">
        <f>IF(A725&lt;&gt;"",INDEX('Base de données'!A$4:L$990,MATCH(' TVA M'!A725,'Base de données'!A$4:A$990,0),2),"")</f>
        <v/>
      </c>
      <c r="C725" s="87" t="str">
        <f>IF(A725&lt;&gt;"",INDEX('Base de données'!A$4:L$990,MATCH(' TVA M'!A725,'Base de données'!A$4:A$990,0),12),"")</f>
        <v/>
      </c>
    </row>
    <row r="726" spans="2:3" x14ac:dyDescent="0.25">
      <c r="B726" s="87" t="str">
        <f>IF(A726&lt;&gt;"",INDEX('Base de données'!A$4:L$990,MATCH(' TVA M'!A726,'Base de données'!A$4:A$990,0),2),"")</f>
        <v/>
      </c>
      <c r="C726" s="87" t="str">
        <f>IF(A726&lt;&gt;"",INDEX('Base de données'!A$4:L$990,MATCH(' TVA M'!A726,'Base de données'!A$4:A$990,0),12),"")</f>
        <v/>
      </c>
    </row>
    <row r="727" spans="2:3" x14ac:dyDescent="0.25">
      <c r="B727" s="87" t="str">
        <f>IF(A727&lt;&gt;"",INDEX('Base de données'!A$4:L$990,MATCH(' TVA M'!A727,'Base de données'!A$4:A$990,0),2),"")</f>
        <v/>
      </c>
      <c r="C727" s="87" t="str">
        <f>IF(A727&lt;&gt;"",INDEX('Base de données'!A$4:L$990,MATCH(' TVA M'!A727,'Base de données'!A$4:A$990,0),12),"")</f>
        <v/>
      </c>
    </row>
    <row r="728" spans="2:3" x14ac:dyDescent="0.25">
      <c r="B728" s="87" t="str">
        <f>IF(A728&lt;&gt;"",INDEX('Base de données'!A$4:L$990,MATCH(' TVA M'!A728,'Base de données'!A$4:A$990,0),2),"")</f>
        <v/>
      </c>
      <c r="C728" s="87" t="str">
        <f>IF(A728&lt;&gt;"",INDEX('Base de données'!A$4:L$990,MATCH(' TVA M'!A728,'Base de données'!A$4:A$990,0),12),"")</f>
        <v/>
      </c>
    </row>
    <row r="729" spans="2:3" x14ac:dyDescent="0.25">
      <c r="B729" s="87" t="str">
        <f>IF(A729&lt;&gt;"",INDEX('Base de données'!A$4:L$990,MATCH(' TVA M'!A729,'Base de données'!A$4:A$990,0),2),"")</f>
        <v/>
      </c>
      <c r="C729" s="87" t="str">
        <f>IF(A729&lt;&gt;"",INDEX('Base de données'!A$4:L$990,MATCH(' TVA M'!A729,'Base de données'!A$4:A$990,0),12),"")</f>
        <v/>
      </c>
    </row>
    <row r="730" spans="2:3" x14ac:dyDescent="0.25">
      <c r="B730" s="87" t="str">
        <f>IF(A730&lt;&gt;"",INDEX('Base de données'!A$4:L$990,MATCH(' TVA M'!A730,'Base de données'!A$4:A$990,0),2),"")</f>
        <v/>
      </c>
      <c r="C730" s="87" t="str">
        <f>IF(A730&lt;&gt;"",INDEX('Base de données'!A$4:L$990,MATCH(' TVA M'!A730,'Base de données'!A$4:A$990,0),12),"")</f>
        <v/>
      </c>
    </row>
    <row r="731" spans="2:3" x14ac:dyDescent="0.25">
      <c r="B731" s="87" t="str">
        <f>IF(A731&lt;&gt;"",INDEX('Base de données'!A$4:L$990,MATCH(' TVA M'!A731,'Base de données'!A$4:A$990,0),2),"")</f>
        <v/>
      </c>
      <c r="C731" s="87" t="str">
        <f>IF(A731&lt;&gt;"",INDEX('Base de données'!A$4:L$990,MATCH(' TVA M'!A731,'Base de données'!A$4:A$990,0),12),"")</f>
        <v/>
      </c>
    </row>
    <row r="732" spans="2:3" x14ac:dyDescent="0.25">
      <c r="B732" s="87" t="str">
        <f>IF(A732&lt;&gt;"",INDEX('Base de données'!A$4:L$990,MATCH(' TVA M'!A732,'Base de données'!A$4:A$990,0),2),"")</f>
        <v/>
      </c>
      <c r="C732" s="87" t="str">
        <f>IF(A732&lt;&gt;"",INDEX('Base de données'!A$4:L$990,MATCH(' TVA M'!A732,'Base de données'!A$4:A$990,0),12),"")</f>
        <v/>
      </c>
    </row>
    <row r="733" spans="2:3" x14ac:dyDescent="0.25">
      <c r="B733" s="87" t="str">
        <f>IF(A733&lt;&gt;"",INDEX('Base de données'!A$4:L$990,MATCH(' TVA M'!A733,'Base de données'!A$4:A$990,0),2),"")</f>
        <v/>
      </c>
      <c r="C733" s="87" t="str">
        <f>IF(A733&lt;&gt;"",INDEX('Base de données'!A$4:L$990,MATCH(' TVA M'!A733,'Base de données'!A$4:A$990,0),12),"")</f>
        <v/>
      </c>
    </row>
    <row r="734" spans="2:3" x14ac:dyDescent="0.25">
      <c r="B734" s="87" t="str">
        <f>IF(A734&lt;&gt;"",INDEX('Base de données'!A$4:L$990,MATCH(' TVA M'!A734,'Base de données'!A$4:A$990,0),2),"")</f>
        <v/>
      </c>
      <c r="C734" s="87" t="str">
        <f>IF(A734&lt;&gt;"",INDEX('Base de données'!A$4:L$990,MATCH(' TVA M'!A734,'Base de données'!A$4:A$990,0),12),"")</f>
        <v/>
      </c>
    </row>
    <row r="735" spans="2:3" x14ac:dyDescent="0.25">
      <c r="B735" s="87" t="str">
        <f>IF(A735&lt;&gt;"",INDEX('Base de données'!A$4:L$990,MATCH(' TVA M'!A735,'Base de données'!A$4:A$990,0),2),"")</f>
        <v/>
      </c>
      <c r="C735" s="87" t="str">
        <f>IF(A735&lt;&gt;"",INDEX('Base de données'!A$4:L$990,MATCH(' TVA M'!A735,'Base de données'!A$4:A$990,0),12),"")</f>
        <v/>
      </c>
    </row>
    <row r="736" spans="2:3" x14ac:dyDescent="0.25">
      <c r="B736" s="87" t="str">
        <f>IF(A736&lt;&gt;"",INDEX('Base de données'!A$4:L$990,MATCH(' TVA M'!A736,'Base de données'!A$4:A$990,0),2),"")</f>
        <v/>
      </c>
      <c r="C736" s="87" t="str">
        <f>IF(A736&lt;&gt;"",INDEX('Base de données'!A$4:L$990,MATCH(' TVA M'!A736,'Base de données'!A$4:A$990,0),12),"")</f>
        <v/>
      </c>
    </row>
    <row r="737" spans="2:3" x14ac:dyDescent="0.25">
      <c r="B737" s="87" t="str">
        <f>IF(A737&lt;&gt;"",INDEX('Base de données'!A$4:L$990,MATCH(' TVA M'!A737,'Base de données'!A$4:A$990,0),2),"")</f>
        <v/>
      </c>
      <c r="C737" s="87" t="str">
        <f>IF(A737&lt;&gt;"",INDEX('Base de données'!A$4:L$990,MATCH(' TVA M'!A737,'Base de données'!A$4:A$990,0),12),"")</f>
        <v/>
      </c>
    </row>
    <row r="738" spans="2:3" x14ac:dyDescent="0.25">
      <c r="B738" s="87" t="str">
        <f>IF(A738&lt;&gt;"",INDEX('Base de données'!A$4:L$990,MATCH(' TVA M'!A738,'Base de données'!A$4:A$990,0),2),"")</f>
        <v/>
      </c>
      <c r="C738" s="87" t="str">
        <f>IF(A738&lt;&gt;"",INDEX('Base de données'!A$4:L$990,MATCH(' TVA M'!A738,'Base de données'!A$4:A$990,0),12),"")</f>
        <v/>
      </c>
    </row>
    <row r="739" spans="2:3" x14ac:dyDescent="0.25">
      <c r="B739" s="87" t="str">
        <f>IF(A739&lt;&gt;"",INDEX('Base de données'!A$4:L$990,MATCH(' TVA M'!A739,'Base de données'!A$4:A$990,0),2),"")</f>
        <v/>
      </c>
      <c r="C739" s="87" t="str">
        <f>IF(A739&lt;&gt;"",INDEX('Base de données'!A$4:L$990,MATCH(' TVA M'!A739,'Base de données'!A$4:A$990,0),12),"")</f>
        <v/>
      </c>
    </row>
    <row r="740" spans="2:3" x14ac:dyDescent="0.25">
      <c r="B740" s="87" t="str">
        <f>IF(A740&lt;&gt;"",INDEX('Base de données'!A$4:L$990,MATCH(' TVA M'!A740,'Base de données'!A$4:A$990,0),2),"")</f>
        <v/>
      </c>
      <c r="C740" s="87" t="str">
        <f>IF(A740&lt;&gt;"",INDEX('Base de données'!A$4:L$990,MATCH(' TVA M'!A740,'Base de données'!A$4:A$990,0),12),"")</f>
        <v/>
      </c>
    </row>
    <row r="741" spans="2:3" x14ac:dyDescent="0.25">
      <c r="B741" s="87" t="str">
        <f>IF(A741&lt;&gt;"",INDEX('Base de données'!A$4:L$990,MATCH(' TVA M'!A741,'Base de données'!A$4:A$990,0),2),"")</f>
        <v/>
      </c>
      <c r="C741" s="87" t="str">
        <f>IF(A741&lt;&gt;"",INDEX('Base de données'!A$4:L$990,MATCH(' TVA M'!A741,'Base de données'!A$4:A$990,0),12),"")</f>
        <v/>
      </c>
    </row>
    <row r="742" spans="2:3" x14ac:dyDescent="0.25">
      <c r="B742" s="87" t="str">
        <f>IF(A742&lt;&gt;"",INDEX('Base de données'!A$4:L$990,MATCH(' TVA M'!A742,'Base de données'!A$4:A$990,0),2),"")</f>
        <v/>
      </c>
      <c r="C742" s="87" t="str">
        <f>IF(A742&lt;&gt;"",INDEX('Base de données'!A$4:L$990,MATCH(' TVA M'!A742,'Base de données'!A$4:A$990,0),12),"")</f>
        <v/>
      </c>
    </row>
    <row r="743" spans="2:3" x14ac:dyDescent="0.25">
      <c r="B743" s="87" t="str">
        <f>IF(A743&lt;&gt;"",INDEX('Base de données'!A$4:L$990,MATCH(' TVA M'!A743,'Base de données'!A$4:A$990,0),2),"")</f>
        <v/>
      </c>
      <c r="C743" s="87" t="str">
        <f>IF(A743&lt;&gt;"",INDEX('Base de données'!A$4:L$990,MATCH(' TVA M'!A743,'Base de données'!A$4:A$990,0),12),"")</f>
        <v/>
      </c>
    </row>
    <row r="744" spans="2:3" x14ac:dyDescent="0.25">
      <c r="B744" s="87" t="str">
        <f>IF(A744&lt;&gt;"",INDEX('Base de données'!A$4:L$990,MATCH(' TVA M'!A744,'Base de données'!A$4:A$990,0),2),"")</f>
        <v/>
      </c>
      <c r="C744" s="87" t="str">
        <f>IF(A744&lt;&gt;"",INDEX('Base de données'!A$4:L$990,MATCH(' TVA M'!A744,'Base de données'!A$4:A$990,0),12),"")</f>
        <v/>
      </c>
    </row>
    <row r="745" spans="2:3" x14ac:dyDescent="0.25">
      <c r="B745" s="87" t="str">
        <f>IF(A745&lt;&gt;"",INDEX('Base de données'!A$4:L$990,MATCH(' TVA M'!A745,'Base de données'!A$4:A$990,0),2),"")</f>
        <v/>
      </c>
      <c r="C745" s="87" t="str">
        <f>IF(A745&lt;&gt;"",INDEX('Base de données'!A$4:L$990,MATCH(' TVA M'!A745,'Base de données'!A$4:A$990,0),12),"")</f>
        <v/>
      </c>
    </row>
    <row r="746" spans="2:3" x14ac:dyDescent="0.25">
      <c r="B746" s="87" t="str">
        <f>IF(A746&lt;&gt;"",INDEX('Base de données'!A$4:L$990,MATCH(' TVA M'!A746,'Base de données'!A$4:A$990,0),2),"")</f>
        <v/>
      </c>
      <c r="C746" s="87" t="str">
        <f>IF(A746&lt;&gt;"",INDEX('Base de données'!A$4:L$990,MATCH(' TVA M'!A746,'Base de données'!A$4:A$990,0),12),"")</f>
        <v/>
      </c>
    </row>
    <row r="747" spans="2:3" x14ac:dyDescent="0.25">
      <c r="B747" s="87" t="str">
        <f>IF(A747&lt;&gt;"",INDEX('Base de données'!A$4:L$990,MATCH(' TVA M'!A747,'Base de données'!A$4:A$990,0),2),"")</f>
        <v/>
      </c>
      <c r="C747" s="87" t="str">
        <f>IF(A747&lt;&gt;"",INDEX('Base de données'!A$4:L$990,MATCH(' TVA M'!A747,'Base de données'!A$4:A$990,0),12),"")</f>
        <v/>
      </c>
    </row>
    <row r="748" spans="2:3" x14ac:dyDescent="0.25">
      <c r="B748" s="87" t="str">
        <f>IF(A748&lt;&gt;"",INDEX('Base de données'!A$4:L$990,MATCH(' TVA M'!A748,'Base de données'!A$4:A$990,0),2),"")</f>
        <v/>
      </c>
      <c r="C748" s="87" t="str">
        <f>IF(A748&lt;&gt;"",INDEX('Base de données'!A$4:L$990,MATCH(' TVA M'!A748,'Base de données'!A$4:A$990,0),12),"")</f>
        <v/>
      </c>
    </row>
    <row r="749" spans="2:3" x14ac:dyDescent="0.25">
      <c r="B749" s="87" t="str">
        <f>IF(A749&lt;&gt;"",INDEX('Base de données'!A$4:L$990,MATCH(' TVA M'!A749,'Base de données'!A$4:A$990,0),2),"")</f>
        <v/>
      </c>
      <c r="C749" s="87" t="str">
        <f>IF(A749&lt;&gt;"",INDEX('Base de données'!A$4:L$990,MATCH(' TVA M'!A749,'Base de données'!A$4:A$990,0),12),"")</f>
        <v/>
      </c>
    </row>
    <row r="750" spans="2:3" x14ac:dyDescent="0.25">
      <c r="B750" s="87" t="str">
        <f>IF(A750&lt;&gt;"",INDEX('Base de données'!A$4:L$990,MATCH(' TVA M'!A750,'Base de données'!A$4:A$990,0),2),"")</f>
        <v/>
      </c>
      <c r="C750" s="87" t="str">
        <f>IF(A750&lt;&gt;"",INDEX('Base de données'!A$4:L$990,MATCH(' TVA M'!A750,'Base de données'!A$4:A$990,0),12),"")</f>
        <v/>
      </c>
    </row>
    <row r="751" spans="2:3" x14ac:dyDescent="0.25">
      <c r="B751" s="87" t="str">
        <f>IF(A751&lt;&gt;"",INDEX('Base de données'!A$4:L$990,MATCH(' TVA M'!A751,'Base de données'!A$4:A$990,0),2),"")</f>
        <v/>
      </c>
      <c r="C751" s="87" t="str">
        <f>IF(A751&lt;&gt;"",INDEX('Base de données'!A$4:L$990,MATCH(' TVA M'!A751,'Base de données'!A$4:A$990,0),12),"")</f>
        <v/>
      </c>
    </row>
    <row r="752" spans="2:3" x14ac:dyDescent="0.25">
      <c r="B752" s="87" t="str">
        <f>IF(A752&lt;&gt;"",INDEX('Base de données'!A$4:L$990,MATCH(' TVA M'!A752,'Base de données'!A$4:A$990,0),2),"")</f>
        <v/>
      </c>
      <c r="C752" s="87" t="str">
        <f>IF(A752&lt;&gt;"",INDEX('Base de données'!A$4:L$990,MATCH(' TVA M'!A752,'Base de données'!A$4:A$990,0),12),"")</f>
        <v/>
      </c>
    </row>
    <row r="753" spans="2:3" x14ac:dyDescent="0.25">
      <c r="B753" s="87" t="str">
        <f>IF(A753&lt;&gt;"",INDEX('Base de données'!A$4:L$990,MATCH(' TVA M'!A753,'Base de données'!A$4:A$990,0),2),"")</f>
        <v/>
      </c>
      <c r="C753" s="87" t="str">
        <f>IF(A753&lt;&gt;"",INDEX('Base de données'!A$4:L$990,MATCH(' TVA M'!A753,'Base de données'!A$4:A$990,0),12),"")</f>
        <v/>
      </c>
    </row>
    <row r="754" spans="2:3" x14ac:dyDescent="0.25">
      <c r="B754" s="87" t="str">
        <f>IF(A754&lt;&gt;"",INDEX('Base de données'!A$4:L$990,MATCH(' TVA M'!A754,'Base de données'!A$4:A$990,0),2),"")</f>
        <v/>
      </c>
      <c r="C754" s="87" t="str">
        <f>IF(A754&lt;&gt;"",INDEX('Base de données'!A$4:L$990,MATCH(' TVA M'!A754,'Base de données'!A$4:A$990,0),12),"")</f>
        <v/>
      </c>
    </row>
    <row r="755" spans="2:3" x14ac:dyDescent="0.25">
      <c r="B755" s="87" t="str">
        <f>IF(A755&lt;&gt;"",INDEX('Base de données'!A$4:L$990,MATCH(' TVA M'!A755,'Base de données'!A$4:A$990,0),2),"")</f>
        <v/>
      </c>
      <c r="C755" s="87" t="str">
        <f>IF(A755&lt;&gt;"",INDEX('Base de données'!A$4:L$990,MATCH(' TVA M'!A755,'Base de données'!A$4:A$990,0),12),"")</f>
        <v/>
      </c>
    </row>
    <row r="756" spans="2:3" x14ac:dyDescent="0.25">
      <c r="B756" s="87" t="str">
        <f>IF(A756&lt;&gt;"",INDEX('Base de données'!A$4:L$990,MATCH(' TVA M'!A756,'Base de données'!A$4:A$990,0),2),"")</f>
        <v/>
      </c>
      <c r="C756" s="87" t="str">
        <f>IF(A756&lt;&gt;"",INDEX('Base de données'!A$4:L$990,MATCH(' TVA M'!A756,'Base de données'!A$4:A$990,0),12),"")</f>
        <v/>
      </c>
    </row>
    <row r="757" spans="2:3" x14ac:dyDescent="0.25">
      <c r="B757" s="87" t="str">
        <f>IF(A757&lt;&gt;"",INDEX('Base de données'!A$4:L$990,MATCH(' TVA M'!A757,'Base de données'!A$4:A$990,0),2),"")</f>
        <v/>
      </c>
      <c r="C757" s="87" t="str">
        <f>IF(A757&lt;&gt;"",INDEX('Base de données'!A$4:L$990,MATCH(' TVA M'!A757,'Base de données'!A$4:A$990,0),12),"")</f>
        <v/>
      </c>
    </row>
    <row r="758" spans="2:3" x14ac:dyDescent="0.25">
      <c r="B758" s="87" t="str">
        <f>IF(A758&lt;&gt;"",INDEX('Base de données'!A$4:L$990,MATCH(' TVA M'!A758,'Base de données'!A$4:A$990,0),2),"")</f>
        <v/>
      </c>
      <c r="C758" s="87" t="str">
        <f>IF(A758&lt;&gt;"",INDEX('Base de données'!A$4:L$990,MATCH(' TVA M'!A758,'Base de données'!A$4:A$990,0),12),"")</f>
        <v/>
      </c>
    </row>
    <row r="759" spans="2:3" x14ac:dyDescent="0.25">
      <c r="B759" s="87" t="str">
        <f>IF(A759&lt;&gt;"",INDEX('Base de données'!A$4:L$990,MATCH(' TVA M'!A759,'Base de données'!A$4:A$990,0),2),"")</f>
        <v/>
      </c>
      <c r="C759" s="87" t="str">
        <f>IF(A759&lt;&gt;"",INDEX('Base de données'!A$4:L$990,MATCH(' TVA M'!A759,'Base de données'!A$4:A$990,0),12),"")</f>
        <v/>
      </c>
    </row>
    <row r="760" spans="2:3" x14ac:dyDescent="0.25">
      <c r="B760" s="87" t="str">
        <f>IF(A760&lt;&gt;"",INDEX('Base de données'!A$4:L$990,MATCH(' TVA M'!A760,'Base de données'!A$4:A$990,0),2),"")</f>
        <v/>
      </c>
      <c r="C760" s="87" t="str">
        <f>IF(A760&lt;&gt;"",INDEX('Base de données'!A$4:L$990,MATCH(' TVA M'!A760,'Base de données'!A$4:A$990,0),12),"")</f>
        <v/>
      </c>
    </row>
    <row r="761" spans="2:3" x14ac:dyDescent="0.25">
      <c r="B761" s="87" t="str">
        <f>IF(A761&lt;&gt;"",INDEX('Base de données'!A$4:L$990,MATCH(' TVA M'!A761,'Base de données'!A$4:A$990,0),2),"")</f>
        <v/>
      </c>
      <c r="C761" s="87" t="str">
        <f>IF(A761&lt;&gt;"",INDEX('Base de données'!A$4:L$990,MATCH(' TVA M'!A761,'Base de données'!A$4:A$990,0),12),"")</f>
        <v/>
      </c>
    </row>
    <row r="762" spans="2:3" x14ac:dyDescent="0.25">
      <c r="B762" s="87" t="str">
        <f>IF(A762&lt;&gt;"",INDEX('Base de données'!A$4:L$990,MATCH(' TVA M'!A762,'Base de données'!A$4:A$990,0),2),"")</f>
        <v/>
      </c>
      <c r="C762" s="87" t="str">
        <f>IF(A762&lt;&gt;"",INDEX('Base de données'!A$4:L$990,MATCH(' TVA M'!A762,'Base de données'!A$4:A$990,0),12),"")</f>
        <v/>
      </c>
    </row>
    <row r="763" spans="2:3" x14ac:dyDescent="0.25">
      <c r="B763" s="87" t="str">
        <f>IF(A763&lt;&gt;"",INDEX('Base de données'!A$4:L$990,MATCH(' TVA M'!A763,'Base de données'!A$4:A$990,0),2),"")</f>
        <v/>
      </c>
      <c r="C763" s="87" t="str">
        <f>IF(A763&lt;&gt;"",INDEX('Base de données'!A$4:L$990,MATCH(' TVA M'!A763,'Base de données'!A$4:A$990,0),12),"")</f>
        <v/>
      </c>
    </row>
    <row r="764" spans="2:3" x14ac:dyDescent="0.25">
      <c r="B764" s="87" t="str">
        <f>IF(A764&lt;&gt;"",INDEX('Base de données'!A$4:L$990,MATCH(' TVA M'!A764,'Base de données'!A$4:A$990,0),2),"")</f>
        <v/>
      </c>
      <c r="C764" s="87" t="str">
        <f>IF(A764&lt;&gt;"",INDEX('Base de données'!A$4:L$990,MATCH(' TVA M'!A764,'Base de données'!A$4:A$990,0),12),"")</f>
        <v/>
      </c>
    </row>
    <row r="765" spans="2:3" x14ac:dyDescent="0.25">
      <c r="B765" s="87" t="str">
        <f>IF(A765&lt;&gt;"",INDEX('Base de données'!A$4:L$990,MATCH(' TVA M'!A765,'Base de données'!A$4:A$990,0),2),"")</f>
        <v/>
      </c>
      <c r="C765" s="87" t="str">
        <f>IF(A765&lt;&gt;"",INDEX('Base de données'!A$4:L$990,MATCH(' TVA M'!A765,'Base de données'!A$4:A$990,0),12),"")</f>
        <v/>
      </c>
    </row>
    <row r="766" spans="2:3" x14ac:dyDescent="0.25">
      <c r="B766" s="87" t="str">
        <f>IF(A766&lt;&gt;"",INDEX('Base de données'!A$4:L$990,MATCH(' TVA M'!A766,'Base de données'!A$4:A$990,0),2),"")</f>
        <v/>
      </c>
      <c r="C766" s="87" t="str">
        <f>IF(A766&lt;&gt;"",INDEX('Base de données'!A$4:L$990,MATCH(' TVA M'!A766,'Base de données'!A$4:A$990,0),12),"")</f>
        <v/>
      </c>
    </row>
    <row r="767" spans="2:3" x14ac:dyDescent="0.25">
      <c r="B767" s="87" t="str">
        <f>IF(A767&lt;&gt;"",INDEX('Base de données'!A$4:L$990,MATCH(' TVA M'!A767,'Base de données'!A$4:A$990,0),2),"")</f>
        <v/>
      </c>
      <c r="C767" s="87" t="str">
        <f>IF(A767&lt;&gt;"",INDEX('Base de données'!A$4:L$990,MATCH(' TVA M'!A767,'Base de données'!A$4:A$990,0),12),"")</f>
        <v/>
      </c>
    </row>
    <row r="768" spans="2:3" x14ac:dyDescent="0.25">
      <c r="B768" s="87" t="str">
        <f>IF(A768&lt;&gt;"",INDEX('Base de données'!A$4:L$990,MATCH(' TVA M'!A768,'Base de données'!A$4:A$990,0),2),"")</f>
        <v/>
      </c>
      <c r="C768" s="87" t="str">
        <f>IF(A768&lt;&gt;"",INDEX('Base de données'!A$4:L$990,MATCH(' TVA M'!A768,'Base de données'!A$4:A$990,0),12),"")</f>
        <v/>
      </c>
    </row>
    <row r="769" spans="2:3" x14ac:dyDescent="0.25">
      <c r="B769" s="87" t="str">
        <f>IF(A769&lt;&gt;"",INDEX('Base de données'!A$4:L$990,MATCH(' TVA M'!A769,'Base de données'!A$4:A$990,0),2),"")</f>
        <v/>
      </c>
      <c r="C769" s="87" t="str">
        <f>IF(A769&lt;&gt;"",INDEX('Base de données'!A$4:L$990,MATCH(' TVA M'!A769,'Base de données'!A$4:A$990,0),12),"")</f>
        <v/>
      </c>
    </row>
    <row r="770" spans="2:3" x14ac:dyDescent="0.25">
      <c r="B770" s="87" t="str">
        <f>IF(A770&lt;&gt;"",INDEX('Base de données'!A$4:L$990,MATCH(' TVA M'!A770,'Base de données'!A$4:A$990,0),2),"")</f>
        <v/>
      </c>
      <c r="C770" s="87" t="str">
        <f>IF(A770&lt;&gt;"",INDEX('Base de données'!A$4:L$990,MATCH(' TVA M'!A770,'Base de données'!A$4:A$990,0),12),"")</f>
        <v/>
      </c>
    </row>
    <row r="771" spans="2:3" x14ac:dyDescent="0.25">
      <c r="B771" s="87" t="str">
        <f>IF(A771&lt;&gt;"",INDEX('Base de données'!A$4:L$990,MATCH(' TVA M'!A771,'Base de données'!A$4:A$990,0),2),"")</f>
        <v/>
      </c>
      <c r="C771" s="87" t="str">
        <f>IF(A771&lt;&gt;"",INDEX('Base de données'!A$4:L$990,MATCH(' TVA M'!A771,'Base de données'!A$4:A$990,0),12),"")</f>
        <v/>
      </c>
    </row>
    <row r="772" spans="2:3" x14ac:dyDescent="0.25">
      <c r="B772" s="87" t="str">
        <f>IF(A772&lt;&gt;"",INDEX('Base de données'!A$4:L$990,MATCH(' TVA M'!A772,'Base de données'!A$4:A$990,0),2),"")</f>
        <v/>
      </c>
      <c r="C772" s="87" t="str">
        <f>IF(A772&lt;&gt;"",INDEX('Base de données'!A$4:L$990,MATCH(' TVA M'!A772,'Base de données'!A$4:A$990,0),12),"")</f>
        <v/>
      </c>
    </row>
    <row r="773" spans="2:3" x14ac:dyDescent="0.25">
      <c r="B773" s="87" t="str">
        <f>IF(A773&lt;&gt;"",INDEX('Base de données'!A$4:L$990,MATCH(' TVA M'!A773,'Base de données'!A$4:A$990,0),2),"")</f>
        <v/>
      </c>
      <c r="C773" s="87" t="str">
        <f>IF(A773&lt;&gt;"",INDEX('Base de données'!A$4:L$990,MATCH(' TVA M'!A773,'Base de données'!A$4:A$990,0),12),"")</f>
        <v/>
      </c>
    </row>
    <row r="774" spans="2:3" x14ac:dyDescent="0.25">
      <c r="B774" s="87" t="str">
        <f>IF(A774&lt;&gt;"",INDEX('Base de données'!A$4:L$990,MATCH(' TVA M'!A774,'Base de données'!A$4:A$990,0),2),"")</f>
        <v/>
      </c>
      <c r="C774" s="87" t="str">
        <f>IF(A774&lt;&gt;"",INDEX('Base de données'!A$4:L$990,MATCH(' TVA M'!A774,'Base de données'!A$4:A$990,0),12),"")</f>
        <v/>
      </c>
    </row>
    <row r="775" spans="2:3" x14ac:dyDescent="0.25">
      <c r="B775" s="87" t="str">
        <f>IF(A775&lt;&gt;"",INDEX('Base de données'!A$4:L$990,MATCH(' TVA M'!A775,'Base de données'!A$4:A$990,0),2),"")</f>
        <v/>
      </c>
      <c r="C775" s="87" t="str">
        <f>IF(A775&lt;&gt;"",INDEX('Base de données'!A$4:L$990,MATCH(' TVA M'!A775,'Base de données'!A$4:A$990,0),12),"")</f>
        <v/>
      </c>
    </row>
    <row r="776" spans="2:3" x14ac:dyDescent="0.25">
      <c r="B776" s="87" t="str">
        <f>IF(A776&lt;&gt;"",INDEX('Base de données'!A$4:L$990,MATCH(' TVA M'!A776,'Base de données'!A$4:A$990,0),2),"")</f>
        <v/>
      </c>
      <c r="C776" s="87" t="str">
        <f>IF(A776&lt;&gt;"",INDEX('Base de données'!A$4:L$990,MATCH(' TVA M'!A776,'Base de données'!A$4:A$990,0),12),"")</f>
        <v/>
      </c>
    </row>
    <row r="777" spans="2:3" x14ac:dyDescent="0.25">
      <c r="B777" s="87" t="str">
        <f>IF(A777&lt;&gt;"",INDEX('Base de données'!A$4:L$990,MATCH(' TVA M'!A777,'Base de données'!A$4:A$990,0),2),"")</f>
        <v/>
      </c>
      <c r="C777" s="87" t="str">
        <f>IF(A777&lt;&gt;"",INDEX('Base de données'!A$4:L$990,MATCH(' TVA M'!A777,'Base de données'!A$4:A$990,0),12),"")</f>
        <v/>
      </c>
    </row>
    <row r="778" spans="2:3" x14ac:dyDescent="0.25">
      <c r="B778" s="87" t="str">
        <f>IF(A778&lt;&gt;"",INDEX('Base de données'!A$4:L$990,MATCH(' TVA M'!A778,'Base de données'!A$4:A$990,0),2),"")</f>
        <v/>
      </c>
      <c r="C778" s="87" t="str">
        <f>IF(A778&lt;&gt;"",INDEX('Base de données'!A$4:L$990,MATCH(' TVA M'!A778,'Base de données'!A$4:A$990,0),12),"")</f>
        <v/>
      </c>
    </row>
    <row r="779" spans="2:3" x14ac:dyDescent="0.25">
      <c r="B779" s="87" t="str">
        <f>IF(A779&lt;&gt;"",INDEX('Base de données'!A$4:L$990,MATCH(' TVA M'!A779,'Base de données'!A$4:A$990,0),2),"")</f>
        <v/>
      </c>
      <c r="C779" s="87" t="str">
        <f>IF(A779&lt;&gt;"",INDEX('Base de données'!A$4:L$990,MATCH(' TVA M'!A779,'Base de données'!A$4:A$990,0),12),"")</f>
        <v/>
      </c>
    </row>
    <row r="780" spans="2:3" x14ac:dyDescent="0.25">
      <c r="B780" s="87" t="str">
        <f>IF(A780&lt;&gt;"",INDEX('Base de données'!A$4:L$990,MATCH(' TVA M'!A780,'Base de données'!A$4:A$990,0),2),"")</f>
        <v/>
      </c>
      <c r="C780" s="87" t="str">
        <f>IF(A780&lt;&gt;"",INDEX('Base de données'!A$4:L$990,MATCH(' TVA M'!A780,'Base de données'!A$4:A$990,0),12),"")</f>
        <v/>
      </c>
    </row>
    <row r="781" spans="2:3" x14ac:dyDescent="0.25">
      <c r="B781" s="87" t="str">
        <f>IF(A781&lt;&gt;"",INDEX('Base de données'!A$4:L$990,MATCH(' TVA M'!A781,'Base de données'!A$4:A$990,0),2),"")</f>
        <v/>
      </c>
      <c r="C781" s="87" t="str">
        <f>IF(A781&lt;&gt;"",INDEX('Base de données'!A$4:L$990,MATCH(' TVA M'!A781,'Base de données'!A$4:A$990,0),12),"")</f>
        <v/>
      </c>
    </row>
    <row r="782" spans="2:3" x14ac:dyDescent="0.25">
      <c r="B782" s="87" t="str">
        <f>IF(A782&lt;&gt;"",INDEX('Base de données'!A$4:L$990,MATCH(' TVA M'!A782,'Base de données'!A$4:A$990,0),2),"")</f>
        <v/>
      </c>
      <c r="C782" s="87" t="str">
        <f>IF(A782&lt;&gt;"",INDEX('Base de données'!A$4:L$990,MATCH(' TVA M'!A782,'Base de données'!A$4:A$990,0),12),"")</f>
        <v/>
      </c>
    </row>
    <row r="783" spans="2:3" x14ac:dyDescent="0.25">
      <c r="B783" s="87" t="str">
        <f>IF(A783&lt;&gt;"",INDEX('Base de données'!A$4:L$990,MATCH(' TVA M'!A783,'Base de données'!A$4:A$990,0),2),"")</f>
        <v/>
      </c>
      <c r="C783" s="87" t="str">
        <f>IF(A783&lt;&gt;"",INDEX('Base de données'!A$4:L$990,MATCH(' TVA M'!A783,'Base de données'!A$4:A$990,0),12),"")</f>
        <v/>
      </c>
    </row>
    <row r="784" spans="2:3" x14ac:dyDescent="0.25">
      <c r="B784" s="87" t="str">
        <f>IF(A784&lt;&gt;"",INDEX('Base de données'!A$4:L$990,MATCH(' TVA M'!A784,'Base de données'!A$4:A$990,0),2),"")</f>
        <v/>
      </c>
      <c r="C784" s="87" t="str">
        <f>IF(A784&lt;&gt;"",INDEX('Base de données'!A$4:L$990,MATCH(' TVA M'!A784,'Base de données'!A$4:A$990,0),12),"")</f>
        <v/>
      </c>
    </row>
    <row r="785" spans="2:3" x14ac:dyDescent="0.25">
      <c r="B785" s="87" t="str">
        <f>IF(A785&lt;&gt;"",INDEX('Base de données'!A$4:L$990,MATCH(' TVA M'!A785,'Base de données'!A$4:A$990,0),2),"")</f>
        <v/>
      </c>
      <c r="C785" s="87" t="str">
        <f>IF(A785&lt;&gt;"",INDEX('Base de données'!A$4:L$990,MATCH(' TVA M'!A785,'Base de données'!A$4:A$990,0),12),"")</f>
        <v/>
      </c>
    </row>
    <row r="786" spans="2:3" x14ac:dyDescent="0.25">
      <c r="B786" s="87" t="str">
        <f>IF(A786&lt;&gt;"",INDEX('Base de données'!A$4:L$990,MATCH(' TVA M'!A786,'Base de données'!A$4:A$990,0),2),"")</f>
        <v/>
      </c>
      <c r="C786" s="87" t="str">
        <f>IF(A786&lt;&gt;"",INDEX('Base de données'!A$4:L$990,MATCH(' TVA M'!A786,'Base de données'!A$4:A$990,0),12),"")</f>
        <v/>
      </c>
    </row>
    <row r="787" spans="2:3" x14ac:dyDescent="0.25">
      <c r="B787" s="87" t="str">
        <f>IF(A787&lt;&gt;"",INDEX('Base de données'!A$4:L$990,MATCH(' TVA M'!A787,'Base de données'!A$4:A$990,0),2),"")</f>
        <v/>
      </c>
      <c r="C787" s="87" t="str">
        <f>IF(A787&lt;&gt;"",INDEX('Base de données'!A$4:L$990,MATCH(' TVA M'!A787,'Base de données'!A$4:A$990,0),12),"")</f>
        <v/>
      </c>
    </row>
    <row r="788" spans="2:3" x14ac:dyDescent="0.25">
      <c r="B788" s="87" t="str">
        <f>IF(A788&lt;&gt;"",INDEX('Base de données'!A$4:L$990,MATCH(' TVA M'!A788,'Base de données'!A$4:A$990,0),2),"")</f>
        <v/>
      </c>
      <c r="C788" s="87" t="str">
        <f>IF(A788&lt;&gt;"",INDEX('Base de données'!A$4:L$990,MATCH(' TVA M'!A788,'Base de données'!A$4:A$990,0),12),"")</f>
        <v/>
      </c>
    </row>
    <row r="789" spans="2:3" x14ac:dyDescent="0.25">
      <c r="B789" s="87" t="str">
        <f>IF(A789&lt;&gt;"",INDEX('Base de données'!A$4:L$990,MATCH(' TVA M'!A789,'Base de données'!A$4:A$990,0),2),"")</f>
        <v/>
      </c>
      <c r="C789" s="87" t="str">
        <f>IF(A789&lt;&gt;"",INDEX('Base de données'!A$4:L$990,MATCH(' TVA M'!A789,'Base de données'!A$4:A$990,0),12),"")</f>
        <v/>
      </c>
    </row>
    <row r="790" spans="2:3" x14ac:dyDescent="0.25">
      <c r="B790" s="87" t="str">
        <f>IF(A790&lt;&gt;"",INDEX('Base de données'!A$4:L$990,MATCH(' TVA M'!A790,'Base de données'!A$4:A$990,0),2),"")</f>
        <v/>
      </c>
      <c r="C790" s="87" t="str">
        <f>IF(A790&lt;&gt;"",INDEX('Base de données'!A$4:L$990,MATCH(' TVA M'!A790,'Base de données'!A$4:A$990,0),12),"")</f>
        <v/>
      </c>
    </row>
    <row r="791" spans="2:3" x14ac:dyDescent="0.25">
      <c r="B791" s="87" t="str">
        <f>IF(A791&lt;&gt;"",INDEX('Base de données'!A$4:L$990,MATCH(' TVA M'!A791,'Base de données'!A$4:A$990,0),2),"")</f>
        <v/>
      </c>
      <c r="C791" s="87" t="str">
        <f>IF(A791&lt;&gt;"",INDEX('Base de données'!A$4:L$990,MATCH(' TVA M'!A791,'Base de données'!A$4:A$990,0),12),"")</f>
        <v/>
      </c>
    </row>
    <row r="792" spans="2:3" x14ac:dyDescent="0.25">
      <c r="B792" s="87" t="str">
        <f>IF(A792&lt;&gt;"",INDEX('Base de données'!A$4:L$990,MATCH(' TVA M'!A792,'Base de données'!A$4:A$990,0),2),"")</f>
        <v/>
      </c>
      <c r="C792" s="87" t="str">
        <f>IF(A792&lt;&gt;"",INDEX('Base de données'!A$4:L$990,MATCH(' TVA M'!A792,'Base de données'!A$4:A$990,0),12),"")</f>
        <v/>
      </c>
    </row>
    <row r="793" spans="2:3" x14ac:dyDescent="0.25">
      <c r="B793" s="87" t="str">
        <f>IF(A793&lt;&gt;"",INDEX('Base de données'!A$4:L$990,MATCH(' TVA M'!A793,'Base de données'!A$4:A$990,0),2),"")</f>
        <v/>
      </c>
      <c r="C793" s="87" t="str">
        <f>IF(A793&lt;&gt;"",INDEX('Base de données'!A$4:L$990,MATCH(' TVA M'!A793,'Base de données'!A$4:A$990,0),12),"")</f>
        <v/>
      </c>
    </row>
    <row r="794" spans="2:3" x14ac:dyDescent="0.25">
      <c r="B794" s="87" t="str">
        <f>IF(A794&lt;&gt;"",INDEX('Base de données'!A$4:L$990,MATCH(' TVA M'!A794,'Base de données'!A$4:A$990,0),2),"")</f>
        <v/>
      </c>
      <c r="C794" s="87" t="str">
        <f>IF(A794&lt;&gt;"",INDEX('Base de données'!A$4:L$990,MATCH(' TVA M'!A794,'Base de données'!A$4:A$990,0),12),"")</f>
        <v/>
      </c>
    </row>
    <row r="795" spans="2:3" x14ac:dyDescent="0.25">
      <c r="B795" s="87" t="str">
        <f>IF(A795&lt;&gt;"",INDEX('Base de données'!A$4:L$990,MATCH(' TVA M'!A795,'Base de données'!A$4:A$990,0),2),"")</f>
        <v/>
      </c>
      <c r="C795" s="87" t="str">
        <f>IF(A795&lt;&gt;"",INDEX('Base de données'!A$4:L$990,MATCH(' TVA M'!A795,'Base de données'!A$4:A$990,0),12),"")</f>
        <v/>
      </c>
    </row>
    <row r="796" spans="2:3" x14ac:dyDescent="0.25">
      <c r="B796" s="87" t="str">
        <f>IF(A796&lt;&gt;"",INDEX('Base de données'!A$4:L$990,MATCH(' TVA M'!A796,'Base de données'!A$4:A$990,0),2),"")</f>
        <v/>
      </c>
      <c r="C796" s="87" t="str">
        <f>IF(A796&lt;&gt;"",INDEX('Base de données'!A$4:L$990,MATCH(' TVA M'!A796,'Base de données'!A$4:A$990,0),12),"")</f>
        <v/>
      </c>
    </row>
    <row r="797" spans="2:3" x14ac:dyDescent="0.25">
      <c r="B797" s="87" t="str">
        <f>IF(A797&lt;&gt;"",INDEX('Base de données'!A$4:L$990,MATCH(' TVA M'!A797,'Base de données'!A$4:A$990,0),2),"")</f>
        <v/>
      </c>
      <c r="C797" s="87" t="str">
        <f>IF(A797&lt;&gt;"",INDEX('Base de données'!A$4:L$990,MATCH(' TVA M'!A797,'Base de données'!A$4:A$990,0),12),"")</f>
        <v/>
      </c>
    </row>
    <row r="798" spans="2:3" x14ac:dyDescent="0.25">
      <c r="B798" s="87" t="str">
        <f>IF(A798&lt;&gt;"",INDEX('Base de données'!A$4:L$990,MATCH(' TVA M'!A798,'Base de données'!A$4:A$990,0),2),"")</f>
        <v/>
      </c>
      <c r="C798" s="87" t="str">
        <f>IF(A798&lt;&gt;"",INDEX('Base de données'!A$4:L$990,MATCH(' TVA M'!A798,'Base de données'!A$4:A$990,0),12),"")</f>
        <v/>
      </c>
    </row>
    <row r="799" spans="2:3" x14ac:dyDescent="0.25">
      <c r="B799" s="87" t="str">
        <f>IF(A799&lt;&gt;"",INDEX('Base de données'!A$4:L$990,MATCH(' TVA M'!A799,'Base de données'!A$4:A$990,0),2),"")</f>
        <v/>
      </c>
      <c r="C799" s="87" t="str">
        <f>IF(A799&lt;&gt;"",INDEX('Base de données'!A$4:L$990,MATCH(' TVA M'!A799,'Base de données'!A$4:A$990,0),12),"")</f>
        <v/>
      </c>
    </row>
    <row r="800" spans="2:3" x14ac:dyDescent="0.25">
      <c r="B800" s="87" t="str">
        <f>IF(A800&lt;&gt;"",INDEX('Base de données'!A$4:L$990,MATCH(' TVA M'!A800,'Base de données'!A$4:A$990,0),2),"")</f>
        <v/>
      </c>
      <c r="C800" s="87" t="str">
        <f>IF(A800&lt;&gt;"",INDEX('Base de données'!A$4:L$990,MATCH(' TVA M'!A800,'Base de données'!A$4:A$990,0),12),"")</f>
        <v/>
      </c>
    </row>
    <row r="801" spans="2:3" x14ac:dyDescent="0.25">
      <c r="B801" s="87" t="str">
        <f>IF(A801&lt;&gt;"",INDEX('Base de données'!A$4:L$990,MATCH(' TVA M'!A801,'Base de données'!A$4:A$990,0),2),"")</f>
        <v/>
      </c>
      <c r="C801" s="87" t="str">
        <f>IF(A801&lt;&gt;"",INDEX('Base de données'!A$4:L$990,MATCH(' TVA M'!A801,'Base de données'!A$4:A$990,0),12),"")</f>
        <v/>
      </c>
    </row>
    <row r="802" spans="2:3" x14ac:dyDescent="0.25">
      <c r="B802" s="87" t="str">
        <f>IF(A802&lt;&gt;"",INDEX('Base de données'!A$4:L$990,MATCH(' TVA M'!A802,'Base de données'!A$4:A$990,0),2),"")</f>
        <v/>
      </c>
      <c r="C802" s="87" t="str">
        <f>IF(A802&lt;&gt;"",INDEX('Base de données'!A$4:L$990,MATCH(' TVA M'!A802,'Base de données'!A$4:A$990,0),12),"")</f>
        <v/>
      </c>
    </row>
    <row r="803" spans="2:3" x14ac:dyDescent="0.25">
      <c r="B803" s="87" t="str">
        <f>IF(A803&lt;&gt;"",INDEX('Base de données'!A$4:L$990,MATCH(' TVA M'!A803,'Base de données'!A$4:A$990,0),2),"")</f>
        <v/>
      </c>
      <c r="C803" s="87" t="str">
        <f>IF(A803&lt;&gt;"",INDEX('Base de données'!A$4:L$990,MATCH(' TVA M'!A803,'Base de données'!A$4:A$990,0),12),"")</f>
        <v/>
      </c>
    </row>
    <row r="804" spans="2:3" x14ac:dyDescent="0.25">
      <c r="B804" s="87" t="str">
        <f>IF(A804&lt;&gt;"",INDEX('Base de données'!A$4:L$990,MATCH(' TVA M'!A804,'Base de données'!A$4:A$990,0),2),"")</f>
        <v/>
      </c>
      <c r="C804" s="87" t="str">
        <f>IF(A804&lt;&gt;"",INDEX('Base de données'!A$4:L$990,MATCH(' TVA M'!A804,'Base de données'!A$4:A$990,0),12),"")</f>
        <v/>
      </c>
    </row>
    <row r="805" spans="2:3" x14ac:dyDescent="0.25">
      <c r="B805" s="87" t="str">
        <f>IF(A805&lt;&gt;"",INDEX('Base de données'!A$4:L$990,MATCH(' TVA M'!A805,'Base de données'!A$4:A$990,0),2),"")</f>
        <v/>
      </c>
      <c r="C805" s="87" t="str">
        <f>IF(A805&lt;&gt;"",INDEX('Base de données'!A$4:L$990,MATCH(' TVA M'!A805,'Base de données'!A$4:A$990,0),12),"")</f>
        <v/>
      </c>
    </row>
    <row r="806" spans="2:3" x14ac:dyDescent="0.25">
      <c r="B806" s="87" t="str">
        <f>IF(A806&lt;&gt;"",INDEX('Base de données'!A$4:L$990,MATCH(' TVA M'!A806,'Base de données'!A$4:A$990,0),2),"")</f>
        <v/>
      </c>
      <c r="C806" s="87" t="str">
        <f>IF(A806&lt;&gt;"",INDEX('Base de données'!A$4:L$990,MATCH(' TVA M'!A806,'Base de données'!A$4:A$990,0),12),"")</f>
        <v/>
      </c>
    </row>
    <row r="807" spans="2:3" x14ac:dyDescent="0.25">
      <c r="B807" s="87" t="str">
        <f>IF(A807&lt;&gt;"",INDEX('Base de données'!A$4:L$990,MATCH(' TVA M'!A807,'Base de données'!A$4:A$990,0),2),"")</f>
        <v/>
      </c>
      <c r="C807" s="87" t="str">
        <f>IF(A807&lt;&gt;"",INDEX('Base de données'!A$4:L$990,MATCH(' TVA M'!A807,'Base de données'!A$4:A$990,0),12),"")</f>
        <v/>
      </c>
    </row>
    <row r="808" spans="2:3" x14ac:dyDescent="0.25">
      <c r="B808" s="87" t="str">
        <f>IF(A808&lt;&gt;"",INDEX('Base de données'!A$4:L$990,MATCH(' TVA M'!A808,'Base de données'!A$4:A$990,0),2),"")</f>
        <v/>
      </c>
      <c r="C808" s="87" t="str">
        <f>IF(A808&lt;&gt;"",INDEX('Base de données'!A$4:L$990,MATCH(' TVA M'!A808,'Base de données'!A$4:A$990,0),12),"")</f>
        <v/>
      </c>
    </row>
    <row r="809" spans="2:3" x14ac:dyDescent="0.25">
      <c r="B809" s="87" t="str">
        <f>IF(A809&lt;&gt;"",INDEX('Base de données'!A$4:L$990,MATCH(' TVA M'!A809,'Base de données'!A$4:A$990,0),2),"")</f>
        <v/>
      </c>
      <c r="C809" s="87" t="str">
        <f>IF(A809&lt;&gt;"",INDEX('Base de données'!A$4:L$990,MATCH(' TVA M'!A809,'Base de données'!A$4:A$990,0),12),"")</f>
        <v/>
      </c>
    </row>
    <row r="810" spans="2:3" x14ac:dyDescent="0.25">
      <c r="B810" s="87" t="str">
        <f>IF(A810&lt;&gt;"",INDEX('Base de données'!A$4:L$990,MATCH(' TVA M'!A810,'Base de données'!A$4:A$990,0),2),"")</f>
        <v/>
      </c>
      <c r="C810" s="87" t="str">
        <f>IF(A810&lt;&gt;"",INDEX('Base de données'!A$4:L$990,MATCH(' TVA M'!A810,'Base de données'!A$4:A$990,0),12),"")</f>
        <v/>
      </c>
    </row>
    <row r="811" spans="2:3" x14ac:dyDescent="0.25">
      <c r="B811" s="87" t="str">
        <f>IF(A811&lt;&gt;"",INDEX('Base de données'!A$4:L$990,MATCH(' TVA M'!A811,'Base de données'!A$4:A$990,0),2),"")</f>
        <v/>
      </c>
      <c r="C811" s="87" t="str">
        <f>IF(A811&lt;&gt;"",INDEX('Base de données'!A$4:L$990,MATCH(' TVA M'!A811,'Base de données'!A$4:A$990,0),12),"")</f>
        <v/>
      </c>
    </row>
    <row r="812" spans="2:3" x14ac:dyDescent="0.25">
      <c r="B812" s="87" t="str">
        <f>IF(A812&lt;&gt;"",INDEX('Base de données'!A$4:L$990,MATCH(' TVA M'!A812,'Base de données'!A$4:A$990,0),2),"")</f>
        <v/>
      </c>
      <c r="C812" s="87" t="str">
        <f>IF(A812&lt;&gt;"",INDEX('Base de données'!A$4:L$990,MATCH(' TVA M'!A812,'Base de données'!A$4:A$990,0),12),"")</f>
        <v/>
      </c>
    </row>
    <row r="813" spans="2:3" x14ac:dyDescent="0.25">
      <c r="B813" s="87" t="str">
        <f>IF(A813&lt;&gt;"",INDEX('Base de données'!A$4:L$990,MATCH(' TVA M'!A813,'Base de données'!A$4:A$990,0),2),"")</f>
        <v/>
      </c>
      <c r="C813" s="87" t="str">
        <f>IF(A813&lt;&gt;"",INDEX('Base de données'!A$4:L$990,MATCH(' TVA M'!A813,'Base de données'!A$4:A$990,0),12),"")</f>
        <v/>
      </c>
    </row>
    <row r="814" spans="2:3" x14ac:dyDescent="0.25">
      <c r="B814" s="87" t="str">
        <f>IF(A814&lt;&gt;"",INDEX('Base de données'!A$4:L$990,MATCH(' TVA M'!A814,'Base de données'!A$4:A$990,0),2),"")</f>
        <v/>
      </c>
      <c r="C814" s="87" t="str">
        <f>IF(A814&lt;&gt;"",INDEX('Base de données'!A$4:L$990,MATCH(' TVA M'!A814,'Base de données'!A$4:A$990,0),12),"")</f>
        <v/>
      </c>
    </row>
    <row r="815" spans="2:3" x14ac:dyDescent="0.25">
      <c r="B815" s="87" t="str">
        <f>IF(A815&lt;&gt;"",INDEX('Base de données'!A$4:L$990,MATCH(' TVA M'!A815,'Base de données'!A$4:A$990,0),2),"")</f>
        <v/>
      </c>
      <c r="C815" s="87" t="str">
        <f>IF(A815&lt;&gt;"",INDEX('Base de données'!A$4:L$990,MATCH(' TVA M'!A815,'Base de données'!A$4:A$990,0),12),"")</f>
        <v/>
      </c>
    </row>
    <row r="816" spans="2:3" x14ac:dyDescent="0.25">
      <c r="B816" s="87" t="str">
        <f>IF(A816&lt;&gt;"",INDEX('Base de données'!A$4:L$990,MATCH(' TVA M'!A816,'Base de données'!A$4:A$990,0),2),"")</f>
        <v/>
      </c>
      <c r="C816" s="87" t="str">
        <f>IF(A816&lt;&gt;"",INDEX('Base de données'!A$4:L$990,MATCH(' TVA M'!A816,'Base de données'!A$4:A$990,0),12),"")</f>
        <v/>
      </c>
    </row>
    <row r="817" spans="2:3" x14ac:dyDescent="0.25">
      <c r="B817" s="87" t="str">
        <f>IF(A817&lt;&gt;"",INDEX('Base de données'!A$4:L$990,MATCH(' TVA M'!A817,'Base de données'!A$4:A$990,0),2),"")</f>
        <v/>
      </c>
      <c r="C817" s="87" t="str">
        <f>IF(A817&lt;&gt;"",INDEX('Base de données'!A$4:L$990,MATCH(' TVA M'!A817,'Base de données'!A$4:A$990,0),12),"")</f>
        <v/>
      </c>
    </row>
    <row r="818" spans="2:3" x14ac:dyDescent="0.25">
      <c r="B818" s="87" t="str">
        <f>IF(A818&lt;&gt;"",INDEX('Base de données'!A$4:L$990,MATCH(' TVA M'!A818,'Base de données'!A$4:A$990,0),2),"")</f>
        <v/>
      </c>
      <c r="C818" s="87" t="str">
        <f>IF(A818&lt;&gt;"",INDEX('Base de données'!A$4:L$990,MATCH(' TVA M'!A818,'Base de données'!A$4:A$990,0),12),"")</f>
        <v/>
      </c>
    </row>
    <row r="819" spans="2:3" x14ac:dyDescent="0.25">
      <c r="B819" s="87" t="str">
        <f>IF(A819&lt;&gt;"",INDEX('Base de données'!A$4:L$990,MATCH(' TVA M'!A819,'Base de données'!A$4:A$990,0),2),"")</f>
        <v/>
      </c>
      <c r="C819" s="87" t="str">
        <f>IF(A819&lt;&gt;"",INDEX('Base de données'!A$4:L$990,MATCH(' TVA M'!A819,'Base de données'!A$4:A$990,0),12),"")</f>
        <v/>
      </c>
    </row>
    <row r="820" spans="2:3" x14ac:dyDescent="0.25">
      <c r="B820" s="87" t="str">
        <f>IF(A820&lt;&gt;"",INDEX('Base de données'!A$4:L$990,MATCH(' TVA M'!A820,'Base de données'!A$4:A$990,0),2),"")</f>
        <v/>
      </c>
      <c r="C820" s="87" t="str">
        <f>IF(A820&lt;&gt;"",INDEX('Base de données'!A$4:L$990,MATCH(' TVA M'!A820,'Base de données'!A$4:A$990,0),12),"")</f>
        <v/>
      </c>
    </row>
    <row r="821" spans="2:3" x14ac:dyDescent="0.25">
      <c r="B821" s="87" t="str">
        <f>IF(A821&lt;&gt;"",INDEX('Base de données'!A$4:L$990,MATCH(' TVA M'!A821,'Base de données'!A$4:A$990,0),2),"")</f>
        <v/>
      </c>
      <c r="C821" s="87" t="str">
        <f>IF(A821&lt;&gt;"",INDEX('Base de données'!A$4:L$990,MATCH(' TVA M'!A821,'Base de données'!A$4:A$990,0),12),"")</f>
        <v/>
      </c>
    </row>
    <row r="822" spans="2:3" x14ac:dyDescent="0.25">
      <c r="B822" s="87" t="str">
        <f>IF(A822&lt;&gt;"",INDEX('Base de données'!A$4:L$990,MATCH(' TVA M'!A822,'Base de données'!A$4:A$990,0),2),"")</f>
        <v/>
      </c>
      <c r="C822" s="87" t="str">
        <f>IF(A822&lt;&gt;"",INDEX('Base de données'!A$4:L$990,MATCH(' TVA M'!A822,'Base de données'!A$4:A$990,0),12),"")</f>
        <v/>
      </c>
    </row>
    <row r="823" spans="2:3" x14ac:dyDescent="0.25">
      <c r="B823" s="87" t="str">
        <f>IF(A823&lt;&gt;"",INDEX('Base de données'!A$4:L$990,MATCH(' TVA M'!A823,'Base de données'!A$4:A$990,0),2),"")</f>
        <v/>
      </c>
      <c r="C823" s="87" t="str">
        <f>IF(A823&lt;&gt;"",INDEX('Base de données'!A$4:L$990,MATCH(' TVA M'!A823,'Base de données'!A$4:A$990,0),12),"")</f>
        <v/>
      </c>
    </row>
    <row r="824" spans="2:3" x14ac:dyDescent="0.25">
      <c r="B824" s="87" t="str">
        <f>IF(A824&lt;&gt;"",INDEX('Base de données'!A$4:L$990,MATCH(' TVA M'!A824,'Base de données'!A$4:A$990,0),2),"")</f>
        <v/>
      </c>
      <c r="C824" s="87" t="str">
        <f>IF(A824&lt;&gt;"",INDEX('Base de données'!A$4:L$990,MATCH(' TVA M'!A824,'Base de données'!A$4:A$990,0),12),"")</f>
        <v/>
      </c>
    </row>
    <row r="825" spans="2:3" x14ac:dyDescent="0.25">
      <c r="B825" s="87" t="str">
        <f>IF(A825&lt;&gt;"",INDEX('Base de données'!A$4:L$990,MATCH(' TVA M'!A825,'Base de données'!A$4:A$990,0),2),"")</f>
        <v/>
      </c>
      <c r="C825" s="87" t="str">
        <f>IF(A825&lt;&gt;"",INDEX('Base de données'!A$4:L$990,MATCH(' TVA M'!A825,'Base de données'!A$4:A$990,0),12),"")</f>
        <v/>
      </c>
    </row>
    <row r="826" spans="2:3" x14ac:dyDescent="0.25">
      <c r="B826" s="87" t="str">
        <f>IF(A826&lt;&gt;"",INDEX('Base de données'!A$4:L$990,MATCH(' TVA M'!A826,'Base de données'!A$4:A$990,0),2),"")</f>
        <v/>
      </c>
      <c r="C826" s="87" t="str">
        <f>IF(A826&lt;&gt;"",INDEX('Base de données'!A$4:L$990,MATCH(' TVA M'!A826,'Base de données'!A$4:A$990,0),12),"")</f>
        <v/>
      </c>
    </row>
    <row r="827" spans="2:3" x14ac:dyDescent="0.25">
      <c r="B827" s="87" t="str">
        <f>IF(A827&lt;&gt;"",INDEX('Base de données'!A$4:L$990,MATCH(' TVA M'!A827,'Base de données'!A$4:A$990,0),2),"")</f>
        <v/>
      </c>
      <c r="C827" s="87" t="str">
        <f>IF(A827&lt;&gt;"",INDEX('Base de données'!A$4:L$990,MATCH(' TVA M'!A827,'Base de données'!A$4:A$990,0),12),"")</f>
        <v/>
      </c>
    </row>
    <row r="828" spans="2:3" x14ac:dyDescent="0.25">
      <c r="B828" s="87" t="str">
        <f>IF(A828&lt;&gt;"",INDEX('Base de données'!A$4:L$990,MATCH(' TVA M'!A828,'Base de données'!A$4:A$990,0),2),"")</f>
        <v/>
      </c>
      <c r="C828" s="87" t="str">
        <f>IF(A828&lt;&gt;"",INDEX('Base de données'!A$4:L$990,MATCH(' TVA M'!A828,'Base de données'!A$4:A$990,0),12),"")</f>
        <v/>
      </c>
    </row>
    <row r="829" spans="2:3" x14ac:dyDescent="0.25">
      <c r="B829" s="87" t="str">
        <f>IF(A829&lt;&gt;"",INDEX('Base de données'!A$4:L$990,MATCH(' TVA M'!A829,'Base de données'!A$4:A$990,0),2),"")</f>
        <v/>
      </c>
      <c r="C829" s="87" t="str">
        <f>IF(A829&lt;&gt;"",INDEX('Base de données'!A$4:L$990,MATCH(' TVA M'!A829,'Base de données'!A$4:A$990,0),12),"")</f>
        <v/>
      </c>
    </row>
    <row r="830" spans="2:3" x14ac:dyDescent="0.25">
      <c r="B830" s="87" t="str">
        <f>IF(A830&lt;&gt;"",INDEX('Base de données'!A$4:L$990,MATCH(' TVA M'!A830,'Base de données'!A$4:A$990,0),2),"")</f>
        <v/>
      </c>
      <c r="C830" s="87" t="str">
        <f>IF(A830&lt;&gt;"",INDEX('Base de données'!A$4:L$990,MATCH(' TVA M'!A830,'Base de données'!A$4:A$990,0),12),"")</f>
        <v/>
      </c>
    </row>
    <row r="831" spans="2:3" x14ac:dyDescent="0.25">
      <c r="B831" s="87" t="str">
        <f>IF(A831&lt;&gt;"",INDEX('Base de données'!A$4:L$990,MATCH(' TVA M'!A831,'Base de données'!A$4:A$990,0),2),"")</f>
        <v/>
      </c>
      <c r="C831" s="87" t="str">
        <f>IF(A831&lt;&gt;"",INDEX('Base de données'!A$4:L$990,MATCH(' TVA M'!A831,'Base de données'!A$4:A$990,0),12),"")</f>
        <v/>
      </c>
    </row>
    <row r="832" spans="2:3" x14ac:dyDescent="0.25">
      <c r="B832" s="87" t="str">
        <f>IF(A832&lt;&gt;"",INDEX('Base de données'!A$4:L$990,MATCH(' TVA M'!A832,'Base de données'!A$4:A$990,0),2),"")</f>
        <v/>
      </c>
      <c r="C832" s="87" t="str">
        <f>IF(A832&lt;&gt;"",INDEX('Base de données'!A$4:L$990,MATCH(' TVA M'!A832,'Base de données'!A$4:A$990,0),12),"")</f>
        <v/>
      </c>
    </row>
    <row r="833" spans="2:3" x14ac:dyDescent="0.25">
      <c r="B833" s="87" t="str">
        <f>IF(A833&lt;&gt;"",INDEX('Base de données'!A$4:L$990,MATCH(' TVA M'!A833,'Base de données'!A$4:A$990,0),2),"")</f>
        <v/>
      </c>
      <c r="C833" s="87" t="str">
        <f>IF(A833&lt;&gt;"",INDEX('Base de données'!A$4:L$990,MATCH(' TVA M'!A833,'Base de données'!A$4:A$990,0),12),"")</f>
        <v/>
      </c>
    </row>
    <row r="834" spans="2:3" x14ac:dyDescent="0.25">
      <c r="B834" s="87" t="str">
        <f>IF(A834&lt;&gt;"",INDEX('Base de données'!A$4:L$990,MATCH(' TVA M'!A834,'Base de données'!A$4:A$990,0),2),"")</f>
        <v/>
      </c>
      <c r="C834" s="87" t="str">
        <f>IF(A834&lt;&gt;"",INDEX('Base de données'!A$4:L$990,MATCH(' TVA M'!A834,'Base de données'!A$4:A$990,0),12),"")</f>
        <v/>
      </c>
    </row>
    <row r="835" spans="2:3" x14ac:dyDescent="0.25">
      <c r="B835" s="87" t="str">
        <f>IF(A835&lt;&gt;"",INDEX('Base de données'!A$4:L$990,MATCH(' TVA M'!A835,'Base de données'!A$4:A$990,0),2),"")</f>
        <v/>
      </c>
      <c r="C835" s="87" t="str">
        <f>IF(A835&lt;&gt;"",INDEX('Base de données'!A$4:L$990,MATCH(' TVA M'!A835,'Base de données'!A$4:A$990,0),12),"")</f>
        <v/>
      </c>
    </row>
    <row r="836" spans="2:3" x14ac:dyDescent="0.25">
      <c r="B836" s="87" t="str">
        <f>IF(A836&lt;&gt;"",INDEX('Base de données'!A$4:L$990,MATCH(' TVA M'!A836,'Base de données'!A$4:A$990,0),2),"")</f>
        <v/>
      </c>
      <c r="C836" s="87" t="str">
        <f>IF(A836&lt;&gt;"",INDEX('Base de données'!A$4:L$990,MATCH(' TVA M'!A836,'Base de données'!A$4:A$990,0),12),"")</f>
        <v/>
      </c>
    </row>
    <row r="837" spans="2:3" x14ac:dyDescent="0.25">
      <c r="B837" s="87" t="str">
        <f>IF(A837&lt;&gt;"",INDEX('Base de données'!A$4:L$990,MATCH(' TVA M'!A837,'Base de données'!A$4:A$990,0),2),"")</f>
        <v/>
      </c>
      <c r="C837" s="87" t="str">
        <f>IF(A837&lt;&gt;"",INDEX('Base de données'!A$4:L$990,MATCH(' TVA M'!A837,'Base de données'!A$4:A$990,0),12),"")</f>
        <v/>
      </c>
    </row>
    <row r="838" spans="2:3" x14ac:dyDescent="0.25">
      <c r="B838" s="87" t="str">
        <f>IF(A838&lt;&gt;"",INDEX('Base de données'!A$4:L$990,MATCH(' TVA M'!A838,'Base de données'!A$4:A$990,0),2),"")</f>
        <v/>
      </c>
      <c r="C838" s="87" t="str">
        <f>IF(A838&lt;&gt;"",INDEX('Base de données'!A$4:L$990,MATCH(' TVA M'!A838,'Base de données'!A$4:A$990,0),12),"")</f>
        <v/>
      </c>
    </row>
    <row r="839" spans="2:3" x14ac:dyDescent="0.25">
      <c r="B839" s="87" t="str">
        <f>IF(A839&lt;&gt;"",INDEX('Base de données'!A$4:L$990,MATCH(' TVA M'!A839,'Base de données'!A$4:A$990,0),2),"")</f>
        <v/>
      </c>
      <c r="C839" s="87" t="str">
        <f>IF(A839&lt;&gt;"",INDEX('Base de données'!A$4:L$990,MATCH(' TVA M'!A839,'Base de données'!A$4:A$990,0),12),"")</f>
        <v/>
      </c>
    </row>
    <row r="840" spans="2:3" x14ac:dyDescent="0.25">
      <c r="B840" s="87" t="str">
        <f>IF(A840&lt;&gt;"",INDEX('Base de données'!A$4:L$990,MATCH(' TVA M'!A840,'Base de données'!A$4:A$990,0),2),"")</f>
        <v/>
      </c>
      <c r="C840" s="87" t="str">
        <f>IF(A840&lt;&gt;"",INDEX('Base de données'!A$4:L$990,MATCH(' TVA M'!A840,'Base de données'!A$4:A$990,0),12),"")</f>
        <v/>
      </c>
    </row>
    <row r="841" spans="2:3" x14ac:dyDescent="0.25">
      <c r="B841" s="87" t="str">
        <f>IF(A841&lt;&gt;"",INDEX('Base de données'!A$4:L$990,MATCH(' TVA M'!A841,'Base de données'!A$4:A$990,0),2),"")</f>
        <v/>
      </c>
      <c r="C841" s="87" t="str">
        <f>IF(A841&lt;&gt;"",INDEX('Base de données'!A$4:L$990,MATCH(' TVA M'!A841,'Base de données'!A$4:A$990,0),12),"")</f>
        <v/>
      </c>
    </row>
    <row r="842" spans="2:3" x14ac:dyDescent="0.25">
      <c r="B842" s="87" t="str">
        <f>IF(A842&lt;&gt;"",INDEX('Base de données'!A$4:L$990,MATCH(' TVA M'!A842,'Base de données'!A$4:A$990,0),2),"")</f>
        <v/>
      </c>
      <c r="C842" s="87" t="str">
        <f>IF(A842&lt;&gt;"",INDEX('Base de données'!A$4:L$990,MATCH(' TVA M'!A842,'Base de données'!A$4:A$990,0),12),"")</f>
        <v/>
      </c>
    </row>
    <row r="843" spans="2:3" x14ac:dyDescent="0.25">
      <c r="B843" s="87" t="str">
        <f>IF(A843&lt;&gt;"",INDEX('Base de données'!A$4:L$990,MATCH(' TVA M'!A843,'Base de données'!A$4:A$990,0),2),"")</f>
        <v/>
      </c>
      <c r="C843" s="87" t="str">
        <f>IF(A843&lt;&gt;"",INDEX('Base de données'!A$4:L$990,MATCH(' TVA M'!A843,'Base de données'!A$4:A$990,0),12),"")</f>
        <v/>
      </c>
    </row>
    <row r="844" spans="2:3" x14ac:dyDescent="0.25">
      <c r="B844" s="87" t="str">
        <f>IF(A844&lt;&gt;"",INDEX('Base de données'!A$4:L$990,MATCH(' TVA M'!A844,'Base de données'!A$4:A$990,0),2),"")</f>
        <v/>
      </c>
      <c r="C844" s="87" t="str">
        <f>IF(A844&lt;&gt;"",INDEX('Base de données'!A$4:L$990,MATCH(' TVA M'!A844,'Base de données'!A$4:A$990,0),12),"")</f>
        <v/>
      </c>
    </row>
    <row r="845" spans="2:3" x14ac:dyDescent="0.25">
      <c r="B845" s="87" t="str">
        <f>IF(A845&lt;&gt;"",INDEX('Base de données'!A$4:L$990,MATCH(' TVA M'!A845,'Base de données'!A$4:A$990,0),2),"")</f>
        <v/>
      </c>
      <c r="C845" s="87" t="str">
        <f>IF(A845&lt;&gt;"",INDEX('Base de données'!A$4:L$990,MATCH(' TVA M'!A845,'Base de données'!A$4:A$990,0),12),"")</f>
        <v/>
      </c>
    </row>
    <row r="846" spans="2:3" x14ac:dyDescent="0.25">
      <c r="B846" s="87" t="str">
        <f>IF(A846&lt;&gt;"",INDEX('Base de données'!A$4:L$990,MATCH(' TVA M'!A846,'Base de données'!A$4:A$990,0),2),"")</f>
        <v/>
      </c>
      <c r="C846" s="87" t="str">
        <f>IF(A846&lt;&gt;"",INDEX('Base de données'!A$4:L$990,MATCH(' TVA M'!A846,'Base de données'!A$4:A$990,0),12),"")</f>
        <v/>
      </c>
    </row>
    <row r="847" spans="2:3" x14ac:dyDescent="0.25">
      <c r="B847" s="87" t="str">
        <f>IF(A847&lt;&gt;"",INDEX('Base de données'!A$4:L$990,MATCH(' TVA M'!A847,'Base de données'!A$4:A$990,0),2),"")</f>
        <v/>
      </c>
      <c r="C847" s="87" t="str">
        <f>IF(A847&lt;&gt;"",INDEX('Base de données'!A$4:L$990,MATCH(' TVA M'!A847,'Base de données'!A$4:A$990,0),12),"")</f>
        <v/>
      </c>
    </row>
    <row r="848" spans="2:3" x14ac:dyDescent="0.25">
      <c r="B848" s="87" t="str">
        <f>IF(A848&lt;&gt;"",INDEX('Base de données'!A$4:L$990,MATCH(' TVA M'!A848,'Base de données'!A$4:A$990,0),2),"")</f>
        <v/>
      </c>
      <c r="C848" s="87" t="str">
        <f>IF(A848&lt;&gt;"",INDEX('Base de données'!A$4:L$990,MATCH(' TVA M'!A848,'Base de données'!A$4:A$990,0),12),"")</f>
        <v/>
      </c>
    </row>
    <row r="849" spans="2:3" x14ac:dyDescent="0.25">
      <c r="B849" s="87" t="str">
        <f>IF(A849&lt;&gt;"",INDEX('Base de données'!A$4:L$990,MATCH(' TVA M'!A849,'Base de données'!A$4:A$990,0),2),"")</f>
        <v/>
      </c>
      <c r="C849" s="87" t="str">
        <f>IF(A849&lt;&gt;"",INDEX('Base de données'!A$4:L$990,MATCH(' TVA M'!A849,'Base de données'!A$4:A$990,0),12),"")</f>
        <v/>
      </c>
    </row>
    <row r="850" spans="2:3" x14ac:dyDescent="0.25">
      <c r="B850" s="87" t="str">
        <f>IF(A850&lt;&gt;"",INDEX('Base de données'!A$4:L$990,MATCH(' TVA M'!A850,'Base de données'!A$4:A$990,0),2),"")</f>
        <v/>
      </c>
      <c r="C850" s="87" t="str">
        <f>IF(A850&lt;&gt;"",INDEX('Base de données'!A$4:L$990,MATCH(' TVA M'!A850,'Base de données'!A$4:A$990,0),12),"")</f>
        <v/>
      </c>
    </row>
    <row r="851" spans="2:3" x14ac:dyDescent="0.25">
      <c r="B851" s="87" t="str">
        <f>IF(A851&lt;&gt;"",INDEX('Base de données'!A$4:L$990,MATCH(' TVA M'!A851,'Base de données'!A$4:A$990,0),2),"")</f>
        <v/>
      </c>
      <c r="C851" s="87" t="str">
        <f>IF(A851&lt;&gt;"",INDEX('Base de données'!A$4:L$990,MATCH(' TVA M'!A851,'Base de données'!A$4:A$990,0),12),"")</f>
        <v/>
      </c>
    </row>
    <row r="852" spans="2:3" x14ac:dyDescent="0.25">
      <c r="B852" s="87" t="str">
        <f>IF(A852&lt;&gt;"",INDEX('Base de données'!A$4:L$990,MATCH(' TVA M'!A852,'Base de données'!A$4:A$990,0),2),"")</f>
        <v/>
      </c>
      <c r="C852" s="87" t="str">
        <f>IF(A852&lt;&gt;"",INDEX('Base de données'!A$4:L$990,MATCH(' TVA M'!A852,'Base de données'!A$4:A$990,0),12),"")</f>
        <v/>
      </c>
    </row>
    <row r="853" spans="2:3" x14ac:dyDescent="0.25">
      <c r="B853" s="87" t="str">
        <f>IF(A853&lt;&gt;"",INDEX('Base de données'!A$4:L$990,MATCH(' TVA M'!A853,'Base de données'!A$4:A$990,0),2),"")</f>
        <v/>
      </c>
      <c r="C853" s="87" t="str">
        <f>IF(A853&lt;&gt;"",INDEX('Base de données'!A$4:L$990,MATCH(' TVA M'!A853,'Base de données'!A$4:A$990,0),12),"")</f>
        <v/>
      </c>
    </row>
    <row r="854" spans="2:3" x14ac:dyDescent="0.25">
      <c r="B854" s="87" t="str">
        <f>IF(A854&lt;&gt;"",INDEX('Base de données'!A$4:L$990,MATCH(' TVA M'!A854,'Base de données'!A$4:A$990,0),2),"")</f>
        <v/>
      </c>
      <c r="C854" s="87" t="str">
        <f>IF(A854&lt;&gt;"",INDEX('Base de données'!A$4:L$990,MATCH(' TVA M'!A854,'Base de données'!A$4:A$990,0),12),"")</f>
        <v/>
      </c>
    </row>
    <row r="855" spans="2:3" x14ac:dyDescent="0.25">
      <c r="B855" s="87" t="str">
        <f>IF(A855&lt;&gt;"",INDEX('Base de données'!A$4:L$990,MATCH(' TVA M'!A855,'Base de données'!A$4:A$990,0),2),"")</f>
        <v/>
      </c>
      <c r="C855" s="87" t="str">
        <f>IF(A855&lt;&gt;"",INDEX('Base de données'!A$4:L$990,MATCH(' TVA M'!A855,'Base de données'!A$4:A$990,0),12),"")</f>
        <v/>
      </c>
    </row>
    <row r="856" spans="2:3" x14ac:dyDescent="0.25">
      <c r="B856" s="87" t="str">
        <f>IF(A856&lt;&gt;"",INDEX('Base de données'!A$4:L$990,MATCH(' TVA M'!A856,'Base de données'!A$4:A$990,0),2),"")</f>
        <v/>
      </c>
      <c r="C856" s="87" t="str">
        <f>IF(A856&lt;&gt;"",INDEX('Base de données'!A$4:L$990,MATCH(' TVA M'!A856,'Base de données'!A$4:A$990,0),12),"")</f>
        <v/>
      </c>
    </row>
    <row r="857" spans="2:3" x14ac:dyDescent="0.25">
      <c r="B857" s="87" t="str">
        <f>IF(A857&lt;&gt;"",INDEX('Base de données'!A$4:L$990,MATCH(' TVA M'!A857,'Base de données'!A$4:A$990,0),2),"")</f>
        <v/>
      </c>
      <c r="C857" s="87" t="str">
        <f>IF(A857&lt;&gt;"",INDEX('Base de données'!A$4:L$990,MATCH(' TVA M'!A857,'Base de données'!A$4:A$990,0),12),"")</f>
        <v/>
      </c>
    </row>
    <row r="858" spans="2:3" x14ac:dyDescent="0.25">
      <c r="B858" s="87" t="str">
        <f>IF(A858&lt;&gt;"",INDEX('Base de données'!A$4:L$990,MATCH(' TVA M'!A858,'Base de données'!A$4:A$990,0),2),"")</f>
        <v/>
      </c>
      <c r="C858" s="87" t="str">
        <f>IF(A858&lt;&gt;"",INDEX('Base de données'!A$4:L$990,MATCH(' TVA M'!A858,'Base de données'!A$4:A$990,0),12),"")</f>
        <v/>
      </c>
    </row>
    <row r="859" spans="2:3" x14ac:dyDescent="0.25">
      <c r="B859" s="87" t="str">
        <f>IF(A859&lt;&gt;"",INDEX('Base de données'!A$4:L$990,MATCH(' TVA M'!A859,'Base de données'!A$4:A$990,0),2),"")</f>
        <v/>
      </c>
      <c r="C859" s="87" t="str">
        <f>IF(A859&lt;&gt;"",INDEX('Base de données'!A$4:L$990,MATCH(' TVA M'!A859,'Base de données'!A$4:A$990,0),12),"")</f>
        <v/>
      </c>
    </row>
    <row r="860" spans="2:3" x14ac:dyDescent="0.25">
      <c r="B860" s="87" t="str">
        <f>IF(A860&lt;&gt;"",INDEX('Base de données'!A$4:L$990,MATCH(' TVA M'!A860,'Base de données'!A$4:A$990,0),2),"")</f>
        <v/>
      </c>
      <c r="C860" s="87" t="str">
        <f>IF(A860&lt;&gt;"",INDEX('Base de données'!A$4:L$990,MATCH(' TVA M'!A860,'Base de données'!A$4:A$990,0),12),"")</f>
        <v/>
      </c>
    </row>
    <row r="861" spans="2:3" x14ac:dyDescent="0.25">
      <c r="B861" s="87" t="str">
        <f>IF(A861&lt;&gt;"",INDEX('Base de données'!A$4:L$990,MATCH(' TVA M'!A861,'Base de données'!A$4:A$990,0),2),"")</f>
        <v/>
      </c>
      <c r="C861" s="87" t="str">
        <f>IF(A861&lt;&gt;"",INDEX('Base de données'!A$4:L$990,MATCH(' TVA M'!A861,'Base de données'!A$4:A$990,0),12),"")</f>
        <v/>
      </c>
    </row>
    <row r="862" spans="2:3" x14ac:dyDescent="0.25">
      <c r="B862" s="87" t="str">
        <f>IF(A862&lt;&gt;"",INDEX('Base de données'!A$4:L$990,MATCH(' TVA M'!A862,'Base de données'!A$4:A$990,0),2),"")</f>
        <v/>
      </c>
      <c r="C862" s="87" t="str">
        <f>IF(A862&lt;&gt;"",INDEX('Base de données'!A$4:L$990,MATCH(' TVA M'!A862,'Base de données'!A$4:A$990,0),12),"")</f>
        <v/>
      </c>
    </row>
    <row r="863" spans="2:3" x14ac:dyDescent="0.25">
      <c r="B863" s="87" t="str">
        <f>IF(A863&lt;&gt;"",INDEX('Base de données'!A$4:L$990,MATCH(' TVA M'!A863,'Base de données'!A$4:A$990,0),2),"")</f>
        <v/>
      </c>
      <c r="C863" s="87" t="str">
        <f>IF(A863&lt;&gt;"",INDEX('Base de données'!A$4:L$990,MATCH(' TVA M'!A863,'Base de données'!A$4:A$990,0),12),"")</f>
        <v/>
      </c>
    </row>
    <row r="864" spans="2:3" x14ac:dyDescent="0.25">
      <c r="B864" s="87" t="str">
        <f>IF(A864&lt;&gt;"",INDEX('Base de données'!A$4:L$990,MATCH(' TVA M'!A864,'Base de données'!A$4:A$990,0),2),"")</f>
        <v/>
      </c>
      <c r="C864" s="87" t="str">
        <f>IF(A864&lt;&gt;"",INDEX('Base de données'!A$4:L$990,MATCH(' TVA M'!A864,'Base de données'!A$4:A$990,0),12),"")</f>
        <v/>
      </c>
    </row>
    <row r="865" spans="2:3" x14ac:dyDescent="0.25">
      <c r="B865" s="87" t="str">
        <f>IF(A865&lt;&gt;"",INDEX('Base de données'!A$4:L$990,MATCH(' TVA M'!A865,'Base de données'!A$4:A$990,0),2),"")</f>
        <v/>
      </c>
      <c r="C865" s="87" t="str">
        <f>IF(A865&lt;&gt;"",INDEX('Base de données'!A$4:L$990,MATCH(' TVA M'!A865,'Base de données'!A$4:A$990,0),12),"")</f>
        <v/>
      </c>
    </row>
    <row r="866" spans="2:3" x14ac:dyDescent="0.25">
      <c r="B866" s="87" t="str">
        <f>IF(A866&lt;&gt;"",INDEX('Base de données'!A$4:L$990,MATCH(' TVA M'!A866,'Base de données'!A$4:A$990,0),2),"")</f>
        <v/>
      </c>
      <c r="C866" s="87" t="str">
        <f>IF(A866&lt;&gt;"",INDEX('Base de données'!A$4:L$990,MATCH(' TVA M'!A866,'Base de données'!A$4:A$990,0),12),"")</f>
        <v/>
      </c>
    </row>
    <row r="867" spans="2:3" x14ac:dyDescent="0.25">
      <c r="B867" s="87" t="str">
        <f>IF(A867&lt;&gt;"",INDEX('Base de données'!A$4:L$990,MATCH(' TVA M'!A867,'Base de données'!A$4:A$990,0),2),"")</f>
        <v/>
      </c>
      <c r="C867" s="87" t="str">
        <f>IF(A867&lt;&gt;"",INDEX('Base de données'!A$4:L$990,MATCH(' TVA M'!A867,'Base de données'!A$4:A$990,0),12),"")</f>
        <v/>
      </c>
    </row>
    <row r="868" spans="2:3" x14ac:dyDescent="0.25">
      <c r="B868" s="87" t="str">
        <f>IF(A868&lt;&gt;"",INDEX('Base de données'!A$4:L$990,MATCH(' TVA M'!A868,'Base de données'!A$4:A$990,0),2),"")</f>
        <v/>
      </c>
      <c r="C868" s="87" t="str">
        <f>IF(A868&lt;&gt;"",INDEX('Base de données'!A$4:L$990,MATCH(' TVA M'!A868,'Base de données'!A$4:A$990,0),12),"")</f>
        <v/>
      </c>
    </row>
    <row r="869" spans="2:3" x14ac:dyDescent="0.25">
      <c r="B869" s="87" t="str">
        <f>IF(A869&lt;&gt;"",INDEX('Base de données'!A$4:L$990,MATCH(' TVA M'!A869,'Base de données'!A$4:A$990,0),2),"")</f>
        <v/>
      </c>
      <c r="C869" s="87" t="str">
        <f>IF(A869&lt;&gt;"",INDEX('Base de données'!A$4:L$990,MATCH(' TVA M'!A869,'Base de données'!A$4:A$990,0),12),"")</f>
        <v/>
      </c>
    </row>
    <row r="870" spans="2:3" x14ac:dyDescent="0.25">
      <c r="B870" s="87" t="str">
        <f>IF(A870&lt;&gt;"",INDEX('Base de données'!A$4:L$990,MATCH(' TVA M'!A870,'Base de données'!A$4:A$990,0),2),"")</f>
        <v/>
      </c>
      <c r="C870" s="87" t="str">
        <f>IF(A870&lt;&gt;"",INDEX('Base de données'!A$4:L$990,MATCH(' TVA M'!A870,'Base de données'!A$4:A$990,0),12),"")</f>
        <v/>
      </c>
    </row>
    <row r="871" spans="2:3" x14ac:dyDescent="0.25">
      <c r="B871" s="87" t="str">
        <f>IF(A871&lt;&gt;"",INDEX('Base de données'!A$4:L$990,MATCH(' TVA M'!A871,'Base de données'!A$4:A$990,0),2),"")</f>
        <v/>
      </c>
      <c r="C871" s="87" t="str">
        <f>IF(A871&lt;&gt;"",INDEX('Base de données'!A$4:L$990,MATCH(' TVA M'!A871,'Base de données'!A$4:A$990,0),12),"")</f>
        <v/>
      </c>
    </row>
    <row r="872" spans="2:3" x14ac:dyDescent="0.25">
      <c r="B872" s="87" t="str">
        <f>IF(A872&lt;&gt;"",INDEX('Base de données'!A$4:L$990,MATCH(' TVA M'!A872,'Base de données'!A$4:A$990,0),2),"")</f>
        <v/>
      </c>
      <c r="C872" s="87" t="str">
        <f>IF(A872&lt;&gt;"",INDEX('Base de données'!A$4:L$990,MATCH(' TVA M'!A872,'Base de données'!A$4:A$990,0),12),"")</f>
        <v/>
      </c>
    </row>
    <row r="873" spans="2:3" x14ac:dyDescent="0.25">
      <c r="B873" s="87" t="str">
        <f>IF(A873&lt;&gt;"",INDEX('Base de données'!A$4:L$990,MATCH(' TVA M'!A873,'Base de données'!A$4:A$990,0),2),"")</f>
        <v/>
      </c>
      <c r="C873" s="87" t="str">
        <f>IF(A873&lt;&gt;"",INDEX('Base de données'!A$4:L$990,MATCH(' TVA M'!A873,'Base de données'!A$4:A$990,0),12),"")</f>
        <v/>
      </c>
    </row>
    <row r="874" spans="2:3" x14ac:dyDescent="0.25">
      <c r="B874" s="87" t="str">
        <f>IF(A874&lt;&gt;"",INDEX('Base de données'!A$4:L$990,MATCH(' TVA M'!A874,'Base de données'!A$4:A$990,0),2),"")</f>
        <v/>
      </c>
      <c r="C874" s="87" t="str">
        <f>IF(A874&lt;&gt;"",INDEX('Base de données'!A$4:L$990,MATCH(' TVA M'!A874,'Base de données'!A$4:A$990,0),12),"")</f>
        <v/>
      </c>
    </row>
    <row r="875" spans="2:3" x14ac:dyDescent="0.25">
      <c r="B875" s="87" t="str">
        <f>IF(A875&lt;&gt;"",INDEX('Base de données'!A$4:L$990,MATCH(' TVA M'!A875,'Base de données'!A$4:A$990,0),2),"")</f>
        <v/>
      </c>
      <c r="C875" s="87" t="str">
        <f>IF(A875&lt;&gt;"",INDEX('Base de données'!A$4:L$990,MATCH(' TVA M'!A875,'Base de données'!A$4:A$990,0),12),"")</f>
        <v/>
      </c>
    </row>
    <row r="876" spans="2:3" x14ac:dyDescent="0.25">
      <c r="B876" s="87" t="str">
        <f>IF(A876&lt;&gt;"",INDEX('Base de données'!A$4:L$990,MATCH(' TVA M'!A876,'Base de données'!A$4:A$990,0),2),"")</f>
        <v/>
      </c>
      <c r="C876" s="87" t="str">
        <f>IF(A876&lt;&gt;"",INDEX('Base de données'!A$4:L$990,MATCH(' TVA M'!A876,'Base de données'!A$4:A$990,0),12),"")</f>
        <v/>
      </c>
    </row>
    <row r="877" spans="2:3" x14ac:dyDescent="0.25">
      <c r="B877" s="87" t="str">
        <f>IF(A877&lt;&gt;"",INDEX('Base de données'!A$4:L$990,MATCH(' TVA M'!A877,'Base de données'!A$4:A$990,0),2),"")</f>
        <v/>
      </c>
      <c r="C877" s="87" t="str">
        <f>IF(A877&lt;&gt;"",INDEX('Base de données'!A$4:L$990,MATCH(' TVA M'!A877,'Base de données'!A$4:A$990,0),12),"")</f>
        <v/>
      </c>
    </row>
    <row r="878" spans="2:3" x14ac:dyDescent="0.25">
      <c r="B878" s="87" t="str">
        <f>IF(A878&lt;&gt;"",INDEX('Base de données'!A$4:L$990,MATCH(' TVA M'!A878,'Base de données'!A$4:A$990,0),2),"")</f>
        <v/>
      </c>
      <c r="C878" s="87" t="str">
        <f>IF(A878&lt;&gt;"",INDEX('Base de données'!A$4:L$990,MATCH(' TVA M'!A878,'Base de données'!A$4:A$990,0),12),"")</f>
        <v/>
      </c>
    </row>
    <row r="879" spans="2:3" x14ac:dyDescent="0.25">
      <c r="B879" s="87" t="str">
        <f>IF(A879&lt;&gt;"",INDEX('Base de données'!A$4:L$990,MATCH(' TVA M'!A879,'Base de données'!A$4:A$990,0),2),"")</f>
        <v/>
      </c>
      <c r="C879" s="87" t="str">
        <f>IF(A879&lt;&gt;"",INDEX('Base de données'!A$4:L$990,MATCH(' TVA M'!A879,'Base de données'!A$4:A$990,0),12),"")</f>
        <v/>
      </c>
    </row>
    <row r="880" spans="2:3" x14ac:dyDescent="0.25">
      <c r="B880" s="87" t="str">
        <f>IF(A880&lt;&gt;"",INDEX('Base de données'!A$4:L$990,MATCH(' TVA M'!A880,'Base de données'!A$4:A$990,0),2),"")</f>
        <v/>
      </c>
      <c r="C880" s="87" t="str">
        <f>IF(A880&lt;&gt;"",INDEX('Base de données'!A$4:L$990,MATCH(' TVA M'!A880,'Base de données'!A$4:A$990,0),12),"")</f>
        <v/>
      </c>
    </row>
    <row r="881" spans="2:3" x14ac:dyDescent="0.25">
      <c r="B881" s="87" t="str">
        <f>IF(A881&lt;&gt;"",INDEX('Base de données'!A$4:L$990,MATCH(' TVA M'!A881,'Base de données'!A$4:A$990,0),2),"")</f>
        <v/>
      </c>
      <c r="C881" s="87" t="str">
        <f>IF(A881&lt;&gt;"",INDEX('Base de données'!A$4:L$990,MATCH(' TVA M'!A881,'Base de données'!A$4:A$990,0),12),"")</f>
        <v/>
      </c>
    </row>
    <row r="882" spans="2:3" x14ac:dyDescent="0.25">
      <c r="B882" s="87" t="str">
        <f>IF(A882&lt;&gt;"",INDEX('Base de données'!A$4:L$990,MATCH(' TVA M'!A882,'Base de données'!A$4:A$990,0),2),"")</f>
        <v/>
      </c>
      <c r="C882" s="87" t="str">
        <f>IF(A882&lt;&gt;"",INDEX('Base de données'!A$4:L$990,MATCH(' TVA M'!A882,'Base de données'!A$4:A$990,0),12),"")</f>
        <v/>
      </c>
    </row>
    <row r="883" spans="2:3" x14ac:dyDescent="0.25">
      <c r="B883" s="87" t="str">
        <f>IF(A883&lt;&gt;"",INDEX('Base de données'!A$4:L$990,MATCH(' TVA M'!A883,'Base de données'!A$4:A$990,0),2),"")</f>
        <v/>
      </c>
      <c r="C883" s="87" t="str">
        <f>IF(A883&lt;&gt;"",INDEX('Base de données'!A$4:L$990,MATCH(' TVA M'!A883,'Base de données'!A$4:A$990,0),12),"")</f>
        <v/>
      </c>
    </row>
    <row r="884" spans="2:3" x14ac:dyDescent="0.25">
      <c r="B884" s="87" t="str">
        <f>IF(A884&lt;&gt;"",INDEX('Base de données'!A$4:L$990,MATCH(' TVA M'!A884,'Base de données'!A$4:A$990,0),2),"")</f>
        <v/>
      </c>
      <c r="C884" s="87" t="str">
        <f>IF(A884&lt;&gt;"",INDEX('Base de données'!A$4:L$990,MATCH(' TVA M'!A884,'Base de données'!A$4:A$990,0),12),"")</f>
        <v/>
      </c>
    </row>
    <row r="885" spans="2:3" x14ac:dyDescent="0.25">
      <c r="B885" s="87" t="str">
        <f>IF(A885&lt;&gt;"",INDEX('Base de données'!A$4:L$990,MATCH(' TVA M'!A885,'Base de données'!A$4:A$990,0),2),"")</f>
        <v/>
      </c>
      <c r="C885" s="87" t="str">
        <f>IF(A885&lt;&gt;"",INDEX('Base de données'!A$4:L$990,MATCH(' TVA M'!A885,'Base de données'!A$4:A$990,0),12),"")</f>
        <v/>
      </c>
    </row>
    <row r="886" spans="2:3" x14ac:dyDescent="0.25">
      <c r="B886" s="87" t="str">
        <f>IF(A886&lt;&gt;"",INDEX('Base de données'!A$4:L$990,MATCH(' TVA M'!A886,'Base de données'!A$4:A$990,0),2),"")</f>
        <v/>
      </c>
      <c r="C886" s="87" t="str">
        <f>IF(A886&lt;&gt;"",INDEX('Base de données'!A$4:L$990,MATCH(' TVA M'!A886,'Base de données'!A$4:A$990,0),12),"")</f>
        <v/>
      </c>
    </row>
    <row r="887" spans="2:3" x14ac:dyDescent="0.25">
      <c r="B887" s="87" t="str">
        <f>IF(A887&lt;&gt;"",INDEX('Base de données'!A$4:L$990,MATCH(' TVA M'!A887,'Base de données'!A$4:A$990,0),2),"")</f>
        <v/>
      </c>
      <c r="C887" s="87" t="str">
        <f>IF(A887&lt;&gt;"",INDEX('Base de données'!A$4:L$990,MATCH(' TVA M'!A887,'Base de données'!A$4:A$990,0),12),"")</f>
        <v/>
      </c>
    </row>
    <row r="888" spans="2:3" x14ac:dyDescent="0.25">
      <c r="B888" s="87" t="str">
        <f>IF(A888&lt;&gt;"",INDEX('Base de données'!A$4:L$990,MATCH(' TVA M'!A888,'Base de données'!A$4:A$990,0),2),"")</f>
        <v/>
      </c>
      <c r="C888" s="87" t="str">
        <f>IF(A888&lt;&gt;"",INDEX('Base de données'!A$4:L$990,MATCH(' TVA M'!A888,'Base de données'!A$4:A$990,0),12),"")</f>
        <v/>
      </c>
    </row>
    <row r="889" spans="2:3" x14ac:dyDescent="0.25">
      <c r="B889" s="87" t="str">
        <f>IF(A889&lt;&gt;"",INDEX('Base de données'!A$4:L$990,MATCH(' TVA M'!A889,'Base de données'!A$4:A$990,0),2),"")</f>
        <v/>
      </c>
      <c r="C889" s="87" t="str">
        <f>IF(A889&lt;&gt;"",INDEX('Base de données'!A$4:L$990,MATCH(' TVA M'!A889,'Base de données'!A$4:A$990,0),12),"")</f>
        <v/>
      </c>
    </row>
    <row r="890" spans="2:3" x14ac:dyDescent="0.25">
      <c r="B890" s="87" t="str">
        <f>IF(A890&lt;&gt;"",INDEX('Base de données'!A$4:L$990,MATCH(' TVA M'!A890,'Base de données'!A$4:A$990,0),2),"")</f>
        <v/>
      </c>
      <c r="C890" s="87" t="str">
        <f>IF(A890&lt;&gt;"",INDEX('Base de données'!A$4:L$990,MATCH(' TVA M'!A890,'Base de données'!A$4:A$990,0),12),"")</f>
        <v/>
      </c>
    </row>
    <row r="891" spans="2:3" x14ac:dyDescent="0.25">
      <c r="B891" s="87" t="str">
        <f>IF(A891&lt;&gt;"",INDEX('Base de données'!A$4:L$990,MATCH(' TVA M'!A891,'Base de données'!A$4:A$990,0),2),"")</f>
        <v/>
      </c>
      <c r="C891" s="87" t="str">
        <f>IF(A891&lt;&gt;"",INDEX('Base de données'!A$4:L$990,MATCH(' TVA M'!A891,'Base de données'!A$4:A$990,0),12),"")</f>
        <v/>
      </c>
    </row>
    <row r="892" spans="2:3" x14ac:dyDescent="0.25">
      <c r="B892" s="87" t="str">
        <f>IF(A892&lt;&gt;"",INDEX('Base de données'!A$4:L$990,MATCH(' TVA M'!A892,'Base de données'!A$4:A$990,0),2),"")</f>
        <v/>
      </c>
      <c r="C892" s="87" t="str">
        <f>IF(A892&lt;&gt;"",INDEX('Base de données'!A$4:L$990,MATCH(' TVA M'!A892,'Base de données'!A$4:A$990,0),12),"")</f>
        <v/>
      </c>
    </row>
    <row r="893" spans="2:3" x14ac:dyDescent="0.25">
      <c r="B893" s="87" t="str">
        <f>IF(A893&lt;&gt;"",INDEX('Base de données'!A$4:L$990,MATCH(' TVA M'!A893,'Base de données'!A$4:A$990,0),2),"")</f>
        <v/>
      </c>
      <c r="C893" s="87" t="str">
        <f>IF(A893&lt;&gt;"",INDEX('Base de données'!A$4:L$990,MATCH(' TVA M'!A893,'Base de données'!A$4:A$990,0),12),"")</f>
        <v/>
      </c>
    </row>
    <row r="894" spans="2:3" x14ac:dyDescent="0.25">
      <c r="B894" s="87" t="str">
        <f>IF(A894&lt;&gt;"",INDEX('Base de données'!A$4:L$990,MATCH(' TVA M'!A894,'Base de données'!A$4:A$990,0),2),"")</f>
        <v/>
      </c>
      <c r="C894" s="87" t="str">
        <f>IF(A894&lt;&gt;"",INDEX('Base de données'!A$4:L$990,MATCH(' TVA M'!A894,'Base de données'!A$4:A$990,0),12),"")</f>
        <v/>
      </c>
    </row>
    <row r="895" spans="2:3" x14ac:dyDescent="0.25">
      <c r="B895" s="87" t="str">
        <f>IF(A895&lt;&gt;"",INDEX('Base de données'!A$4:L$990,MATCH(' TVA M'!A895,'Base de données'!A$4:A$990,0),2),"")</f>
        <v/>
      </c>
      <c r="C895" s="87" t="str">
        <f>IF(A895&lt;&gt;"",INDEX('Base de données'!A$4:L$990,MATCH(' TVA M'!A895,'Base de données'!A$4:A$990,0),12),"")</f>
        <v/>
      </c>
    </row>
    <row r="896" spans="2:3" x14ac:dyDescent="0.25">
      <c r="B896" s="87" t="str">
        <f>IF(A896&lt;&gt;"",INDEX('Base de données'!A$4:L$990,MATCH(' TVA M'!A896,'Base de données'!A$4:A$990,0),2),"")</f>
        <v/>
      </c>
      <c r="C896" s="87" t="str">
        <f>IF(A896&lt;&gt;"",INDEX('Base de données'!A$4:L$990,MATCH(' TVA M'!A896,'Base de données'!A$4:A$990,0),12),"")</f>
        <v/>
      </c>
    </row>
    <row r="897" spans="2:3" x14ac:dyDescent="0.25">
      <c r="B897" s="87" t="str">
        <f>IF(A897&lt;&gt;"",INDEX('Base de données'!A$4:L$990,MATCH(' TVA M'!A897,'Base de données'!A$4:A$990,0),2),"")</f>
        <v/>
      </c>
      <c r="C897" s="87" t="str">
        <f>IF(A897&lt;&gt;"",INDEX('Base de données'!A$4:L$990,MATCH(' TVA M'!A897,'Base de données'!A$4:A$990,0),12),"")</f>
        <v/>
      </c>
    </row>
    <row r="898" spans="2:3" x14ac:dyDescent="0.25">
      <c r="B898" s="87" t="str">
        <f>IF(A898&lt;&gt;"",INDEX('Base de données'!A$4:L$990,MATCH(' TVA M'!A898,'Base de données'!A$4:A$990,0),2),"")</f>
        <v/>
      </c>
      <c r="C898" s="87" t="str">
        <f>IF(A898&lt;&gt;"",INDEX('Base de données'!A$4:L$990,MATCH(' TVA M'!A898,'Base de données'!A$4:A$990,0),12),"")</f>
        <v/>
      </c>
    </row>
    <row r="899" spans="2:3" x14ac:dyDescent="0.25">
      <c r="B899" s="87" t="str">
        <f>IF(A899&lt;&gt;"",INDEX('Base de données'!A$4:L$990,MATCH(' TVA M'!A899,'Base de données'!A$4:A$990,0),2),"")</f>
        <v/>
      </c>
      <c r="C899" s="87" t="str">
        <f>IF(A899&lt;&gt;"",INDEX('Base de données'!A$4:L$990,MATCH(' TVA M'!A899,'Base de données'!A$4:A$990,0),12),"")</f>
        <v/>
      </c>
    </row>
    <row r="900" spans="2:3" x14ac:dyDescent="0.25">
      <c r="B900" s="87" t="str">
        <f>IF(A900&lt;&gt;"",INDEX('Base de données'!A$4:L$990,MATCH(' TVA M'!A900,'Base de données'!A$4:A$990,0),2),"")</f>
        <v/>
      </c>
      <c r="C900" s="87" t="str">
        <f>IF(A900&lt;&gt;"",INDEX('Base de données'!A$4:L$990,MATCH(' TVA M'!A900,'Base de données'!A$4:A$990,0),12),"")</f>
        <v/>
      </c>
    </row>
    <row r="901" spans="2:3" x14ac:dyDescent="0.25">
      <c r="B901" s="87" t="str">
        <f>IF(A901&lt;&gt;"",INDEX('Base de données'!A$4:L$990,MATCH(' TVA M'!A901,'Base de données'!A$4:A$990,0),2),"")</f>
        <v/>
      </c>
      <c r="C901" s="87" t="str">
        <f>IF(A901&lt;&gt;"",INDEX('Base de données'!A$4:L$990,MATCH(' TVA M'!A901,'Base de données'!A$4:A$990,0),12),"")</f>
        <v/>
      </c>
    </row>
    <row r="902" spans="2:3" x14ac:dyDescent="0.25">
      <c r="B902" s="87" t="str">
        <f>IF(A902&lt;&gt;"",INDEX('Base de données'!A$4:L$990,MATCH(' TVA M'!A902,'Base de données'!A$4:A$990,0),2),"")</f>
        <v/>
      </c>
      <c r="C902" s="87" t="str">
        <f>IF(A902&lt;&gt;"",INDEX('Base de données'!A$4:L$990,MATCH(' TVA M'!A902,'Base de données'!A$4:A$990,0),12),"")</f>
        <v/>
      </c>
    </row>
    <row r="903" spans="2:3" x14ac:dyDescent="0.25">
      <c r="B903" s="87" t="str">
        <f>IF(A903&lt;&gt;"",INDEX('Base de données'!A$4:L$990,MATCH(' TVA M'!A903,'Base de données'!A$4:A$990,0),2),"")</f>
        <v/>
      </c>
      <c r="C903" s="87" t="str">
        <f>IF(A903&lt;&gt;"",INDEX('Base de données'!A$4:L$990,MATCH(' TVA M'!A903,'Base de données'!A$4:A$990,0),12),"")</f>
        <v/>
      </c>
    </row>
    <row r="904" spans="2:3" x14ac:dyDescent="0.25">
      <c r="B904" s="87" t="str">
        <f>IF(A904&lt;&gt;"",INDEX('Base de données'!A$4:L$990,MATCH(' TVA M'!A904,'Base de données'!A$4:A$990,0),2),"")</f>
        <v/>
      </c>
      <c r="C904" s="87" t="str">
        <f>IF(A904&lt;&gt;"",INDEX('Base de données'!A$4:L$990,MATCH(' TVA M'!A904,'Base de données'!A$4:A$990,0),12),"")</f>
        <v/>
      </c>
    </row>
    <row r="905" spans="2:3" x14ac:dyDescent="0.25">
      <c r="B905" s="87" t="str">
        <f>IF(A905&lt;&gt;"",INDEX('Base de données'!A$4:L$990,MATCH(' TVA M'!A905,'Base de données'!A$4:A$990,0),2),"")</f>
        <v/>
      </c>
      <c r="C905" s="87" t="str">
        <f>IF(A905&lt;&gt;"",INDEX('Base de données'!A$4:L$990,MATCH(' TVA M'!A905,'Base de données'!A$4:A$990,0),12),"")</f>
        <v/>
      </c>
    </row>
    <row r="906" spans="2:3" x14ac:dyDescent="0.25">
      <c r="B906" s="87" t="str">
        <f>IF(A906&lt;&gt;"",INDEX('Base de données'!A$4:L$990,MATCH(' TVA M'!A906,'Base de données'!A$4:A$990,0),2),"")</f>
        <v/>
      </c>
      <c r="C906" s="87" t="str">
        <f>IF(A906&lt;&gt;"",INDEX('Base de données'!A$4:L$990,MATCH(' TVA M'!A906,'Base de données'!A$4:A$990,0),12),"")</f>
        <v/>
      </c>
    </row>
    <row r="907" spans="2:3" x14ac:dyDescent="0.25">
      <c r="B907" s="87" t="str">
        <f>IF(A907&lt;&gt;"",INDEX('Base de données'!A$4:L$990,MATCH(' TVA M'!A907,'Base de données'!A$4:A$990,0),2),"")</f>
        <v/>
      </c>
      <c r="C907" s="87" t="str">
        <f>IF(A907&lt;&gt;"",INDEX('Base de données'!A$4:L$990,MATCH(' TVA M'!A907,'Base de données'!A$4:A$990,0),12),"")</f>
        <v/>
      </c>
    </row>
    <row r="908" spans="2:3" x14ac:dyDescent="0.25">
      <c r="B908" s="87" t="str">
        <f>IF(A908&lt;&gt;"",INDEX('Base de données'!A$4:L$990,MATCH(' TVA M'!A908,'Base de données'!A$4:A$990,0),2),"")</f>
        <v/>
      </c>
      <c r="C908" s="87" t="str">
        <f>IF(A908&lt;&gt;"",INDEX('Base de données'!A$4:L$990,MATCH(' TVA M'!A908,'Base de données'!A$4:A$990,0),12),"")</f>
        <v/>
      </c>
    </row>
    <row r="909" spans="2:3" x14ac:dyDescent="0.25">
      <c r="B909" s="87" t="str">
        <f>IF(A909&lt;&gt;"",INDEX('Base de données'!A$4:L$990,MATCH(' TVA M'!A909,'Base de données'!A$4:A$990,0),2),"")</f>
        <v/>
      </c>
      <c r="C909" s="87" t="str">
        <f>IF(A909&lt;&gt;"",INDEX('Base de données'!A$4:L$990,MATCH(' TVA M'!A909,'Base de données'!A$4:A$990,0),12),"")</f>
        <v/>
      </c>
    </row>
    <row r="910" spans="2:3" x14ac:dyDescent="0.25">
      <c r="B910" s="87" t="str">
        <f>IF(A910&lt;&gt;"",INDEX('Base de données'!A$4:L$990,MATCH(' TVA M'!A910,'Base de données'!A$4:A$990,0),2),"")</f>
        <v/>
      </c>
      <c r="C910" s="87" t="str">
        <f>IF(A910&lt;&gt;"",INDEX('Base de données'!A$4:L$990,MATCH(' TVA M'!A910,'Base de données'!A$4:A$990,0),12),"")</f>
        <v/>
      </c>
    </row>
    <row r="911" spans="2:3" x14ac:dyDescent="0.25">
      <c r="B911" s="87" t="str">
        <f>IF(A911&lt;&gt;"",INDEX('Base de données'!A$4:L$990,MATCH(' TVA M'!A911,'Base de données'!A$4:A$990,0),2),"")</f>
        <v/>
      </c>
      <c r="C911" s="87" t="str">
        <f>IF(A911&lt;&gt;"",INDEX('Base de données'!A$4:L$990,MATCH(' TVA M'!A911,'Base de données'!A$4:A$990,0),12),"")</f>
        <v/>
      </c>
    </row>
    <row r="912" spans="2:3" x14ac:dyDescent="0.25">
      <c r="B912" s="87" t="str">
        <f>IF(A912&lt;&gt;"",INDEX('Base de données'!A$4:L$990,MATCH(' TVA M'!A912,'Base de données'!A$4:A$990,0),2),"")</f>
        <v/>
      </c>
      <c r="C912" s="87" t="str">
        <f>IF(A912&lt;&gt;"",INDEX('Base de données'!A$4:L$990,MATCH(' TVA M'!A912,'Base de données'!A$4:A$990,0),12),"")</f>
        <v/>
      </c>
    </row>
    <row r="913" spans="2:3" x14ac:dyDescent="0.25">
      <c r="B913" s="87" t="str">
        <f>IF(A913&lt;&gt;"",INDEX('Base de données'!A$4:L$990,MATCH(' TVA M'!A913,'Base de données'!A$4:A$990,0),2),"")</f>
        <v/>
      </c>
      <c r="C913" s="87" t="str">
        <f>IF(A913&lt;&gt;"",INDEX('Base de données'!A$4:L$990,MATCH(' TVA M'!A913,'Base de données'!A$4:A$990,0),12),"")</f>
        <v/>
      </c>
    </row>
    <row r="914" spans="2:3" x14ac:dyDescent="0.25">
      <c r="B914" s="87" t="str">
        <f>IF(A914&lt;&gt;"",INDEX('Base de données'!A$4:L$990,MATCH(' TVA M'!A914,'Base de données'!A$4:A$990,0),2),"")</f>
        <v/>
      </c>
      <c r="C914" s="87" t="str">
        <f>IF(A914&lt;&gt;"",INDEX('Base de données'!A$4:L$990,MATCH(' TVA M'!A914,'Base de données'!A$4:A$990,0),12),"")</f>
        <v/>
      </c>
    </row>
    <row r="915" spans="2:3" x14ac:dyDescent="0.25">
      <c r="B915" s="87" t="str">
        <f>IF(A915&lt;&gt;"",INDEX('Base de données'!A$4:L$990,MATCH(' TVA M'!A915,'Base de données'!A$4:A$990,0),2),"")</f>
        <v/>
      </c>
      <c r="C915" s="87" t="str">
        <f>IF(A915&lt;&gt;"",INDEX('Base de données'!A$4:L$990,MATCH(' TVA M'!A915,'Base de données'!A$4:A$990,0),12),"")</f>
        <v/>
      </c>
    </row>
    <row r="916" spans="2:3" x14ac:dyDescent="0.25">
      <c r="B916" s="87" t="str">
        <f>IF(A916&lt;&gt;"",INDEX('Base de données'!A$4:L$990,MATCH(' TVA M'!A916,'Base de données'!A$4:A$990,0),2),"")</f>
        <v/>
      </c>
      <c r="C916" s="87" t="str">
        <f>IF(A916&lt;&gt;"",INDEX('Base de données'!A$4:L$990,MATCH(' TVA M'!A916,'Base de données'!A$4:A$990,0),12),"")</f>
        <v/>
      </c>
    </row>
    <row r="917" spans="2:3" x14ac:dyDescent="0.25">
      <c r="B917" s="87" t="str">
        <f>IF(A917&lt;&gt;"",INDEX('Base de données'!A$4:L$990,MATCH(' TVA M'!A917,'Base de données'!A$4:A$990,0),2),"")</f>
        <v/>
      </c>
      <c r="C917" s="87" t="str">
        <f>IF(A917&lt;&gt;"",INDEX('Base de données'!A$4:L$990,MATCH(' TVA M'!A917,'Base de données'!A$4:A$990,0),12),"")</f>
        <v/>
      </c>
    </row>
    <row r="918" spans="2:3" x14ac:dyDescent="0.25">
      <c r="B918" s="87" t="str">
        <f>IF(A918&lt;&gt;"",INDEX('Base de données'!A$4:L$990,MATCH(' TVA M'!A918,'Base de données'!A$4:A$990,0),2),"")</f>
        <v/>
      </c>
      <c r="C918" s="87" t="str">
        <f>IF(A918&lt;&gt;"",INDEX('Base de données'!A$4:L$990,MATCH(' TVA M'!A918,'Base de données'!A$4:A$990,0),12),"")</f>
        <v/>
      </c>
    </row>
    <row r="919" spans="2:3" x14ac:dyDescent="0.25">
      <c r="B919" s="87" t="str">
        <f>IF(A919&lt;&gt;"",INDEX('Base de données'!A$4:L$990,MATCH(' TVA M'!A919,'Base de données'!A$4:A$990,0),2),"")</f>
        <v/>
      </c>
      <c r="C919" s="87" t="str">
        <f>IF(A919&lt;&gt;"",INDEX('Base de données'!A$4:L$990,MATCH(' TVA M'!A919,'Base de données'!A$4:A$990,0),12),"")</f>
        <v/>
      </c>
    </row>
    <row r="920" spans="2:3" x14ac:dyDescent="0.25">
      <c r="B920" s="87" t="str">
        <f>IF(A920&lt;&gt;"",INDEX('Base de données'!A$4:L$990,MATCH(' TVA M'!A920,'Base de données'!A$4:A$990,0),2),"")</f>
        <v/>
      </c>
      <c r="C920" s="87" t="str">
        <f>IF(A920&lt;&gt;"",INDEX('Base de données'!A$4:L$990,MATCH(' TVA M'!A920,'Base de données'!A$4:A$990,0),12),"")</f>
        <v/>
      </c>
    </row>
    <row r="921" spans="2:3" x14ac:dyDescent="0.25">
      <c r="B921" s="87" t="str">
        <f>IF(A921&lt;&gt;"",INDEX('Base de données'!A$4:L$990,MATCH(' TVA M'!A921,'Base de données'!A$4:A$990,0),2),"")</f>
        <v/>
      </c>
      <c r="C921" s="87" t="str">
        <f>IF(A921&lt;&gt;"",INDEX('Base de données'!A$4:L$990,MATCH(' TVA M'!A921,'Base de données'!A$4:A$990,0),12),"")</f>
        <v/>
      </c>
    </row>
    <row r="922" spans="2:3" x14ac:dyDescent="0.25">
      <c r="B922" s="87" t="str">
        <f>IF(A922&lt;&gt;"",INDEX('Base de données'!A$4:L$990,MATCH(' TVA M'!A922,'Base de données'!A$4:A$990,0),2),"")</f>
        <v/>
      </c>
      <c r="C922" s="87" t="str">
        <f>IF(A922&lt;&gt;"",INDEX('Base de données'!A$4:L$990,MATCH(' TVA M'!A922,'Base de données'!A$4:A$990,0),12),"")</f>
        <v/>
      </c>
    </row>
    <row r="923" spans="2:3" x14ac:dyDescent="0.25">
      <c r="B923" s="87" t="str">
        <f>IF(A923&lt;&gt;"",INDEX('Base de données'!A$4:L$990,MATCH(' TVA M'!A923,'Base de données'!A$4:A$990,0),2),"")</f>
        <v/>
      </c>
      <c r="C923" s="87" t="str">
        <f>IF(A923&lt;&gt;"",INDEX('Base de données'!A$4:L$990,MATCH(' TVA M'!A923,'Base de données'!A$4:A$990,0),12),"")</f>
        <v/>
      </c>
    </row>
    <row r="924" spans="2:3" x14ac:dyDescent="0.25">
      <c r="B924" s="87" t="str">
        <f>IF(A924&lt;&gt;"",INDEX('Base de données'!A$4:L$990,MATCH(' TVA M'!A924,'Base de données'!A$4:A$990,0),2),"")</f>
        <v/>
      </c>
      <c r="C924" s="87" t="str">
        <f>IF(A924&lt;&gt;"",INDEX('Base de données'!A$4:L$990,MATCH(' TVA M'!A924,'Base de données'!A$4:A$990,0),12),"")</f>
        <v/>
      </c>
    </row>
    <row r="925" spans="2:3" x14ac:dyDescent="0.25">
      <c r="B925" s="87" t="str">
        <f>IF(A925&lt;&gt;"",INDEX('Base de données'!A$4:L$990,MATCH(' TVA M'!A925,'Base de données'!A$4:A$990,0),2),"")</f>
        <v/>
      </c>
      <c r="C925" s="87" t="str">
        <f>IF(A925&lt;&gt;"",INDEX('Base de données'!A$4:L$990,MATCH(' TVA M'!A925,'Base de données'!A$4:A$990,0),12),"")</f>
        <v/>
      </c>
    </row>
    <row r="926" spans="2:3" x14ac:dyDescent="0.25">
      <c r="B926" s="87" t="str">
        <f>IF(A926&lt;&gt;"",INDEX('Base de données'!A$4:L$990,MATCH(' TVA M'!A926,'Base de données'!A$4:A$990,0),2),"")</f>
        <v/>
      </c>
      <c r="C926" s="87" t="str">
        <f>IF(A926&lt;&gt;"",INDEX('Base de données'!A$4:L$990,MATCH(' TVA M'!A926,'Base de données'!A$4:A$990,0),12),"")</f>
        <v/>
      </c>
    </row>
    <row r="927" spans="2:3" x14ac:dyDescent="0.25">
      <c r="B927" s="87" t="str">
        <f>IF(A927&lt;&gt;"",INDEX('Base de données'!A$4:L$990,MATCH(' TVA M'!A927,'Base de données'!A$4:A$990,0),2),"")</f>
        <v/>
      </c>
      <c r="C927" s="87" t="str">
        <f>IF(A927&lt;&gt;"",INDEX('Base de données'!A$4:L$990,MATCH(' TVA M'!A927,'Base de données'!A$4:A$990,0),12),"")</f>
        <v/>
      </c>
    </row>
    <row r="928" spans="2:3" x14ac:dyDescent="0.25">
      <c r="B928" s="87" t="str">
        <f>IF(A928&lt;&gt;"",INDEX('Base de données'!A$4:L$990,MATCH(' TVA M'!A928,'Base de données'!A$4:A$990,0),2),"")</f>
        <v/>
      </c>
      <c r="C928" s="87" t="str">
        <f>IF(A928&lt;&gt;"",INDEX('Base de données'!A$4:L$990,MATCH(' TVA M'!A928,'Base de données'!A$4:A$990,0),12),"")</f>
        <v/>
      </c>
    </row>
    <row r="929" spans="2:3" x14ac:dyDescent="0.25">
      <c r="B929" s="87" t="str">
        <f>IF(A929&lt;&gt;"",INDEX('Base de données'!A$4:L$990,MATCH(' TVA M'!A929,'Base de données'!A$4:A$990,0),2),"")</f>
        <v/>
      </c>
      <c r="C929" s="87" t="str">
        <f>IF(A929&lt;&gt;"",INDEX('Base de données'!A$4:L$990,MATCH(' TVA M'!A929,'Base de données'!A$4:A$990,0),12),"")</f>
        <v/>
      </c>
    </row>
    <row r="930" spans="2:3" x14ac:dyDescent="0.25">
      <c r="B930" s="87" t="str">
        <f>IF(A930&lt;&gt;"",INDEX('Base de données'!A$4:L$990,MATCH(' TVA M'!A930,'Base de données'!A$4:A$990,0),2),"")</f>
        <v/>
      </c>
      <c r="C930" s="87" t="str">
        <f>IF(A930&lt;&gt;"",INDEX('Base de données'!A$4:L$990,MATCH(' TVA M'!A930,'Base de données'!A$4:A$990,0),12),"")</f>
        <v/>
      </c>
    </row>
    <row r="931" spans="2:3" x14ac:dyDescent="0.25">
      <c r="B931" s="87" t="str">
        <f>IF(A931&lt;&gt;"",INDEX('Base de données'!A$4:L$990,MATCH(' TVA M'!A931,'Base de données'!A$4:A$990,0),2),"")</f>
        <v/>
      </c>
      <c r="C931" s="87" t="str">
        <f>IF(A931&lt;&gt;"",INDEX('Base de données'!A$4:L$990,MATCH(' TVA M'!A931,'Base de données'!A$4:A$990,0),12),"")</f>
        <v/>
      </c>
    </row>
    <row r="932" spans="2:3" x14ac:dyDescent="0.25">
      <c r="B932" s="87" t="str">
        <f>IF(A932&lt;&gt;"",INDEX('Base de données'!A$4:L$990,MATCH(' TVA M'!A932,'Base de données'!A$4:A$990,0),2),"")</f>
        <v/>
      </c>
      <c r="C932" s="87" t="str">
        <f>IF(A932&lt;&gt;"",INDEX('Base de données'!A$4:L$990,MATCH(' TVA M'!A932,'Base de données'!A$4:A$990,0),12),"")</f>
        <v/>
      </c>
    </row>
    <row r="933" spans="2:3" x14ac:dyDescent="0.25">
      <c r="B933" s="87" t="str">
        <f>IF(A933&lt;&gt;"",INDEX('Base de données'!A$4:L$990,MATCH(' TVA M'!A933,'Base de données'!A$4:A$990,0),2),"")</f>
        <v/>
      </c>
      <c r="C933" s="87" t="str">
        <f>IF(A933&lt;&gt;"",INDEX('Base de données'!A$4:L$990,MATCH(' TVA M'!A933,'Base de données'!A$4:A$990,0),12),"")</f>
        <v/>
      </c>
    </row>
    <row r="934" spans="2:3" x14ac:dyDescent="0.25">
      <c r="B934" s="87" t="str">
        <f>IF(A934&lt;&gt;"",INDEX('Base de données'!A$4:L$990,MATCH(' TVA M'!A934,'Base de données'!A$4:A$990,0),2),"")</f>
        <v/>
      </c>
      <c r="C934" s="87" t="str">
        <f>IF(A934&lt;&gt;"",INDEX('Base de données'!A$4:L$990,MATCH(' TVA M'!A934,'Base de données'!A$4:A$990,0),12),"")</f>
        <v/>
      </c>
    </row>
    <row r="935" spans="2:3" x14ac:dyDescent="0.25">
      <c r="B935" s="87" t="str">
        <f>IF(A935&lt;&gt;"",INDEX('Base de données'!A$4:L$990,MATCH(' TVA M'!A935,'Base de données'!A$4:A$990,0),2),"")</f>
        <v/>
      </c>
      <c r="C935" s="87" t="str">
        <f>IF(A935&lt;&gt;"",INDEX('Base de données'!A$4:L$990,MATCH(' TVA M'!A935,'Base de données'!A$4:A$990,0),12),"")</f>
        <v/>
      </c>
    </row>
    <row r="936" spans="2:3" x14ac:dyDescent="0.25">
      <c r="B936" s="87" t="str">
        <f>IF(A936&lt;&gt;"",INDEX('Base de données'!A$4:L$990,MATCH(' TVA M'!A936,'Base de données'!A$4:A$990,0),2),"")</f>
        <v/>
      </c>
      <c r="C936" s="87" t="str">
        <f>IF(A936&lt;&gt;"",INDEX('Base de données'!A$4:L$990,MATCH(' TVA M'!A936,'Base de données'!A$4:A$990,0),12),"")</f>
        <v/>
      </c>
    </row>
    <row r="937" spans="2:3" x14ac:dyDescent="0.25">
      <c r="B937" s="87" t="str">
        <f>IF(A937&lt;&gt;"",INDEX('Base de données'!A$4:L$990,MATCH(' TVA M'!A937,'Base de données'!A$4:A$990,0),2),"")</f>
        <v/>
      </c>
      <c r="C937" s="87" t="str">
        <f>IF(A937&lt;&gt;"",INDEX('Base de données'!A$4:L$990,MATCH(' TVA M'!A937,'Base de données'!A$4:A$990,0),12),"")</f>
        <v/>
      </c>
    </row>
    <row r="938" spans="2:3" x14ac:dyDescent="0.25">
      <c r="B938" s="87" t="str">
        <f>IF(A938&lt;&gt;"",INDEX('Base de données'!A$4:L$990,MATCH(' TVA M'!A938,'Base de données'!A$4:A$990,0),2),"")</f>
        <v/>
      </c>
      <c r="C938" s="87" t="str">
        <f>IF(A938&lt;&gt;"",INDEX('Base de données'!A$4:L$990,MATCH(' TVA M'!A938,'Base de données'!A$4:A$990,0),12),"")</f>
        <v/>
      </c>
    </row>
    <row r="939" spans="2:3" x14ac:dyDescent="0.25">
      <c r="B939" s="87" t="str">
        <f>IF(A939&lt;&gt;"",INDEX('Base de données'!A$4:L$990,MATCH(' TVA M'!A939,'Base de données'!A$4:A$990,0),2),"")</f>
        <v/>
      </c>
      <c r="C939" s="87" t="str">
        <f>IF(A939&lt;&gt;"",INDEX('Base de données'!A$4:L$990,MATCH(' TVA M'!A939,'Base de données'!A$4:A$990,0),12),"")</f>
        <v/>
      </c>
    </row>
    <row r="940" spans="2:3" x14ac:dyDescent="0.25">
      <c r="B940" s="87" t="str">
        <f>IF(A940&lt;&gt;"",INDEX('Base de données'!A$4:L$990,MATCH(' TVA M'!A940,'Base de données'!A$4:A$990,0),2),"")</f>
        <v/>
      </c>
      <c r="C940" s="87" t="str">
        <f>IF(A940&lt;&gt;"",INDEX('Base de données'!A$4:L$990,MATCH(' TVA M'!A940,'Base de données'!A$4:A$990,0),12),"")</f>
        <v/>
      </c>
    </row>
    <row r="941" spans="2:3" x14ac:dyDescent="0.25">
      <c r="B941" s="87" t="str">
        <f>IF(A941&lt;&gt;"",INDEX('Base de données'!A$4:L$990,MATCH(' TVA M'!A941,'Base de données'!A$4:A$990,0),2),"")</f>
        <v/>
      </c>
      <c r="C941" s="87" t="str">
        <f>IF(A941&lt;&gt;"",INDEX('Base de données'!A$4:L$990,MATCH(' TVA M'!A941,'Base de données'!A$4:A$990,0),12),"")</f>
        <v/>
      </c>
    </row>
    <row r="942" spans="2:3" x14ac:dyDescent="0.25">
      <c r="B942" s="87" t="str">
        <f>IF(A942&lt;&gt;"",INDEX('Base de données'!A$4:L$990,MATCH(' TVA M'!A942,'Base de données'!A$4:A$990,0),2),"")</f>
        <v/>
      </c>
      <c r="C942" s="87" t="str">
        <f>IF(A942&lt;&gt;"",INDEX('Base de données'!A$4:L$990,MATCH(' TVA M'!A942,'Base de données'!A$4:A$990,0),12),"")</f>
        <v/>
      </c>
    </row>
    <row r="943" spans="2:3" x14ac:dyDescent="0.25">
      <c r="B943" s="87" t="str">
        <f>IF(A943&lt;&gt;"",INDEX('Base de données'!A$4:L$990,MATCH(' TVA M'!A943,'Base de données'!A$4:A$990,0),2),"")</f>
        <v/>
      </c>
      <c r="C943" s="87" t="str">
        <f>IF(A943&lt;&gt;"",INDEX('Base de données'!A$4:L$990,MATCH(' TVA M'!A943,'Base de données'!A$4:A$990,0),12),"")</f>
        <v/>
      </c>
    </row>
    <row r="944" spans="2:3" x14ac:dyDescent="0.25">
      <c r="B944" s="87" t="str">
        <f>IF(A944&lt;&gt;"",INDEX('Base de données'!A$4:L$990,MATCH(' TVA M'!A944,'Base de données'!A$4:A$990,0),2),"")</f>
        <v/>
      </c>
      <c r="C944" s="87" t="str">
        <f>IF(A944&lt;&gt;"",INDEX('Base de données'!A$4:L$990,MATCH(' TVA M'!A944,'Base de données'!A$4:A$990,0),12),"")</f>
        <v/>
      </c>
    </row>
    <row r="945" spans="2:3" x14ac:dyDescent="0.25">
      <c r="B945" s="87" t="str">
        <f>IF(A945&lt;&gt;"",INDEX('Base de données'!A$4:L$990,MATCH(' TVA M'!A945,'Base de données'!A$4:A$990,0),2),"")</f>
        <v/>
      </c>
      <c r="C945" s="87" t="str">
        <f>IF(A945&lt;&gt;"",INDEX('Base de données'!A$4:L$990,MATCH(' TVA M'!A945,'Base de données'!A$4:A$990,0),12),"")</f>
        <v/>
      </c>
    </row>
    <row r="946" spans="2:3" x14ac:dyDescent="0.25">
      <c r="B946" s="87" t="str">
        <f>IF(A946&lt;&gt;"",INDEX('Base de données'!A$4:L$990,MATCH(' TVA M'!A946,'Base de données'!A$4:A$990,0),2),"")</f>
        <v/>
      </c>
      <c r="C946" s="87" t="str">
        <f>IF(A946&lt;&gt;"",INDEX('Base de données'!A$4:L$990,MATCH(' TVA M'!A946,'Base de données'!A$4:A$990,0),12),"")</f>
        <v/>
      </c>
    </row>
    <row r="947" spans="2:3" x14ac:dyDescent="0.25">
      <c r="B947" s="87" t="str">
        <f>IF(A947&lt;&gt;"",INDEX('Base de données'!A$4:L$990,MATCH(' TVA M'!A947,'Base de données'!A$4:A$990,0),2),"")</f>
        <v/>
      </c>
      <c r="C947" s="87" t="str">
        <f>IF(A947&lt;&gt;"",INDEX('Base de données'!A$4:L$990,MATCH(' TVA M'!A947,'Base de données'!A$4:A$990,0),12),"")</f>
        <v/>
      </c>
    </row>
    <row r="948" spans="2:3" x14ac:dyDescent="0.25">
      <c r="B948" s="87" t="str">
        <f>IF(A948&lt;&gt;"",INDEX('Base de données'!A$4:L$990,MATCH(' TVA M'!A948,'Base de données'!A$4:A$990,0),2),"")</f>
        <v/>
      </c>
      <c r="C948" s="87" t="str">
        <f>IF(A948&lt;&gt;"",INDEX('Base de données'!A$4:L$990,MATCH(' TVA M'!A948,'Base de données'!A$4:A$990,0),12),"")</f>
        <v/>
      </c>
    </row>
    <row r="949" spans="2:3" x14ac:dyDescent="0.25">
      <c r="B949" s="87" t="str">
        <f>IF(A949&lt;&gt;"",INDEX('Base de données'!A$4:L$990,MATCH(' TVA M'!A949,'Base de données'!A$4:A$990,0),2),"")</f>
        <v/>
      </c>
      <c r="C949" s="87" t="str">
        <f>IF(A949&lt;&gt;"",INDEX('Base de données'!A$4:L$990,MATCH(' TVA M'!A949,'Base de données'!A$4:A$990,0),12),"")</f>
        <v/>
      </c>
    </row>
    <row r="950" spans="2:3" x14ac:dyDescent="0.25">
      <c r="B950" s="87" t="str">
        <f>IF(A950&lt;&gt;"",INDEX('Base de données'!A$4:L$990,MATCH(' TVA M'!A950,'Base de données'!A$4:A$990,0),2),"")</f>
        <v/>
      </c>
      <c r="C950" s="87" t="str">
        <f>IF(A950&lt;&gt;"",INDEX('Base de données'!A$4:L$990,MATCH(' TVA M'!A950,'Base de données'!A$4:A$990,0),12),"")</f>
        <v/>
      </c>
    </row>
    <row r="951" spans="2:3" x14ac:dyDescent="0.25">
      <c r="B951" s="87" t="str">
        <f>IF(A951&lt;&gt;"",INDEX('Base de données'!A$4:L$990,MATCH(' TVA M'!A951,'Base de données'!A$4:A$990,0),2),"")</f>
        <v/>
      </c>
      <c r="C951" s="87" t="str">
        <f>IF(A951&lt;&gt;"",INDEX('Base de données'!A$4:L$990,MATCH(' TVA M'!A951,'Base de données'!A$4:A$990,0),12),"")</f>
        <v/>
      </c>
    </row>
    <row r="952" spans="2:3" x14ac:dyDescent="0.25">
      <c r="B952" s="87" t="str">
        <f>IF(A952&lt;&gt;"",INDEX('Base de données'!A$4:L$990,MATCH(' TVA M'!A952,'Base de données'!A$4:A$990,0),2),"")</f>
        <v/>
      </c>
      <c r="C952" s="87" t="str">
        <f>IF(A952&lt;&gt;"",INDEX('Base de données'!A$4:L$990,MATCH(' TVA M'!A952,'Base de données'!A$4:A$990,0),12),"")</f>
        <v/>
      </c>
    </row>
    <row r="953" spans="2:3" x14ac:dyDescent="0.25">
      <c r="B953" s="87" t="str">
        <f>IF(A953&lt;&gt;"",INDEX('Base de données'!A$4:L$990,MATCH(' TVA M'!A953,'Base de données'!A$4:A$990,0),2),"")</f>
        <v/>
      </c>
      <c r="C953" s="87" t="str">
        <f>IF(A953&lt;&gt;"",INDEX('Base de données'!A$4:L$990,MATCH(' TVA M'!A953,'Base de données'!A$4:A$990,0),12),"")</f>
        <v/>
      </c>
    </row>
    <row r="954" spans="2:3" x14ac:dyDescent="0.25">
      <c r="B954" s="87" t="str">
        <f>IF(A954&lt;&gt;"",INDEX('Base de données'!A$4:L$990,MATCH(' TVA M'!A954,'Base de données'!A$4:A$990,0),2),"")</f>
        <v/>
      </c>
      <c r="C954" s="87" t="str">
        <f>IF(A954&lt;&gt;"",INDEX('Base de données'!A$4:L$990,MATCH(' TVA M'!A954,'Base de données'!A$4:A$990,0),12),"")</f>
        <v/>
      </c>
    </row>
    <row r="955" spans="2:3" x14ac:dyDescent="0.25">
      <c r="B955" s="87" t="str">
        <f>IF(A955&lt;&gt;"",INDEX('Base de données'!A$4:L$990,MATCH(' TVA M'!A955,'Base de données'!A$4:A$990,0),2),"")</f>
        <v/>
      </c>
      <c r="C955" s="87" t="str">
        <f>IF(A955&lt;&gt;"",INDEX('Base de données'!A$4:L$990,MATCH(' TVA M'!A955,'Base de données'!A$4:A$990,0),12),"")</f>
        <v/>
      </c>
    </row>
    <row r="956" spans="2:3" x14ac:dyDescent="0.25">
      <c r="B956" s="87" t="str">
        <f>IF(A956&lt;&gt;"",INDEX('Base de données'!A$4:L$990,MATCH(' TVA M'!A956,'Base de données'!A$4:A$990,0),2),"")</f>
        <v/>
      </c>
      <c r="C956" s="87" t="str">
        <f>IF(A956&lt;&gt;"",INDEX('Base de données'!A$4:L$990,MATCH(' TVA M'!A956,'Base de données'!A$4:A$990,0),12),"")</f>
        <v/>
      </c>
    </row>
    <row r="957" spans="2:3" x14ac:dyDescent="0.25">
      <c r="B957" s="87" t="str">
        <f>IF(A957&lt;&gt;"",INDEX('Base de données'!A$4:L$990,MATCH(' TVA M'!A957,'Base de données'!A$4:A$990,0),2),"")</f>
        <v/>
      </c>
      <c r="C957" s="87" t="str">
        <f>IF(A957&lt;&gt;"",INDEX('Base de données'!A$4:L$990,MATCH(' TVA M'!A957,'Base de données'!A$4:A$990,0),12),"")</f>
        <v/>
      </c>
    </row>
    <row r="958" spans="2:3" x14ac:dyDescent="0.25">
      <c r="B958" s="87" t="str">
        <f>IF(A958&lt;&gt;"",INDEX('Base de données'!A$4:L$990,MATCH(' TVA M'!A958,'Base de données'!A$4:A$990,0),2),"")</f>
        <v/>
      </c>
      <c r="C958" s="87" t="str">
        <f>IF(A958&lt;&gt;"",INDEX('Base de données'!A$4:L$990,MATCH(' TVA M'!A958,'Base de données'!A$4:A$990,0),12),"")</f>
        <v/>
      </c>
    </row>
    <row r="959" spans="2:3" x14ac:dyDescent="0.25">
      <c r="B959" s="87" t="str">
        <f>IF(A959&lt;&gt;"",INDEX('Base de données'!A$4:L$990,MATCH(' TVA M'!A959,'Base de données'!A$4:A$990,0),2),"")</f>
        <v/>
      </c>
      <c r="C959" s="87" t="str">
        <f>IF(A959&lt;&gt;"",INDEX('Base de données'!A$4:L$990,MATCH(' TVA M'!A959,'Base de données'!A$4:A$990,0),12),"")</f>
        <v/>
      </c>
    </row>
    <row r="960" spans="2:3" x14ac:dyDescent="0.25">
      <c r="B960" s="87" t="str">
        <f>IF(A960&lt;&gt;"",INDEX('Base de données'!A$4:L$990,MATCH(' TVA M'!A960,'Base de données'!A$4:A$990,0),2),"")</f>
        <v/>
      </c>
      <c r="C960" s="87" t="str">
        <f>IF(A960&lt;&gt;"",INDEX('Base de données'!A$4:L$990,MATCH(' TVA M'!A960,'Base de données'!A$4:A$990,0),12),"")</f>
        <v/>
      </c>
    </row>
    <row r="961" spans="2:3" x14ac:dyDescent="0.25">
      <c r="B961" s="87" t="str">
        <f>IF(A961&lt;&gt;"",INDEX('Base de données'!A$4:L$990,MATCH(' TVA M'!A961,'Base de données'!A$4:A$990,0),2),"")</f>
        <v/>
      </c>
      <c r="C961" s="87" t="str">
        <f>IF(A961&lt;&gt;"",INDEX('Base de données'!A$4:L$990,MATCH(' TVA M'!A961,'Base de données'!A$4:A$990,0),12),"")</f>
        <v/>
      </c>
    </row>
    <row r="962" spans="2:3" x14ac:dyDescent="0.25">
      <c r="B962" s="87" t="str">
        <f>IF(A962&lt;&gt;"",INDEX('Base de données'!A$4:L$990,MATCH(' TVA M'!A962,'Base de données'!A$4:A$990,0),2),"")</f>
        <v/>
      </c>
      <c r="C962" s="87" t="str">
        <f>IF(A962&lt;&gt;"",INDEX('Base de données'!A$4:L$990,MATCH(' TVA M'!A962,'Base de données'!A$4:A$990,0),12),"")</f>
        <v/>
      </c>
    </row>
    <row r="963" spans="2:3" x14ac:dyDescent="0.25">
      <c r="B963" s="87" t="str">
        <f>IF(A963&lt;&gt;"",INDEX('Base de données'!A$4:L$990,MATCH(' TVA M'!A963,'Base de données'!A$4:A$990,0),2),"")</f>
        <v/>
      </c>
      <c r="C963" s="87" t="str">
        <f>IF(A963&lt;&gt;"",INDEX('Base de données'!A$4:L$990,MATCH(' TVA M'!A963,'Base de données'!A$4:A$990,0),12),"")</f>
        <v/>
      </c>
    </row>
    <row r="964" spans="2:3" x14ac:dyDescent="0.25">
      <c r="B964" s="87" t="str">
        <f>IF(A964&lt;&gt;"",INDEX('Base de données'!A$4:L$990,MATCH(' TVA M'!A964,'Base de données'!A$4:A$990,0),2),"")</f>
        <v/>
      </c>
      <c r="C964" s="87" t="str">
        <f>IF(A964&lt;&gt;"",INDEX('Base de données'!A$4:L$990,MATCH(' TVA M'!A964,'Base de données'!A$4:A$990,0),12),"")</f>
        <v/>
      </c>
    </row>
    <row r="965" spans="2:3" x14ac:dyDescent="0.25">
      <c r="B965" s="87" t="str">
        <f>IF(A965&lt;&gt;"",INDEX('Base de données'!A$4:L$990,MATCH(' TVA M'!A965,'Base de données'!A$4:A$990,0),2),"")</f>
        <v/>
      </c>
      <c r="C965" s="87" t="str">
        <f>IF(A965&lt;&gt;"",INDEX('Base de données'!A$4:L$990,MATCH(' TVA M'!A965,'Base de données'!A$4:A$990,0),12),"")</f>
        <v/>
      </c>
    </row>
    <row r="966" spans="2:3" x14ac:dyDescent="0.25">
      <c r="B966" s="87" t="str">
        <f>IF(A966&lt;&gt;"",INDEX('Base de données'!A$4:L$990,MATCH(' TVA M'!A966,'Base de données'!A$4:A$990,0),2),"")</f>
        <v/>
      </c>
      <c r="C966" s="87" t="str">
        <f>IF(A966&lt;&gt;"",INDEX('Base de données'!A$4:L$990,MATCH(' TVA M'!A966,'Base de données'!A$4:A$990,0),12),"")</f>
        <v/>
      </c>
    </row>
    <row r="967" spans="2:3" x14ac:dyDescent="0.25">
      <c r="B967" s="87" t="str">
        <f>IF(A967&lt;&gt;"",INDEX('Base de données'!A$4:L$990,MATCH(' TVA M'!A967,'Base de données'!A$4:A$990,0),2),"")</f>
        <v/>
      </c>
      <c r="C967" s="87" t="str">
        <f>IF(A967&lt;&gt;"",INDEX('Base de données'!A$4:L$990,MATCH(' TVA M'!A967,'Base de données'!A$4:A$990,0),12),"")</f>
        <v/>
      </c>
    </row>
    <row r="968" spans="2:3" x14ac:dyDescent="0.25">
      <c r="B968" s="87" t="str">
        <f>IF(A968&lt;&gt;"",INDEX('Base de données'!A$4:L$990,MATCH(' TVA M'!A968,'Base de données'!A$4:A$990,0),2),"")</f>
        <v/>
      </c>
      <c r="C968" s="87" t="str">
        <f>IF(A968&lt;&gt;"",INDEX('Base de données'!A$4:L$990,MATCH(' TVA M'!A968,'Base de données'!A$4:A$990,0),12),"")</f>
        <v/>
      </c>
    </row>
    <row r="969" spans="2:3" x14ac:dyDescent="0.25">
      <c r="B969" s="87" t="str">
        <f>IF(A969&lt;&gt;"",INDEX('Base de données'!A$4:L$990,MATCH(' TVA M'!A969,'Base de données'!A$4:A$990,0),2),"")</f>
        <v/>
      </c>
      <c r="C969" s="87" t="str">
        <f>IF(A969&lt;&gt;"",INDEX('Base de données'!A$4:L$990,MATCH(' TVA M'!A969,'Base de données'!A$4:A$990,0),12),"")</f>
        <v/>
      </c>
    </row>
    <row r="970" spans="2:3" x14ac:dyDescent="0.25">
      <c r="B970" s="87" t="str">
        <f>IF(A970&lt;&gt;"",INDEX('Base de données'!A$4:L$990,MATCH(' TVA M'!A970,'Base de données'!A$4:A$990,0),2),"")</f>
        <v/>
      </c>
      <c r="C970" s="87" t="str">
        <f>IF(A970&lt;&gt;"",INDEX('Base de données'!A$4:L$990,MATCH(' TVA M'!A970,'Base de données'!A$4:A$990,0),12),"")</f>
        <v/>
      </c>
    </row>
    <row r="971" spans="2:3" x14ac:dyDescent="0.25">
      <c r="B971" s="87" t="str">
        <f>IF(A971&lt;&gt;"",INDEX('Base de données'!A$4:L$990,MATCH(' TVA M'!A971,'Base de données'!A$4:A$990,0),2),"")</f>
        <v/>
      </c>
      <c r="C971" s="87" t="str">
        <f>IF(A971&lt;&gt;"",INDEX('Base de données'!A$4:L$990,MATCH(' TVA M'!A971,'Base de données'!A$4:A$990,0),12),"")</f>
        <v/>
      </c>
    </row>
    <row r="972" spans="2:3" x14ac:dyDescent="0.25">
      <c r="B972" s="87" t="str">
        <f>IF(A972&lt;&gt;"",INDEX('Base de données'!A$4:L$990,MATCH(' TVA M'!A972,'Base de données'!A$4:A$990,0),2),"")</f>
        <v/>
      </c>
      <c r="C972" s="87" t="str">
        <f>IF(A972&lt;&gt;"",INDEX('Base de données'!A$4:L$990,MATCH(' TVA M'!A972,'Base de données'!A$4:A$990,0),12),"")</f>
        <v/>
      </c>
    </row>
    <row r="973" spans="2:3" x14ac:dyDescent="0.25">
      <c r="B973" s="87" t="str">
        <f>IF(A973&lt;&gt;"",INDEX('Base de données'!A$4:L$990,MATCH(' TVA M'!A973,'Base de données'!A$4:A$990,0),2),"")</f>
        <v/>
      </c>
      <c r="C973" s="87" t="str">
        <f>IF(A973&lt;&gt;"",INDEX('Base de données'!A$4:L$990,MATCH(' TVA M'!A973,'Base de données'!A$4:A$990,0),12),"")</f>
        <v/>
      </c>
    </row>
    <row r="974" spans="2:3" x14ac:dyDescent="0.25">
      <c r="B974" s="87" t="str">
        <f>IF(A974&lt;&gt;"",INDEX('Base de données'!A$4:L$990,MATCH(' TVA M'!A974,'Base de données'!A$4:A$990,0),2),"")</f>
        <v/>
      </c>
      <c r="C974" s="87" t="str">
        <f>IF(A974&lt;&gt;"",INDEX('Base de données'!A$4:L$990,MATCH(' TVA M'!A974,'Base de données'!A$4:A$990,0),12),"")</f>
        <v/>
      </c>
    </row>
    <row r="975" spans="2:3" x14ac:dyDescent="0.25">
      <c r="B975" s="87" t="str">
        <f>IF(A975&lt;&gt;"",INDEX('Base de données'!A$4:L$990,MATCH(' TVA M'!A975,'Base de données'!A$4:A$990,0),2),"")</f>
        <v/>
      </c>
      <c r="C975" s="87" t="str">
        <f>IF(A975&lt;&gt;"",INDEX('Base de données'!A$4:L$990,MATCH(' TVA M'!A975,'Base de données'!A$4:A$990,0),12),"")</f>
        <v/>
      </c>
    </row>
    <row r="976" spans="2:3" x14ac:dyDescent="0.25">
      <c r="B976" s="87" t="str">
        <f>IF(A976&lt;&gt;"",INDEX('Base de données'!A$4:L$990,MATCH(' TVA M'!A976,'Base de données'!A$4:A$990,0),2),"")</f>
        <v/>
      </c>
      <c r="C976" s="87" t="str">
        <f>IF(A976&lt;&gt;"",INDEX('Base de données'!A$4:L$990,MATCH(' TVA M'!A976,'Base de données'!A$4:A$990,0),12),"")</f>
        <v/>
      </c>
    </row>
    <row r="977" spans="2:3" x14ac:dyDescent="0.25">
      <c r="B977" s="87" t="str">
        <f>IF(A977&lt;&gt;"",INDEX('Base de données'!A$4:L$990,MATCH(' TVA M'!A977,'Base de données'!A$4:A$990,0),2),"")</f>
        <v/>
      </c>
      <c r="C977" s="87" t="str">
        <f>IF(A977&lt;&gt;"",INDEX('Base de données'!A$4:L$990,MATCH(' TVA M'!A977,'Base de données'!A$4:A$990,0),12),"")</f>
        <v/>
      </c>
    </row>
    <row r="978" spans="2:3" x14ac:dyDescent="0.25">
      <c r="B978" s="87" t="str">
        <f>IF(A978&lt;&gt;"",INDEX('Base de données'!A$4:L$990,MATCH(' TVA M'!A978,'Base de données'!A$4:A$990,0),2),"")</f>
        <v/>
      </c>
      <c r="C978" s="87" t="str">
        <f>IF(A978&lt;&gt;"",INDEX('Base de données'!A$4:L$990,MATCH(' TVA M'!A978,'Base de données'!A$4:A$990,0),12),"")</f>
        <v/>
      </c>
    </row>
    <row r="979" spans="2:3" x14ac:dyDescent="0.25">
      <c r="B979" s="87" t="str">
        <f>IF(A979&lt;&gt;"",INDEX('Base de données'!A$4:L$990,MATCH(' TVA M'!A979,'Base de données'!A$4:A$990,0),2),"")</f>
        <v/>
      </c>
      <c r="C979" s="87" t="str">
        <f>IF(A979&lt;&gt;"",INDEX('Base de données'!A$4:L$990,MATCH(' TVA M'!A979,'Base de données'!A$4:A$990,0),12),"")</f>
        <v/>
      </c>
    </row>
    <row r="980" spans="2:3" x14ac:dyDescent="0.25">
      <c r="B980" s="87" t="str">
        <f>IF(A980&lt;&gt;"",INDEX('Base de données'!A$4:L$990,MATCH(' TVA M'!A980,'Base de données'!A$4:A$990,0),2),"")</f>
        <v/>
      </c>
      <c r="C980" s="87" t="str">
        <f>IF(A980&lt;&gt;"",INDEX('Base de données'!A$4:L$990,MATCH(' TVA M'!A980,'Base de données'!A$4:A$990,0),12),"")</f>
        <v/>
      </c>
    </row>
    <row r="981" spans="2:3" x14ac:dyDescent="0.25">
      <c r="B981" s="87" t="str">
        <f>IF(A981&lt;&gt;"",INDEX('Base de données'!A$4:L$990,MATCH(' TVA M'!A981,'Base de données'!A$4:A$990,0),2),"")</f>
        <v/>
      </c>
      <c r="C981" s="87" t="str">
        <f>IF(A981&lt;&gt;"",INDEX('Base de données'!A$4:L$990,MATCH(' TVA M'!A981,'Base de données'!A$4:A$990,0),12),"")</f>
        <v/>
      </c>
    </row>
    <row r="982" spans="2:3" x14ac:dyDescent="0.25">
      <c r="B982" s="87" t="str">
        <f>IF(A982&lt;&gt;"",INDEX('Base de données'!A$4:L$990,MATCH(' TVA M'!A982,'Base de données'!A$4:A$990,0),2),"")</f>
        <v/>
      </c>
      <c r="C982" s="87" t="str">
        <f>IF(A982&lt;&gt;"",INDEX('Base de données'!A$4:L$990,MATCH(' TVA M'!A982,'Base de données'!A$4:A$990,0),12),"")</f>
        <v/>
      </c>
    </row>
    <row r="983" spans="2:3" x14ac:dyDescent="0.25">
      <c r="B983" s="87" t="str">
        <f>IF(A983&lt;&gt;"",INDEX('Base de données'!A$4:L$990,MATCH(' TVA M'!A983,'Base de données'!A$4:A$990,0),2),"")</f>
        <v/>
      </c>
      <c r="C983" s="87" t="str">
        <f>IF(A983&lt;&gt;"",INDEX('Base de données'!A$4:L$990,MATCH(' TVA M'!A983,'Base de données'!A$4:A$990,0),12),"")</f>
        <v/>
      </c>
    </row>
    <row r="984" spans="2:3" x14ac:dyDescent="0.25">
      <c r="B984" s="87" t="str">
        <f>IF(A984&lt;&gt;"",INDEX('Base de données'!A$4:L$990,MATCH(' TVA M'!A984,'Base de données'!A$4:A$990,0),2),"")</f>
        <v/>
      </c>
      <c r="C984" s="87" t="str">
        <f>IF(A984&lt;&gt;"",INDEX('Base de données'!A$4:L$990,MATCH(' TVA M'!A984,'Base de données'!A$4:A$990,0),12),"")</f>
        <v/>
      </c>
    </row>
    <row r="985" spans="2:3" x14ac:dyDescent="0.25">
      <c r="B985" s="87" t="str">
        <f>IF(A985&lt;&gt;"",INDEX('Base de données'!A$4:L$990,MATCH(' TVA M'!A985,'Base de données'!A$4:A$990,0),2),"")</f>
        <v/>
      </c>
      <c r="C985" s="87" t="str">
        <f>IF(A985&lt;&gt;"",INDEX('Base de données'!A$4:L$990,MATCH(' TVA M'!A985,'Base de données'!A$4:A$990,0),12),"")</f>
        <v/>
      </c>
    </row>
    <row r="986" spans="2:3" x14ac:dyDescent="0.25">
      <c r="B986" s="87" t="str">
        <f>IF(A986&lt;&gt;"",INDEX('Base de données'!A$4:L$990,MATCH(' TVA M'!A986,'Base de données'!A$4:A$990,0),2),"")</f>
        <v/>
      </c>
      <c r="C986" s="87" t="str">
        <f>IF(A986&lt;&gt;"",INDEX('Base de données'!A$4:L$990,MATCH(' TVA M'!A986,'Base de données'!A$4:A$990,0),12),"")</f>
        <v/>
      </c>
    </row>
    <row r="987" spans="2:3" x14ac:dyDescent="0.25">
      <c r="B987" s="87" t="str">
        <f>IF(A987&lt;&gt;"",INDEX('Base de données'!A$4:L$990,MATCH(' TVA M'!A987,'Base de données'!A$4:A$990,0),2),"")</f>
        <v/>
      </c>
      <c r="C987" s="87" t="str">
        <f>IF(A987&lt;&gt;"",INDEX('Base de données'!A$4:L$990,MATCH(' TVA M'!A987,'Base de données'!A$4:A$990,0),12),"")</f>
        <v/>
      </c>
    </row>
    <row r="988" spans="2:3" x14ac:dyDescent="0.25">
      <c r="B988" s="87" t="str">
        <f>IF(A988&lt;&gt;"",INDEX('Base de données'!A$4:L$990,MATCH(' TVA M'!A988,'Base de données'!A$4:A$990,0),2),"")</f>
        <v/>
      </c>
      <c r="C988" s="87" t="str">
        <f>IF(A988&lt;&gt;"",INDEX('Base de données'!A$4:L$990,MATCH(' TVA M'!A988,'Base de données'!A$4:A$990,0),12),"")</f>
        <v/>
      </c>
    </row>
    <row r="989" spans="2:3" x14ac:dyDescent="0.25">
      <c r="B989" s="87" t="str">
        <f>IF(A989&lt;&gt;"",INDEX('Base de données'!A$4:L$990,MATCH(' TVA M'!A989,'Base de données'!A$4:A$990,0),2),"")</f>
        <v/>
      </c>
      <c r="C989" s="87" t="str">
        <f>IF(A989&lt;&gt;"",INDEX('Base de données'!A$4:L$990,MATCH(' TVA M'!A989,'Base de données'!A$4:A$990,0),12),"")</f>
        <v/>
      </c>
    </row>
    <row r="990" spans="2:3" x14ac:dyDescent="0.25">
      <c r="B990" s="87" t="str">
        <f>IF(A990&lt;&gt;"",INDEX('Base de données'!A$4:L$990,MATCH(' TVA M'!A990,'Base de données'!A$4:A$990,0),2),"")</f>
        <v/>
      </c>
      <c r="C990" s="87" t="str">
        <f>IF(A990&lt;&gt;"",INDEX('Base de données'!A$4:L$990,MATCH(' TVA M'!A990,'Base de données'!A$4:A$990,0),12),"")</f>
        <v/>
      </c>
    </row>
    <row r="991" spans="2:3" x14ac:dyDescent="0.25">
      <c r="B991" s="87" t="str">
        <f>IF(A991&lt;&gt;"",INDEX('Base de données'!A$4:L$990,MATCH(' TVA M'!A991,'Base de données'!A$4:A$990,0),2),"")</f>
        <v/>
      </c>
      <c r="C991" s="87" t="str">
        <f>IF(A991&lt;&gt;"",INDEX('Base de données'!A$4:L$990,MATCH(' TVA M'!A991,'Base de données'!A$4:A$990,0),12),"")</f>
        <v/>
      </c>
    </row>
    <row r="992" spans="2:3" x14ac:dyDescent="0.25">
      <c r="B992" s="87" t="str">
        <f>IF(A992&lt;&gt;"",INDEX('Base de données'!A$4:L$990,MATCH(' TVA M'!A992,'Base de données'!A$4:A$990,0),2),"")</f>
        <v/>
      </c>
      <c r="C992" s="87" t="str">
        <f>IF(A992&lt;&gt;"",INDEX('Base de données'!A$4:L$990,MATCH(' TVA M'!A992,'Base de données'!A$4:A$990,0),12),"")</f>
        <v/>
      </c>
    </row>
    <row r="993" spans="2:3" x14ac:dyDescent="0.25">
      <c r="B993" s="87" t="str">
        <f>IF(A993&lt;&gt;"",INDEX('Base de données'!A$4:L$990,MATCH(' TVA M'!A993,'Base de données'!A$4:A$990,0),2),"")</f>
        <v/>
      </c>
      <c r="C993" s="87" t="str">
        <f>IF(A993&lt;&gt;"",INDEX('Base de données'!A$4:L$990,MATCH(' TVA M'!A993,'Base de données'!A$4:A$990,0),12),"")</f>
        <v/>
      </c>
    </row>
    <row r="994" spans="2:3" x14ac:dyDescent="0.25">
      <c r="B994" s="87" t="str">
        <f>IF(A994&lt;&gt;"",INDEX('Base de données'!A$4:L$990,MATCH(' TVA M'!A994,'Base de données'!A$4:A$990,0),2),"")</f>
        <v/>
      </c>
      <c r="C994" s="87" t="str">
        <f>IF(A994&lt;&gt;"",INDEX('Base de données'!A$4:L$990,MATCH(' TVA M'!A994,'Base de données'!A$4:A$990,0),12),"")</f>
        <v/>
      </c>
    </row>
    <row r="995" spans="2:3" x14ac:dyDescent="0.25">
      <c r="B995" s="87" t="str">
        <f>IF(A995&lt;&gt;"",INDEX('Base de données'!A$4:L$990,MATCH(' TVA M'!A995,'Base de données'!A$4:A$990,0),2),"")</f>
        <v/>
      </c>
      <c r="C995" s="87" t="str">
        <f>IF(A995&lt;&gt;"",INDEX('Base de données'!A$4:L$990,MATCH(' TVA M'!A995,'Base de données'!A$4:A$990,0),12),"")</f>
        <v/>
      </c>
    </row>
    <row r="996" spans="2:3" x14ac:dyDescent="0.25">
      <c r="B996" s="87" t="str">
        <f>IF(A996&lt;&gt;"",INDEX('Base de données'!A$4:L$990,MATCH(' TVA M'!A996,'Base de données'!A$4:A$990,0),2),"")</f>
        <v/>
      </c>
      <c r="C996" s="87" t="str">
        <f>IF(A996&lt;&gt;"",INDEX('Base de données'!A$4:L$990,MATCH(' TVA M'!A996,'Base de données'!A$4:A$990,0),12),"")</f>
        <v/>
      </c>
    </row>
    <row r="997" spans="2:3" x14ac:dyDescent="0.25">
      <c r="B997" s="87" t="str">
        <f>IF(A997&lt;&gt;"",INDEX('Base de données'!A$4:L$990,MATCH(' TVA M'!A997,'Base de données'!A$4:A$990,0),2),"")</f>
        <v/>
      </c>
      <c r="C997" s="87" t="str">
        <f>IF(A997&lt;&gt;"",INDEX('Base de données'!A$4:L$990,MATCH(' TVA M'!A997,'Base de données'!A$4:A$990,0),12),"")</f>
        <v/>
      </c>
    </row>
    <row r="998" spans="2:3" x14ac:dyDescent="0.25">
      <c r="B998" s="87" t="str">
        <f>IF(A998&lt;&gt;"",INDEX('Base de données'!A$4:L$990,MATCH(' TVA M'!A998,'Base de données'!A$4:A$990,0),2),"")</f>
        <v/>
      </c>
      <c r="C998" s="87" t="str">
        <f>IF(A998&lt;&gt;"",INDEX('Base de données'!A$4:L$990,MATCH(' TVA M'!A998,'Base de données'!A$4:A$990,0),12),"")</f>
        <v/>
      </c>
    </row>
    <row r="999" spans="2:3" x14ac:dyDescent="0.25">
      <c r="B999" s="87" t="str">
        <f>IF(A999&lt;&gt;"",INDEX('Base de données'!A$4:L$990,MATCH(' TVA M'!A999,'Base de données'!A$4:A$990,0),2),"")</f>
        <v/>
      </c>
      <c r="C999" s="87" t="str">
        <f>IF(A999&lt;&gt;"",INDEX('Base de données'!A$4:L$990,MATCH(' TVA M'!A999,'Base de données'!A$4:A$990,0),12),"")</f>
        <v/>
      </c>
    </row>
    <row r="1000" spans="2:3" x14ac:dyDescent="0.25">
      <c r="B1000" s="87" t="str">
        <f>IF(A1000&lt;&gt;"",INDEX('Base de données'!A$4:L$990,MATCH(' TVA M'!A1000,'Base de données'!A$4:A$990,0),2),"")</f>
        <v/>
      </c>
      <c r="C1000" s="87" t="str">
        <f>IF(A1000&lt;&gt;"",INDEX('Base de données'!A$4:L$990,MATCH(' TVA M'!A1000,'Base de données'!A$4:A$990,0),12),"")</f>
        <v/>
      </c>
    </row>
    <row r="1001" spans="2:3" x14ac:dyDescent="0.25">
      <c r="B1001" s="87" t="str">
        <f>IF(A1001&lt;&gt;"",INDEX('Base de données'!A$4:L$990,MATCH(' TVA M'!A1001,'Base de données'!A$4:A$990,0),2),"")</f>
        <v/>
      </c>
      <c r="C1001" s="87" t="str">
        <f>IF(A1001&lt;&gt;"",INDEX('Base de données'!A$4:L$990,MATCH(' TVA M'!A1001,'Base de données'!A$4:A$990,0),12),"")</f>
        <v/>
      </c>
    </row>
    <row r="1002" spans="2:3" x14ac:dyDescent="0.25">
      <c r="B1002" s="87" t="str">
        <f>IF(A1002&lt;&gt;"",INDEX('Base de données'!A$4:L$990,MATCH(' TVA M'!A1002,'Base de données'!A$4:A$990,0),2),"")</f>
        <v/>
      </c>
      <c r="C1002" s="87" t="str">
        <f>IF(A1002&lt;&gt;"",INDEX('Base de données'!A$4:L$990,MATCH(' TVA M'!A1002,'Base de données'!A$4:A$990,0),12),"")</f>
        <v/>
      </c>
    </row>
    <row r="1003" spans="2:3" x14ac:dyDescent="0.25">
      <c r="B1003" s="87" t="str">
        <f>IF(A1003&lt;&gt;"",INDEX('Base de données'!A$4:L$990,MATCH(' TVA M'!A1003,'Base de données'!A$4:A$990,0),2),"")</f>
        <v/>
      </c>
      <c r="C1003" s="87" t="str">
        <f>IF(A1003&lt;&gt;"",INDEX('Base de données'!A$4:L$990,MATCH(' TVA M'!A1003,'Base de données'!A$4:A$990,0),12),"")</f>
        <v/>
      </c>
    </row>
    <row r="1004" spans="2:3" x14ac:dyDescent="0.25">
      <c r="B1004" s="87" t="str">
        <f>IF(A1004&lt;&gt;"",INDEX('Base de données'!A$4:L$990,MATCH(' TVA M'!A1004,'Base de données'!A$4:A$990,0),2),"")</f>
        <v/>
      </c>
      <c r="C1004" s="87" t="str">
        <f>IF(A1004&lt;&gt;"",INDEX('Base de données'!A$4:L$990,MATCH(' TVA M'!A1004,'Base de données'!A$4:A$990,0),12),"")</f>
        <v/>
      </c>
    </row>
    <row r="1005" spans="2:3" x14ac:dyDescent="0.25">
      <c r="B1005" s="87" t="str">
        <f>IF(A1005&lt;&gt;"",INDEX('Base de données'!A$4:L$990,MATCH(' TVA M'!A1005,'Base de données'!A$4:A$990,0),2),"")</f>
        <v/>
      </c>
      <c r="C1005" s="87" t="str">
        <f>IF(A1005&lt;&gt;"",INDEX('Base de données'!A$4:L$990,MATCH(' TVA M'!A1005,'Base de données'!A$4:A$990,0),12),"")</f>
        <v/>
      </c>
    </row>
    <row r="1006" spans="2:3" x14ac:dyDescent="0.25">
      <c r="B1006" s="87" t="str">
        <f>IF(A1006&lt;&gt;"",INDEX('Base de données'!A$4:L$990,MATCH(' TVA M'!A1006,'Base de données'!A$4:A$990,0),2),"")</f>
        <v/>
      </c>
      <c r="C1006" s="87" t="str">
        <f>IF(A1006&lt;&gt;"",INDEX('Base de données'!A$4:L$990,MATCH(' TVA M'!A1006,'Base de données'!A$4:A$990,0),12),"")</f>
        <v/>
      </c>
    </row>
    <row r="1007" spans="2:3" x14ac:dyDescent="0.25">
      <c r="B1007" s="87" t="str">
        <f>IF(A1007&lt;&gt;"",INDEX('Base de données'!A$4:L$990,MATCH(' TVA M'!A1007,'Base de données'!A$4:A$990,0),2),"")</f>
        <v/>
      </c>
      <c r="C1007" s="87" t="str">
        <f>IF(A1007&lt;&gt;"",INDEX('Base de données'!A$4:L$990,MATCH(' TVA M'!A1007,'Base de données'!A$4:A$990,0),12),"")</f>
        <v/>
      </c>
    </row>
    <row r="1008" spans="2:3" x14ac:dyDescent="0.25">
      <c r="B1008" s="87" t="str">
        <f>IF(A1008&lt;&gt;"",INDEX('Base de données'!A$4:L$990,MATCH(' TVA M'!A1008,'Base de données'!A$4:A$990,0),2),"")</f>
        <v/>
      </c>
      <c r="C1008" s="87" t="str">
        <f>IF(A1008&lt;&gt;"",INDEX('Base de données'!A$4:L$990,MATCH(' TVA M'!A1008,'Base de données'!A$4:A$990,0),12),"")</f>
        <v/>
      </c>
    </row>
    <row r="1009" spans="2:3" x14ac:dyDescent="0.25">
      <c r="B1009" s="87" t="str">
        <f>IF(A1009&lt;&gt;"",INDEX('Base de données'!A$4:L$990,MATCH(' TVA M'!A1009,'Base de données'!A$4:A$990,0),2),"")</f>
        <v/>
      </c>
      <c r="C1009" s="87" t="str">
        <f>IF(A1009&lt;&gt;"",INDEX('Base de données'!A$4:L$990,MATCH(' TVA M'!A1009,'Base de données'!A$4:A$990,0),12),"")</f>
        <v/>
      </c>
    </row>
    <row r="1010" spans="2:3" x14ac:dyDescent="0.25">
      <c r="B1010" s="87" t="str">
        <f>IF(A1010&lt;&gt;"",INDEX('Base de données'!A$4:L$990,MATCH(' TVA M'!A1010,'Base de données'!A$4:A$990,0),2),"")</f>
        <v/>
      </c>
      <c r="C1010" s="87" t="str">
        <f>IF(A1010&lt;&gt;"",INDEX('Base de données'!A$4:L$990,MATCH(' TVA M'!A1010,'Base de données'!A$4:A$990,0),12),"")</f>
        <v/>
      </c>
    </row>
    <row r="1011" spans="2:3" x14ac:dyDescent="0.25">
      <c r="B1011" s="87" t="str">
        <f>IF(A1011&lt;&gt;"",INDEX('Base de données'!A$4:L$990,MATCH(' TVA M'!A1011,'Base de données'!A$4:A$990,0),2),"")</f>
        <v/>
      </c>
      <c r="C1011" s="87" t="str">
        <f>IF(A1011&lt;&gt;"",INDEX('Base de données'!A$4:L$990,MATCH(' TVA M'!A1011,'Base de données'!A$4:A$990,0),12),"")</f>
        <v/>
      </c>
    </row>
    <row r="1012" spans="2:3" x14ac:dyDescent="0.25">
      <c r="B1012" s="87" t="str">
        <f>IF(A1012&lt;&gt;"",INDEX('Base de données'!A$4:L$990,MATCH(' TVA M'!A1012,'Base de données'!A$4:A$990,0),2),"")</f>
        <v/>
      </c>
      <c r="C1012" s="87" t="str">
        <f>IF(A1012&lt;&gt;"",INDEX('Base de données'!A$4:L$990,MATCH(' TVA M'!A1012,'Base de données'!A$4:A$990,0),12),"")</f>
        <v/>
      </c>
    </row>
    <row r="1013" spans="2:3" x14ac:dyDescent="0.25">
      <c r="B1013" s="87" t="str">
        <f>IF(A1013&lt;&gt;"",INDEX('Base de données'!A$4:L$990,MATCH(' TVA M'!A1013,'Base de données'!A$4:A$990,0),2),"")</f>
        <v/>
      </c>
      <c r="C1013" s="87" t="str">
        <f>IF(A1013&lt;&gt;"",INDEX('Base de données'!A$4:L$990,MATCH(' TVA M'!A1013,'Base de données'!A$4:A$990,0),12),"")</f>
        <v/>
      </c>
    </row>
    <row r="1014" spans="2:3" x14ac:dyDescent="0.25">
      <c r="B1014" s="87" t="str">
        <f>IF(A1014&lt;&gt;"",INDEX('Base de données'!A$4:L$990,MATCH(' TVA M'!A1014,'Base de données'!A$4:A$990,0),2),"")</f>
        <v/>
      </c>
      <c r="C1014" s="87" t="str">
        <f>IF(A1014&lt;&gt;"",INDEX('Base de données'!A$4:L$990,MATCH(' TVA M'!A1014,'Base de données'!A$4:A$990,0),12),"")</f>
        <v/>
      </c>
    </row>
    <row r="1015" spans="2:3" x14ac:dyDescent="0.25">
      <c r="B1015" s="87" t="str">
        <f>IF(A1015&lt;&gt;"",INDEX('Base de données'!A$4:L$990,MATCH(' TVA M'!A1015,'Base de données'!A$4:A$990,0),2),"")</f>
        <v/>
      </c>
      <c r="C1015" s="87" t="str">
        <f>IF(A1015&lt;&gt;"",INDEX('Base de données'!A$4:L$990,MATCH(' TVA M'!A1015,'Base de données'!A$4:A$990,0),12),"")</f>
        <v/>
      </c>
    </row>
    <row r="1016" spans="2:3" x14ac:dyDescent="0.25">
      <c r="B1016" s="87" t="str">
        <f>IF(A1016&lt;&gt;"",INDEX('Base de données'!A$4:L$990,MATCH(' TVA M'!A1016,'Base de données'!A$4:A$990,0),2),"")</f>
        <v/>
      </c>
      <c r="C1016" s="87" t="str">
        <f>IF(A1016&lt;&gt;"",INDEX('Base de données'!A$4:L$990,MATCH(' TVA M'!A1016,'Base de données'!A$4:A$990,0),12),"")</f>
        <v/>
      </c>
    </row>
    <row r="1017" spans="2:3" x14ac:dyDescent="0.25">
      <c r="B1017" s="87" t="str">
        <f>IF(A1017&lt;&gt;"",INDEX('Base de données'!A$4:L$990,MATCH(' TVA M'!A1017,'Base de données'!A$4:A$990,0),2),"")</f>
        <v/>
      </c>
      <c r="C1017" s="87" t="str">
        <f>IF(A1017&lt;&gt;"",INDEX('Base de données'!A$4:L$990,MATCH(' TVA M'!A1017,'Base de données'!A$4:A$990,0),12),"")</f>
        <v/>
      </c>
    </row>
    <row r="1018" spans="2:3" x14ac:dyDescent="0.25">
      <c r="B1018" s="87" t="str">
        <f>IF(A1018&lt;&gt;"",INDEX('Base de données'!A$4:L$990,MATCH(' TVA M'!A1018,'Base de données'!A$4:A$990,0),2),"")</f>
        <v/>
      </c>
      <c r="C1018" s="87" t="str">
        <f>IF(A1018&lt;&gt;"",INDEX('Base de données'!A$4:L$990,MATCH(' TVA M'!A1018,'Base de données'!A$4:A$990,0),12),"")</f>
        <v/>
      </c>
    </row>
    <row r="1019" spans="2:3" x14ac:dyDescent="0.25">
      <c r="B1019" s="87" t="str">
        <f>IF(A1019&lt;&gt;"",INDEX('Base de données'!A$4:L$990,MATCH(' TVA M'!A1019,'Base de données'!A$4:A$990,0),2),"")</f>
        <v/>
      </c>
      <c r="C1019" s="87" t="str">
        <f>IF(A1019&lt;&gt;"",INDEX('Base de données'!A$4:L$990,MATCH(' TVA M'!A1019,'Base de données'!A$4:A$990,0),12),"")</f>
        <v/>
      </c>
    </row>
    <row r="1020" spans="2:3" x14ac:dyDescent="0.25">
      <c r="B1020" s="87" t="str">
        <f>IF(A1020&lt;&gt;"",INDEX('Base de données'!A$4:L$990,MATCH(' TVA M'!A1020,'Base de données'!A$4:A$990,0),2),"")</f>
        <v/>
      </c>
      <c r="C1020" s="87" t="str">
        <f>IF(A1020&lt;&gt;"",INDEX('Base de données'!A$4:L$990,MATCH(' TVA M'!A1020,'Base de données'!A$4:A$990,0),12),"")</f>
        <v/>
      </c>
    </row>
    <row r="1021" spans="2:3" x14ac:dyDescent="0.25">
      <c r="B1021" s="87" t="str">
        <f>IF(A1021&lt;&gt;"",INDEX('Base de données'!A$4:L$990,MATCH(' TVA M'!A1021,'Base de données'!A$4:A$990,0),2),"")</f>
        <v/>
      </c>
      <c r="C1021" s="87" t="str">
        <f>IF(A1021&lt;&gt;"",INDEX('Base de données'!A$4:L$990,MATCH(' TVA M'!A1021,'Base de données'!A$4:A$990,0),12),"")</f>
        <v/>
      </c>
    </row>
    <row r="1022" spans="2:3" x14ac:dyDescent="0.25">
      <c r="B1022" s="87" t="str">
        <f>IF(A1022&lt;&gt;"",INDEX('Base de données'!A$4:L$990,MATCH(' TVA M'!A1022,'Base de données'!A$4:A$990,0),2),"")</f>
        <v/>
      </c>
      <c r="C1022" s="87" t="str">
        <f>IF(A1022&lt;&gt;"",INDEX('Base de données'!A$4:L$990,MATCH(' TVA M'!A1022,'Base de données'!A$4:A$990,0),12),"")</f>
        <v/>
      </c>
    </row>
    <row r="1023" spans="2:3" x14ac:dyDescent="0.25">
      <c r="B1023" s="87" t="str">
        <f>IF(A1023&lt;&gt;"",INDEX('Base de données'!A$4:L$990,MATCH(' TVA M'!A1023,'Base de données'!A$4:A$990,0),2),"")</f>
        <v/>
      </c>
      <c r="C1023" s="87" t="str">
        <f>IF(A1023&lt;&gt;"",INDEX('Base de données'!A$4:L$990,MATCH(' TVA M'!A1023,'Base de données'!A$4:A$990,0),12),"")</f>
        <v/>
      </c>
    </row>
    <row r="1024" spans="2:3" x14ac:dyDescent="0.25">
      <c r="B1024" s="87" t="str">
        <f>IF(A1024&lt;&gt;"",INDEX('Base de données'!A$4:L$990,MATCH(' TVA M'!A1024,'Base de données'!A$4:A$990,0),2),"")</f>
        <v/>
      </c>
      <c r="C1024" s="87" t="str">
        <f>IF(A1024&lt;&gt;"",INDEX('Base de données'!A$4:L$990,MATCH(' TVA M'!A1024,'Base de données'!A$4:A$990,0),12),"")</f>
        <v/>
      </c>
    </row>
    <row r="1025" spans="2:3" x14ac:dyDescent="0.25">
      <c r="B1025" s="87" t="str">
        <f>IF(A1025&lt;&gt;"",INDEX('Base de données'!A$4:L$990,MATCH(' TVA M'!A1025,'Base de données'!A$4:A$990,0),2),"")</f>
        <v/>
      </c>
      <c r="C1025" s="87" t="str">
        <f>IF(A1025&lt;&gt;"",INDEX('Base de données'!A$4:L$990,MATCH(' TVA M'!A1025,'Base de données'!A$4:A$990,0),12),"")</f>
        <v/>
      </c>
    </row>
    <row r="1026" spans="2:3" x14ac:dyDescent="0.25">
      <c r="B1026" s="87" t="str">
        <f>IF(A1026&lt;&gt;"",INDEX('Base de données'!A$4:L$990,MATCH(' TVA M'!A1026,'Base de données'!A$4:A$990,0),2),"")</f>
        <v/>
      </c>
      <c r="C1026" s="87" t="str">
        <f>IF(A1026&lt;&gt;"",INDEX('Base de données'!A$4:L$990,MATCH(' TVA M'!A1026,'Base de données'!A$4:A$990,0),12),"")</f>
        <v/>
      </c>
    </row>
    <row r="1027" spans="2:3" x14ac:dyDescent="0.25">
      <c r="B1027" s="87" t="str">
        <f>IF(A1027&lt;&gt;"",INDEX('Base de données'!A$4:L$990,MATCH(' TVA M'!A1027,'Base de données'!A$4:A$990,0),2),"")</f>
        <v/>
      </c>
      <c r="C1027" s="87" t="str">
        <f>IF(A1027&lt;&gt;"",INDEX('Base de données'!A$4:L$990,MATCH(' TVA M'!A1027,'Base de données'!A$4:A$990,0),12),"")</f>
        <v/>
      </c>
    </row>
    <row r="1028" spans="2:3" x14ac:dyDescent="0.25">
      <c r="B1028" s="87" t="str">
        <f>IF(A1028&lt;&gt;"",INDEX('Base de données'!A$4:L$990,MATCH(' TVA M'!A1028,'Base de données'!A$4:A$990,0),2),"")</f>
        <v/>
      </c>
      <c r="C1028" s="87" t="str">
        <f>IF(A1028&lt;&gt;"",INDEX('Base de données'!A$4:L$990,MATCH(' TVA M'!A1028,'Base de données'!A$4:A$990,0),12),"")</f>
        <v/>
      </c>
    </row>
    <row r="1029" spans="2:3" x14ac:dyDescent="0.25">
      <c r="B1029" s="87" t="str">
        <f>IF(A1029&lt;&gt;"",INDEX('Base de données'!A$4:L$990,MATCH(' TVA M'!A1029,'Base de données'!A$4:A$990,0),2),"")</f>
        <v/>
      </c>
      <c r="C1029" s="87" t="str">
        <f>IF(A1029&lt;&gt;"",INDEX('Base de données'!A$4:L$990,MATCH(' TVA M'!A1029,'Base de données'!A$4:A$990,0),12),"")</f>
        <v/>
      </c>
    </row>
    <row r="1030" spans="2:3" x14ac:dyDescent="0.25">
      <c r="B1030" s="87" t="str">
        <f>IF(A1030&lt;&gt;"",INDEX('Base de données'!A$4:L$990,MATCH(' TVA M'!A1030,'Base de données'!A$4:A$990,0),2),"")</f>
        <v/>
      </c>
      <c r="C1030" s="87" t="str">
        <f>IF(A1030&lt;&gt;"",INDEX('Base de données'!A$4:L$990,MATCH(' TVA M'!A1030,'Base de données'!A$4:A$990,0),12),"")</f>
        <v/>
      </c>
    </row>
    <row r="1031" spans="2:3" x14ac:dyDescent="0.25">
      <c r="B1031" s="87" t="str">
        <f>IF(A1031&lt;&gt;"",INDEX('Base de données'!A$4:L$990,MATCH(' TVA M'!A1031,'Base de données'!A$4:A$990,0),2),"")</f>
        <v/>
      </c>
      <c r="C1031" s="87" t="str">
        <f>IF(A1031&lt;&gt;"",INDEX('Base de données'!A$4:L$990,MATCH(' TVA M'!A1031,'Base de données'!A$4:A$990,0),12),"")</f>
        <v/>
      </c>
    </row>
    <row r="1032" spans="2:3" x14ac:dyDescent="0.25">
      <c r="B1032" s="87" t="str">
        <f>IF(A1032&lt;&gt;"",INDEX('Base de données'!A$4:L$990,MATCH(' TVA M'!A1032,'Base de données'!A$4:A$990,0),2),"")</f>
        <v/>
      </c>
      <c r="C1032" s="87" t="str">
        <f>IF(A1032&lt;&gt;"",INDEX('Base de données'!A$4:L$990,MATCH(' TVA M'!A1032,'Base de données'!A$4:A$990,0),12),"")</f>
        <v/>
      </c>
    </row>
    <row r="1033" spans="2:3" x14ac:dyDescent="0.25">
      <c r="B1033" s="87" t="str">
        <f>IF(A1033&lt;&gt;"",INDEX('Base de données'!A$4:L$990,MATCH(' TVA M'!A1033,'Base de données'!A$4:A$990,0),2),"")</f>
        <v/>
      </c>
      <c r="C1033" s="87" t="str">
        <f>IF(A1033&lt;&gt;"",INDEX('Base de données'!A$4:L$990,MATCH(' TVA M'!A1033,'Base de données'!A$4:A$990,0),12),"")</f>
        <v/>
      </c>
    </row>
    <row r="1034" spans="2:3" x14ac:dyDescent="0.25">
      <c r="B1034" s="87" t="str">
        <f>IF(A1034&lt;&gt;"",INDEX('Base de données'!A$4:L$990,MATCH(' TVA M'!A1034,'Base de données'!A$4:A$990,0),2),"")</f>
        <v/>
      </c>
      <c r="C1034" s="87" t="str">
        <f>IF(A1034&lt;&gt;"",INDEX('Base de données'!A$4:L$990,MATCH(' TVA M'!A1034,'Base de données'!A$4:A$990,0),12),"")</f>
        <v/>
      </c>
    </row>
    <row r="1035" spans="2:3" x14ac:dyDescent="0.25">
      <c r="B1035" s="87" t="str">
        <f>IF(A1035&lt;&gt;"",INDEX('Base de données'!A$4:L$990,MATCH(' TVA M'!A1035,'Base de données'!A$4:A$990,0),2),"")</f>
        <v/>
      </c>
      <c r="C1035" s="87" t="str">
        <f>IF(A1035&lt;&gt;"",INDEX('Base de données'!A$4:L$990,MATCH(' TVA M'!A1035,'Base de données'!A$4:A$990,0),12),"")</f>
        <v/>
      </c>
    </row>
    <row r="1036" spans="2:3" x14ac:dyDescent="0.25">
      <c r="B1036" s="87" t="str">
        <f>IF(A1036&lt;&gt;"",INDEX('Base de données'!A$4:L$990,MATCH(' TVA M'!A1036,'Base de données'!A$4:A$990,0),2),"")</f>
        <v/>
      </c>
      <c r="C1036" s="87" t="str">
        <f>IF(A1036&lt;&gt;"",INDEX('Base de données'!A$4:L$990,MATCH(' TVA M'!A1036,'Base de données'!A$4:A$990,0),12),"")</f>
        <v/>
      </c>
    </row>
    <row r="1037" spans="2:3" x14ac:dyDescent="0.25">
      <c r="B1037" s="87" t="str">
        <f>IF(A1037&lt;&gt;"",INDEX('Base de données'!A$4:L$990,MATCH(' TVA M'!A1037,'Base de données'!A$4:A$990,0),2),"")</f>
        <v/>
      </c>
      <c r="C1037" s="87" t="str">
        <f>IF(A1037&lt;&gt;"",INDEX('Base de données'!A$4:L$990,MATCH(' TVA M'!A1037,'Base de données'!A$4:A$990,0),12),"")</f>
        <v/>
      </c>
    </row>
    <row r="1038" spans="2:3" x14ac:dyDescent="0.25">
      <c r="B1038" s="87" t="str">
        <f>IF(A1038&lt;&gt;"",INDEX('Base de données'!A$4:L$990,MATCH(' TVA M'!A1038,'Base de données'!A$4:A$990,0),2),"")</f>
        <v/>
      </c>
      <c r="C1038" s="87" t="str">
        <f>IF(A1038&lt;&gt;"",INDEX('Base de données'!A$4:L$990,MATCH(' TVA M'!A1038,'Base de données'!A$4:A$990,0),12),"")</f>
        <v/>
      </c>
    </row>
    <row r="1039" spans="2:3" x14ac:dyDescent="0.25">
      <c r="B1039" s="87" t="str">
        <f>IF(A1039&lt;&gt;"",INDEX('Base de données'!A$4:L$990,MATCH(' TVA M'!A1039,'Base de données'!A$4:A$990,0),2),"")</f>
        <v/>
      </c>
      <c r="C1039" s="87" t="str">
        <f>IF(A1039&lt;&gt;"",INDEX('Base de données'!A$4:L$990,MATCH(' TVA M'!A1039,'Base de données'!A$4:A$990,0),12),"")</f>
        <v/>
      </c>
    </row>
    <row r="1040" spans="2:3" x14ac:dyDescent="0.25">
      <c r="B1040" s="87" t="str">
        <f>IF(A1040&lt;&gt;"",INDEX('Base de données'!A$4:L$990,MATCH(' TVA M'!A1040,'Base de données'!A$4:A$990,0),2),"")</f>
        <v/>
      </c>
      <c r="C1040" s="87" t="str">
        <f>IF(A1040&lt;&gt;"",INDEX('Base de données'!A$4:L$990,MATCH(' TVA M'!A1040,'Base de données'!A$4:A$990,0),12),"")</f>
        <v/>
      </c>
    </row>
    <row r="1041" spans="2:3" x14ac:dyDescent="0.25">
      <c r="B1041" s="87" t="str">
        <f>IF(A1041&lt;&gt;"",INDEX('Base de données'!A$4:L$990,MATCH(' TVA M'!A1041,'Base de données'!A$4:A$990,0),2),"")</f>
        <v/>
      </c>
      <c r="C1041" s="87" t="str">
        <f>IF(A1041&lt;&gt;"",INDEX('Base de données'!A$4:L$990,MATCH(' TVA M'!A1041,'Base de données'!A$4:A$990,0),12),"")</f>
        <v/>
      </c>
    </row>
    <row r="1042" spans="2:3" x14ac:dyDescent="0.25">
      <c r="B1042" s="87" t="str">
        <f>IF(A1042&lt;&gt;"",INDEX('Base de données'!A$4:L$990,MATCH(' TVA M'!A1042,'Base de données'!A$4:A$990,0),2),"")</f>
        <v/>
      </c>
      <c r="C1042" s="87" t="str">
        <f>IF(A1042&lt;&gt;"",INDEX('Base de données'!A$4:L$990,MATCH(' TVA M'!A1042,'Base de données'!A$4:A$990,0),12),"")</f>
        <v/>
      </c>
    </row>
    <row r="1043" spans="2:3" x14ac:dyDescent="0.25">
      <c r="B1043" s="87" t="str">
        <f>IF(A1043&lt;&gt;"",INDEX('Base de données'!A$4:L$990,MATCH(' TVA M'!A1043,'Base de données'!A$4:A$990,0),2),"")</f>
        <v/>
      </c>
      <c r="C1043" s="87" t="str">
        <f>IF(A1043&lt;&gt;"",INDEX('Base de données'!A$4:L$990,MATCH(' TVA M'!A1043,'Base de données'!A$4:A$990,0),12),"")</f>
        <v/>
      </c>
    </row>
    <row r="1044" spans="2:3" x14ac:dyDescent="0.25">
      <c r="B1044" s="87" t="str">
        <f>IF(A1044&lt;&gt;"",INDEX('Base de données'!A$4:L$990,MATCH(' TVA M'!A1044,'Base de données'!A$4:A$990,0),2),"")</f>
        <v/>
      </c>
      <c r="C1044" s="87" t="str">
        <f>IF(A1044&lt;&gt;"",INDEX('Base de données'!A$4:L$990,MATCH(' TVA M'!A1044,'Base de données'!A$4:A$990,0),12),"")</f>
        <v/>
      </c>
    </row>
    <row r="1045" spans="2:3" x14ac:dyDescent="0.25">
      <c r="B1045" s="87" t="str">
        <f>IF(A1045&lt;&gt;"",INDEX('Base de données'!A$4:L$990,MATCH(' TVA M'!A1045,'Base de données'!A$4:A$990,0),2),"")</f>
        <v/>
      </c>
      <c r="C1045" s="87" t="str">
        <f>IF(A1045&lt;&gt;"",INDEX('Base de données'!A$4:L$990,MATCH(' TVA M'!A1045,'Base de données'!A$4:A$990,0),12),"")</f>
        <v/>
      </c>
    </row>
    <row r="1046" spans="2:3" x14ac:dyDescent="0.25">
      <c r="B1046" s="87" t="str">
        <f>IF(A1046&lt;&gt;"",INDEX('Base de données'!A$4:L$990,MATCH(' TVA M'!A1046,'Base de données'!A$4:A$990,0),2),"")</f>
        <v/>
      </c>
      <c r="C1046" s="87" t="str">
        <f>IF(A1046&lt;&gt;"",INDEX('Base de données'!A$4:L$990,MATCH(' TVA M'!A1046,'Base de données'!A$4:A$990,0),12),"")</f>
        <v/>
      </c>
    </row>
    <row r="1047" spans="2:3" x14ac:dyDescent="0.25">
      <c r="B1047" s="87" t="str">
        <f>IF(A1047&lt;&gt;"",INDEX('Base de données'!A$4:L$990,MATCH(' TVA M'!A1047,'Base de données'!A$4:A$990,0),2),"")</f>
        <v/>
      </c>
      <c r="C1047" s="87" t="str">
        <f>IF(A1047&lt;&gt;"",INDEX('Base de données'!A$4:L$990,MATCH(' TVA M'!A1047,'Base de données'!A$4:A$990,0),12),"")</f>
        <v/>
      </c>
    </row>
    <row r="1048" spans="2:3" x14ac:dyDescent="0.25">
      <c r="B1048" s="87" t="str">
        <f>IF(A1048&lt;&gt;"",INDEX('Base de données'!A$4:L$990,MATCH(' TVA M'!A1048,'Base de données'!A$4:A$990,0),2),"")</f>
        <v/>
      </c>
      <c r="C1048" s="87" t="str">
        <f>IF(A1048&lt;&gt;"",INDEX('Base de données'!A$4:L$990,MATCH(' TVA M'!A1048,'Base de données'!A$4:A$990,0),12),"")</f>
        <v/>
      </c>
    </row>
    <row r="1049" spans="2:3" x14ac:dyDescent="0.25">
      <c r="B1049" s="87" t="str">
        <f>IF(A1049&lt;&gt;"",INDEX('Base de données'!A$4:L$990,MATCH(' TVA M'!A1049,'Base de données'!A$4:A$990,0),2),"")</f>
        <v/>
      </c>
      <c r="C1049" s="87" t="str">
        <f>IF(A1049&lt;&gt;"",INDEX('Base de données'!A$4:L$990,MATCH(' TVA M'!A1049,'Base de données'!A$4:A$990,0),12),"")</f>
        <v/>
      </c>
    </row>
    <row r="1050" spans="2:3" x14ac:dyDescent="0.25">
      <c r="B1050" s="87" t="str">
        <f>IF(A1050&lt;&gt;"",INDEX('Base de données'!A$4:L$990,MATCH(' TVA M'!A1050,'Base de données'!A$4:A$990,0),2),"")</f>
        <v/>
      </c>
      <c r="C1050" s="87" t="str">
        <f>IF(A1050&lt;&gt;"",INDEX('Base de données'!A$4:L$990,MATCH(' TVA M'!A1050,'Base de données'!A$4:A$990,0),12),"")</f>
        <v/>
      </c>
    </row>
    <row r="1051" spans="2:3" x14ac:dyDescent="0.25">
      <c r="B1051" s="87" t="str">
        <f>IF(A1051&lt;&gt;"",INDEX('Base de données'!A$4:L$990,MATCH(' TVA M'!A1051,'Base de données'!A$4:A$990,0),2),"")</f>
        <v/>
      </c>
      <c r="C1051" s="87" t="str">
        <f>IF(A1051&lt;&gt;"",INDEX('Base de données'!A$4:L$990,MATCH(' TVA M'!A1051,'Base de données'!A$4:A$990,0),12),"")</f>
        <v/>
      </c>
    </row>
    <row r="1052" spans="2:3" x14ac:dyDescent="0.25">
      <c r="B1052" s="87" t="str">
        <f>IF(A1052&lt;&gt;"",INDEX('Base de données'!A$4:L$990,MATCH(' TVA M'!A1052,'Base de données'!A$4:A$990,0),2),"")</f>
        <v/>
      </c>
      <c r="C1052" s="87" t="str">
        <f>IF(A1052&lt;&gt;"",INDEX('Base de données'!A$4:L$990,MATCH(' TVA M'!A1052,'Base de données'!A$4:A$990,0),12),"")</f>
        <v/>
      </c>
    </row>
    <row r="1053" spans="2:3" x14ac:dyDescent="0.25">
      <c r="B1053" s="87" t="str">
        <f>IF(A1053&lt;&gt;"",INDEX('Base de données'!A$4:L$990,MATCH(' TVA M'!A1053,'Base de données'!A$4:A$990,0),2),"")</f>
        <v/>
      </c>
      <c r="C1053" s="87" t="str">
        <f>IF(A1053&lt;&gt;"",INDEX('Base de données'!A$4:L$990,MATCH(' TVA M'!A1053,'Base de données'!A$4:A$990,0),12),"")</f>
        <v/>
      </c>
    </row>
    <row r="1054" spans="2:3" x14ac:dyDescent="0.25">
      <c r="B1054" s="87" t="str">
        <f>IF(A1054&lt;&gt;"",INDEX('Base de données'!A$4:L$990,MATCH(' TVA M'!A1054,'Base de données'!A$4:A$990,0),2),"")</f>
        <v/>
      </c>
      <c r="C1054" s="87" t="str">
        <f>IF(A1054&lt;&gt;"",INDEX('Base de données'!A$4:L$990,MATCH(' TVA M'!A1054,'Base de données'!A$4:A$990,0),12),"")</f>
        <v/>
      </c>
    </row>
    <row r="1055" spans="2:3" x14ac:dyDescent="0.25">
      <c r="B1055" s="87" t="str">
        <f>IF(A1055&lt;&gt;"",INDEX('Base de données'!A$4:L$990,MATCH(' TVA M'!A1055,'Base de données'!A$4:A$990,0),2),"")</f>
        <v/>
      </c>
      <c r="C1055" s="87" t="str">
        <f>IF(A1055&lt;&gt;"",INDEX('Base de données'!A$4:L$990,MATCH(' TVA M'!A1055,'Base de données'!A$4:A$990,0),12),"")</f>
        <v/>
      </c>
    </row>
    <row r="1056" spans="2:3" x14ac:dyDescent="0.25">
      <c r="B1056" s="87" t="str">
        <f>IF(A1056&lt;&gt;"",INDEX('Base de données'!A$4:L$990,MATCH(' TVA M'!A1056,'Base de données'!A$4:A$990,0),2),"")</f>
        <v/>
      </c>
      <c r="C1056" s="87" t="str">
        <f>IF(A1056&lt;&gt;"",INDEX('Base de données'!A$4:L$990,MATCH(' TVA M'!A1056,'Base de données'!A$4:A$990,0),12),"")</f>
        <v/>
      </c>
    </row>
    <row r="1057" spans="2:3" x14ac:dyDescent="0.25">
      <c r="B1057" s="87" t="str">
        <f>IF(A1057&lt;&gt;"",INDEX('Base de données'!A$4:L$990,MATCH(' TVA M'!A1057,'Base de données'!A$4:A$990,0),2),"")</f>
        <v/>
      </c>
      <c r="C1057" s="87" t="str">
        <f>IF(A1057&lt;&gt;"",INDEX('Base de données'!A$4:L$990,MATCH(' TVA M'!A1057,'Base de données'!A$4:A$990,0),12),"")</f>
        <v/>
      </c>
    </row>
    <row r="1058" spans="2:3" x14ac:dyDescent="0.25">
      <c r="B1058" s="87" t="str">
        <f>IF(A1058&lt;&gt;"",INDEX('Base de données'!A$4:L$990,MATCH(' TVA M'!A1058,'Base de données'!A$4:A$990,0),2),"")</f>
        <v/>
      </c>
      <c r="C1058" s="87" t="str">
        <f>IF(A1058&lt;&gt;"",INDEX('Base de données'!A$4:L$990,MATCH(' TVA M'!A1058,'Base de données'!A$4:A$990,0),12),"")</f>
        <v/>
      </c>
    </row>
    <row r="1059" spans="2:3" x14ac:dyDescent="0.25">
      <c r="B1059" s="87" t="str">
        <f>IF(A1059&lt;&gt;"",INDEX('Base de données'!A$4:L$990,MATCH(' TVA M'!A1059,'Base de données'!A$4:A$990,0),2),"")</f>
        <v/>
      </c>
      <c r="C1059" s="87" t="str">
        <f>IF(A1059&lt;&gt;"",INDEX('Base de données'!A$4:L$990,MATCH(' TVA M'!A1059,'Base de données'!A$4:A$990,0),12),"")</f>
        <v/>
      </c>
    </row>
    <row r="1060" spans="2:3" x14ac:dyDescent="0.25">
      <c r="B1060" s="87" t="str">
        <f>IF(A1060&lt;&gt;"",INDEX('Base de données'!A$4:L$990,MATCH(' TVA M'!A1060,'Base de données'!A$4:A$990,0),2),"")</f>
        <v/>
      </c>
      <c r="C1060" s="87" t="str">
        <f>IF(A1060&lt;&gt;"",INDEX('Base de données'!A$4:L$990,MATCH(' TVA M'!A1060,'Base de données'!A$4:A$990,0),12),"")</f>
        <v/>
      </c>
    </row>
    <row r="1061" spans="2:3" x14ac:dyDescent="0.25">
      <c r="B1061" s="87" t="str">
        <f>IF(A1061&lt;&gt;"",INDEX('Base de données'!A$4:L$990,MATCH(' TVA M'!A1061,'Base de données'!A$4:A$990,0),2),"")</f>
        <v/>
      </c>
      <c r="C1061" s="87" t="str">
        <f>IF(A1061&lt;&gt;"",INDEX('Base de données'!A$4:L$990,MATCH(' TVA M'!A1061,'Base de données'!A$4:A$990,0),12),"")</f>
        <v/>
      </c>
    </row>
    <row r="1062" spans="2:3" x14ac:dyDescent="0.25">
      <c r="B1062" s="87" t="str">
        <f>IF(A1062&lt;&gt;"",INDEX('Base de données'!A$4:L$990,MATCH(' TVA M'!A1062,'Base de données'!A$4:A$990,0),2),"")</f>
        <v/>
      </c>
      <c r="C1062" s="87" t="str">
        <f>IF(A1062&lt;&gt;"",INDEX('Base de données'!A$4:L$990,MATCH(' TVA M'!A1062,'Base de données'!A$4:A$990,0),12),"")</f>
        <v/>
      </c>
    </row>
    <row r="1063" spans="2:3" x14ac:dyDescent="0.25">
      <c r="B1063" s="87" t="str">
        <f>IF(A1063&lt;&gt;"",INDEX('Base de données'!A$4:L$990,MATCH(' TVA M'!A1063,'Base de données'!A$4:A$990,0),2),"")</f>
        <v/>
      </c>
      <c r="C1063" s="87" t="str">
        <f>IF(A1063&lt;&gt;"",INDEX('Base de données'!A$4:L$990,MATCH(' TVA M'!A1063,'Base de données'!A$4:A$990,0),12),"")</f>
        <v/>
      </c>
    </row>
    <row r="1064" spans="2:3" x14ac:dyDescent="0.25">
      <c r="B1064" s="87" t="str">
        <f>IF(A1064&lt;&gt;"",INDEX('Base de données'!A$4:L$990,MATCH(' TVA M'!A1064,'Base de données'!A$4:A$990,0),2),"")</f>
        <v/>
      </c>
      <c r="C1064" s="87" t="str">
        <f>IF(A1064&lt;&gt;"",INDEX('Base de données'!A$4:L$990,MATCH(' TVA M'!A1064,'Base de données'!A$4:A$990,0),12),"")</f>
        <v/>
      </c>
    </row>
    <row r="1065" spans="2:3" x14ac:dyDescent="0.25">
      <c r="B1065" s="87" t="str">
        <f>IF(A1065&lt;&gt;"",INDEX('Base de données'!A$4:L$990,MATCH(' TVA M'!A1065,'Base de données'!A$4:A$990,0),2),"")</f>
        <v/>
      </c>
      <c r="C1065" s="87" t="str">
        <f>IF(A1065&lt;&gt;"",INDEX('Base de données'!A$4:L$990,MATCH(' TVA M'!A1065,'Base de données'!A$4:A$990,0),12),"")</f>
        <v/>
      </c>
    </row>
    <row r="1066" spans="2:3" x14ac:dyDescent="0.25">
      <c r="B1066" s="87" t="str">
        <f>IF(A1066&lt;&gt;"",INDEX('Base de données'!A$4:L$990,MATCH(' TVA M'!A1066,'Base de données'!A$4:A$990,0),2),"")</f>
        <v/>
      </c>
      <c r="C1066" s="87" t="str">
        <f>IF(A1066&lt;&gt;"",INDEX('Base de données'!A$4:L$990,MATCH(' TVA M'!A1066,'Base de données'!A$4:A$990,0),12),"")</f>
        <v/>
      </c>
    </row>
    <row r="1067" spans="2:3" x14ac:dyDescent="0.25">
      <c r="B1067" s="87" t="str">
        <f>IF(A1067&lt;&gt;"",INDEX('Base de données'!A$4:L$990,MATCH(' TVA M'!A1067,'Base de données'!A$4:A$990,0),2),"")</f>
        <v/>
      </c>
      <c r="C1067" s="87" t="str">
        <f>IF(A1067&lt;&gt;"",INDEX('Base de données'!A$4:L$990,MATCH(' TVA M'!A1067,'Base de données'!A$4:A$990,0),12),"")</f>
        <v/>
      </c>
    </row>
    <row r="1068" spans="2:3" x14ac:dyDescent="0.25">
      <c r="B1068" s="87" t="str">
        <f>IF(A1068&lt;&gt;"",INDEX('Base de données'!A$4:L$990,MATCH(' TVA M'!A1068,'Base de données'!A$4:A$990,0),2),"")</f>
        <v/>
      </c>
      <c r="C1068" s="87" t="str">
        <f>IF(A1068&lt;&gt;"",INDEX('Base de données'!A$4:L$990,MATCH(' TVA M'!A1068,'Base de données'!A$4:A$990,0),12),"")</f>
        <v/>
      </c>
    </row>
    <row r="1069" spans="2:3" x14ac:dyDescent="0.25">
      <c r="B1069" s="87" t="str">
        <f>IF(A1069&lt;&gt;"",INDEX('Base de données'!A$4:L$990,MATCH(' TVA M'!A1069,'Base de données'!A$4:A$990,0),2),"")</f>
        <v/>
      </c>
      <c r="C1069" s="87" t="str">
        <f>IF(A1069&lt;&gt;"",INDEX('Base de données'!A$4:L$990,MATCH(' TVA M'!A1069,'Base de données'!A$4:A$990,0),12),"")</f>
        <v/>
      </c>
    </row>
    <row r="1070" spans="2:3" x14ac:dyDescent="0.25">
      <c r="B1070" s="87" t="str">
        <f>IF(A1070&lt;&gt;"",INDEX('Base de données'!A$4:L$990,MATCH(' TVA M'!A1070,'Base de données'!A$4:A$990,0),2),"")</f>
        <v/>
      </c>
      <c r="C1070" s="87" t="str">
        <f>IF(A1070&lt;&gt;"",INDEX('Base de données'!A$4:L$990,MATCH(' TVA M'!A1070,'Base de données'!A$4:A$990,0),12),"")</f>
        <v/>
      </c>
    </row>
    <row r="1071" spans="2:3" x14ac:dyDescent="0.25">
      <c r="B1071" s="87" t="str">
        <f>IF(A1071&lt;&gt;"",INDEX('Base de données'!A$4:L$990,MATCH(' TVA M'!A1071,'Base de données'!A$4:A$990,0),2),"")</f>
        <v/>
      </c>
      <c r="C1071" s="87" t="str">
        <f>IF(A1071&lt;&gt;"",INDEX('Base de données'!A$4:L$990,MATCH(' TVA M'!A1071,'Base de données'!A$4:A$990,0),12),"")</f>
        <v/>
      </c>
    </row>
    <row r="1072" spans="2:3" x14ac:dyDescent="0.25">
      <c r="B1072" s="87" t="str">
        <f>IF(A1072&lt;&gt;"",INDEX('Base de données'!A$4:L$990,MATCH(' TVA M'!A1072,'Base de données'!A$4:A$990,0),2),"")</f>
        <v/>
      </c>
      <c r="C1072" s="87" t="str">
        <f>IF(A1072&lt;&gt;"",INDEX('Base de données'!A$4:L$990,MATCH(' TVA M'!A1072,'Base de données'!A$4:A$990,0),12),"")</f>
        <v/>
      </c>
    </row>
    <row r="1073" spans="2:3" x14ac:dyDescent="0.25">
      <c r="B1073" s="87" t="str">
        <f>IF(A1073&lt;&gt;"",INDEX('Base de données'!A$4:L$990,MATCH(' TVA M'!A1073,'Base de données'!A$4:A$990,0),2),"")</f>
        <v/>
      </c>
      <c r="C1073" s="87" t="str">
        <f>IF(A1073&lt;&gt;"",INDEX('Base de données'!A$4:L$990,MATCH(' TVA M'!A1073,'Base de données'!A$4:A$990,0),12),"")</f>
        <v/>
      </c>
    </row>
    <row r="1074" spans="2:3" x14ac:dyDescent="0.25">
      <c r="B1074" s="87" t="str">
        <f>IF(A1074&lt;&gt;"",INDEX('Base de données'!A$4:L$990,MATCH(' TVA M'!A1074,'Base de données'!A$4:A$990,0),2),"")</f>
        <v/>
      </c>
      <c r="C1074" s="87" t="str">
        <f>IF(A1074&lt;&gt;"",INDEX('Base de données'!A$4:L$990,MATCH(' TVA M'!A1074,'Base de données'!A$4:A$990,0),12),"")</f>
        <v/>
      </c>
    </row>
    <row r="1075" spans="2:3" x14ac:dyDescent="0.25">
      <c r="B1075" s="87" t="str">
        <f>IF(A1075&lt;&gt;"",INDEX('Base de données'!A$4:L$990,MATCH(' TVA M'!A1075,'Base de données'!A$4:A$990,0),2),"")</f>
        <v/>
      </c>
      <c r="C1075" s="87" t="str">
        <f>IF(A1075&lt;&gt;"",INDEX('Base de données'!A$4:L$990,MATCH(' TVA M'!A1075,'Base de données'!A$4:A$990,0),12),"")</f>
        <v/>
      </c>
    </row>
    <row r="1076" spans="2:3" x14ac:dyDescent="0.25">
      <c r="B1076" s="87" t="str">
        <f>IF(A1076&lt;&gt;"",INDEX('Base de données'!A$4:L$990,MATCH(' TVA M'!A1076,'Base de données'!A$4:A$990,0),2),"")</f>
        <v/>
      </c>
      <c r="C1076" s="87" t="str">
        <f>IF(A1076&lt;&gt;"",INDEX('Base de données'!A$4:L$990,MATCH(' TVA M'!A1076,'Base de données'!A$4:A$990,0),12),"")</f>
        <v/>
      </c>
    </row>
    <row r="1077" spans="2:3" x14ac:dyDescent="0.25">
      <c r="B1077" s="87" t="str">
        <f>IF(A1077&lt;&gt;"",INDEX('Base de données'!A$4:L$990,MATCH(' TVA M'!A1077,'Base de données'!A$4:A$990,0),2),"")</f>
        <v/>
      </c>
      <c r="C1077" s="87" t="str">
        <f>IF(A1077&lt;&gt;"",INDEX('Base de données'!A$4:L$990,MATCH(' TVA M'!A1077,'Base de données'!A$4:A$990,0),12),"")</f>
        <v/>
      </c>
    </row>
    <row r="1078" spans="2:3" x14ac:dyDescent="0.25">
      <c r="B1078" s="87" t="str">
        <f>IF(A1078&lt;&gt;"",INDEX('Base de données'!A$4:L$990,MATCH(' TVA M'!A1078,'Base de données'!A$4:A$990,0),2),"")</f>
        <v/>
      </c>
      <c r="C1078" s="87" t="str">
        <f>IF(A1078&lt;&gt;"",INDEX('Base de données'!A$4:L$990,MATCH(' TVA M'!A1078,'Base de données'!A$4:A$990,0),12),"")</f>
        <v/>
      </c>
    </row>
    <row r="1079" spans="2:3" x14ac:dyDescent="0.25">
      <c r="B1079" s="87" t="str">
        <f>IF(A1079&lt;&gt;"",INDEX('Base de données'!A$4:L$990,MATCH(' TVA M'!A1079,'Base de données'!A$4:A$990,0),2),"")</f>
        <v/>
      </c>
      <c r="C1079" s="87" t="str">
        <f>IF(A1079&lt;&gt;"",INDEX('Base de données'!A$4:L$990,MATCH(' TVA M'!A1079,'Base de données'!A$4:A$990,0),12),"")</f>
        <v/>
      </c>
    </row>
    <row r="1080" spans="2:3" x14ac:dyDescent="0.25">
      <c r="B1080" s="87" t="str">
        <f>IF(A1080&lt;&gt;"",INDEX('Base de données'!A$4:L$990,MATCH(' TVA M'!A1080,'Base de données'!A$4:A$990,0),2),"")</f>
        <v/>
      </c>
      <c r="C1080" s="87" t="str">
        <f>IF(A1080&lt;&gt;"",INDEX('Base de données'!A$4:L$990,MATCH(' TVA M'!A1080,'Base de données'!A$4:A$990,0),12),"")</f>
        <v/>
      </c>
    </row>
    <row r="1081" spans="2:3" x14ac:dyDescent="0.25">
      <c r="B1081" s="87" t="str">
        <f>IF(A1081&lt;&gt;"",INDEX('Base de données'!A$4:L$990,MATCH(' TVA M'!A1081,'Base de données'!A$4:A$990,0),2),"")</f>
        <v/>
      </c>
      <c r="C1081" s="87" t="str">
        <f>IF(A1081&lt;&gt;"",INDEX('Base de données'!A$4:L$990,MATCH(' TVA M'!A1081,'Base de données'!A$4:A$990,0),12),"")</f>
        <v/>
      </c>
    </row>
    <row r="1082" spans="2:3" x14ac:dyDescent="0.25">
      <c r="B1082" s="87" t="str">
        <f>IF(A1082&lt;&gt;"",INDEX('Base de données'!A$4:L$990,MATCH(' TVA M'!A1082,'Base de données'!A$4:A$990,0),2),"")</f>
        <v/>
      </c>
      <c r="C1082" s="87" t="str">
        <f>IF(A1082&lt;&gt;"",INDEX('Base de données'!A$4:L$990,MATCH(' TVA M'!A1082,'Base de données'!A$4:A$990,0),12),"")</f>
        <v/>
      </c>
    </row>
    <row r="1083" spans="2:3" x14ac:dyDescent="0.25">
      <c r="B1083" s="87" t="str">
        <f>IF(A1083&lt;&gt;"",INDEX('Base de données'!A$4:L$990,MATCH(' TVA M'!A1083,'Base de données'!A$4:A$990,0),2),"")</f>
        <v/>
      </c>
      <c r="C1083" s="87" t="str">
        <f>IF(A1083&lt;&gt;"",INDEX('Base de données'!A$4:L$990,MATCH(' TVA M'!A1083,'Base de données'!A$4:A$990,0),12),"")</f>
        <v/>
      </c>
    </row>
    <row r="1084" spans="2:3" x14ac:dyDescent="0.25">
      <c r="B1084" s="87" t="str">
        <f>IF(A1084&lt;&gt;"",INDEX('Base de données'!A$4:L$990,MATCH(' TVA M'!A1084,'Base de données'!A$4:A$990,0),2),"")</f>
        <v/>
      </c>
      <c r="C1084" s="87" t="str">
        <f>IF(A1084&lt;&gt;"",INDEX('Base de données'!A$4:L$990,MATCH(' TVA M'!A1084,'Base de données'!A$4:A$990,0),12),"")</f>
        <v/>
      </c>
    </row>
    <row r="1085" spans="2:3" x14ac:dyDescent="0.25">
      <c r="B1085" s="87" t="str">
        <f>IF(A1085&lt;&gt;"",INDEX('Base de données'!A$4:L$990,MATCH(' TVA M'!A1085,'Base de données'!A$4:A$990,0),2),"")</f>
        <v/>
      </c>
      <c r="C1085" s="87" t="str">
        <f>IF(A1085&lt;&gt;"",INDEX('Base de données'!A$4:L$990,MATCH(' TVA M'!A1085,'Base de données'!A$4:A$990,0),12),"")</f>
        <v/>
      </c>
    </row>
    <row r="1086" spans="2:3" x14ac:dyDescent="0.25">
      <c r="B1086" s="87" t="str">
        <f>IF(A1086&lt;&gt;"",INDEX('Base de données'!A$4:L$990,MATCH(' TVA M'!A1086,'Base de données'!A$4:A$990,0),2),"")</f>
        <v/>
      </c>
      <c r="C1086" s="87" t="str">
        <f>IF(A1086&lt;&gt;"",INDEX('Base de données'!A$4:L$990,MATCH(' TVA M'!A1086,'Base de données'!A$4:A$990,0),12),"")</f>
        <v/>
      </c>
    </row>
    <row r="1087" spans="2:3" x14ac:dyDescent="0.25">
      <c r="B1087" s="87" t="str">
        <f>IF(A1087&lt;&gt;"",INDEX('Base de données'!A$4:L$990,MATCH(' TVA M'!A1087,'Base de données'!A$4:A$990,0),2),"")</f>
        <v/>
      </c>
      <c r="C1087" s="87" t="str">
        <f>IF(A1087&lt;&gt;"",INDEX('Base de données'!A$4:L$990,MATCH(' TVA M'!A1087,'Base de données'!A$4:A$990,0),12),"")</f>
        <v/>
      </c>
    </row>
    <row r="1088" spans="2:3" x14ac:dyDescent="0.25">
      <c r="B1088" s="87" t="str">
        <f>IF(A1088&lt;&gt;"",INDEX('Base de données'!A$4:L$990,MATCH(' TVA M'!A1088,'Base de données'!A$4:A$990,0),2),"")</f>
        <v/>
      </c>
      <c r="C1088" s="87" t="str">
        <f>IF(A1088&lt;&gt;"",INDEX('Base de données'!A$4:L$990,MATCH(' TVA M'!A1088,'Base de données'!A$4:A$990,0),12),"")</f>
        <v/>
      </c>
    </row>
    <row r="1089" spans="2:3" x14ac:dyDescent="0.25">
      <c r="B1089" s="87" t="str">
        <f>IF(A1089&lt;&gt;"",INDEX('Base de données'!A$4:L$990,MATCH(' TVA M'!A1089,'Base de données'!A$4:A$990,0),2),"")</f>
        <v/>
      </c>
      <c r="C1089" s="87" t="str">
        <f>IF(A1089&lt;&gt;"",INDEX('Base de données'!A$4:L$990,MATCH(' TVA M'!A1089,'Base de données'!A$4:A$990,0),12),"")</f>
        <v/>
      </c>
    </row>
    <row r="1090" spans="2:3" x14ac:dyDescent="0.25">
      <c r="B1090" s="87" t="str">
        <f>IF(A1090&lt;&gt;"",INDEX('Base de données'!A$4:L$990,MATCH(' TVA M'!A1090,'Base de données'!A$4:A$990,0),2),"")</f>
        <v/>
      </c>
      <c r="C1090" s="87" t="str">
        <f>IF(A1090&lt;&gt;"",INDEX('Base de données'!A$4:L$990,MATCH(' TVA M'!A1090,'Base de données'!A$4:A$990,0),12),"")</f>
        <v/>
      </c>
    </row>
    <row r="1091" spans="2:3" x14ac:dyDescent="0.25">
      <c r="B1091" s="87" t="str">
        <f>IF(A1091&lt;&gt;"",INDEX('Base de données'!A$4:L$990,MATCH(' TVA M'!A1091,'Base de données'!A$4:A$990,0),2),"")</f>
        <v/>
      </c>
      <c r="C1091" s="87" t="str">
        <f>IF(A1091&lt;&gt;"",INDEX('Base de données'!A$4:L$990,MATCH(' TVA M'!A1091,'Base de données'!A$4:A$990,0),12),"")</f>
        <v/>
      </c>
    </row>
    <row r="1092" spans="2:3" x14ac:dyDescent="0.25">
      <c r="B1092" s="87" t="str">
        <f>IF(A1092&lt;&gt;"",INDEX('Base de données'!A$4:L$990,MATCH(' TVA M'!A1092,'Base de données'!A$4:A$990,0),2),"")</f>
        <v/>
      </c>
      <c r="C1092" s="87" t="str">
        <f>IF(A1092&lt;&gt;"",INDEX('Base de données'!A$4:L$990,MATCH(' TVA M'!A1092,'Base de données'!A$4:A$990,0),12),"")</f>
        <v/>
      </c>
    </row>
    <row r="1093" spans="2:3" x14ac:dyDescent="0.25">
      <c r="B1093" s="87" t="str">
        <f>IF(A1093&lt;&gt;"",INDEX('Base de données'!A$4:L$990,MATCH(' TVA M'!A1093,'Base de données'!A$4:A$990,0),2),"")</f>
        <v/>
      </c>
      <c r="C1093" s="87" t="str">
        <f>IF(A1093&lt;&gt;"",INDEX('Base de données'!A$4:L$990,MATCH(' TVA M'!A1093,'Base de données'!A$4:A$990,0),12),"")</f>
        <v/>
      </c>
    </row>
    <row r="1094" spans="2:3" x14ac:dyDescent="0.25">
      <c r="B1094" s="87" t="str">
        <f>IF(A1094&lt;&gt;"",INDEX('Base de données'!A$4:L$990,MATCH(' TVA M'!A1094,'Base de données'!A$4:A$990,0),2),"")</f>
        <v/>
      </c>
      <c r="C1094" s="87" t="str">
        <f>IF(A1094&lt;&gt;"",INDEX('Base de données'!A$4:L$990,MATCH(' TVA M'!A1094,'Base de données'!A$4:A$990,0),12),"")</f>
        <v/>
      </c>
    </row>
    <row r="1095" spans="2:3" x14ac:dyDescent="0.25">
      <c r="B1095" s="87" t="str">
        <f>IF(A1095&lt;&gt;"",INDEX('Base de données'!A$4:L$990,MATCH(' TVA M'!A1095,'Base de données'!A$4:A$990,0),2),"")</f>
        <v/>
      </c>
      <c r="C1095" s="87" t="str">
        <f>IF(A1095&lt;&gt;"",INDEX('Base de données'!A$4:L$990,MATCH(' TVA M'!A1095,'Base de données'!A$4:A$990,0),12),"")</f>
        <v/>
      </c>
    </row>
    <row r="1096" spans="2:3" x14ac:dyDescent="0.25">
      <c r="B1096" s="87" t="str">
        <f>IF(A1096&lt;&gt;"",INDEX('Base de données'!A$4:L$990,MATCH(' TVA M'!A1096,'Base de données'!A$4:A$990,0),2),"")</f>
        <v/>
      </c>
      <c r="C1096" s="87" t="str">
        <f>IF(A1096&lt;&gt;"",INDEX('Base de données'!A$4:L$990,MATCH(' TVA M'!A1096,'Base de données'!A$4:A$990,0),12),"")</f>
        <v/>
      </c>
    </row>
    <row r="1097" spans="2:3" x14ac:dyDescent="0.25">
      <c r="B1097" s="87" t="str">
        <f>IF(A1097&lt;&gt;"",INDEX('Base de données'!A$4:L$990,MATCH(' TVA M'!A1097,'Base de données'!A$4:A$990,0),2),"")</f>
        <v/>
      </c>
      <c r="C1097" s="87" t="str">
        <f>IF(A1097&lt;&gt;"",INDEX('Base de données'!A$4:L$990,MATCH(' TVA M'!A1097,'Base de données'!A$4:A$990,0),12),"")</f>
        <v/>
      </c>
    </row>
    <row r="1098" spans="2:3" x14ac:dyDescent="0.25">
      <c r="B1098" s="87" t="str">
        <f>IF(A1098&lt;&gt;"",INDEX('Base de données'!A$4:L$990,MATCH(' TVA M'!A1098,'Base de données'!A$4:A$990,0),2),"")</f>
        <v/>
      </c>
      <c r="C1098" s="87" t="str">
        <f>IF(A1098&lt;&gt;"",INDEX('Base de données'!A$4:L$990,MATCH(' TVA M'!A1098,'Base de données'!A$4:A$990,0),12),"")</f>
        <v/>
      </c>
    </row>
    <row r="1099" spans="2:3" x14ac:dyDescent="0.25">
      <c r="B1099" s="87" t="str">
        <f>IF(A1099&lt;&gt;"",INDEX('Base de données'!A$4:L$990,MATCH(' TVA M'!A1099,'Base de données'!A$4:A$990,0),2),"")</f>
        <v/>
      </c>
      <c r="C1099" s="87" t="str">
        <f>IF(A1099&lt;&gt;"",INDEX('Base de données'!A$4:L$990,MATCH(' TVA M'!A1099,'Base de données'!A$4:A$990,0),12),"")</f>
        <v/>
      </c>
    </row>
    <row r="1100" spans="2:3" x14ac:dyDescent="0.25">
      <c r="B1100" s="87" t="str">
        <f>IF(A1100&lt;&gt;"",INDEX('Base de données'!A$4:L$990,MATCH(' TVA M'!A1100,'Base de données'!A$4:A$990,0),2),"")</f>
        <v/>
      </c>
      <c r="C1100" s="87" t="str">
        <f>IF(A1100&lt;&gt;"",INDEX('Base de données'!A$4:L$990,MATCH(' TVA M'!A1100,'Base de données'!A$4:A$990,0),12),"")</f>
        <v/>
      </c>
    </row>
    <row r="1101" spans="2:3" x14ac:dyDescent="0.25">
      <c r="B1101" s="87" t="str">
        <f>IF(A1101&lt;&gt;"",INDEX('Base de données'!A$4:L$990,MATCH(' TVA M'!A1101,'Base de données'!A$4:A$990,0),2),"")</f>
        <v/>
      </c>
      <c r="C1101" s="87" t="str">
        <f>IF(A1101&lt;&gt;"",INDEX('Base de données'!A$4:L$990,MATCH(' TVA M'!A1101,'Base de données'!A$4:A$990,0),12),"")</f>
        <v/>
      </c>
    </row>
    <row r="1102" spans="2:3" x14ac:dyDescent="0.25">
      <c r="B1102" s="87" t="str">
        <f>IF(A1102&lt;&gt;"",INDEX('Base de données'!A$4:L$990,MATCH(' TVA M'!A1102,'Base de données'!A$4:A$990,0),2),"")</f>
        <v/>
      </c>
      <c r="C1102" s="87" t="str">
        <f>IF(A1102&lt;&gt;"",INDEX('Base de données'!A$4:L$990,MATCH(' TVA M'!A1102,'Base de données'!A$4:A$990,0),12),"")</f>
        <v/>
      </c>
    </row>
    <row r="1103" spans="2:3" x14ac:dyDescent="0.25">
      <c r="B1103" s="87" t="str">
        <f>IF(A1103&lt;&gt;"",INDEX('Base de données'!A$4:L$990,MATCH(' TVA M'!A1103,'Base de données'!A$4:A$990,0),2),"")</f>
        <v/>
      </c>
      <c r="C1103" s="87" t="str">
        <f>IF(A1103&lt;&gt;"",INDEX('Base de données'!A$4:L$990,MATCH(' TVA M'!A1103,'Base de données'!A$4:A$990,0),12),"")</f>
        <v/>
      </c>
    </row>
    <row r="1104" spans="2:3" x14ac:dyDescent="0.25">
      <c r="B1104" s="87" t="str">
        <f>IF(A1104&lt;&gt;"",INDEX('Base de données'!A$4:L$990,MATCH(' TVA M'!A1104,'Base de données'!A$4:A$990,0),2),"")</f>
        <v/>
      </c>
      <c r="C1104" s="87" t="str">
        <f>IF(A1104&lt;&gt;"",INDEX('Base de données'!A$4:L$990,MATCH(' TVA M'!A1104,'Base de données'!A$4:A$990,0),12),"")</f>
        <v/>
      </c>
    </row>
    <row r="1105" spans="2:3" x14ac:dyDescent="0.25">
      <c r="B1105" s="87" t="str">
        <f>IF(A1105&lt;&gt;"",INDEX('Base de données'!A$4:L$990,MATCH(' TVA M'!A1105,'Base de données'!A$4:A$990,0),2),"")</f>
        <v/>
      </c>
      <c r="C1105" s="87" t="str">
        <f>IF(A1105&lt;&gt;"",INDEX('Base de données'!A$4:L$990,MATCH(' TVA M'!A1105,'Base de données'!A$4:A$990,0),12),"")</f>
        <v/>
      </c>
    </row>
    <row r="1106" spans="2:3" x14ac:dyDescent="0.25">
      <c r="B1106" s="87" t="str">
        <f>IF(A1106&lt;&gt;"",INDEX('Base de données'!A$4:L$990,MATCH(' TVA M'!A1106,'Base de données'!A$4:A$990,0),2),"")</f>
        <v/>
      </c>
      <c r="C1106" s="87" t="str">
        <f>IF(A1106&lt;&gt;"",INDEX('Base de données'!A$4:L$990,MATCH(' TVA M'!A1106,'Base de données'!A$4:A$990,0),12),"")</f>
        <v/>
      </c>
    </row>
    <row r="1107" spans="2:3" x14ac:dyDescent="0.25">
      <c r="B1107" s="87" t="str">
        <f>IF(A1107&lt;&gt;"",INDEX('Base de données'!A$4:L$990,MATCH(' TVA M'!A1107,'Base de données'!A$4:A$990,0),2),"")</f>
        <v/>
      </c>
      <c r="C1107" s="87" t="str">
        <f>IF(A1107&lt;&gt;"",INDEX('Base de données'!A$4:L$990,MATCH(' TVA M'!A1107,'Base de données'!A$4:A$990,0),12),"")</f>
        <v/>
      </c>
    </row>
    <row r="1108" spans="2:3" x14ac:dyDescent="0.25">
      <c r="B1108" s="87" t="str">
        <f>IF(A1108&lt;&gt;"",INDEX('Base de données'!A$4:L$990,MATCH(' TVA M'!A1108,'Base de données'!A$4:A$990,0),2),"")</f>
        <v/>
      </c>
      <c r="C1108" s="87" t="str">
        <f>IF(A1108&lt;&gt;"",INDEX('Base de données'!A$4:L$990,MATCH(' TVA M'!A1108,'Base de données'!A$4:A$990,0),12),"")</f>
        <v/>
      </c>
    </row>
    <row r="1109" spans="2:3" x14ac:dyDescent="0.25">
      <c r="B1109" s="87" t="str">
        <f>IF(A1109&lt;&gt;"",INDEX('Base de données'!A$4:L$990,MATCH(' TVA M'!A1109,'Base de données'!A$4:A$990,0),2),"")</f>
        <v/>
      </c>
      <c r="C1109" s="87" t="str">
        <f>IF(A1109&lt;&gt;"",INDEX('Base de données'!A$4:L$990,MATCH(' TVA M'!A1109,'Base de données'!A$4:A$990,0),12),"")</f>
        <v/>
      </c>
    </row>
    <row r="1110" spans="2:3" x14ac:dyDescent="0.25">
      <c r="B1110" s="87" t="str">
        <f>IF(A1110&lt;&gt;"",INDEX('Base de données'!A$4:L$990,MATCH(' TVA M'!A1110,'Base de données'!A$4:A$990,0),2),"")</f>
        <v/>
      </c>
      <c r="C1110" s="87" t="str">
        <f>IF(A1110&lt;&gt;"",INDEX('Base de données'!A$4:L$990,MATCH(' TVA M'!A1110,'Base de données'!A$4:A$990,0),12),"")</f>
        <v/>
      </c>
    </row>
    <row r="1111" spans="2:3" x14ac:dyDescent="0.25">
      <c r="B1111" s="87" t="str">
        <f>IF(A1111&lt;&gt;"",INDEX('Base de données'!A$4:L$990,MATCH(' TVA M'!A1111,'Base de données'!A$4:A$990,0),2),"")</f>
        <v/>
      </c>
      <c r="C1111" s="87" t="str">
        <f>IF(A1111&lt;&gt;"",INDEX('Base de données'!A$4:L$990,MATCH(' TVA M'!A1111,'Base de données'!A$4:A$990,0),12),"")</f>
        <v/>
      </c>
    </row>
    <row r="1112" spans="2:3" x14ac:dyDescent="0.25">
      <c r="B1112" s="87" t="str">
        <f>IF(A1112&lt;&gt;"",INDEX('Base de données'!A$4:L$990,MATCH(' TVA M'!A1112,'Base de données'!A$4:A$990,0),2),"")</f>
        <v/>
      </c>
      <c r="C1112" s="87" t="str">
        <f>IF(A1112&lt;&gt;"",INDEX('Base de données'!A$4:L$990,MATCH(' TVA M'!A1112,'Base de données'!A$4:A$990,0),12),"")</f>
        <v/>
      </c>
    </row>
    <row r="1113" spans="2:3" x14ac:dyDescent="0.25">
      <c r="B1113" s="87" t="str">
        <f>IF(A1113&lt;&gt;"",INDEX('Base de données'!A$4:L$990,MATCH(' TVA M'!A1113,'Base de données'!A$4:A$990,0),2),"")</f>
        <v/>
      </c>
      <c r="C1113" s="87" t="str">
        <f>IF(A1113&lt;&gt;"",INDEX('Base de données'!A$4:L$990,MATCH(' TVA M'!A1113,'Base de données'!A$4:A$990,0),12),"")</f>
        <v/>
      </c>
    </row>
    <row r="1114" spans="2:3" x14ac:dyDescent="0.25">
      <c r="B1114" s="87" t="str">
        <f>IF(A1114&lt;&gt;"",INDEX('Base de données'!A$4:L$990,MATCH(' TVA M'!A1114,'Base de données'!A$4:A$990,0),2),"")</f>
        <v/>
      </c>
      <c r="C1114" s="87" t="str">
        <f>IF(A1114&lt;&gt;"",INDEX('Base de données'!A$4:L$990,MATCH(' TVA M'!A1114,'Base de données'!A$4:A$990,0),12),"")</f>
        <v/>
      </c>
    </row>
    <row r="1115" spans="2:3" x14ac:dyDescent="0.25">
      <c r="B1115" s="87" t="str">
        <f>IF(A1115&lt;&gt;"",INDEX('Base de données'!A$4:L$990,MATCH(' TVA M'!A1115,'Base de données'!A$4:A$990,0),2),"")</f>
        <v/>
      </c>
      <c r="C1115" s="87" t="str">
        <f>IF(A1115&lt;&gt;"",INDEX('Base de données'!A$4:L$990,MATCH(' TVA M'!A1115,'Base de données'!A$4:A$990,0),12),"")</f>
        <v/>
      </c>
    </row>
    <row r="1116" spans="2:3" x14ac:dyDescent="0.25">
      <c r="B1116" s="87" t="str">
        <f>IF(A1116&lt;&gt;"",INDEX('Base de données'!A$4:L$990,MATCH(' TVA M'!A1116,'Base de données'!A$4:A$990,0),2),"")</f>
        <v/>
      </c>
      <c r="C1116" s="87" t="str">
        <f>IF(A1116&lt;&gt;"",INDEX('Base de données'!A$4:L$990,MATCH(' TVA M'!A1116,'Base de données'!A$4:A$990,0),12),"")</f>
        <v/>
      </c>
    </row>
    <row r="1117" spans="2:3" x14ac:dyDescent="0.25">
      <c r="B1117" s="87" t="str">
        <f>IF(A1117&lt;&gt;"",INDEX('Base de données'!A$4:L$990,MATCH(' TVA M'!A1117,'Base de données'!A$4:A$990,0),2),"")</f>
        <v/>
      </c>
      <c r="C1117" s="87" t="str">
        <f>IF(A1117&lt;&gt;"",INDEX('Base de données'!A$4:L$990,MATCH(' TVA M'!A1117,'Base de données'!A$4:A$990,0),12),"")</f>
        <v/>
      </c>
    </row>
    <row r="1118" spans="2:3" x14ac:dyDescent="0.25">
      <c r="B1118" s="87" t="str">
        <f>IF(A1118&lt;&gt;"",INDEX('Base de données'!A$4:L$990,MATCH(' TVA M'!A1118,'Base de données'!A$4:A$990,0),2),"")</f>
        <v/>
      </c>
      <c r="C1118" s="87" t="str">
        <f>IF(A1118&lt;&gt;"",INDEX('Base de données'!A$4:L$990,MATCH(' TVA M'!A1118,'Base de données'!A$4:A$990,0),12),"")</f>
        <v/>
      </c>
    </row>
    <row r="1119" spans="2:3" x14ac:dyDescent="0.25">
      <c r="B1119" s="87" t="str">
        <f>IF(A1119&lt;&gt;"",INDEX('Base de données'!A$4:L$990,MATCH(' TVA M'!A1119,'Base de données'!A$4:A$990,0),2),"")</f>
        <v/>
      </c>
      <c r="C1119" s="87" t="str">
        <f>IF(A1119&lt;&gt;"",INDEX('Base de données'!A$4:L$990,MATCH(' TVA M'!A1119,'Base de données'!A$4:A$990,0),12),"")</f>
        <v/>
      </c>
    </row>
    <row r="1120" spans="2:3" x14ac:dyDescent="0.25">
      <c r="B1120" s="87" t="str">
        <f>IF(A1120&lt;&gt;"",INDEX('Base de données'!A$4:L$990,MATCH(' TVA M'!A1120,'Base de données'!A$4:A$990,0),2),"")</f>
        <v/>
      </c>
      <c r="C1120" s="87" t="str">
        <f>IF(A1120&lt;&gt;"",INDEX('Base de données'!A$4:L$990,MATCH(' TVA M'!A1120,'Base de données'!A$4:A$990,0),12),"")</f>
        <v/>
      </c>
    </row>
    <row r="1121" spans="2:3" x14ac:dyDescent="0.25">
      <c r="B1121" s="87" t="str">
        <f>IF(A1121&lt;&gt;"",INDEX('Base de données'!A$4:L$990,MATCH(' TVA M'!A1121,'Base de données'!A$4:A$990,0),2),"")</f>
        <v/>
      </c>
      <c r="C1121" s="87" t="str">
        <f>IF(A1121&lt;&gt;"",INDEX('Base de données'!A$4:L$990,MATCH(' TVA M'!A1121,'Base de données'!A$4:A$990,0),12),"")</f>
        <v/>
      </c>
    </row>
    <row r="1122" spans="2:3" x14ac:dyDescent="0.25">
      <c r="B1122" s="87" t="str">
        <f>IF(A1122&lt;&gt;"",INDEX('Base de données'!A$4:L$990,MATCH(' TVA M'!A1122,'Base de données'!A$4:A$990,0),2),"")</f>
        <v/>
      </c>
      <c r="C1122" s="87" t="str">
        <f>IF(A1122&lt;&gt;"",INDEX('Base de données'!A$4:L$990,MATCH(' TVA M'!A1122,'Base de données'!A$4:A$990,0),12),"")</f>
        <v/>
      </c>
    </row>
    <row r="1123" spans="2:3" x14ac:dyDescent="0.25">
      <c r="B1123" s="87" t="str">
        <f>IF(A1123&lt;&gt;"",INDEX('Base de données'!A$4:L$990,MATCH(' TVA M'!A1123,'Base de données'!A$4:A$990,0),2),"")</f>
        <v/>
      </c>
      <c r="C1123" s="87" t="str">
        <f>IF(A1123&lt;&gt;"",INDEX('Base de données'!A$4:L$990,MATCH(' TVA M'!A1123,'Base de données'!A$4:A$990,0),12),"")</f>
        <v/>
      </c>
    </row>
    <row r="1124" spans="2:3" x14ac:dyDescent="0.25">
      <c r="B1124" s="87" t="str">
        <f>IF(A1124&lt;&gt;"",INDEX('Base de données'!A$4:L$990,MATCH(' TVA M'!A1124,'Base de données'!A$4:A$990,0),2),"")</f>
        <v/>
      </c>
      <c r="C1124" s="87" t="str">
        <f>IF(A1124&lt;&gt;"",INDEX('Base de données'!A$4:L$990,MATCH(' TVA M'!A1124,'Base de données'!A$4:A$990,0),12),"")</f>
        <v/>
      </c>
    </row>
    <row r="1125" spans="2:3" x14ac:dyDescent="0.25">
      <c r="B1125" s="87" t="str">
        <f>IF(A1125&lt;&gt;"",INDEX('Base de données'!A$4:L$990,MATCH(' TVA M'!A1125,'Base de données'!A$4:A$990,0),2),"")</f>
        <v/>
      </c>
      <c r="C1125" s="87" t="str">
        <f>IF(A1125&lt;&gt;"",INDEX('Base de données'!A$4:L$990,MATCH(' TVA M'!A1125,'Base de données'!A$4:A$990,0),12),"")</f>
        <v/>
      </c>
    </row>
    <row r="1126" spans="2:3" x14ac:dyDescent="0.25">
      <c r="B1126" s="87" t="str">
        <f>IF(A1126&lt;&gt;"",INDEX('Base de données'!A$4:L$990,MATCH(' TVA M'!A1126,'Base de données'!A$4:A$990,0),2),"")</f>
        <v/>
      </c>
      <c r="C1126" s="87" t="str">
        <f>IF(A1126&lt;&gt;"",INDEX('Base de données'!A$4:L$990,MATCH(' TVA M'!A1126,'Base de données'!A$4:A$990,0),12),"")</f>
        <v/>
      </c>
    </row>
    <row r="1127" spans="2:3" x14ac:dyDescent="0.25">
      <c r="B1127" s="87" t="str">
        <f>IF(A1127&lt;&gt;"",INDEX('Base de données'!A$4:L$990,MATCH(' TVA M'!A1127,'Base de données'!A$4:A$990,0),2),"")</f>
        <v/>
      </c>
      <c r="C1127" s="87" t="str">
        <f>IF(A1127&lt;&gt;"",INDEX('Base de données'!A$4:L$990,MATCH(' TVA M'!A1127,'Base de données'!A$4:A$990,0),12),"")</f>
        <v/>
      </c>
    </row>
    <row r="1128" spans="2:3" x14ac:dyDescent="0.25">
      <c r="B1128" s="87" t="str">
        <f>IF(A1128&lt;&gt;"",INDEX('Base de données'!A$4:L$990,MATCH(' TVA M'!A1128,'Base de données'!A$4:A$990,0),2),"")</f>
        <v/>
      </c>
      <c r="C1128" s="87" t="str">
        <f>IF(A1128&lt;&gt;"",INDEX('Base de données'!A$4:L$990,MATCH(' TVA M'!A1128,'Base de données'!A$4:A$990,0),12),"")</f>
        <v/>
      </c>
    </row>
    <row r="1129" spans="2:3" x14ac:dyDescent="0.25">
      <c r="B1129" s="87" t="str">
        <f>IF(A1129&lt;&gt;"",INDEX('Base de données'!A$4:L$990,MATCH(' TVA M'!A1129,'Base de données'!A$4:A$990,0),2),"")</f>
        <v/>
      </c>
      <c r="C1129" s="87" t="str">
        <f>IF(A1129&lt;&gt;"",INDEX('Base de données'!A$4:L$990,MATCH(' TVA M'!A1129,'Base de données'!A$4:A$990,0),12),"")</f>
        <v/>
      </c>
    </row>
    <row r="1130" spans="2:3" x14ac:dyDescent="0.25">
      <c r="B1130" s="87" t="str">
        <f>IF(A1130&lt;&gt;"",INDEX('Base de données'!A$4:L$990,MATCH(' TVA M'!A1130,'Base de données'!A$4:A$990,0),2),"")</f>
        <v/>
      </c>
      <c r="C1130" s="87" t="str">
        <f>IF(A1130&lt;&gt;"",INDEX('Base de données'!A$4:L$990,MATCH(' TVA M'!A1130,'Base de données'!A$4:A$990,0),12),"")</f>
        <v/>
      </c>
    </row>
    <row r="1131" spans="2:3" x14ac:dyDescent="0.25">
      <c r="B1131" s="87" t="str">
        <f>IF(A1131&lt;&gt;"",INDEX('Base de données'!A$4:L$990,MATCH(' TVA M'!A1131,'Base de données'!A$4:A$990,0),2),"")</f>
        <v/>
      </c>
      <c r="C1131" s="87" t="str">
        <f>IF(A1131&lt;&gt;"",INDEX('Base de données'!A$4:L$990,MATCH(' TVA M'!A1131,'Base de données'!A$4:A$990,0),12),"")</f>
        <v/>
      </c>
    </row>
    <row r="1132" spans="2:3" x14ac:dyDescent="0.25">
      <c r="B1132" s="87" t="str">
        <f>IF(A1132&lt;&gt;"",INDEX('Base de données'!A$4:L$990,MATCH(' TVA M'!A1132,'Base de données'!A$4:A$990,0),2),"")</f>
        <v/>
      </c>
      <c r="C1132" s="87" t="str">
        <f>IF(A1132&lt;&gt;"",INDEX('Base de données'!A$4:L$990,MATCH(' TVA M'!A1132,'Base de données'!A$4:A$990,0),12),"")</f>
        <v/>
      </c>
    </row>
    <row r="1133" spans="2:3" x14ac:dyDescent="0.25">
      <c r="B1133" s="87" t="str">
        <f>IF(A1133&lt;&gt;"",INDEX('Base de données'!A$4:L$990,MATCH(' TVA M'!A1133,'Base de données'!A$4:A$990,0),2),"")</f>
        <v/>
      </c>
      <c r="C1133" s="87" t="str">
        <f>IF(A1133&lt;&gt;"",INDEX('Base de données'!A$4:L$990,MATCH(' TVA M'!A1133,'Base de données'!A$4:A$990,0),12),"")</f>
        <v/>
      </c>
    </row>
    <row r="1134" spans="2:3" x14ac:dyDescent="0.25">
      <c r="B1134" s="87" t="str">
        <f>IF(A1134&lt;&gt;"",INDEX('Base de données'!A$4:L$990,MATCH(' TVA M'!A1134,'Base de données'!A$4:A$990,0),2),"")</f>
        <v/>
      </c>
      <c r="C1134" s="87" t="str">
        <f>IF(A1134&lt;&gt;"",INDEX('Base de données'!A$4:L$990,MATCH(' TVA M'!A1134,'Base de données'!A$4:A$990,0),12),"")</f>
        <v/>
      </c>
    </row>
    <row r="1135" spans="2:3" x14ac:dyDescent="0.25">
      <c r="B1135" s="87" t="str">
        <f>IF(A1135&lt;&gt;"",INDEX('Base de données'!A$4:L$990,MATCH(' TVA M'!A1135,'Base de données'!A$4:A$990,0),2),"")</f>
        <v/>
      </c>
      <c r="C1135" s="87" t="str">
        <f>IF(A1135&lt;&gt;"",INDEX('Base de données'!A$4:L$990,MATCH(' TVA M'!A1135,'Base de données'!A$4:A$990,0),12),"")</f>
        <v/>
      </c>
    </row>
    <row r="1136" spans="2:3" x14ac:dyDescent="0.25">
      <c r="B1136" s="87" t="str">
        <f>IF(A1136&lt;&gt;"",INDEX('Base de données'!A$4:L$990,MATCH(' TVA M'!A1136,'Base de données'!A$4:A$990,0),2),"")</f>
        <v/>
      </c>
      <c r="C1136" s="87" t="str">
        <f>IF(A1136&lt;&gt;"",INDEX('Base de données'!A$4:L$990,MATCH(' TVA M'!A1136,'Base de données'!A$4:A$990,0),12),"")</f>
        <v/>
      </c>
    </row>
    <row r="1137" spans="2:3" x14ac:dyDescent="0.25">
      <c r="B1137" s="87" t="str">
        <f>IF(A1137&lt;&gt;"",INDEX('Base de données'!A$4:L$990,MATCH(' TVA M'!A1137,'Base de données'!A$4:A$990,0),2),"")</f>
        <v/>
      </c>
      <c r="C1137" s="87" t="str">
        <f>IF(A1137&lt;&gt;"",INDEX('Base de données'!A$4:L$990,MATCH(' TVA M'!A1137,'Base de données'!A$4:A$990,0),12),"")</f>
        <v/>
      </c>
    </row>
    <row r="1138" spans="2:3" x14ac:dyDescent="0.25">
      <c r="B1138" s="87" t="str">
        <f>IF(A1138&lt;&gt;"",INDEX('Base de données'!A$4:L$990,MATCH(' TVA M'!A1138,'Base de données'!A$4:A$990,0),2),"")</f>
        <v/>
      </c>
      <c r="C1138" s="87" t="str">
        <f>IF(A1138&lt;&gt;"",INDEX('Base de données'!A$4:L$990,MATCH(' TVA M'!A1138,'Base de données'!A$4:A$990,0),12),"")</f>
        <v/>
      </c>
    </row>
    <row r="1139" spans="2:3" x14ac:dyDescent="0.25">
      <c r="B1139" s="87" t="str">
        <f>IF(A1139&lt;&gt;"",INDEX('Base de données'!A$4:L$990,MATCH(' TVA M'!A1139,'Base de données'!A$4:A$990,0),2),"")</f>
        <v/>
      </c>
      <c r="C1139" s="87" t="str">
        <f>IF(A1139&lt;&gt;"",INDEX('Base de données'!A$4:L$990,MATCH(' TVA M'!A1139,'Base de données'!A$4:A$990,0),12),"")</f>
        <v/>
      </c>
    </row>
    <row r="1140" spans="2:3" x14ac:dyDescent="0.25">
      <c r="B1140" s="87" t="str">
        <f>IF(A1140&lt;&gt;"",INDEX('Base de données'!A$4:L$990,MATCH(' TVA M'!A1140,'Base de données'!A$4:A$990,0),2),"")</f>
        <v/>
      </c>
      <c r="C1140" s="87" t="str">
        <f>IF(A1140&lt;&gt;"",INDEX('Base de données'!A$4:L$990,MATCH(' TVA M'!A1140,'Base de données'!A$4:A$990,0),12),"")</f>
        <v/>
      </c>
    </row>
    <row r="1141" spans="2:3" x14ac:dyDescent="0.25">
      <c r="B1141" s="87" t="str">
        <f>IF(A1141&lt;&gt;"",INDEX('Base de données'!A$4:L$990,MATCH(' TVA M'!A1141,'Base de données'!A$4:A$990,0),2),"")</f>
        <v/>
      </c>
      <c r="C1141" s="87" t="str">
        <f>IF(A1141&lt;&gt;"",INDEX('Base de données'!A$4:L$990,MATCH(' TVA M'!A1141,'Base de données'!A$4:A$990,0),12),"")</f>
        <v/>
      </c>
    </row>
    <row r="1142" spans="2:3" x14ac:dyDescent="0.25">
      <c r="B1142" s="87" t="str">
        <f>IF(A1142&lt;&gt;"",INDEX('Base de données'!A$4:L$990,MATCH(' TVA M'!A1142,'Base de données'!A$4:A$990,0),2),"")</f>
        <v/>
      </c>
      <c r="C1142" s="87" t="str">
        <f>IF(A1142&lt;&gt;"",INDEX('Base de données'!A$4:L$990,MATCH(' TVA M'!A1142,'Base de données'!A$4:A$990,0),12),"")</f>
        <v/>
      </c>
    </row>
    <row r="1143" spans="2:3" x14ac:dyDescent="0.25">
      <c r="B1143" s="87" t="str">
        <f>IF(A1143&lt;&gt;"",INDEX('Base de données'!A$4:L$990,MATCH(' TVA M'!A1143,'Base de données'!A$4:A$990,0),2),"")</f>
        <v/>
      </c>
      <c r="C1143" s="87" t="str">
        <f>IF(A1143&lt;&gt;"",INDEX('Base de données'!A$4:L$990,MATCH(' TVA M'!A1143,'Base de données'!A$4:A$990,0),12),"")</f>
        <v/>
      </c>
    </row>
    <row r="1144" spans="2:3" x14ac:dyDescent="0.25">
      <c r="B1144" s="87" t="str">
        <f>IF(A1144&lt;&gt;"",INDEX('Base de données'!A$4:L$990,MATCH(' TVA M'!A1144,'Base de données'!A$4:A$990,0),2),"")</f>
        <v/>
      </c>
      <c r="C1144" s="87" t="str">
        <f>IF(A1144&lt;&gt;"",INDEX('Base de données'!A$4:L$990,MATCH(' TVA M'!A1144,'Base de données'!A$4:A$990,0),12),"")</f>
        <v/>
      </c>
    </row>
    <row r="1145" spans="2:3" x14ac:dyDescent="0.25">
      <c r="B1145" s="87" t="str">
        <f>IF(A1145&lt;&gt;"",INDEX('Base de données'!A$4:L$990,MATCH(' TVA M'!A1145,'Base de données'!A$4:A$990,0),2),"")</f>
        <v/>
      </c>
      <c r="C1145" s="87" t="str">
        <f>IF(A1145&lt;&gt;"",INDEX('Base de données'!A$4:L$990,MATCH(' TVA M'!A1145,'Base de données'!A$4:A$990,0),12),"")</f>
        <v/>
      </c>
    </row>
    <row r="1146" spans="2:3" x14ac:dyDescent="0.25">
      <c r="B1146" s="87" t="str">
        <f>IF(A1146&lt;&gt;"",INDEX('Base de données'!A$4:L$990,MATCH(' TVA M'!A1146,'Base de données'!A$4:A$990,0),2),"")</f>
        <v/>
      </c>
      <c r="C1146" s="87" t="str">
        <f>IF(A1146&lt;&gt;"",INDEX('Base de données'!A$4:L$990,MATCH(' TVA M'!A1146,'Base de données'!A$4:A$990,0),12),"")</f>
        <v/>
      </c>
    </row>
    <row r="1147" spans="2:3" x14ac:dyDescent="0.25">
      <c r="B1147" s="87" t="str">
        <f>IF(A1147&lt;&gt;"",INDEX('Base de données'!A$4:L$990,MATCH(' TVA M'!A1147,'Base de données'!A$4:A$990,0),2),"")</f>
        <v/>
      </c>
      <c r="C1147" s="87" t="str">
        <f>IF(A1147&lt;&gt;"",INDEX('Base de données'!A$4:L$990,MATCH(' TVA M'!A1147,'Base de données'!A$4:A$990,0),12),"")</f>
        <v/>
      </c>
    </row>
    <row r="1148" spans="2:3" x14ac:dyDescent="0.25">
      <c r="B1148" s="87" t="str">
        <f>IF(A1148&lt;&gt;"",INDEX('Base de données'!A$4:L$990,MATCH(' TVA M'!A1148,'Base de données'!A$4:A$990,0),2),"")</f>
        <v/>
      </c>
      <c r="C1148" s="87" t="str">
        <f>IF(A1148&lt;&gt;"",INDEX('Base de données'!A$4:L$990,MATCH(' TVA M'!A1148,'Base de données'!A$4:A$990,0),12),"")</f>
        <v/>
      </c>
    </row>
    <row r="1149" spans="2:3" x14ac:dyDescent="0.25">
      <c r="B1149" s="87" t="str">
        <f>IF(A1149&lt;&gt;"",INDEX('Base de données'!A$4:L$990,MATCH(' TVA M'!A1149,'Base de données'!A$4:A$990,0),2),"")</f>
        <v/>
      </c>
      <c r="C1149" s="87" t="str">
        <f>IF(A1149&lt;&gt;"",INDEX('Base de données'!A$4:L$990,MATCH(' TVA M'!A1149,'Base de données'!A$4:A$990,0),12),"")</f>
        <v/>
      </c>
    </row>
    <row r="1150" spans="2:3" x14ac:dyDescent="0.25">
      <c r="B1150" s="87" t="str">
        <f>IF(A1150&lt;&gt;"",INDEX('Base de données'!A$4:L$990,MATCH(' TVA M'!A1150,'Base de données'!A$4:A$990,0),2),"")</f>
        <v/>
      </c>
      <c r="C1150" s="87" t="str">
        <f>IF(A1150&lt;&gt;"",INDEX('Base de données'!A$4:L$990,MATCH(' TVA M'!A1150,'Base de données'!A$4:A$990,0),12),"")</f>
        <v/>
      </c>
    </row>
    <row r="1151" spans="2:3" x14ac:dyDescent="0.25">
      <c r="B1151" s="87" t="str">
        <f>IF(A1151&lt;&gt;"",INDEX('Base de données'!A$4:L$990,MATCH(' TVA M'!A1151,'Base de données'!A$4:A$990,0),2),"")</f>
        <v/>
      </c>
      <c r="C1151" s="87" t="str">
        <f>IF(A1151&lt;&gt;"",INDEX('Base de données'!A$4:L$990,MATCH(' TVA M'!A1151,'Base de données'!A$4:A$990,0),12),"")</f>
        <v/>
      </c>
    </row>
    <row r="1152" spans="2:3" x14ac:dyDescent="0.25">
      <c r="B1152" s="87" t="str">
        <f>IF(A1152&lt;&gt;"",INDEX('Base de données'!A$4:L$990,MATCH(' TVA M'!A1152,'Base de données'!A$4:A$990,0),2),"")</f>
        <v/>
      </c>
      <c r="C1152" s="87" t="str">
        <f>IF(A1152&lt;&gt;"",INDEX('Base de données'!A$4:L$990,MATCH(' TVA M'!A1152,'Base de données'!A$4:A$990,0),12),"")</f>
        <v/>
      </c>
    </row>
    <row r="1153" spans="2:3" x14ac:dyDescent="0.25">
      <c r="B1153" s="87" t="str">
        <f>IF(A1153&lt;&gt;"",INDEX('Base de données'!A$4:L$990,MATCH(' TVA M'!A1153,'Base de données'!A$4:A$990,0),2),"")</f>
        <v/>
      </c>
      <c r="C1153" s="87" t="str">
        <f>IF(A1153&lt;&gt;"",INDEX('Base de données'!A$4:L$990,MATCH(' TVA M'!A1153,'Base de données'!A$4:A$990,0),12),"")</f>
        <v/>
      </c>
    </row>
    <row r="1154" spans="2:3" x14ac:dyDescent="0.25">
      <c r="B1154" s="87" t="str">
        <f>IF(A1154&lt;&gt;"",INDEX('Base de données'!A$4:L$990,MATCH(' TVA M'!A1154,'Base de données'!A$4:A$990,0),2),"")</f>
        <v/>
      </c>
      <c r="C1154" s="87" t="str">
        <f>IF(A1154&lt;&gt;"",INDEX('Base de données'!A$4:L$990,MATCH(' TVA M'!A1154,'Base de données'!A$4:A$990,0),12),"")</f>
        <v/>
      </c>
    </row>
    <row r="1155" spans="2:3" x14ac:dyDescent="0.25">
      <c r="B1155" s="87" t="str">
        <f>IF(A1155&lt;&gt;"",INDEX('Base de données'!A$4:L$990,MATCH(' TVA M'!A1155,'Base de données'!A$4:A$990,0),2),"")</f>
        <v/>
      </c>
      <c r="C1155" s="87" t="str">
        <f>IF(A1155&lt;&gt;"",INDEX('Base de données'!A$4:L$990,MATCH(' TVA M'!A1155,'Base de données'!A$4:A$990,0),12),"")</f>
        <v/>
      </c>
    </row>
    <row r="1156" spans="2:3" x14ac:dyDescent="0.25">
      <c r="B1156" s="87" t="str">
        <f>IF(A1156&lt;&gt;"",INDEX('Base de données'!A$4:L$990,MATCH(' TVA M'!A1156,'Base de données'!A$4:A$990,0),2),"")</f>
        <v/>
      </c>
      <c r="C1156" s="87" t="str">
        <f>IF(A1156&lt;&gt;"",INDEX('Base de données'!A$4:L$990,MATCH(' TVA M'!A1156,'Base de données'!A$4:A$990,0),12),"")</f>
        <v/>
      </c>
    </row>
    <row r="1157" spans="2:3" x14ac:dyDescent="0.25">
      <c r="B1157" s="87" t="str">
        <f>IF(A1157&lt;&gt;"",INDEX('Base de données'!A$4:L$990,MATCH(' TVA M'!A1157,'Base de données'!A$4:A$990,0),2),"")</f>
        <v/>
      </c>
      <c r="C1157" s="87" t="str">
        <f>IF(A1157&lt;&gt;"",INDEX('Base de données'!A$4:L$990,MATCH(' TVA M'!A1157,'Base de données'!A$4:A$990,0),12),"")</f>
        <v/>
      </c>
    </row>
    <row r="1158" spans="2:3" x14ac:dyDescent="0.25">
      <c r="B1158" s="87" t="str">
        <f>IF(A1158&lt;&gt;"",INDEX('Base de données'!A$4:L$990,MATCH(' TVA M'!A1158,'Base de données'!A$4:A$990,0),2),"")</f>
        <v/>
      </c>
      <c r="C1158" s="87" t="str">
        <f>IF(A1158&lt;&gt;"",INDEX('Base de données'!A$4:L$990,MATCH(' TVA M'!A1158,'Base de données'!A$4:A$990,0),12),"")</f>
        <v/>
      </c>
    </row>
    <row r="1159" spans="2:3" x14ac:dyDescent="0.25">
      <c r="B1159" s="87" t="str">
        <f>IF(A1159&lt;&gt;"",INDEX('Base de données'!A$4:L$990,MATCH(' TVA M'!A1159,'Base de données'!A$4:A$990,0),2),"")</f>
        <v/>
      </c>
      <c r="C1159" s="87" t="str">
        <f>IF(A1159&lt;&gt;"",INDEX('Base de données'!A$4:L$990,MATCH(' TVA M'!A1159,'Base de données'!A$4:A$990,0),12),"")</f>
        <v/>
      </c>
    </row>
    <row r="1160" spans="2:3" x14ac:dyDescent="0.25">
      <c r="B1160" s="87" t="str">
        <f>IF(A1160&lt;&gt;"",INDEX('Base de données'!A$4:L$990,MATCH(' TVA M'!A1160,'Base de données'!A$4:A$990,0),2),"")</f>
        <v/>
      </c>
      <c r="C1160" s="87" t="str">
        <f>IF(A1160&lt;&gt;"",INDEX('Base de données'!A$4:L$990,MATCH(' TVA M'!A1160,'Base de données'!A$4:A$990,0),12),"")</f>
        <v/>
      </c>
    </row>
    <row r="1161" spans="2:3" x14ac:dyDescent="0.25">
      <c r="B1161" s="87" t="str">
        <f>IF(A1161&lt;&gt;"",INDEX('Base de données'!A$4:L$990,MATCH(' TVA M'!A1161,'Base de données'!A$4:A$990,0),2),"")</f>
        <v/>
      </c>
      <c r="C1161" s="87" t="str">
        <f>IF(A1161&lt;&gt;"",INDEX('Base de données'!A$4:L$990,MATCH(' TVA M'!A1161,'Base de données'!A$4:A$990,0),12),"")</f>
        <v/>
      </c>
    </row>
    <row r="1162" spans="2:3" x14ac:dyDescent="0.25">
      <c r="B1162" s="87" t="str">
        <f>IF(A1162&lt;&gt;"",INDEX('Base de données'!A$4:L$990,MATCH(' TVA M'!A1162,'Base de données'!A$4:A$990,0),2),"")</f>
        <v/>
      </c>
      <c r="C1162" s="87" t="str">
        <f>IF(A1162&lt;&gt;"",INDEX('Base de données'!A$4:L$990,MATCH(' TVA M'!A1162,'Base de données'!A$4:A$990,0),12),"")</f>
        <v/>
      </c>
    </row>
    <row r="1163" spans="2:3" x14ac:dyDescent="0.25">
      <c r="B1163" s="87" t="str">
        <f>IF(A1163&lt;&gt;"",INDEX('Base de données'!A$4:L$990,MATCH(' TVA M'!A1163,'Base de données'!A$4:A$990,0),2),"")</f>
        <v/>
      </c>
      <c r="C1163" s="87" t="str">
        <f>IF(A1163&lt;&gt;"",INDEX('Base de données'!A$4:L$990,MATCH(' TVA M'!A1163,'Base de données'!A$4:A$990,0),12),"")</f>
        <v/>
      </c>
    </row>
    <row r="1164" spans="2:3" x14ac:dyDescent="0.25">
      <c r="B1164" s="87" t="str">
        <f>IF(A1164&lt;&gt;"",INDEX('Base de données'!A$4:L$990,MATCH(' TVA M'!A1164,'Base de données'!A$4:A$990,0),2),"")</f>
        <v/>
      </c>
      <c r="C1164" s="87" t="str">
        <f>IF(A1164&lt;&gt;"",INDEX('Base de données'!A$4:L$990,MATCH(' TVA M'!A1164,'Base de données'!A$4:A$990,0),12),"")</f>
        <v/>
      </c>
    </row>
    <row r="1165" spans="2:3" x14ac:dyDescent="0.25">
      <c r="B1165" s="87" t="str">
        <f>IF(A1165&lt;&gt;"",INDEX('Base de données'!A$4:L$990,MATCH(' TVA M'!A1165,'Base de données'!A$4:A$990,0),2),"")</f>
        <v/>
      </c>
      <c r="C1165" s="87" t="str">
        <f>IF(A1165&lt;&gt;"",INDEX('Base de données'!A$4:L$990,MATCH(' TVA M'!A1165,'Base de données'!A$4:A$990,0),12),"")</f>
        <v/>
      </c>
    </row>
    <row r="1166" spans="2:3" x14ac:dyDescent="0.25">
      <c r="B1166" s="87" t="str">
        <f>IF(A1166&lt;&gt;"",INDEX('Base de données'!A$4:L$990,MATCH(' TVA M'!A1166,'Base de données'!A$4:A$990,0),2),"")</f>
        <v/>
      </c>
      <c r="C1166" s="87" t="str">
        <f>IF(A1166&lt;&gt;"",INDEX('Base de données'!A$4:L$990,MATCH(' TVA M'!A1166,'Base de données'!A$4:A$990,0),12),"")</f>
        <v/>
      </c>
    </row>
    <row r="1167" spans="2:3" x14ac:dyDescent="0.25">
      <c r="B1167" s="87" t="str">
        <f>IF(A1167&lt;&gt;"",INDEX('Base de données'!A$4:L$990,MATCH(' TVA M'!A1167,'Base de données'!A$4:A$990,0),2),"")</f>
        <v/>
      </c>
      <c r="C1167" s="87" t="str">
        <f>IF(A1167&lt;&gt;"",INDEX('Base de données'!A$4:L$990,MATCH(' TVA M'!A1167,'Base de données'!A$4:A$990,0),12),"")</f>
        <v/>
      </c>
    </row>
    <row r="1168" spans="2:3" x14ac:dyDescent="0.25">
      <c r="B1168" s="87" t="str">
        <f>IF(A1168&lt;&gt;"",INDEX('Base de données'!A$4:L$990,MATCH(' TVA M'!A1168,'Base de données'!A$4:A$990,0),2),"")</f>
        <v/>
      </c>
      <c r="C1168" s="87" t="str">
        <f>IF(A1168&lt;&gt;"",INDEX('Base de données'!A$4:L$990,MATCH(' TVA M'!A1168,'Base de données'!A$4:A$990,0),12),"")</f>
        <v/>
      </c>
    </row>
    <row r="1169" spans="2:3" x14ac:dyDescent="0.25">
      <c r="B1169" s="87" t="str">
        <f>IF(A1169&lt;&gt;"",INDEX('Base de données'!A$4:L$990,MATCH(' TVA M'!A1169,'Base de données'!A$4:A$990,0),2),"")</f>
        <v/>
      </c>
      <c r="C1169" s="87" t="str">
        <f>IF(A1169&lt;&gt;"",INDEX('Base de données'!A$4:L$990,MATCH(' TVA M'!A1169,'Base de données'!A$4:A$990,0),12),"")</f>
        <v/>
      </c>
    </row>
    <row r="1170" spans="2:3" x14ac:dyDescent="0.25">
      <c r="B1170" s="87" t="str">
        <f>IF(A1170&lt;&gt;"",INDEX('Base de données'!A$4:L$990,MATCH(' TVA M'!A1170,'Base de données'!A$4:A$990,0),2),"")</f>
        <v/>
      </c>
      <c r="C1170" s="87" t="str">
        <f>IF(A1170&lt;&gt;"",INDEX('Base de données'!A$4:L$990,MATCH(' TVA M'!A1170,'Base de données'!A$4:A$990,0),12),"")</f>
        <v/>
      </c>
    </row>
    <row r="1171" spans="2:3" x14ac:dyDescent="0.25">
      <c r="B1171" s="87" t="str">
        <f>IF(A1171&lt;&gt;"",INDEX('Base de données'!A$4:L$990,MATCH(' TVA M'!A1171,'Base de données'!A$4:A$990,0),2),"")</f>
        <v/>
      </c>
      <c r="C1171" s="87" t="str">
        <f>IF(A1171&lt;&gt;"",INDEX('Base de données'!A$4:L$990,MATCH(' TVA M'!A1171,'Base de données'!A$4:A$990,0),12),"")</f>
        <v/>
      </c>
    </row>
    <row r="1172" spans="2:3" x14ac:dyDescent="0.25">
      <c r="B1172" s="87" t="str">
        <f>IF(A1172&lt;&gt;"",INDEX('Base de données'!A$4:L$990,MATCH(' TVA M'!A1172,'Base de données'!A$4:A$990,0),2),"")</f>
        <v/>
      </c>
      <c r="C1172" s="87" t="str">
        <f>IF(A1172&lt;&gt;"",INDEX('Base de données'!A$4:L$990,MATCH(' TVA M'!A1172,'Base de données'!A$4:A$990,0),12),"")</f>
        <v/>
      </c>
    </row>
    <row r="1173" spans="2:3" x14ac:dyDescent="0.25">
      <c r="B1173" s="87" t="str">
        <f>IF(A1173&lt;&gt;"",INDEX('Base de données'!A$4:L$990,MATCH(' TVA M'!A1173,'Base de données'!A$4:A$990,0),2),"")</f>
        <v/>
      </c>
      <c r="C1173" s="87" t="str">
        <f>IF(A1173&lt;&gt;"",INDEX('Base de données'!A$4:L$990,MATCH(' TVA M'!A1173,'Base de données'!A$4:A$990,0),12),"")</f>
        <v/>
      </c>
    </row>
    <row r="1174" spans="2:3" x14ac:dyDescent="0.25">
      <c r="B1174" s="87" t="str">
        <f>IF(A1174&lt;&gt;"",INDEX('Base de données'!A$4:L$990,MATCH(' TVA M'!A1174,'Base de données'!A$4:A$990,0),2),"")</f>
        <v/>
      </c>
      <c r="C1174" s="87" t="str">
        <f>IF(A1174&lt;&gt;"",INDEX('Base de données'!A$4:L$990,MATCH(' TVA M'!A1174,'Base de données'!A$4:A$990,0),12),"")</f>
        <v/>
      </c>
    </row>
    <row r="1175" spans="2:3" x14ac:dyDescent="0.25">
      <c r="B1175" s="87" t="str">
        <f>IF(A1175&lt;&gt;"",INDEX('Base de données'!A$4:L$990,MATCH(' TVA M'!A1175,'Base de données'!A$4:A$990,0),2),"")</f>
        <v/>
      </c>
      <c r="C1175" s="87" t="str">
        <f>IF(A1175&lt;&gt;"",INDEX('Base de données'!A$4:L$990,MATCH(' TVA M'!A1175,'Base de données'!A$4:A$990,0),12),"")</f>
        <v/>
      </c>
    </row>
    <row r="1176" spans="2:3" x14ac:dyDescent="0.25">
      <c r="B1176" s="87" t="str">
        <f>IF(A1176&lt;&gt;"",INDEX('Base de données'!A$4:L$990,MATCH(' TVA M'!A1176,'Base de données'!A$4:A$990,0),2),"")</f>
        <v/>
      </c>
      <c r="C1176" s="87" t="str">
        <f>IF(A1176&lt;&gt;"",INDEX('Base de données'!A$4:L$990,MATCH(' TVA M'!A1176,'Base de données'!A$4:A$990,0),12),"")</f>
        <v/>
      </c>
    </row>
    <row r="1177" spans="2:3" x14ac:dyDescent="0.25">
      <c r="B1177" s="87" t="str">
        <f>IF(A1177&lt;&gt;"",INDEX('Base de données'!A$4:L$990,MATCH(' TVA M'!A1177,'Base de données'!A$4:A$990,0),2),"")</f>
        <v/>
      </c>
      <c r="C1177" s="87" t="str">
        <f>IF(A1177&lt;&gt;"",INDEX('Base de données'!A$4:L$990,MATCH(' TVA M'!A1177,'Base de données'!A$4:A$990,0),12),"")</f>
        <v/>
      </c>
    </row>
    <row r="1178" spans="2:3" x14ac:dyDescent="0.25">
      <c r="B1178" s="87" t="str">
        <f>IF(A1178&lt;&gt;"",INDEX('Base de données'!A$4:L$990,MATCH(' TVA M'!A1178,'Base de données'!A$4:A$990,0),2),"")</f>
        <v/>
      </c>
      <c r="C1178" s="87" t="str">
        <f>IF(A1178&lt;&gt;"",INDEX('Base de données'!A$4:L$990,MATCH(' TVA M'!A1178,'Base de données'!A$4:A$990,0),12),"")</f>
        <v/>
      </c>
    </row>
    <row r="1179" spans="2:3" x14ac:dyDescent="0.25">
      <c r="B1179" s="87" t="str">
        <f>IF(A1179&lt;&gt;"",INDEX('Base de données'!A$4:L$990,MATCH(' TVA M'!A1179,'Base de données'!A$4:A$990,0),2),"")</f>
        <v/>
      </c>
      <c r="C1179" s="87" t="str">
        <f>IF(A1179&lt;&gt;"",INDEX('Base de données'!A$4:L$990,MATCH(' TVA M'!A1179,'Base de données'!A$4:A$990,0),12),"")</f>
        <v/>
      </c>
    </row>
    <row r="1180" spans="2:3" x14ac:dyDescent="0.25">
      <c r="B1180" s="87" t="str">
        <f>IF(A1180&lt;&gt;"",INDEX('Base de données'!A$4:L$990,MATCH(' TVA M'!A1180,'Base de données'!A$4:A$990,0),2),"")</f>
        <v/>
      </c>
      <c r="C1180" s="87" t="str">
        <f>IF(A1180&lt;&gt;"",INDEX('Base de données'!A$4:L$990,MATCH(' TVA M'!A1180,'Base de données'!A$4:A$990,0),12),"")</f>
        <v/>
      </c>
    </row>
    <row r="1181" spans="2:3" x14ac:dyDescent="0.25">
      <c r="B1181" s="87" t="str">
        <f>IF(A1181&lt;&gt;"",INDEX('Base de données'!A$4:L$990,MATCH(' TVA M'!A1181,'Base de données'!A$4:A$990,0),2),"")</f>
        <v/>
      </c>
      <c r="C1181" s="87" t="str">
        <f>IF(A1181&lt;&gt;"",INDEX('Base de données'!A$4:L$990,MATCH(' TVA M'!A1181,'Base de données'!A$4:A$990,0),12),"")</f>
        <v/>
      </c>
    </row>
    <row r="1182" spans="2:3" x14ac:dyDescent="0.25">
      <c r="B1182" s="87" t="str">
        <f>IF(A1182&lt;&gt;"",INDEX('Base de données'!A$4:L$990,MATCH(' TVA M'!A1182,'Base de données'!A$4:A$990,0),2),"")</f>
        <v/>
      </c>
      <c r="C1182" s="87" t="str">
        <f>IF(A1182&lt;&gt;"",INDEX('Base de données'!A$4:L$990,MATCH(' TVA M'!A1182,'Base de données'!A$4:A$990,0),12),"")</f>
        <v/>
      </c>
    </row>
    <row r="1183" spans="2:3" x14ac:dyDescent="0.25">
      <c r="B1183" s="87" t="str">
        <f>IF(A1183&lt;&gt;"",INDEX('Base de données'!A$4:L$990,MATCH(' TVA M'!A1183,'Base de données'!A$4:A$990,0),2),"")</f>
        <v/>
      </c>
      <c r="C1183" s="87" t="str">
        <f>IF(A1183&lt;&gt;"",INDEX('Base de données'!A$4:L$990,MATCH(' TVA M'!A1183,'Base de données'!A$4:A$990,0),12),"")</f>
        <v/>
      </c>
    </row>
    <row r="1184" spans="2:3" x14ac:dyDescent="0.25">
      <c r="B1184" s="87" t="str">
        <f>IF(A1184&lt;&gt;"",INDEX('Base de données'!A$4:L$990,MATCH(' TVA M'!A1184,'Base de données'!A$4:A$990,0),2),"")</f>
        <v/>
      </c>
      <c r="C1184" s="87" t="str">
        <f>IF(A1184&lt;&gt;"",INDEX('Base de données'!A$4:L$990,MATCH(' TVA M'!A1184,'Base de données'!A$4:A$990,0),12),"")</f>
        <v/>
      </c>
    </row>
    <row r="1185" spans="2:3" x14ac:dyDescent="0.25">
      <c r="B1185" s="87" t="str">
        <f>IF(A1185&lt;&gt;"",INDEX('Base de données'!A$4:L$990,MATCH(' TVA M'!A1185,'Base de données'!A$4:A$990,0),2),"")</f>
        <v/>
      </c>
      <c r="C1185" s="87" t="str">
        <f>IF(A1185&lt;&gt;"",INDEX('Base de données'!A$4:L$990,MATCH(' TVA M'!A1185,'Base de données'!A$4:A$990,0),12),"")</f>
        <v/>
      </c>
    </row>
    <row r="1186" spans="2:3" x14ac:dyDescent="0.25">
      <c r="B1186" s="87" t="str">
        <f>IF(A1186&lt;&gt;"",INDEX('Base de données'!A$4:L$990,MATCH(' TVA M'!A1186,'Base de données'!A$4:A$990,0),2),"")</f>
        <v/>
      </c>
      <c r="C1186" s="87" t="str">
        <f>IF(A1186&lt;&gt;"",INDEX('Base de données'!A$4:L$990,MATCH(' TVA M'!A1186,'Base de données'!A$4:A$990,0),12),"")</f>
        <v/>
      </c>
    </row>
    <row r="1187" spans="2:3" x14ac:dyDescent="0.25">
      <c r="B1187" s="87" t="str">
        <f>IF(A1187&lt;&gt;"",INDEX('Base de données'!A$4:L$990,MATCH(' TVA M'!A1187,'Base de données'!A$4:A$990,0),2),"")</f>
        <v/>
      </c>
      <c r="C1187" s="87" t="str">
        <f>IF(A1187&lt;&gt;"",INDEX('Base de données'!A$4:L$990,MATCH(' TVA M'!A1187,'Base de données'!A$4:A$990,0),12),"")</f>
        <v/>
      </c>
    </row>
    <row r="1188" spans="2:3" x14ac:dyDescent="0.25">
      <c r="B1188" s="87" t="str">
        <f>IF(A1188&lt;&gt;"",INDEX('Base de données'!A$4:L$990,MATCH(' TVA M'!A1188,'Base de données'!A$4:A$990,0),2),"")</f>
        <v/>
      </c>
      <c r="C1188" s="87" t="str">
        <f>IF(A1188&lt;&gt;"",INDEX('Base de données'!A$4:L$990,MATCH(' TVA M'!A1188,'Base de données'!A$4:A$990,0),12),"")</f>
        <v/>
      </c>
    </row>
    <row r="1189" spans="2:3" x14ac:dyDescent="0.25">
      <c r="B1189" s="87" t="str">
        <f>IF(A1189&lt;&gt;"",INDEX('Base de données'!A$4:L$990,MATCH(' TVA M'!A1189,'Base de données'!A$4:A$990,0),2),"")</f>
        <v/>
      </c>
      <c r="C1189" s="87" t="str">
        <f>IF(A1189&lt;&gt;"",INDEX('Base de données'!A$4:L$990,MATCH(' TVA M'!A1189,'Base de données'!A$4:A$990,0),12),"")</f>
        <v/>
      </c>
    </row>
    <row r="1190" spans="2:3" x14ac:dyDescent="0.25">
      <c r="B1190" s="87" t="str">
        <f>IF(A1190&lt;&gt;"",INDEX('Base de données'!A$4:L$990,MATCH(' TVA M'!A1190,'Base de données'!A$4:A$990,0),2),"")</f>
        <v/>
      </c>
      <c r="C1190" s="87" t="str">
        <f>IF(A1190&lt;&gt;"",INDEX('Base de données'!A$4:L$990,MATCH(' TVA M'!A1190,'Base de données'!A$4:A$990,0),12),"")</f>
        <v/>
      </c>
    </row>
    <row r="1191" spans="2:3" x14ac:dyDescent="0.25">
      <c r="B1191" s="87" t="str">
        <f>IF(A1191&lt;&gt;"",INDEX('Base de données'!A$4:L$990,MATCH(' TVA M'!A1191,'Base de données'!A$4:A$990,0),2),"")</f>
        <v/>
      </c>
      <c r="C1191" s="87" t="str">
        <f>IF(A1191&lt;&gt;"",INDEX('Base de données'!A$4:L$990,MATCH(' TVA M'!A1191,'Base de données'!A$4:A$990,0),12),"")</f>
        <v/>
      </c>
    </row>
    <row r="1192" spans="2:3" x14ac:dyDescent="0.25">
      <c r="B1192" s="87" t="str">
        <f>IF(A1192&lt;&gt;"",INDEX('Base de données'!A$4:L$990,MATCH(' TVA M'!A1192,'Base de données'!A$4:A$990,0),2),"")</f>
        <v/>
      </c>
      <c r="C1192" s="87" t="str">
        <f>IF(A1192&lt;&gt;"",INDEX('Base de données'!A$4:L$990,MATCH(' TVA M'!A1192,'Base de données'!A$4:A$990,0),12),"")</f>
        <v/>
      </c>
    </row>
    <row r="1193" spans="2:3" x14ac:dyDescent="0.25">
      <c r="B1193" s="87" t="str">
        <f>IF(A1193&lt;&gt;"",INDEX('Base de données'!A$4:L$990,MATCH(' TVA M'!A1193,'Base de données'!A$4:A$990,0),2),"")</f>
        <v/>
      </c>
      <c r="C1193" s="87" t="str">
        <f>IF(A1193&lt;&gt;"",INDEX('Base de données'!A$4:L$990,MATCH(' TVA M'!A1193,'Base de données'!A$4:A$990,0),12),"")</f>
        <v/>
      </c>
    </row>
    <row r="1194" spans="2:3" x14ac:dyDescent="0.25">
      <c r="B1194" s="87" t="str">
        <f>IF(A1194&lt;&gt;"",INDEX('Base de données'!A$4:L$990,MATCH(' TVA M'!A1194,'Base de données'!A$4:A$990,0),2),"")</f>
        <v/>
      </c>
      <c r="C1194" s="87" t="str">
        <f>IF(A1194&lt;&gt;"",INDEX('Base de données'!A$4:L$990,MATCH(' TVA M'!A1194,'Base de données'!A$4:A$990,0),12),"")</f>
        <v/>
      </c>
    </row>
    <row r="1195" spans="2:3" x14ac:dyDescent="0.25">
      <c r="B1195" s="87" t="str">
        <f>IF(A1195&lt;&gt;"",INDEX('Base de données'!A$4:L$990,MATCH(' TVA M'!A1195,'Base de données'!A$4:A$990,0),2),"")</f>
        <v/>
      </c>
      <c r="C1195" s="87" t="str">
        <f>IF(A1195&lt;&gt;"",INDEX('Base de données'!A$4:L$990,MATCH(' TVA M'!A1195,'Base de données'!A$4:A$990,0),12),"")</f>
        <v/>
      </c>
    </row>
    <row r="1196" spans="2:3" x14ac:dyDescent="0.25">
      <c r="B1196" s="87" t="str">
        <f>IF(A1196&lt;&gt;"",INDEX('Base de données'!A$4:L$990,MATCH(' TVA M'!A1196,'Base de données'!A$4:A$990,0),2),"")</f>
        <v/>
      </c>
      <c r="C1196" s="87" t="str">
        <f>IF(A1196&lt;&gt;"",INDEX('Base de données'!A$4:L$990,MATCH(' TVA M'!A1196,'Base de données'!A$4:A$990,0),12),"")</f>
        <v/>
      </c>
    </row>
    <row r="1197" spans="2:3" x14ac:dyDescent="0.25">
      <c r="B1197" s="87" t="str">
        <f>IF(A1197&lt;&gt;"",INDEX('Base de données'!A$4:L$990,MATCH(' TVA M'!A1197,'Base de données'!A$4:A$990,0),2),"")</f>
        <v/>
      </c>
      <c r="C1197" s="87" t="str">
        <f>IF(A1197&lt;&gt;"",INDEX('Base de données'!A$4:L$990,MATCH(' TVA M'!A1197,'Base de données'!A$4:A$990,0),12),"")</f>
        <v/>
      </c>
    </row>
    <row r="1198" spans="2:3" x14ac:dyDescent="0.25">
      <c r="B1198" s="87" t="str">
        <f>IF(A1198&lt;&gt;"",INDEX('Base de données'!A$4:L$990,MATCH(' TVA M'!A1198,'Base de données'!A$4:A$990,0),2),"")</f>
        <v/>
      </c>
      <c r="C1198" s="87" t="str">
        <f>IF(A1198&lt;&gt;"",INDEX('Base de données'!A$4:L$990,MATCH(' TVA M'!A1198,'Base de données'!A$4:A$990,0),12),"")</f>
        <v/>
      </c>
    </row>
    <row r="1199" spans="2:3" x14ac:dyDescent="0.25">
      <c r="B1199" s="87" t="str">
        <f>IF(A1199&lt;&gt;"",INDEX('Base de données'!A$4:L$990,MATCH(' TVA M'!A1199,'Base de données'!A$4:A$990,0),2),"")</f>
        <v/>
      </c>
      <c r="C1199" s="87" t="str">
        <f>IF(A1199&lt;&gt;"",INDEX('Base de données'!A$4:L$990,MATCH(' TVA M'!A1199,'Base de données'!A$4:A$990,0),12),"")</f>
        <v/>
      </c>
    </row>
    <row r="1200" spans="2:3" x14ac:dyDescent="0.25">
      <c r="B1200" s="87" t="str">
        <f>IF(A1200&lt;&gt;"",INDEX('Base de données'!A$4:L$990,MATCH(' TVA M'!A1200,'Base de données'!A$4:A$990,0),2),"")</f>
        <v/>
      </c>
      <c r="C1200" s="87" t="str">
        <f>IF(A1200&lt;&gt;"",INDEX('Base de données'!A$4:L$990,MATCH(' TVA M'!A1200,'Base de données'!A$4:A$990,0),12),"")</f>
        <v/>
      </c>
    </row>
    <row r="1201" spans="2:3" x14ac:dyDescent="0.25">
      <c r="B1201" s="87" t="str">
        <f>IF(A1201&lt;&gt;"",INDEX('Base de données'!A$4:L$990,MATCH(' TVA M'!A1201,'Base de données'!A$4:A$990,0),2),"")</f>
        <v/>
      </c>
      <c r="C1201" s="87" t="str">
        <f>IF(A1201&lt;&gt;"",INDEX('Base de données'!A$4:L$990,MATCH(' TVA M'!A1201,'Base de données'!A$4:A$990,0),12),"")</f>
        <v/>
      </c>
    </row>
    <row r="1202" spans="2:3" x14ac:dyDescent="0.25">
      <c r="B1202" s="87" t="str">
        <f>IF(A1202&lt;&gt;"",INDEX('Base de données'!A$4:L$990,MATCH(' TVA M'!A1202,'Base de données'!A$4:A$990,0),2),"")</f>
        <v/>
      </c>
      <c r="C1202" s="87" t="str">
        <f>IF(A1202&lt;&gt;"",INDEX('Base de données'!A$4:L$990,MATCH(' TVA M'!A1202,'Base de données'!A$4:A$990,0),12),"")</f>
        <v/>
      </c>
    </row>
    <row r="1203" spans="2:3" x14ac:dyDescent="0.25">
      <c r="B1203" s="87" t="str">
        <f>IF(A1203&lt;&gt;"",INDEX('Base de données'!A$4:L$990,MATCH(' TVA M'!A1203,'Base de données'!A$4:A$990,0),2),"")</f>
        <v/>
      </c>
      <c r="C1203" s="87" t="str">
        <f>IF(A1203&lt;&gt;"",INDEX('Base de données'!A$4:L$990,MATCH(' TVA M'!A1203,'Base de données'!A$4:A$990,0),12),"")</f>
        <v/>
      </c>
    </row>
    <row r="1204" spans="2:3" x14ac:dyDescent="0.25">
      <c r="B1204" s="87" t="str">
        <f>IF(A1204&lt;&gt;"",INDEX('Base de données'!A$4:L$990,MATCH(' TVA M'!A1204,'Base de données'!A$4:A$990,0),2),"")</f>
        <v/>
      </c>
      <c r="C1204" s="87" t="str">
        <f>IF(A1204&lt;&gt;"",INDEX('Base de données'!A$4:L$990,MATCH(' TVA M'!A1204,'Base de données'!A$4:A$990,0),12),"")</f>
        <v/>
      </c>
    </row>
    <row r="1205" spans="2:3" x14ac:dyDescent="0.25">
      <c r="B1205" s="87" t="str">
        <f>IF(A1205&lt;&gt;"",INDEX('Base de données'!A$4:L$990,MATCH(' TVA M'!A1205,'Base de données'!A$4:A$990,0),2),"")</f>
        <v/>
      </c>
      <c r="C1205" s="87" t="str">
        <f>IF(A1205&lt;&gt;"",INDEX('Base de données'!A$4:L$990,MATCH(' TVA M'!A1205,'Base de données'!A$4:A$990,0),12),"")</f>
        <v/>
      </c>
    </row>
    <row r="1206" spans="2:3" x14ac:dyDescent="0.25">
      <c r="B1206" s="87" t="str">
        <f>IF(A1206&lt;&gt;"",INDEX('Base de données'!A$4:L$990,MATCH(' TVA M'!A1206,'Base de données'!A$4:A$990,0),2),"")</f>
        <v/>
      </c>
      <c r="C1206" s="87" t="str">
        <f>IF(A1206&lt;&gt;"",INDEX('Base de données'!A$4:L$990,MATCH(' TVA M'!A1206,'Base de données'!A$4:A$990,0),12),"")</f>
        <v/>
      </c>
    </row>
    <row r="1207" spans="2:3" x14ac:dyDescent="0.25">
      <c r="B1207" s="87" t="str">
        <f>IF(A1207&lt;&gt;"",INDEX('Base de données'!A$4:L$990,MATCH(' TVA M'!A1207,'Base de données'!A$4:A$990,0),2),"")</f>
        <v/>
      </c>
      <c r="C1207" s="87" t="str">
        <f>IF(A1207&lt;&gt;"",INDEX('Base de données'!A$4:L$990,MATCH(' TVA M'!A1207,'Base de données'!A$4:A$990,0),12),"")</f>
        <v/>
      </c>
    </row>
    <row r="1208" spans="2:3" x14ac:dyDescent="0.25">
      <c r="B1208" s="87" t="str">
        <f>IF(A1208&lt;&gt;"",INDEX('Base de données'!A$4:L$990,MATCH(' TVA M'!A1208,'Base de données'!A$4:A$990,0),2),"")</f>
        <v/>
      </c>
      <c r="C1208" s="87" t="str">
        <f>IF(A1208&lt;&gt;"",INDEX('Base de données'!A$4:L$990,MATCH(' TVA M'!A1208,'Base de données'!A$4:A$990,0),12),"")</f>
        <v/>
      </c>
    </row>
    <row r="1209" spans="2:3" x14ac:dyDescent="0.25">
      <c r="B1209" s="87" t="str">
        <f>IF(A1209&lt;&gt;"",INDEX('Base de données'!A$4:L$990,MATCH(' TVA M'!A1209,'Base de données'!A$4:A$990,0),2),"")</f>
        <v/>
      </c>
      <c r="C1209" s="87" t="str">
        <f>IF(A1209&lt;&gt;"",INDEX('Base de données'!A$4:L$990,MATCH(' TVA M'!A1209,'Base de données'!A$4:A$990,0),12),"")</f>
        <v/>
      </c>
    </row>
    <row r="1210" spans="2:3" x14ac:dyDescent="0.25">
      <c r="B1210" s="87" t="str">
        <f>IF(A1210&lt;&gt;"",INDEX('Base de données'!A$4:L$990,MATCH(' TVA M'!A1210,'Base de données'!A$4:A$990,0),2),"")</f>
        <v/>
      </c>
      <c r="C1210" s="87" t="str">
        <f>IF(A1210&lt;&gt;"",INDEX('Base de données'!A$4:L$990,MATCH(' TVA M'!A1210,'Base de données'!A$4:A$990,0),12),"")</f>
        <v/>
      </c>
    </row>
    <row r="1211" spans="2:3" x14ac:dyDescent="0.25">
      <c r="B1211" s="87" t="str">
        <f>IF(A1211&lt;&gt;"",INDEX('Base de données'!A$4:L$990,MATCH(' TVA M'!A1211,'Base de données'!A$4:A$990,0),2),"")</f>
        <v/>
      </c>
      <c r="C1211" s="87" t="str">
        <f>IF(A1211&lt;&gt;"",INDEX('Base de données'!A$4:L$990,MATCH(' TVA M'!A1211,'Base de données'!A$4:A$990,0),12),"")</f>
        <v/>
      </c>
    </row>
    <row r="1212" spans="2:3" x14ac:dyDescent="0.25">
      <c r="B1212" s="87" t="str">
        <f>IF(A1212&lt;&gt;"",INDEX('Base de données'!A$4:L$990,MATCH(' TVA M'!A1212,'Base de données'!A$4:A$990,0),2),"")</f>
        <v/>
      </c>
      <c r="C1212" s="87" t="str">
        <f>IF(A1212&lt;&gt;"",INDEX('Base de données'!A$4:L$990,MATCH(' TVA M'!A1212,'Base de données'!A$4:A$990,0),12),"")</f>
        <v/>
      </c>
    </row>
    <row r="1213" spans="2:3" x14ac:dyDescent="0.25">
      <c r="B1213" s="87" t="str">
        <f>IF(A1213&lt;&gt;"",INDEX('Base de données'!A$4:L$990,MATCH(' TVA M'!A1213,'Base de données'!A$4:A$990,0),2),"")</f>
        <v/>
      </c>
      <c r="C1213" s="87" t="str">
        <f>IF(A1213&lt;&gt;"",INDEX('Base de données'!A$4:L$990,MATCH(' TVA M'!A1213,'Base de données'!A$4:A$990,0),12),"")</f>
        <v/>
      </c>
    </row>
    <row r="1214" spans="2:3" x14ac:dyDescent="0.25">
      <c r="B1214" s="87" t="str">
        <f>IF(A1214&lt;&gt;"",INDEX('Base de données'!A$4:L$990,MATCH(' TVA M'!A1214,'Base de données'!A$4:A$990,0),2),"")</f>
        <v/>
      </c>
      <c r="C1214" s="87" t="str">
        <f>IF(A1214&lt;&gt;"",INDEX('Base de données'!A$4:L$990,MATCH(' TVA M'!A1214,'Base de données'!A$4:A$990,0),12),"")</f>
        <v/>
      </c>
    </row>
    <row r="1215" spans="2:3" x14ac:dyDescent="0.25">
      <c r="B1215" s="87" t="str">
        <f>IF(A1215&lt;&gt;"",INDEX('Base de données'!A$4:L$990,MATCH(' TVA M'!A1215,'Base de données'!A$4:A$990,0),2),"")</f>
        <v/>
      </c>
      <c r="C1215" s="87" t="str">
        <f>IF(A1215&lt;&gt;"",INDEX('Base de données'!A$4:L$990,MATCH(' TVA M'!A1215,'Base de données'!A$4:A$990,0),12),"")</f>
        <v/>
      </c>
    </row>
    <row r="1216" spans="2:3" x14ac:dyDescent="0.25">
      <c r="B1216" s="87" t="str">
        <f>IF(A1216&lt;&gt;"",INDEX('Base de données'!A$4:L$990,MATCH(' TVA M'!A1216,'Base de données'!A$4:A$990,0),2),"")</f>
        <v/>
      </c>
      <c r="C1216" s="87" t="str">
        <f>IF(A1216&lt;&gt;"",INDEX('Base de données'!A$4:L$990,MATCH(' TVA M'!A1216,'Base de données'!A$4:A$990,0),12),"")</f>
        <v/>
      </c>
    </row>
    <row r="1217" spans="2:3" x14ac:dyDescent="0.25">
      <c r="B1217" s="87" t="str">
        <f>IF(A1217&lt;&gt;"",INDEX('Base de données'!A$4:L$990,MATCH(' TVA M'!A1217,'Base de données'!A$4:A$990,0),2),"")</f>
        <v/>
      </c>
      <c r="C1217" s="87" t="str">
        <f>IF(A1217&lt;&gt;"",INDEX('Base de données'!A$4:L$990,MATCH(' TVA M'!A1217,'Base de données'!A$4:A$990,0),12),"")</f>
        <v/>
      </c>
    </row>
    <row r="1218" spans="2:3" x14ac:dyDescent="0.25">
      <c r="B1218" s="87" t="str">
        <f>IF(A1218&lt;&gt;"",INDEX('Base de données'!A$4:L$990,MATCH(' TVA M'!A1218,'Base de données'!A$4:A$990,0),2),"")</f>
        <v/>
      </c>
      <c r="C1218" s="87" t="str">
        <f>IF(A1218&lt;&gt;"",INDEX('Base de données'!A$4:L$990,MATCH(' TVA M'!A1218,'Base de données'!A$4:A$990,0),12),"")</f>
        <v/>
      </c>
    </row>
    <row r="1219" spans="2:3" x14ac:dyDescent="0.25">
      <c r="B1219" s="87" t="str">
        <f>IF(A1219&lt;&gt;"",INDEX('Base de données'!A$4:L$990,MATCH(' TVA M'!A1219,'Base de données'!A$4:A$990,0),2),"")</f>
        <v/>
      </c>
      <c r="C1219" s="87" t="str">
        <f>IF(A1219&lt;&gt;"",INDEX('Base de données'!A$4:L$990,MATCH(' TVA M'!A1219,'Base de données'!A$4:A$990,0),12),"")</f>
        <v/>
      </c>
    </row>
    <row r="1220" spans="2:3" x14ac:dyDescent="0.25">
      <c r="B1220" s="87" t="str">
        <f>IF(A1220&lt;&gt;"",INDEX('Base de données'!A$4:L$990,MATCH(' TVA M'!A1220,'Base de données'!A$4:A$990,0),2),"")</f>
        <v/>
      </c>
      <c r="C1220" s="87" t="str">
        <f>IF(A1220&lt;&gt;"",INDEX('Base de données'!A$4:L$990,MATCH(' TVA M'!A1220,'Base de données'!A$4:A$990,0),12),"")</f>
        <v/>
      </c>
    </row>
    <row r="1221" spans="2:3" x14ac:dyDescent="0.25">
      <c r="B1221" s="87" t="str">
        <f>IF(A1221&lt;&gt;"",INDEX('Base de données'!A$4:L$990,MATCH(' TVA M'!A1221,'Base de données'!A$4:A$990,0),2),"")</f>
        <v/>
      </c>
      <c r="C1221" s="87" t="str">
        <f>IF(A1221&lt;&gt;"",INDEX('Base de données'!A$4:L$990,MATCH(' TVA M'!A1221,'Base de données'!A$4:A$990,0),12),"")</f>
        <v/>
      </c>
    </row>
    <row r="1222" spans="2:3" x14ac:dyDescent="0.25">
      <c r="B1222" s="87" t="str">
        <f>IF(A1222&lt;&gt;"",INDEX('Base de données'!A$4:L$990,MATCH(' TVA M'!A1222,'Base de données'!A$4:A$990,0),2),"")</f>
        <v/>
      </c>
      <c r="C1222" s="87" t="str">
        <f>IF(A1222&lt;&gt;"",INDEX('Base de données'!A$4:L$990,MATCH(' TVA M'!A1222,'Base de données'!A$4:A$990,0),12),"")</f>
        <v/>
      </c>
    </row>
    <row r="1223" spans="2:3" x14ac:dyDescent="0.25">
      <c r="B1223" s="87" t="str">
        <f>IF(A1223&lt;&gt;"",INDEX('Base de données'!A$4:L$990,MATCH(' TVA M'!A1223,'Base de données'!A$4:A$990,0),2),"")</f>
        <v/>
      </c>
      <c r="C1223" s="87" t="str">
        <f>IF(A1223&lt;&gt;"",INDEX('Base de données'!A$4:L$990,MATCH(' TVA M'!A1223,'Base de données'!A$4:A$990,0),12),"")</f>
        <v/>
      </c>
    </row>
    <row r="1224" spans="2:3" x14ac:dyDescent="0.25">
      <c r="B1224" s="87" t="str">
        <f>IF(A1224&lt;&gt;"",INDEX('Base de données'!A$4:L$990,MATCH(' TVA M'!A1224,'Base de données'!A$4:A$990,0),2),"")</f>
        <v/>
      </c>
      <c r="C1224" s="87" t="str">
        <f>IF(A1224&lt;&gt;"",INDEX('Base de données'!A$4:L$990,MATCH(' TVA M'!A1224,'Base de données'!A$4:A$990,0),12),"")</f>
        <v/>
      </c>
    </row>
    <row r="1225" spans="2:3" x14ac:dyDescent="0.25">
      <c r="B1225" s="87" t="str">
        <f>IF(A1225&lt;&gt;"",INDEX('Base de données'!A$4:L$990,MATCH(' TVA M'!A1225,'Base de données'!A$4:A$990,0),2),"")</f>
        <v/>
      </c>
      <c r="C1225" s="87" t="str">
        <f>IF(A1225&lt;&gt;"",INDEX('Base de données'!A$4:L$990,MATCH(' TVA M'!A1225,'Base de données'!A$4:A$990,0),12),"")</f>
        <v/>
      </c>
    </row>
    <row r="1226" spans="2:3" x14ac:dyDescent="0.25">
      <c r="B1226" s="87" t="str">
        <f>IF(A1226&lt;&gt;"",INDEX('Base de données'!A$4:L$990,MATCH(' TVA M'!A1226,'Base de données'!A$4:A$990,0),2),"")</f>
        <v/>
      </c>
      <c r="C1226" s="87" t="str">
        <f>IF(A1226&lt;&gt;"",INDEX('Base de données'!A$4:L$990,MATCH(' TVA M'!A1226,'Base de données'!A$4:A$990,0),12),"")</f>
        <v/>
      </c>
    </row>
    <row r="1227" spans="2:3" x14ac:dyDescent="0.25">
      <c r="B1227" s="87" t="str">
        <f>IF(A1227&lt;&gt;"",INDEX('Base de données'!A$4:L$990,MATCH(' TVA M'!A1227,'Base de données'!A$4:A$990,0),2),"")</f>
        <v/>
      </c>
      <c r="C1227" s="87" t="str">
        <f>IF(A1227&lt;&gt;"",INDEX('Base de données'!A$4:L$990,MATCH(' TVA M'!A1227,'Base de données'!A$4:A$990,0),12),"")</f>
        <v/>
      </c>
    </row>
    <row r="1228" spans="2:3" x14ac:dyDescent="0.25">
      <c r="B1228" s="87" t="str">
        <f>IF(A1228&lt;&gt;"",INDEX('Base de données'!A$4:L$990,MATCH(' TVA M'!A1228,'Base de données'!A$4:A$990,0),2),"")</f>
        <v/>
      </c>
      <c r="C1228" s="87" t="str">
        <f>IF(A1228&lt;&gt;"",INDEX('Base de données'!A$4:L$990,MATCH(' TVA M'!A1228,'Base de données'!A$4:A$990,0),12),"")</f>
        <v/>
      </c>
    </row>
    <row r="1229" spans="2:3" x14ac:dyDescent="0.25">
      <c r="B1229" s="87" t="str">
        <f>IF(A1229&lt;&gt;"",INDEX('Base de données'!A$4:L$990,MATCH(' TVA M'!A1229,'Base de données'!A$4:A$990,0),2),"")</f>
        <v/>
      </c>
      <c r="C1229" s="87" t="str">
        <f>IF(A1229&lt;&gt;"",INDEX('Base de données'!A$4:L$990,MATCH(' TVA M'!A1229,'Base de données'!A$4:A$990,0),12),"")</f>
        <v/>
      </c>
    </row>
    <row r="1230" spans="2:3" x14ac:dyDescent="0.25">
      <c r="B1230" s="87" t="str">
        <f>IF(A1230&lt;&gt;"",INDEX('Base de données'!A$4:L$990,MATCH(' TVA M'!A1230,'Base de données'!A$4:A$990,0),2),"")</f>
        <v/>
      </c>
      <c r="C1230" s="87" t="str">
        <f>IF(A1230&lt;&gt;"",INDEX('Base de données'!A$4:L$990,MATCH(' TVA M'!A1230,'Base de données'!A$4:A$990,0),12),"")</f>
        <v/>
      </c>
    </row>
    <row r="1231" spans="2:3" x14ac:dyDescent="0.25">
      <c r="B1231" s="87" t="str">
        <f>IF(A1231&lt;&gt;"",INDEX('Base de données'!A$4:L$990,MATCH(' TVA M'!A1231,'Base de données'!A$4:A$990,0),2),"")</f>
        <v/>
      </c>
      <c r="C1231" s="87" t="str">
        <f>IF(A1231&lt;&gt;"",INDEX('Base de données'!A$4:L$990,MATCH(' TVA M'!A1231,'Base de données'!A$4:A$990,0),12),"")</f>
        <v/>
      </c>
    </row>
    <row r="1232" spans="2:3" x14ac:dyDescent="0.25">
      <c r="B1232" s="87" t="str">
        <f>IF(A1232&lt;&gt;"",INDEX('Base de données'!A$4:L$990,MATCH(' TVA M'!A1232,'Base de données'!A$4:A$990,0),2),"")</f>
        <v/>
      </c>
      <c r="C1232" s="87" t="str">
        <f>IF(A1232&lt;&gt;"",INDEX('Base de données'!A$4:L$990,MATCH(' TVA M'!A1232,'Base de données'!A$4:A$990,0),12),"")</f>
        <v/>
      </c>
    </row>
    <row r="1233" spans="2:3" x14ac:dyDescent="0.25">
      <c r="B1233" s="87" t="str">
        <f>IF(A1233&lt;&gt;"",INDEX('Base de données'!A$4:L$990,MATCH(' TVA M'!A1233,'Base de données'!A$4:A$990,0),2),"")</f>
        <v/>
      </c>
      <c r="C1233" s="87" t="str">
        <f>IF(A1233&lt;&gt;"",INDEX('Base de données'!A$4:L$990,MATCH(' TVA M'!A1233,'Base de données'!A$4:A$990,0),12),"")</f>
        <v/>
      </c>
    </row>
    <row r="1234" spans="2:3" x14ac:dyDescent="0.25">
      <c r="B1234" s="87" t="str">
        <f>IF(A1234&lt;&gt;"",INDEX('Base de données'!A$4:L$990,MATCH(' TVA M'!A1234,'Base de données'!A$4:A$990,0),2),"")</f>
        <v/>
      </c>
      <c r="C1234" s="87" t="str">
        <f>IF(A1234&lt;&gt;"",INDEX('Base de données'!A$4:L$990,MATCH(' TVA M'!A1234,'Base de données'!A$4:A$990,0),12),"")</f>
        <v/>
      </c>
    </row>
    <row r="1235" spans="2:3" x14ac:dyDescent="0.25">
      <c r="B1235" s="87" t="str">
        <f>IF(A1235&lt;&gt;"",INDEX('Base de données'!A$4:L$990,MATCH(' TVA M'!A1235,'Base de données'!A$4:A$990,0),2),"")</f>
        <v/>
      </c>
      <c r="C1235" s="87" t="str">
        <f>IF(A1235&lt;&gt;"",INDEX('Base de données'!A$4:L$990,MATCH(' TVA M'!A1235,'Base de données'!A$4:A$990,0),12),"")</f>
        <v/>
      </c>
    </row>
    <row r="1236" spans="2:3" x14ac:dyDescent="0.25">
      <c r="B1236" s="87" t="str">
        <f>IF(A1236&lt;&gt;"",INDEX('Base de données'!A$4:L$990,MATCH(' TVA M'!A1236,'Base de données'!A$4:A$990,0),2),"")</f>
        <v/>
      </c>
      <c r="C1236" s="87" t="str">
        <f>IF(A1236&lt;&gt;"",INDEX('Base de données'!A$4:L$990,MATCH(' TVA M'!A1236,'Base de données'!A$4:A$990,0),12),"")</f>
        <v/>
      </c>
    </row>
    <row r="1237" spans="2:3" x14ac:dyDescent="0.25">
      <c r="B1237" s="87" t="str">
        <f>IF(A1237&lt;&gt;"",INDEX('Base de données'!A$4:L$990,MATCH(' TVA M'!A1237,'Base de données'!A$4:A$990,0),2),"")</f>
        <v/>
      </c>
      <c r="C1237" s="87" t="str">
        <f>IF(A1237&lt;&gt;"",INDEX('Base de données'!A$4:L$990,MATCH(' TVA M'!A1237,'Base de données'!A$4:A$990,0),12),"")</f>
        <v/>
      </c>
    </row>
    <row r="1238" spans="2:3" x14ac:dyDescent="0.25">
      <c r="B1238" s="87" t="str">
        <f>IF(A1238&lt;&gt;"",INDEX('Base de données'!A$4:L$990,MATCH(' TVA M'!A1238,'Base de données'!A$4:A$990,0),2),"")</f>
        <v/>
      </c>
      <c r="C1238" s="87" t="str">
        <f>IF(A1238&lt;&gt;"",INDEX('Base de données'!A$4:L$990,MATCH(' TVA M'!A1238,'Base de données'!A$4:A$990,0),12),"")</f>
        <v/>
      </c>
    </row>
    <row r="1239" spans="2:3" x14ac:dyDescent="0.25">
      <c r="B1239" s="87" t="str">
        <f>IF(A1239&lt;&gt;"",INDEX('Base de données'!A$4:L$990,MATCH(' TVA M'!A1239,'Base de données'!A$4:A$990,0),2),"")</f>
        <v/>
      </c>
      <c r="C1239" s="87" t="str">
        <f>IF(A1239&lt;&gt;"",INDEX('Base de données'!A$4:L$990,MATCH(' TVA M'!A1239,'Base de données'!A$4:A$990,0),12),"")</f>
        <v/>
      </c>
    </row>
    <row r="1240" spans="2:3" x14ac:dyDescent="0.25">
      <c r="B1240" s="87" t="str">
        <f>IF(A1240&lt;&gt;"",INDEX('Base de données'!A$4:L$990,MATCH(' TVA M'!A1240,'Base de données'!A$4:A$990,0),2),"")</f>
        <v/>
      </c>
      <c r="C1240" s="87" t="str">
        <f>IF(A1240&lt;&gt;"",INDEX('Base de données'!A$4:L$990,MATCH(' TVA M'!A1240,'Base de données'!A$4:A$990,0),12),"")</f>
        <v/>
      </c>
    </row>
    <row r="1241" spans="2:3" x14ac:dyDescent="0.25">
      <c r="B1241" s="87" t="str">
        <f>IF(A1241&lt;&gt;"",INDEX('Base de données'!A$4:L$990,MATCH(' TVA M'!A1241,'Base de données'!A$4:A$990,0),2),"")</f>
        <v/>
      </c>
      <c r="C1241" s="87" t="str">
        <f>IF(A1241&lt;&gt;"",INDEX('Base de données'!A$4:L$990,MATCH(' TVA M'!A1241,'Base de données'!A$4:A$990,0),12),"")</f>
        <v/>
      </c>
    </row>
    <row r="1242" spans="2:3" x14ac:dyDescent="0.25">
      <c r="B1242" s="87" t="str">
        <f>IF(A1242&lt;&gt;"",INDEX('Base de données'!A$4:L$990,MATCH(' TVA M'!A1242,'Base de données'!A$4:A$990,0),2),"")</f>
        <v/>
      </c>
      <c r="C1242" s="87" t="str">
        <f>IF(A1242&lt;&gt;"",INDEX('Base de données'!A$4:L$990,MATCH(' TVA M'!A1242,'Base de données'!A$4:A$990,0),12),"")</f>
        <v/>
      </c>
    </row>
    <row r="1243" spans="2:3" x14ac:dyDescent="0.25">
      <c r="B1243" s="87" t="str">
        <f>IF(A1243&lt;&gt;"",INDEX('Base de données'!A$4:L$990,MATCH(' TVA M'!A1243,'Base de données'!A$4:A$990,0),2),"")</f>
        <v/>
      </c>
      <c r="C1243" s="87" t="str">
        <f>IF(A1243&lt;&gt;"",INDEX('Base de données'!A$4:L$990,MATCH(' TVA M'!A1243,'Base de données'!A$4:A$990,0),12),"")</f>
        <v/>
      </c>
    </row>
    <row r="1244" spans="2:3" x14ac:dyDescent="0.25">
      <c r="B1244" s="87" t="str">
        <f>IF(A1244&lt;&gt;"",INDEX('Base de données'!A$4:L$990,MATCH(' TVA M'!A1244,'Base de données'!A$4:A$990,0),2),"")</f>
        <v/>
      </c>
      <c r="C1244" s="87" t="str">
        <f>IF(A1244&lt;&gt;"",INDEX('Base de données'!A$4:L$990,MATCH(' TVA M'!A1244,'Base de données'!A$4:A$990,0),12),"")</f>
        <v/>
      </c>
    </row>
    <row r="1245" spans="2:3" x14ac:dyDescent="0.25">
      <c r="B1245" s="87" t="str">
        <f>IF(A1245&lt;&gt;"",INDEX('Base de données'!A$4:L$990,MATCH(' TVA M'!A1245,'Base de données'!A$4:A$990,0),2),"")</f>
        <v/>
      </c>
      <c r="C1245" s="87" t="str">
        <f>IF(A1245&lt;&gt;"",INDEX('Base de données'!A$4:L$990,MATCH(' TVA M'!A1245,'Base de données'!A$4:A$990,0),12),"")</f>
        <v/>
      </c>
    </row>
    <row r="1246" spans="2:3" x14ac:dyDescent="0.25">
      <c r="B1246" s="87" t="str">
        <f>IF(A1246&lt;&gt;"",INDEX('Base de données'!A$4:L$990,MATCH(' TVA M'!A1246,'Base de données'!A$4:A$990,0),2),"")</f>
        <v/>
      </c>
      <c r="C1246" s="87" t="str">
        <f>IF(A1246&lt;&gt;"",INDEX('Base de données'!A$4:L$990,MATCH(' TVA M'!A1246,'Base de données'!A$4:A$990,0),12),"")</f>
        <v/>
      </c>
    </row>
    <row r="1247" spans="2:3" x14ac:dyDescent="0.25">
      <c r="B1247" s="87" t="str">
        <f>IF(A1247&lt;&gt;"",INDEX('Base de données'!A$4:L$990,MATCH(' TVA M'!A1247,'Base de données'!A$4:A$990,0),2),"")</f>
        <v/>
      </c>
      <c r="C1247" s="87" t="str">
        <f>IF(A1247&lt;&gt;"",INDEX('Base de données'!A$4:L$990,MATCH(' TVA M'!A1247,'Base de données'!A$4:A$990,0),12),"")</f>
        <v/>
      </c>
    </row>
    <row r="1248" spans="2:3" x14ac:dyDescent="0.25">
      <c r="B1248" s="87" t="str">
        <f>IF(A1248&lt;&gt;"",INDEX('Base de données'!A$4:L$990,MATCH(' TVA M'!A1248,'Base de données'!A$4:A$990,0),2),"")</f>
        <v/>
      </c>
      <c r="C1248" s="87" t="str">
        <f>IF(A1248&lt;&gt;"",INDEX('Base de données'!A$4:L$990,MATCH(' TVA M'!A1248,'Base de données'!A$4:A$990,0),12),"")</f>
        <v/>
      </c>
    </row>
    <row r="1249" spans="2:3" x14ac:dyDescent="0.25">
      <c r="B1249" s="87" t="str">
        <f>IF(A1249&lt;&gt;"",INDEX('Base de données'!A$4:L$990,MATCH(' TVA M'!A1249,'Base de données'!A$4:A$990,0),2),"")</f>
        <v/>
      </c>
      <c r="C1249" s="87" t="str">
        <f>IF(A1249&lt;&gt;"",INDEX('Base de données'!A$4:L$990,MATCH(' TVA M'!A1249,'Base de données'!A$4:A$990,0),12),"")</f>
        <v/>
      </c>
    </row>
    <row r="1250" spans="2:3" x14ac:dyDescent="0.25">
      <c r="B1250" s="87" t="str">
        <f>IF(A1250&lt;&gt;"",INDEX('Base de données'!A$4:L$990,MATCH(' TVA M'!A1250,'Base de données'!A$4:A$990,0),2),"")</f>
        <v/>
      </c>
      <c r="C1250" s="87" t="str">
        <f>IF(A1250&lt;&gt;"",INDEX('Base de données'!A$4:L$990,MATCH(' TVA M'!A1250,'Base de données'!A$4:A$990,0),12),"")</f>
        <v/>
      </c>
    </row>
    <row r="1251" spans="2:3" x14ac:dyDescent="0.25">
      <c r="B1251" s="87" t="str">
        <f>IF(A1251&lt;&gt;"",INDEX('Base de données'!A$4:L$990,MATCH(' TVA M'!A1251,'Base de données'!A$4:A$990,0),2),"")</f>
        <v/>
      </c>
      <c r="C1251" s="87" t="str">
        <f>IF(A1251&lt;&gt;"",INDEX('Base de données'!A$4:L$990,MATCH(' TVA M'!A1251,'Base de données'!A$4:A$990,0),12),"")</f>
        <v/>
      </c>
    </row>
    <row r="1252" spans="2:3" x14ac:dyDescent="0.25">
      <c r="B1252" s="87" t="str">
        <f>IF(A1252&lt;&gt;"",INDEX('Base de données'!A$4:L$990,MATCH(' TVA M'!A1252,'Base de données'!A$4:A$990,0),2),"")</f>
        <v/>
      </c>
      <c r="C1252" s="87" t="str">
        <f>IF(A1252&lt;&gt;"",INDEX('Base de données'!A$4:L$990,MATCH(' TVA M'!A1252,'Base de données'!A$4:A$990,0),12),"")</f>
        <v/>
      </c>
    </row>
    <row r="1253" spans="2:3" x14ac:dyDescent="0.25">
      <c r="B1253" s="87" t="str">
        <f>IF(A1253&lt;&gt;"",INDEX('Base de données'!A$4:L$990,MATCH(' TVA M'!A1253,'Base de données'!A$4:A$990,0),2),"")</f>
        <v/>
      </c>
      <c r="C1253" s="87" t="str">
        <f>IF(A1253&lt;&gt;"",INDEX('Base de données'!A$4:L$990,MATCH(' TVA M'!A1253,'Base de données'!A$4:A$990,0),12),"")</f>
        <v/>
      </c>
    </row>
    <row r="1254" spans="2:3" x14ac:dyDescent="0.25">
      <c r="B1254" s="87" t="str">
        <f>IF(A1254&lt;&gt;"",INDEX('Base de données'!A$4:L$990,MATCH(' TVA M'!A1254,'Base de données'!A$4:A$990,0),2),"")</f>
        <v/>
      </c>
      <c r="C1254" s="87" t="str">
        <f>IF(A1254&lt;&gt;"",INDEX('Base de données'!A$4:L$990,MATCH(' TVA M'!A1254,'Base de données'!A$4:A$990,0),12),"")</f>
        <v/>
      </c>
    </row>
    <row r="1255" spans="2:3" x14ac:dyDescent="0.25">
      <c r="B1255" s="87" t="str">
        <f>IF(A1255&lt;&gt;"",INDEX('Base de données'!A$4:L$990,MATCH(' TVA M'!A1255,'Base de données'!A$4:A$990,0),2),"")</f>
        <v/>
      </c>
      <c r="C1255" s="87" t="str">
        <f>IF(A1255&lt;&gt;"",INDEX('Base de données'!A$4:L$990,MATCH(' TVA M'!A1255,'Base de données'!A$4:A$990,0),12),"")</f>
        <v/>
      </c>
    </row>
    <row r="1256" spans="2:3" x14ac:dyDescent="0.25">
      <c r="B1256" s="87" t="str">
        <f>IF(A1256&lt;&gt;"",INDEX('Base de données'!A$4:L$990,MATCH(' TVA M'!A1256,'Base de données'!A$4:A$990,0),2),"")</f>
        <v/>
      </c>
      <c r="C1256" s="87" t="str">
        <f>IF(A1256&lt;&gt;"",INDEX('Base de données'!A$4:L$990,MATCH(' TVA M'!A1256,'Base de données'!A$4:A$990,0),12),"")</f>
        <v/>
      </c>
    </row>
    <row r="1257" spans="2:3" x14ac:dyDescent="0.25">
      <c r="B1257" s="87" t="str">
        <f>IF(A1257&lt;&gt;"",INDEX('Base de données'!A$4:L$990,MATCH(' TVA M'!A1257,'Base de données'!A$4:A$990,0),2),"")</f>
        <v/>
      </c>
      <c r="C1257" s="87" t="str">
        <f>IF(A1257&lt;&gt;"",INDEX('Base de données'!A$4:L$990,MATCH(' TVA M'!A1257,'Base de données'!A$4:A$990,0),12),"")</f>
        <v/>
      </c>
    </row>
    <row r="1258" spans="2:3" x14ac:dyDescent="0.25">
      <c r="B1258" s="87" t="str">
        <f>IF(A1258&lt;&gt;"",INDEX('Base de données'!A$4:L$990,MATCH(' TVA M'!A1258,'Base de données'!A$4:A$990,0),2),"")</f>
        <v/>
      </c>
      <c r="C1258" s="87" t="str">
        <f>IF(A1258&lt;&gt;"",INDEX('Base de données'!A$4:L$990,MATCH(' TVA M'!A1258,'Base de données'!A$4:A$990,0),12),"")</f>
        <v/>
      </c>
    </row>
    <row r="1259" spans="2:3" x14ac:dyDescent="0.25">
      <c r="B1259" s="87" t="str">
        <f>IF(A1259&lt;&gt;"",INDEX('Base de données'!A$4:L$990,MATCH(' TVA M'!A1259,'Base de données'!A$4:A$990,0),2),"")</f>
        <v/>
      </c>
      <c r="C1259" s="87" t="str">
        <f>IF(A1259&lt;&gt;"",INDEX('Base de données'!A$4:L$990,MATCH(' TVA M'!A1259,'Base de données'!A$4:A$990,0),12),"")</f>
        <v/>
      </c>
    </row>
    <row r="1260" spans="2:3" x14ac:dyDescent="0.25">
      <c r="B1260" s="87" t="str">
        <f>IF(A1260&lt;&gt;"",INDEX('Base de données'!A$4:L$990,MATCH(' TVA M'!A1260,'Base de données'!A$4:A$990,0),2),"")</f>
        <v/>
      </c>
      <c r="C1260" s="87" t="str">
        <f>IF(A1260&lt;&gt;"",INDEX('Base de données'!A$4:L$990,MATCH(' TVA M'!A1260,'Base de données'!A$4:A$990,0),12),"")</f>
        <v/>
      </c>
    </row>
    <row r="1261" spans="2:3" x14ac:dyDescent="0.25">
      <c r="B1261" s="87" t="str">
        <f>IF(A1261&lt;&gt;"",INDEX('Base de données'!A$4:L$990,MATCH(' TVA M'!A1261,'Base de données'!A$4:A$990,0),2),"")</f>
        <v/>
      </c>
      <c r="C1261" s="87" t="str">
        <f>IF(A1261&lt;&gt;"",INDEX('Base de données'!A$4:L$990,MATCH(' TVA M'!A1261,'Base de données'!A$4:A$990,0),12),"")</f>
        <v/>
      </c>
    </row>
    <row r="1262" spans="2:3" x14ac:dyDescent="0.25">
      <c r="B1262" s="87" t="str">
        <f>IF(A1262&lt;&gt;"",INDEX('Base de données'!A$4:L$990,MATCH(' TVA M'!A1262,'Base de données'!A$4:A$990,0),2),"")</f>
        <v/>
      </c>
      <c r="C1262" s="87" t="str">
        <f>IF(A1262&lt;&gt;"",INDEX('Base de données'!A$4:L$990,MATCH(' TVA M'!A1262,'Base de données'!A$4:A$990,0),12),"")</f>
        <v/>
      </c>
    </row>
    <row r="1263" spans="2:3" x14ac:dyDescent="0.25">
      <c r="B1263" s="87" t="str">
        <f>IF(A1263&lt;&gt;"",INDEX('Base de données'!A$4:L$990,MATCH(' TVA M'!A1263,'Base de données'!A$4:A$990,0),2),"")</f>
        <v/>
      </c>
      <c r="C1263" s="87" t="str">
        <f>IF(A1263&lt;&gt;"",INDEX('Base de données'!A$4:L$990,MATCH(' TVA M'!A1263,'Base de données'!A$4:A$990,0),12),"")</f>
        <v/>
      </c>
    </row>
    <row r="1264" spans="2:3" x14ac:dyDescent="0.25">
      <c r="B1264" s="87" t="str">
        <f>IF(A1264&lt;&gt;"",INDEX('Base de données'!A$4:L$990,MATCH(' TVA M'!A1264,'Base de données'!A$4:A$990,0),2),"")</f>
        <v/>
      </c>
      <c r="C1264" s="87" t="str">
        <f>IF(A1264&lt;&gt;"",INDEX('Base de données'!A$4:L$990,MATCH(' TVA M'!A1264,'Base de données'!A$4:A$990,0),12),"")</f>
        <v/>
      </c>
    </row>
    <row r="1265" spans="2:3" x14ac:dyDescent="0.25">
      <c r="B1265" s="87" t="str">
        <f>IF(A1265&lt;&gt;"",INDEX('Base de données'!A$4:L$990,MATCH(' TVA M'!A1265,'Base de données'!A$4:A$990,0),2),"")</f>
        <v/>
      </c>
      <c r="C1265" s="87" t="str">
        <f>IF(A1265&lt;&gt;"",INDEX('Base de données'!A$4:L$990,MATCH(' TVA M'!A1265,'Base de données'!A$4:A$990,0),12),"")</f>
        <v/>
      </c>
    </row>
    <row r="1266" spans="2:3" x14ac:dyDescent="0.25">
      <c r="B1266" s="87" t="str">
        <f>IF(A1266&lt;&gt;"",INDEX('Base de données'!A$4:L$990,MATCH(' TVA M'!A1266,'Base de données'!A$4:A$990,0),2),"")</f>
        <v/>
      </c>
      <c r="C1266" s="87" t="str">
        <f>IF(A1266&lt;&gt;"",INDEX('Base de données'!A$4:L$990,MATCH(' TVA M'!A1266,'Base de données'!A$4:A$990,0),12),"")</f>
        <v/>
      </c>
    </row>
    <row r="1267" spans="2:3" x14ac:dyDescent="0.25">
      <c r="B1267" s="87" t="str">
        <f>IF(A1267&lt;&gt;"",INDEX('Base de données'!A$4:L$990,MATCH(' TVA M'!A1267,'Base de données'!A$4:A$990,0),2),"")</f>
        <v/>
      </c>
      <c r="C1267" s="87" t="str">
        <f>IF(A1267&lt;&gt;"",INDEX('Base de données'!A$4:L$990,MATCH(' TVA M'!A1267,'Base de données'!A$4:A$990,0),12),"")</f>
        <v/>
      </c>
    </row>
    <row r="1268" spans="2:3" x14ac:dyDescent="0.25">
      <c r="B1268" s="87" t="str">
        <f>IF(A1268&lt;&gt;"",INDEX('Base de données'!A$4:L$990,MATCH(' TVA M'!A1268,'Base de données'!A$4:A$990,0),2),"")</f>
        <v/>
      </c>
      <c r="C1268" s="87" t="str">
        <f>IF(A1268&lt;&gt;"",INDEX('Base de données'!A$4:L$990,MATCH(' TVA M'!A1268,'Base de données'!A$4:A$990,0),12),"")</f>
        <v/>
      </c>
    </row>
    <row r="1269" spans="2:3" x14ac:dyDescent="0.25">
      <c r="B1269" s="87" t="str">
        <f>IF(A1269&lt;&gt;"",INDEX('Base de données'!A$4:L$990,MATCH(' TVA M'!A1269,'Base de données'!A$4:A$990,0),2),"")</f>
        <v/>
      </c>
      <c r="C1269" s="87" t="str">
        <f>IF(A1269&lt;&gt;"",INDEX('Base de données'!A$4:L$990,MATCH(' TVA M'!A1269,'Base de données'!A$4:A$990,0),12),"")</f>
        <v/>
      </c>
    </row>
    <row r="1270" spans="2:3" x14ac:dyDescent="0.25">
      <c r="B1270" s="87" t="str">
        <f>IF(A1270&lt;&gt;"",INDEX('Base de données'!A$4:L$990,MATCH(' TVA M'!A1270,'Base de données'!A$4:A$990,0),2),"")</f>
        <v/>
      </c>
      <c r="C1270" s="87" t="str">
        <f>IF(A1270&lt;&gt;"",INDEX('Base de données'!A$4:L$990,MATCH(' TVA M'!A1270,'Base de données'!A$4:A$990,0),12),"")</f>
        <v/>
      </c>
    </row>
    <row r="1271" spans="2:3" x14ac:dyDescent="0.25">
      <c r="B1271" s="87" t="str">
        <f>IF(A1271&lt;&gt;"",INDEX('Base de données'!A$4:L$990,MATCH(' TVA M'!A1271,'Base de données'!A$4:A$990,0),2),"")</f>
        <v/>
      </c>
      <c r="C1271" s="87" t="str">
        <f>IF(A1271&lt;&gt;"",INDEX('Base de données'!A$4:L$990,MATCH(' TVA M'!A1271,'Base de données'!A$4:A$990,0),12),"")</f>
        <v/>
      </c>
    </row>
    <row r="1272" spans="2:3" x14ac:dyDescent="0.25">
      <c r="B1272" s="87" t="str">
        <f>IF(A1272&lt;&gt;"",INDEX('Base de données'!A$4:L$990,MATCH(' TVA M'!A1272,'Base de données'!A$4:A$990,0),2),"")</f>
        <v/>
      </c>
      <c r="C1272" s="87" t="str">
        <f>IF(A1272&lt;&gt;"",INDEX('Base de données'!A$4:L$990,MATCH(' TVA M'!A1272,'Base de données'!A$4:A$990,0),12),"")</f>
        <v/>
      </c>
    </row>
    <row r="1273" spans="2:3" x14ac:dyDescent="0.25">
      <c r="B1273" s="87" t="str">
        <f>IF(A1273&lt;&gt;"",INDEX('Base de données'!A$4:L$990,MATCH(' TVA M'!A1273,'Base de données'!A$4:A$990,0),2),"")</f>
        <v/>
      </c>
      <c r="C1273" s="87" t="str">
        <f>IF(A1273&lt;&gt;"",INDEX('Base de données'!A$4:L$990,MATCH(' TVA M'!A1273,'Base de données'!A$4:A$990,0),12),"")</f>
        <v/>
      </c>
    </row>
    <row r="1274" spans="2:3" x14ac:dyDescent="0.25">
      <c r="B1274" s="87" t="str">
        <f>IF(A1274&lt;&gt;"",INDEX('Base de données'!A$4:L$990,MATCH(' TVA M'!A1274,'Base de données'!A$4:A$990,0),2),"")</f>
        <v/>
      </c>
      <c r="C1274" s="87" t="str">
        <f>IF(A1274&lt;&gt;"",INDEX('Base de données'!A$4:L$990,MATCH(' TVA M'!A1274,'Base de données'!A$4:A$990,0),12),"")</f>
        <v/>
      </c>
    </row>
    <row r="1275" spans="2:3" x14ac:dyDescent="0.25">
      <c r="B1275" s="87" t="str">
        <f>IF(A1275&lt;&gt;"",INDEX('Base de données'!A$4:L$990,MATCH(' TVA M'!A1275,'Base de données'!A$4:A$990,0),2),"")</f>
        <v/>
      </c>
      <c r="C1275" s="87" t="str">
        <f>IF(A1275&lt;&gt;"",INDEX('Base de données'!A$4:L$990,MATCH(' TVA M'!A1275,'Base de données'!A$4:A$990,0),12),"")</f>
        <v/>
      </c>
    </row>
    <row r="1276" spans="2:3" x14ac:dyDescent="0.25">
      <c r="B1276" s="87" t="str">
        <f>IF(A1276&lt;&gt;"",INDEX('Base de données'!A$4:L$990,MATCH(' TVA M'!A1276,'Base de données'!A$4:A$990,0),2),"")</f>
        <v/>
      </c>
      <c r="C1276" s="87" t="str">
        <f>IF(A1276&lt;&gt;"",INDEX('Base de données'!A$4:L$990,MATCH(' TVA M'!A1276,'Base de données'!A$4:A$990,0),12),"")</f>
        <v/>
      </c>
    </row>
    <row r="1277" spans="2:3" x14ac:dyDescent="0.25">
      <c r="B1277" s="87" t="str">
        <f>IF(A1277&lt;&gt;"",INDEX('Base de données'!A$4:L$990,MATCH(' TVA M'!A1277,'Base de données'!A$4:A$990,0),2),"")</f>
        <v/>
      </c>
      <c r="C1277" s="87" t="str">
        <f>IF(A1277&lt;&gt;"",INDEX('Base de données'!A$4:L$990,MATCH(' TVA M'!A1277,'Base de données'!A$4:A$990,0),12),"")</f>
        <v/>
      </c>
    </row>
    <row r="1278" spans="2:3" x14ac:dyDescent="0.25">
      <c r="B1278" s="87" t="str">
        <f>IF(A1278&lt;&gt;"",INDEX('Base de données'!A$4:L$990,MATCH(' TVA M'!A1278,'Base de données'!A$4:A$990,0),2),"")</f>
        <v/>
      </c>
      <c r="C1278" s="87" t="str">
        <f>IF(A1278&lt;&gt;"",INDEX('Base de données'!A$4:L$990,MATCH(' TVA M'!A1278,'Base de données'!A$4:A$990,0),12),"")</f>
        <v/>
      </c>
    </row>
    <row r="1279" spans="2:3" x14ac:dyDescent="0.25">
      <c r="B1279" s="87" t="str">
        <f>IF(A1279&lt;&gt;"",INDEX('Base de données'!A$4:L$990,MATCH(' TVA M'!A1279,'Base de données'!A$4:A$990,0),2),"")</f>
        <v/>
      </c>
      <c r="C1279" s="87" t="str">
        <f>IF(A1279&lt;&gt;"",INDEX('Base de données'!A$4:L$990,MATCH(' TVA M'!A1279,'Base de données'!A$4:A$990,0),12),"")</f>
        <v/>
      </c>
    </row>
    <row r="1280" spans="2:3" x14ac:dyDescent="0.25">
      <c r="B1280" s="87" t="str">
        <f>IF(A1280&lt;&gt;"",INDEX('Base de données'!A$4:L$990,MATCH(' TVA M'!A1280,'Base de données'!A$4:A$990,0),2),"")</f>
        <v/>
      </c>
      <c r="C1280" s="87" t="str">
        <f>IF(A1280&lt;&gt;"",INDEX('Base de données'!A$4:L$990,MATCH(' TVA M'!A1280,'Base de données'!A$4:A$990,0),12),"")</f>
        <v/>
      </c>
    </row>
    <row r="1281" spans="2:3" x14ac:dyDescent="0.25">
      <c r="B1281" s="87" t="str">
        <f>IF(A1281&lt;&gt;"",INDEX('Base de données'!A$4:L$990,MATCH(' TVA M'!A1281,'Base de données'!A$4:A$990,0),2),"")</f>
        <v/>
      </c>
      <c r="C1281" s="87" t="str">
        <f>IF(A1281&lt;&gt;"",INDEX('Base de données'!A$4:L$990,MATCH(' TVA M'!A1281,'Base de données'!A$4:A$990,0),12),"")</f>
        <v/>
      </c>
    </row>
    <row r="1282" spans="2:3" x14ac:dyDescent="0.25">
      <c r="B1282" s="87" t="str">
        <f>IF(A1282&lt;&gt;"",INDEX('Base de données'!A$4:L$990,MATCH(' TVA M'!A1282,'Base de données'!A$4:A$990,0),2),"")</f>
        <v/>
      </c>
      <c r="C1282" s="87" t="str">
        <f>IF(A1282&lt;&gt;"",INDEX('Base de données'!A$4:L$990,MATCH(' TVA M'!A1282,'Base de données'!A$4:A$990,0),12),"")</f>
        <v/>
      </c>
    </row>
    <row r="1283" spans="2:3" x14ac:dyDescent="0.25">
      <c r="B1283" s="87" t="str">
        <f>IF(A1283&lt;&gt;"",INDEX('Base de données'!A$4:L$990,MATCH(' TVA M'!A1283,'Base de données'!A$4:A$990,0),2),"")</f>
        <v/>
      </c>
      <c r="C1283" s="87" t="str">
        <f>IF(A1283&lt;&gt;"",INDEX('Base de données'!A$4:L$990,MATCH(' TVA M'!A1283,'Base de données'!A$4:A$990,0),12),"")</f>
        <v/>
      </c>
    </row>
    <row r="1284" spans="2:3" x14ac:dyDescent="0.25">
      <c r="B1284" s="87" t="str">
        <f>IF(A1284&lt;&gt;"",INDEX('Base de données'!A$4:L$990,MATCH(' TVA M'!A1284,'Base de données'!A$4:A$990,0),2),"")</f>
        <v/>
      </c>
      <c r="C1284" s="87" t="str">
        <f>IF(A1284&lt;&gt;"",INDEX('Base de données'!A$4:L$990,MATCH(' TVA M'!A1284,'Base de données'!A$4:A$990,0),12),"")</f>
        <v/>
      </c>
    </row>
    <row r="1285" spans="2:3" x14ac:dyDescent="0.25">
      <c r="B1285" s="87" t="str">
        <f>IF(A1285&lt;&gt;"",INDEX('Base de données'!A$4:L$990,MATCH(' TVA M'!A1285,'Base de données'!A$4:A$990,0),2),"")</f>
        <v/>
      </c>
      <c r="C1285" s="87" t="str">
        <f>IF(A1285&lt;&gt;"",INDEX('Base de données'!A$4:L$990,MATCH(' TVA M'!A1285,'Base de données'!A$4:A$990,0),12),"")</f>
        <v/>
      </c>
    </row>
    <row r="1286" spans="2:3" x14ac:dyDescent="0.25">
      <c r="B1286" s="87" t="str">
        <f>IF(A1286&lt;&gt;"",INDEX('Base de données'!A$4:L$990,MATCH(' TVA M'!A1286,'Base de données'!A$4:A$990,0),2),"")</f>
        <v/>
      </c>
      <c r="C1286" s="87" t="str">
        <f>IF(A1286&lt;&gt;"",INDEX('Base de données'!A$4:L$990,MATCH(' TVA M'!A1286,'Base de données'!A$4:A$990,0),12),"")</f>
        <v/>
      </c>
    </row>
    <row r="1287" spans="2:3" x14ac:dyDescent="0.25">
      <c r="B1287" s="87" t="str">
        <f>IF(A1287&lt;&gt;"",INDEX('Base de données'!A$4:L$990,MATCH(' TVA M'!A1287,'Base de données'!A$4:A$990,0),2),"")</f>
        <v/>
      </c>
      <c r="C1287" s="87" t="str">
        <f>IF(A1287&lt;&gt;"",INDEX('Base de données'!A$4:L$990,MATCH(' TVA M'!A1287,'Base de données'!A$4:A$990,0),12),"")</f>
        <v/>
      </c>
    </row>
    <row r="1288" spans="2:3" x14ac:dyDescent="0.25">
      <c r="B1288" s="87" t="str">
        <f>IF(A1288&lt;&gt;"",INDEX('Base de données'!A$4:L$990,MATCH(' TVA M'!A1288,'Base de données'!A$4:A$990,0),2),"")</f>
        <v/>
      </c>
      <c r="C1288" s="87" t="str">
        <f>IF(A1288&lt;&gt;"",INDEX('Base de données'!A$4:L$990,MATCH(' TVA M'!A1288,'Base de données'!A$4:A$990,0),12),"")</f>
        <v/>
      </c>
    </row>
    <row r="1289" spans="2:3" x14ac:dyDescent="0.25">
      <c r="B1289" s="87" t="str">
        <f>IF(A1289&lt;&gt;"",INDEX('Base de données'!A$4:L$990,MATCH(' TVA M'!A1289,'Base de données'!A$4:A$990,0),2),"")</f>
        <v/>
      </c>
      <c r="C1289" s="87" t="str">
        <f>IF(A1289&lt;&gt;"",INDEX('Base de données'!A$4:L$990,MATCH(' TVA M'!A1289,'Base de données'!A$4:A$990,0),12),"")</f>
        <v/>
      </c>
    </row>
    <row r="1290" spans="2:3" x14ac:dyDescent="0.25">
      <c r="B1290" s="87" t="str">
        <f>IF(A1290&lt;&gt;"",INDEX('Base de données'!A$4:L$990,MATCH(' TVA M'!A1290,'Base de données'!A$4:A$990,0),2),"")</f>
        <v/>
      </c>
      <c r="C1290" s="87" t="str">
        <f>IF(A1290&lt;&gt;"",INDEX('Base de données'!A$4:L$990,MATCH(' TVA M'!A1290,'Base de données'!A$4:A$990,0),12),"")</f>
        <v/>
      </c>
    </row>
    <row r="1291" spans="2:3" x14ac:dyDescent="0.25">
      <c r="B1291" s="87" t="str">
        <f>IF(A1291&lt;&gt;"",INDEX('Base de données'!A$4:L$990,MATCH(' TVA M'!A1291,'Base de données'!A$4:A$990,0),2),"")</f>
        <v/>
      </c>
      <c r="C1291" s="87" t="str">
        <f>IF(A1291&lt;&gt;"",INDEX('Base de données'!A$4:L$990,MATCH(' TVA M'!A1291,'Base de données'!A$4:A$990,0),12),"")</f>
        <v/>
      </c>
    </row>
    <row r="1292" spans="2:3" x14ac:dyDescent="0.25">
      <c r="B1292" s="87" t="str">
        <f>IF(A1292&lt;&gt;"",INDEX('Base de données'!A$4:L$990,MATCH(' TVA M'!A1292,'Base de données'!A$4:A$990,0),2),"")</f>
        <v/>
      </c>
      <c r="C1292" s="87" t="str">
        <f>IF(A1292&lt;&gt;"",INDEX('Base de données'!A$4:L$990,MATCH(' TVA M'!A1292,'Base de données'!A$4:A$990,0),12),"")</f>
        <v/>
      </c>
    </row>
    <row r="1293" spans="2:3" x14ac:dyDescent="0.25">
      <c r="B1293" s="87" t="str">
        <f>IF(A1293&lt;&gt;"",INDEX('Base de données'!A$4:L$990,MATCH(' TVA M'!A1293,'Base de données'!A$4:A$990,0),2),"")</f>
        <v/>
      </c>
      <c r="C1293" s="87" t="str">
        <f>IF(A1293&lt;&gt;"",INDEX('Base de données'!A$4:L$990,MATCH(' TVA M'!A1293,'Base de données'!A$4:A$990,0),12),"")</f>
        <v/>
      </c>
    </row>
    <row r="1294" spans="2:3" x14ac:dyDescent="0.25">
      <c r="B1294" s="87" t="str">
        <f>IF(A1294&lt;&gt;"",INDEX('Base de données'!A$4:L$990,MATCH(' TVA M'!A1294,'Base de données'!A$4:A$990,0),2),"")</f>
        <v/>
      </c>
      <c r="C1294" s="87" t="str">
        <f>IF(A1294&lt;&gt;"",INDEX('Base de données'!A$4:L$990,MATCH(' TVA M'!A1294,'Base de données'!A$4:A$990,0),12),"")</f>
        <v/>
      </c>
    </row>
    <row r="1295" spans="2:3" x14ac:dyDescent="0.25">
      <c r="B1295" s="87" t="str">
        <f>IF(A1295&lt;&gt;"",INDEX('Base de données'!A$4:L$990,MATCH(' TVA M'!A1295,'Base de données'!A$4:A$990,0),2),"")</f>
        <v/>
      </c>
      <c r="C1295" s="87" t="str">
        <f>IF(A1295&lt;&gt;"",INDEX('Base de données'!A$4:L$990,MATCH(' TVA M'!A1295,'Base de données'!A$4:A$990,0),12),"")</f>
        <v/>
      </c>
    </row>
    <row r="1296" spans="2:3" x14ac:dyDescent="0.25">
      <c r="B1296" s="87" t="str">
        <f>IF(A1296&lt;&gt;"",INDEX('Base de données'!A$4:L$990,MATCH(' TVA M'!A1296,'Base de données'!A$4:A$990,0),2),"")</f>
        <v/>
      </c>
      <c r="C1296" s="87" t="str">
        <f>IF(A1296&lt;&gt;"",INDEX('Base de données'!A$4:L$990,MATCH(' TVA M'!A1296,'Base de données'!A$4:A$990,0),12),"")</f>
        <v/>
      </c>
    </row>
    <row r="1297" spans="2:3" x14ac:dyDescent="0.25">
      <c r="B1297" s="87" t="str">
        <f>IF(A1297&lt;&gt;"",INDEX('Base de données'!A$4:L$990,MATCH(' TVA M'!A1297,'Base de données'!A$4:A$990,0),2),"")</f>
        <v/>
      </c>
      <c r="C1297" s="87" t="str">
        <f>IF(A1297&lt;&gt;"",INDEX('Base de données'!A$4:L$990,MATCH(' TVA M'!A1297,'Base de données'!A$4:A$990,0),12),"")</f>
        <v/>
      </c>
    </row>
    <row r="1298" spans="2:3" x14ac:dyDescent="0.25">
      <c r="B1298" s="87" t="str">
        <f>IF(A1298&lt;&gt;"",INDEX('Base de données'!A$4:L$990,MATCH(' TVA M'!A1298,'Base de données'!A$4:A$990,0),2),"")</f>
        <v/>
      </c>
      <c r="C1298" s="87" t="str">
        <f>IF(A1298&lt;&gt;"",INDEX('Base de données'!A$4:L$990,MATCH(' TVA M'!A1298,'Base de données'!A$4:A$990,0),12),"")</f>
        <v/>
      </c>
    </row>
    <row r="1299" spans="2:3" x14ac:dyDescent="0.25">
      <c r="B1299" s="87" t="str">
        <f>IF(A1299&lt;&gt;"",INDEX('Base de données'!A$4:L$990,MATCH(' TVA M'!A1299,'Base de données'!A$4:A$990,0),2),"")</f>
        <v/>
      </c>
      <c r="C1299" s="87" t="str">
        <f>IF(A1299&lt;&gt;"",INDEX('Base de données'!A$4:L$990,MATCH(' TVA M'!A1299,'Base de données'!A$4:A$990,0),12),"")</f>
        <v/>
      </c>
    </row>
    <row r="1300" spans="2:3" x14ac:dyDescent="0.25">
      <c r="B1300" s="87" t="str">
        <f>IF(A1300&lt;&gt;"",INDEX('Base de données'!A$4:L$990,MATCH(' TVA M'!A1300,'Base de données'!A$4:A$990,0),2),"")</f>
        <v/>
      </c>
      <c r="C1300" s="87" t="str">
        <f>IF(A1300&lt;&gt;"",INDEX('Base de données'!A$4:L$990,MATCH(' TVA M'!A1300,'Base de données'!A$4:A$990,0),12),"")</f>
        <v/>
      </c>
    </row>
    <row r="1301" spans="2:3" x14ac:dyDescent="0.25">
      <c r="B1301" s="87" t="str">
        <f>IF(A1301&lt;&gt;"",INDEX('Base de données'!A$4:L$990,MATCH(' TVA M'!A1301,'Base de données'!A$4:A$990,0),2),"")</f>
        <v/>
      </c>
      <c r="C1301" s="87" t="str">
        <f>IF(A1301&lt;&gt;"",INDEX('Base de données'!A$4:L$990,MATCH(' TVA M'!A1301,'Base de données'!A$4:A$990,0),12),"")</f>
        <v/>
      </c>
    </row>
    <row r="1302" spans="2:3" x14ac:dyDescent="0.25">
      <c r="B1302" s="87" t="str">
        <f>IF(A1302&lt;&gt;"",INDEX('Base de données'!A$4:L$990,MATCH(' TVA M'!A1302,'Base de données'!A$4:A$990,0),2),"")</f>
        <v/>
      </c>
      <c r="C1302" s="87" t="str">
        <f>IF(A1302&lt;&gt;"",INDEX('Base de données'!A$4:L$990,MATCH(' TVA M'!A1302,'Base de données'!A$4:A$990,0),12),"")</f>
        <v/>
      </c>
    </row>
    <row r="1303" spans="2:3" x14ac:dyDescent="0.25">
      <c r="B1303" s="87" t="str">
        <f>IF(A1303&lt;&gt;"",INDEX('Base de données'!A$4:L$990,MATCH(' TVA M'!A1303,'Base de données'!A$4:A$990,0),2),"")</f>
        <v/>
      </c>
      <c r="C1303" s="87" t="str">
        <f>IF(A1303&lt;&gt;"",INDEX('Base de données'!A$4:L$990,MATCH(' TVA M'!A1303,'Base de données'!A$4:A$990,0),12),"")</f>
        <v/>
      </c>
    </row>
    <row r="1304" spans="2:3" x14ac:dyDescent="0.25">
      <c r="B1304" s="87" t="str">
        <f>IF(A1304&lt;&gt;"",INDEX('Base de données'!A$4:L$990,MATCH(' TVA M'!A1304,'Base de données'!A$4:A$990,0),2),"")</f>
        <v/>
      </c>
      <c r="C1304" s="87" t="str">
        <f>IF(A1304&lt;&gt;"",INDEX('Base de données'!A$4:L$990,MATCH(' TVA M'!A1304,'Base de données'!A$4:A$990,0),12),"")</f>
        <v/>
      </c>
    </row>
    <row r="1305" spans="2:3" x14ac:dyDescent="0.25">
      <c r="B1305" s="87" t="str">
        <f>IF(A1305&lt;&gt;"",INDEX('Base de données'!A$4:L$990,MATCH(' TVA M'!A1305,'Base de données'!A$4:A$990,0),2),"")</f>
        <v/>
      </c>
      <c r="C1305" s="87" t="str">
        <f>IF(A1305&lt;&gt;"",INDEX('Base de données'!A$4:L$990,MATCH(' TVA M'!A1305,'Base de données'!A$4:A$990,0),12),"")</f>
        <v/>
      </c>
    </row>
    <row r="1306" spans="2:3" x14ac:dyDescent="0.25">
      <c r="B1306" s="87" t="str">
        <f>IF(A1306&lt;&gt;"",INDEX('Base de données'!A$4:L$990,MATCH(' TVA M'!A1306,'Base de données'!A$4:A$990,0),2),"")</f>
        <v/>
      </c>
      <c r="C1306" s="87" t="str">
        <f>IF(A1306&lt;&gt;"",INDEX('Base de données'!A$4:L$990,MATCH(' TVA M'!A1306,'Base de données'!A$4:A$990,0),12),"")</f>
        <v/>
      </c>
    </row>
    <row r="1307" spans="2:3" x14ac:dyDescent="0.25">
      <c r="B1307" s="87" t="str">
        <f>IF(A1307&lt;&gt;"",INDEX('Base de données'!A$4:L$990,MATCH(' TVA M'!A1307,'Base de données'!A$4:A$990,0),2),"")</f>
        <v/>
      </c>
      <c r="C1307" s="87" t="str">
        <f>IF(A1307&lt;&gt;"",INDEX('Base de données'!A$4:L$990,MATCH(' TVA M'!A1307,'Base de données'!A$4:A$990,0),12),"")</f>
        <v/>
      </c>
    </row>
    <row r="1308" spans="2:3" x14ac:dyDescent="0.25">
      <c r="B1308" s="87" t="str">
        <f>IF(A1308&lt;&gt;"",INDEX('Base de données'!A$4:L$990,MATCH(' TVA M'!A1308,'Base de données'!A$4:A$990,0),2),"")</f>
        <v/>
      </c>
      <c r="C1308" s="87" t="str">
        <f>IF(A1308&lt;&gt;"",INDEX('Base de données'!A$4:L$990,MATCH(' TVA M'!A1308,'Base de données'!A$4:A$990,0),12),"")</f>
        <v/>
      </c>
    </row>
    <row r="1309" spans="2:3" x14ac:dyDescent="0.25">
      <c r="B1309" s="87" t="str">
        <f>IF(A1309&lt;&gt;"",INDEX('Base de données'!A$4:L$990,MATCH(' TVA M'!A1309,'Base de données'!A$4:A$990,0),2),"")</f>
        <v/>
      </c>
      <c r="C1309" s="87" t="str">
        <f>IF(A1309&lt;&gt;"",INDEX('Base de données'!A$4:L$990,MATCH(' TVA M'!A1309,'Base de données'!A$4:A$990,0),12),"")</f>
        <v/>
      </c>
    </row>
    <row r="1310" spans="2:3" x14ac:dyDescent="0.25">
      <c r="B1310" s="87" t="str">
        <f>IF(A1310&lt;&gt;"",INDEX('Base de données'!A$4:L$990,MATCH(' TVA M'!A1310,'Base de données'!A$4:A$990,0),2),"")</f>
        <v/>
      </c>
      <c r="C1310" s="87" t="str">
        <f>IF(A1310&lt;&gt;"",INDEX('Base de données'!A$4:L$990,MATCH(' TVA M'!A1310,'Base de données'!A$4:A$990,0),12),"")</f>
        <v/>
      </c>
    </row>
    <row r="1311" spans="2:3" x14ac:dyDescent="0.25">
      <c r="B1311" s="87" t="str">
        <f>IF(A1311&lt;&gt;"",INDEX('Base de données'!A$4:L$990,MATCH(' TVA M'!A1311,'Base de données'!A$4:A$990,0),2),"")</f>
        <v/>
      </c>
      <c r="C1311" s="87" t="str">
        <f>IF(A1311&lt;&gt;"",INDEX('Base de données'!A$4:L$990,MATCH(' TVA M'!A1311,'Base de données'!A$4:A$990,0),12),"")</f>
        <v/>
      </c>
    </row>
    <row r="1312" spans="2:3" x14ac:dyDescent="0.25">
      <c r="B1312" s="87" t="str">
        <f>IF(A1312&lt;&gt;"",INDEX('Base de données'!A$4:L$990,MATCH(' TVA M'!A1312,'Base de données'!A$4:A$990,0),2),"")</f>
        <v/>
      </c>
      <c r="C1312" s="87" t="str">
        <f>IF(A1312&lt;&gt;"",INDEX('Base de données'!A$4:L$990,MATCH(' TVA M'!A1312,'Base de données'!A$4:A$990,0),12),"")</f>
        <v/>
      </c>
    </row>
    <row r="1313" spans="2:3" x14ac:dyDescent="0.25">
      <c r="B1313" s="87" t="str">
        <f>IF(A1313&lt;&gt;"",INDEX('Base de données'!A$4:L$990,MATCH(' TVA M'!A1313,'Base de données'!A$4:A$990,0),2),"")</f>
        <v/>
      </c>
      <c r="C1313" s="87" t="str">
        <f>IF(A1313&lt;&gt;"",INDEX('Base de données'!A$4:L$990,MATCH(' TVA M'!A1313,'Base de données'!A$4:A$990,0),12),"")</f>
        <v/>
      </c>
    </row>
    <row r="1314" spans="2:3" x14ac:dyDescent="0.25">
      <c r="B1314" s="87" t="str">
        <f>IF(A1314&lt;&gt;"",INDEX('Base de données'!A$4:L$990,MATCH(' TVA M'!A1314,'Base de données'!A$4:A$990,0),2),"")</f>
        <v/>
      </c>
      <c r="C1314" s="87" t="str">
        <f>IF(A1314&lt;&gt;"",INDEX('Base de données'!A$4:L$990,MATCH(' TVA M'!A1314,'Base de données'!A$4:A$990,0),12),"")</f>
        <v/>
      </c>
    </row>
    <row r="1315" spans="2:3" x14ac:dyDescent="0.25">
      <c r="B1315" s="87" t="str">
        <f>IF(A1315&lt;&gt;"",INDEX('Base de données'!A$4:L$990,MATCH(' TVA M'!A1315,'Base de données'!A$4:A$990,0),2),"")</f>
        <v/>
      </c>
      <c r="C1315" s="87" t="str">
        <f>IF(A1315&lt;&gt;"",INDEX('Base de données'!A$4:L$990,MATCH(' TVA M'!A1315,'Base de données'!A$4:A$990,0),12),"")</f>
        <v/>
      </c>
    </row>
    <row r="1316" spans="2:3" x14ac:dyDescent="0.25">
      <c r="B1316" s="87" t="str">
        <f>IF(A1316&lt;&gt;"",INDEX('Base de données'!A$4:L$990,MATCH(' TVA M'!A1316,'Base de données'!A$4:A$990,0),2),"")</f>
        <v/>
      </c>
      <c r="C1316" s="87" t="str">
        <f>IF(A1316&lt;&gt;"",INDEX('Base de données'!A$4:L$990,MATCH(' TVA M'!A1316,'Base de données'!A$4:A$990,0),12),"")</f>
        <v/>
      </c>
    </row>
    <row r="1317" spans="2:3" x14ac:dyDescent="0.25">
      <c r="B1317" s="87" t="str">
        <f>IF(A1317&lt;&gt;"",INDEX('Base de données'!A$4:L$990,MATCH(' TVA M'!A1317,'Base de données'!A$4:A$990,0),2),"")</f>
        <v/>
      </c>
      <c r="C1317" s="87" t="str">
        <f>IF(A1317&lt;&gt;"",INDEX('Base de données'!A$4:L$990,MATCH(' TVA M'!A1317,'Base de données'!A$4:A$990,0),12),"")</f>
        <v/>
      </c>
    </row>
    <row r="1318" spans="2:3" x14ac:dyDescent="0.25">
      <c r="B1318" s="87" t="str">
        <f>IF(A1318&lt;&gt;"",INDEX('Base de données'!A$4:L$990,MATCH(' TVA M'!A1318,'Base de données'!A$4:A$990,0),2),"")</f>
        <v/>
      </c>
      <c r="C1318" s="87" t="str">
        <f>IF(A1318&lt;&gt;"",INDEX('Base de données'!A$4:L$990,MATCH(' TVA M'!A1318,'Base de données'!A$4:A$990,0),12),"")</f>
        <v/>
      </c>
    </row>
    <row r="1319" spans="2:3" x14ac:dyDescent="0.25">
      <c r="B1319" s="87" t="str">
        <f>IF(A1319&lt;&gt;"",INDEX('Base de données'!A$4:L$990,MATCH(' TVA M'!A1319,'Base de données'!A$4:A$990,0),2),"")</f>
        <v/>
      </c>
      <c r="C1319" s="87" t="str">
        <f>IF(A1319&lt;&gt;"",INDEX('Base de données'!A$4:L$990,MATCH(' TVA M'!A1319,'Base de données'!A$4:A$990,0),12),"")</f>
        <v/>
      </c>
    </row>
    <row r="1320" spans="2:3" x14ac:dyDescent="0.25">
      <c r="B1320" s="87" t="str">
        <f>IF(A1320&lt;&gt;"",INDEX('Base de données'!A$4:L$990,MATCH(' TVA M'!A1320,'Base de données'!A$4:A$990,0),2),"")</f>
        <v/>
      </c>
      <c r="C1320" s="87" t="str">
        <f>IF(A1320&lt;&gt;"",INDEX('Base de données'!A$4:L$990,MATCH(' TVA M'!A1320,'Base de données'!A$4:A$990,0),12),"")</f>
        <v/>
      </c>
    </row>
    <row r="1321" spans="2:3" x14ac:dyDescent="0.25">
      <c r="B1321" s="87" t="str">
        <f>IF(A1321&lt;&gt;"",INDEX('Base de données'!A$4:L$990,MATCH(' TVA M'!A1321,'Base de données'!A$4:A$990,0),2),"")</f>
        <v/>
      </c>
      <c r="C1321" s="87" t="str">
        <f>IF(A1321&lt;&gt;"",INDEX('Base de données'!A$4:L$990,MATCH(' TVA M'!A1321,'Base de données'!A$4:A$990,0),12),"")</f>
        <v/>
      </c>
    </row>
    <row r="1322" spans="2:3" x14ac:dyDescent="0.25">
      <c r="B1322" s="87" t="str">
        <f>IF(A1322&lt;&gt;"",INDEX('Base de données'!A$4:L$990,MATCH(' TVA M'!A1322,'Base de données'!A$4:A$990,0),2),"")</f>
        <v/>
      </c>
      <c r="C1322" s="87" t="str">
        <f>IF(A1322&lt;&gt;"",INDEX('Base de données'!A$4:L$990,MATCH(' TVA M'!A1322,'Base de données'!A$4:A$990,0),12),"")</f>
        <v/>
      </c>
    </row>
    <row r="1323" spans="2:3" x14ac:dyDescent="0.25">
      <c r="B1323" s="87" t="str">
        <f>IF(A1323&lt;&gt;"",INDEX('Base de données'!A$4:L$990,MATCH(' TVA M'!A1323,'Base de données'!A$4:A$990,0),2),"")</f>
        <v/>
      </c>
      <c r="C1323" s="87" t="str">
        <f>IF(A1323&lt;&gt;"",INDEX('Base de données'!A$4:L$990,MATCH(' TVA M'!A1323,'Base de données'!A$4:A$990,0),12),"")</f>
        <v/>
      </c>
    </row>
    <row r="1324" spans="2:3" x14ac:dyDescent="0.25">
      <c r="B1324" s="87" t="str">
        <f>IF(A1324&lt;&gt;"",INDEX('Base de données'!A$4:L$990,MATCH(' TVA M'!A1324,'Base de données'!A$4:A$990,0),2),"")</f>
        <v/>
      </c>
      <c r="C1324" s="87" t="str">
        <f>IF(A1324&lt;&gt;"",INDEX('Base de données'!A$4:L$990,MATCH(' TVA M'!A1324,'Base de données'!A$4:A$990,0),12),"")</f>
        <v/>
      </c>
    </row>
    <row r="1325" spans="2:3" x14ac:dyDescent="0.25">
      <c r="B1325" s="87" t="str">
        <f>IF(A1325&lt;&gt;"",INDEX('Base de données'!A$4:L$990,MATCH(' TVA M'!A1325,'Base de données'!A$4:A$990,0),2),"")</f>
        <v/>
      </c>
      <c r="C1325" s="87" t="str">
        <f>IF(A1325&lt;&gt;"",INDEX('Base de données'!A$4:L$990,MATCH(' TVA M'!A1325,'Base de données'!A$4:A$990,0),12),"")</f>
        <v/>
      </c>
    </row>
    <row r="1326" spans="2:3" x14ac:dyDescent="0.25">
      <c r="B1326" s="87" t="str">
        <f>IF(A1326&lt;&gt;"",INDEX('Base de données'!A$4:L$990,MATCH(' TVA M'!A1326,'Base de données'!A$4:A$990,0),2),"")</f>
        <v/>
      </c>
      <c r="C1326" s="87" t="str">
        <f>IF(A1326&lt;&gt;"",INDEX('Base de données'!A$4:L$990,MATCH(' TVA M'!A1326,'Base de données'!A$4:A$990,0),12),"")</f>
        <v/>
      </c>
    </row>
    <row r="1327" spans="2:3" x14ac:dyDescent="0.25">
      <c r="B1327" s="87" t="str">
        <f>IF(A1327&lt;&gt;"",INDEX('Base de données'!A$4:L$990,MATCH(' TVA M'!A1327,'Base de données'!A$4:A$990,0),2),"")</f>
        <v/>
      </c>
      <c r="C1327" s="87" t="str">
        <f>IF(A1327&lt;&gt;"",INDEX('Base de données'!A$4:L$990,MATCH(' TVA M'!A1327,'Base de données'!A$4:A$990,0),12),"")</f>
        <v/>
      </c>
    </row>
    <row r="1328" spans="2:3" x14ac:dyDescent="0.25">
      <c r="B1328" s="87" t="str">
        <f>IF(A1328&lt;&gt;"",INDEX('Base de données'!A$4:L$990,MATCH(' TVA M'!A1328,'Base de données'!A$4:A$990,0),2),"")</f>
        <v/>
      </c>
      <c r="C1328" s="87" t="str">
        <f>IF(A1328&lt;&gt;"",INDEX('Base de données'!A$4:L$990,MATCH(' TVA M'!A1328,'Base de données'!A$4:A$990,0),12),"")</f>
        <v/>
      </c>
    </row>
    <row r="1329" spans="2:3" x14ac:dyDescent="0.25">
      <c r="B1329" s="87" t="str">
        <f>IF(A1329&lt;&gt;"",INDEX('Base de données'!A$4:L$990,MATCH(' TVA M'!A1329,'Base de données'!A$4:A$990,0),2),"")</f>
        <v/>
      </c>
      <c r="C1329" s="87" t="str">
        <f>IF(A1329&lt;&gt;"",INDEX('Base de données'!A$4:L$990,MATCH(' TVA M'!A1329,'Base de données'!A$4:A$990,0),12),"")</f>
        <v/>
      </c>
    </row>
    <row r="1330" spans="2:3" x14ac:dyDescent="0.25">
      <c r="B1330" s="87" t="str">
        <f>IF(A1330&lt;&gt;"",INDEX('Base de données'!A$4:L$990,MATCH(' TVA M'!A1330,'Base de données'!A$4:A$990,0),2),"")</f>
        <v/>
      </c>
      <c r="C1330" s="87" t="str">
        <f>IF(A1330&lt;&gt;"",INDEX('Base de données'!A$4:L$990,MATCH(' TVA M'!A1330,'Base de données'!A$4:A$990,0),12),"")</f>
        <v/>
      </c>
    </row>
    <row r="1331" spans="2:3" x14ac:dyDescent="0.25">
      <c r="B1331" s="87" t="str">
        <f>IF(A1331&lt;&gt;"",INDEX('Base de données'!A$4:L$990,MATCH(' TVA M'!A1331,'Base de données'!A$4:A$990,0),2),"")</f>
        <v/>
      </c>
      <c r="C1331" s="87" t="str">
        <f>IF(A1331&lt;&gt;"",INDEX('Base de données'!A$4:L$990,MATCH(' TVA M'!A1331,'Base de données'!A$4:A$990,0),12),"")</f>
        <v/>
      </c>
    </row>
    <row r="1332" spans="2:3" x14ac:dyDescent="0.25">
      <c r="B1332" s="87" t="str">
        <f>IF(A1332&lt;&gt;"",INDEX('Base de données'!A$4:L$990,MATCH(' TVA M'!A1332,'Base de données'!A$4:A$990,0),2),"")</f>
        <v/>
      </c>
      <c r="C1332" s="87" t="str">
        <f>IF(A1332&lt;&gt;"",INDEX('Base de données'!A$4:L$990,MATCH(' TVA M'!A1332,'Base de données'!A$4:A$990,0),12),"")</f>
        <v/>
      </c>
    </row>
    <row r="1333" spans="2:3" x14ac:dyDescent="0.25">
      <c r="B1333" s="87" t="str">
        <f>IF(A1333&lt;&gt;"",INDEX('Base de données'!A$4:L$990,MATCH(' TVA M'!A1333,'Base de données'!A$4:A$990,0),2),"")</f>
        <v/>
      </c>
      <c r="C1333" s="87" t="str">
        <f>IF(A1333&lt;&gt;"",INDEX('Base de données'!A$4:L$990,MATCH(' TVA M'!A1333,'Base de données'!A$4:A$990,0),12),"")</f>
        <v/>
      </c>
    </row>
    <row r="1334" spans="2:3" x14ac:dyDescent="0.25">
      <c r="B1334" s="87" t="str">
        <f>IF(A1334&lt;&gt;"",INDEX('Base de données'!A$4:L$990,MATCH(' TVA M'!A1334,'Base de données'!A$4:A$990,0),2),"")</f>
        <v/>
      </c>
      <c r="C1334" s="87" t="str">
        <f>IF(A1334&lt;&gt;"",INDEX('Base de données'!A$4:L$990,MATCH(' TVA M'!A1334,'Base de données'!A$4:A$990,0),12),"")</f>
        <v/>
      </c>
    </row>
    <row r="1335" spans="2:3" x14ac:dyDescent="0.25">
      <c r="B1335" s="87" t="str">
        <f>IF(A1335&lt;&gt;"",INDEX('Base de données'!A$4:L$990,MATCH(' TVA M'!A1335,'Base de données'!A$4:A$990,0),2),"")</f>
        <v/>
      </c>
      <c r="C1335" s="87" t="str">
        <f>IF(A1335&lt;&gt;"",INDEX('Base de données'!A$4:L$990,MATCH(' TVA M'!A1335,'Base de données'!A$4:A$990,0),12),"")</f>
        <v/>
      </c>
    </row>
    <row r="1336" spans="2:3" x14ac:dyDescent="0.25">
      <c r="B1336" s="87" t="str">
        <f>IF(A1336&lt;&gt;"",INDEX('Base de données'!A$4:L$990,MATCH(' TVA M'!A1336,'Base de données'!A$4:A$990,0),2),"")</f>
        <v/>
      </c>
      <c r="C1336" s="87" t="str">
        <f>IF(A1336&lt;&gt;"",INDEX('Base de données'!A$4:L$990,MATCH(' TVA M'!A1336,'Base de données'!A$4:A$990,0),12),"")</f>
        <v/>
      </c>
    </row>
    <row r="1337" spans="2:3" x14ac:dyDescent="0.25">
      <c r="B1337" s="87" t="str">
        <f>IF(A1337&lt;&gt;"",INDEX('Base de données'!A$4:L$990,MATCH(' TVA M'!A1337,'Base de données'!A$4:A$990,0),2),"")</f>
        <v/>
      </c>
      <c r="C1337" s="87" t="str">
        <f>IF(A1337&lt;&gt;"",INDEX('Base de données'!A$4:L$990,MATCH(' TVA M'!A1337,'Base de données'!A$4:A$990,0),12),"")</f>
        <v/>
      </c>
    </row>
    <row r="1338" spans="2:3" x14ac:dyDescent="0.25">
      <c r="B1338" s="87" t="str">
        <f>IF(A1338&lt;&gt;"",INDEX('Base de données'!A$4:L$990,MATCH(' TVA M'!A1338,'Base de données'!A$4:A$990,0),2),"")</f>
        <v/>
      </c>
      <c r="C1338" s="87" t="str">
        <f>IF(A1338&lt;&gt;"",INDEX('Base de données'!A$4:L$990,MATCH(' TVA M'!A1338,'Base de données'!A$4:A$990,0),12),"")</f>
        <v/>
      </c>
    </row>
    <row r="1339" spans="2:3" x14ac:dyDescent="0.25">
      <c r="B1339" s="87" t="str">
        <f>IF(A1339&lt;&gt;"",INDEX('Base de données'!A$4:L$990,MATCH(' TVA M'!A1339,'Base de données'!A$4:A$990,0),2),"")</f>
        <v/>
      </c>
      <c r="C1339" s="87" t="str">
        <f>IF(A1339&lt;&gt;"",INDEX('Base de données'!A$4:L$990,MATCH(' TVA M'!A1339,'Base de données'!A$4:A$990,0),12),"")</f>
        <v/>
      </c>
    </row>
    <row r="1340" spans="2:3" x14ac:dyDescent="0.25">
      <c r="B1340" s="87" t="str">
        <f>IF(A1340&lt;&gt;"",INDEX('Base de données'!A$4:L$990,MATCH(' TVA M'!A1340,'Base de données'!A$4:A$990,0),2),"")</f>
        <v/>
      </c>
      <c r="C1340" s="87" t="str">
        <f>IF(A1340&lt;&gt;"",INDEX('Base de données'!A$4:L$990,MATCH(' TVA M'!A1340,'Base de données'!A$4:A$990,0),12),"")</f>
        <v/>
      </c>
    </row>
    <row r="1341" spans="2:3" x14ac:dyDescent="0.25">
      <c r="B1341" s="87" t="str">
        <f>IF(A1341&lt;&gt;"",INDEX('Base de données'!A$4:L$990,MATCH(' TVA M'!A1341,'Base de données'!A$4:A$990,0),2),"")</f>
        <v/>
      </c>
      <c r="C1341" s="87" t="str">
        <f>IF(A1341&lt;&gt;"",INDEX('Base de données'!A$4:L$990,MATCH(' TVA M'!A1341,'Base de données'!A$4:A$990,0),12),"")</f>
        <v/>
      </c>
    </row>
    <row r="1342" spans="2:3" x14ac:dyDescent="0.25">
      <c r="B1342" s="87" t="str">
        <f>IF(A1342&lt;&gt;"",INDEX('Base de données'!A$4:L$990,MATCH(' TVA M'!A1342,'Base de données'!A$4:A$990,0),2),"")</f>
        <v/>
      </c>
      <c r="C1342" s="87" t="str">
        <f>IF(A1342&lt;&gt;"",INDEX('Base de données'!A$4:L$990,MATCH(' TVA M'!A1342,'Base de données'!A$4:A$990,0),12),"")</f>
        <v/>
      </c>
    </row>
    <row r="1343" spans="2:3" x14ac:dyDescent="0.25">
      <c r="B1343" s="87" t="str">
        <f>IF(A1343&lt;&gt;"",INDEX('Base de données'!A$4:L$990,MATCH(' TVA M'!A1343,'Base de données'!A$4:A$990,0),2),"")</f>
        <v/>
      </c>
      <c r="C1343" s="87" t="str">
        <f>IF(A1343&lt;&gt;"",INDEX('Base de données'!A$4:L$990,MATCH(' TVA M'!A1343,'Base de données'!A$4:A$990,0),12),"")</f>
        <v/>
      </c>
    </row>
    <row r="1344" spans="2:3" x14ac:dyDescent="0.25">
      <c r="B1344" s="87" t="str">
        <f>IF(A1344&lt;&gt;"",INDEX('Base de données'!A$4:L$990,MATCH(' TVA M'!A1344,'Base de données'!A$4:A$990,0),2),"")</f>
        <v/>
      </c>
      <c r="C1344" s="87" t="str">
        <f>IF(A1344&lt;&gt;"",INDEX('Base de données'!A$4:L$990,MATCH(' TVA M'!A1344,'Base de données'!A$4:A$990,0),12),"")</f>
        <v/>
      </c>
    </row>
    <row r="1345" spans="2:3" x14ac:dyDescent="0.25">
      <c r="B1345" s="87" t="str">
        <f>IF(A1345&lt;&gt;"",INDEX('Base de données'!A$4:L$990,MATCH(' TVA M'!A1345,'Base de données'!A$4:A$990,0),2),"")</f>
        <v/>
      </c>
      <c r="C1345" s="87" t="str">
        <f>IF(A1345&lt;&gt;"",INDEX('Base de données'!A$4:L$990,MATCH(' TVA M'!A1345,'Base de données'!A$4:A$990,0),12),"")</f>
        <v/>
      </c>
    </row>
    <row r="1346" spans="2:3" x14ac:dyDescent="0.25">
      <c r="B1346" s="87" t="str">
        <f>IF(A1346&lt;&gt;"",INDEX('Base de données'!A$4:L$990,MATCH(' TVA M'!A1346,'Base de données'!A$4:A$990,0),2),"")</f>
        <v/>
      </c>
      <c r="C1346" s="87" t="str">
        <f>IF(A1346&lt;&gt;"",INDEX('Base de données'!A$4:L$990,MATCH(' TVA M'!A1346,'Base de données'!A$4:A$990,0),12),"")</f>
        <v/>
      </c>
    </row>
    <row r="1347" spans="2:3" x14ac:dyDescent="0.25">
      <c r="B1347" s="87" t="str">
        <f>IF(A1347&lt;&gt;"",INDEX('Base de données'!A$4:L$990,MATCH(' TVA M'!A1347,'Base de données'!A$4:A$990,0),2),"")</f>
        <v/>
      </c>
      <c r="C1347" s="87" t="str">
        <f>IF(A1347&lt;&gt;"",INDEX('Base de données'!A$4:L$990,MATCH(' TVA M'!A1347,'Base de données'!A$4:A$990,0),12),"")</f>
        <v/>
      </c>
    </row>
    <row r="1348" spans="2:3" x14ac:dyDescent="0.25">
      <c r="B1348" s="87" t="str">
        <f>IF(A1348&lt;&gt;"",INDEX('Base de données'!A$4:L$990,MATCH(' TVA M'!A1348,'Base de données'!A$4:A$990,0),2),"")</f>
        <v/>
      </c>
      <c r="C1348" s="87" t="str">
        <f>IF(A1348&lt;&gt;"",INDEX('Base de données'!A$4:L$990,MATCH(' TVA M'!A1348,'Base de données'!A$4:A$990,0),12),"")</f>
        <v/>
      </c>
    </row>
    <row r="1349" spans="2:3" x14ac:dyDescent="0.25">
      <c r="B1349" s="87" t="str">
        <f>IF(A1349&lt;&gt;"",INDEX('Base de données'!A$4:L$990,MATCH(' TVA M'!A1349,'Base de données'!A$4:A$990,0),2),"")</f>
        <v/>
      </c>
      <c r="C1349" s="87" t="str">
        <f>IF(A1349&lt;&gt;"",INDEX('Base de données'!A$4:L$990,MATCH(' TVA M'!A1349,'Base de données'!A$4:A$990,0),12),"")</f>
        <v/>
      </c>
    </row>
    <row r="1350" spans="2:3" x14ac:dyDescent="0.25">
      <c r="B1350" s="87" t="str">
        <f>IF(A1350&lt;&gt;"",INDEX('Base de données'!A$4:L$990,MATCH(' TVA M'!A1350,'Base de données'!A$4:A$990,0),2),"")</f>
        <v/>
      </c>
      <c r="C1350" s="87" t="str">
        <f>IF(A1350&lt;&gt;"",INDEX('Base de données'!A$4:L$990,MATCH(' TVA M'!A1350,'Base de données'!A$4:A$990,0),12),"")</f>
        <v/>
      </c>
    </row>
    <row r="1351" spans="2:3" x14ac:dyDescent="0.25">
      <c r="B1351" s="87" t="str">
        <f>IF(A1351&lt;&gt;"",INDEX('Base de données'!A$4:L$990,MATCH(' TVA M'!A1351,'Base de données'!A$4:A$990,0),2),"")</f>
        <v/>
      </c>
      <c r="C1351" s="87" t="str">
        <f>IF(A1351&lt;&gt;"",INDEX('Base de données'!A$4:L$990,MATCH(' TVA M'!A1351,'Base de données'!A$4:A$990,0),12),"")</f>
        <v/>
      </c>
    </row>
    <row r="1352" spans="2:3" x14ac:dyDescent="0.25">
      <c r="B1352" s="87" t="str">
        <f>IF(A1352&lt;&gt;"",INDEX('Base de données'!A$4:L$990,MATCH(' TVA M'!A1352,'Base de données'!A$4:A$990,0),2),"")</f>
        <v/>
      </c>
      <c r="C1352" s="87" t="str">
        <f>IF(A1352&lt;&gt;"",INDEX('Base de données'!A$4:L$990,MATCH(' TVA M'!A1352,'Base de données'!A$4:A$990,0),12),"")</f>
        <v/>
      </c>
    </row>
    <row r="1353" spans="2:3" x14ac:dyDescent="0.25">
      <c r="B1353" s="87" t="str">
        <f>IF(A1353&lt;&gt;"",INDEX('Base de données'!A$4:L$990,MATCH(' TVA M'!A1353,'Base de données'!A$4:A$990,0),2),"")</f>
        <v/>
      </c>
      <c r="C1353" s="87" t="str">
        <f>IF(A1353&lt;&gt;"",INDEX('Base de données'!A$4:L$990,MATCH(' TVA M'!A1353,'Base de données'!A$4:A$990,0),12),"")</f>
        <v/>
      </c>
    </row>
    <row r="1354" spans="2:3" x14ac:dyDescent="0.25">
      <c r="B1354" s="87" t="str">
        <f>IF(A1354&lt;&gt;"",INDEX('Base de données'!A$4:L$990,MATCH(' TVA M'!A1354,'Base de données'!A$4:A$990,0),2),"")</f>
        <v/>
      </c>
      <c r="C1354" s="87" t="str">
        <f>IF(A1354&lt;&gt;"",INDEX('Base de données'!A$4:L$990,MATCH(' TVA M'!A1354,'Base de données'!A$4:A$990,0),12),"")</f>
        <v/>
      </c>
    </row>
    <row r="1355" spans="2:3" x14ac:dyDescent="0.25">
      <c r="B1355" s="87" t="str">
        <f>IF(A1355&lt;&gt;"",INDEX('Base de données'!A$4:L$990,MATCH(' TVA M'!A1355,'Base de données'!A$4:A$990,0),2),"")</f>
        <v/>
      </c>
      <c r="C1355" s="87" t="str">
        <f>IF(A1355&lt;&gt;"",INDEX('Base de données'!A$4:L$990,MATCH(' TVA M'!A1355,'Base de données'!A$4:A$990,0),12),"")</f>
        <v/>
      </c>
    </row>
    <row r="1356" spans="2:3" x14ac:dyDescent="0.25">
      <c r="B1356" s="87" t="str">
        <f>IF(A1356&lt;&gt;"",INDEX('Base de données'!A$4:L$990,MATCH(' TVA M'!A1356,'Base de données'!A$4:A$990,0),2),"")</f>
        <v/>
      </c>
      <c r="C1356" s="87" t="str">
        <f>IF(A1356&lt;&gt;"",INDEX('Base de données'!A$4:L$990,MATCH(' TVA M'!A1356,'Base de données'!A$4:A$990,0),12),"")</f>
        <v/>
      </c>
    </row>
    <row r="1357" spans="2:3" x14ac:dyDescent="0.25">
      <c r="B1357" s="87" t="str">
        <f>IF(A1357&lt;&gt;"",INDEX('Base de données'!A$4:L$990,MATCH(' TVA M'!A1357,'Base de données'!A$4:A$990,0),2),"")</f>
        <v/>
      </c>
      <c r="C1357" s="87" t="str">
        <f>IF(A1357&lt;&gt;"",INDEX('Base de données'!A$4:L$990,MATCH(' TVA M'!A1357,'Base de données'!A$4:A$990,0),12),"")</f>
        <v/>
      </c>
    </row>
    <row r="1358" spans="2:3" x14ac:dyDescent="0.25">
      <c r="B1358" s="87" t="str">
        <f>IF(A1358&lt;&gt;"",INDEX('Base de données'!A$4:L$990,MATCH(' TVA M'!A1358,'Base de données'!A$4:A$990,0),2),"")</f>
        <v/>
      </c>
      <c r="C1358" s="87" t="str">
        <f>IF(A1358&lt;&gt;"",INDEX('Base de données'!A$4:L$990,MATCH(' TVA M'!A1358,'Base de données'!A$4:A$990,0),12),"")</f>
        <v/>
      </c>
    </row>
    <row r="1359" spans="2:3" x14ac:dyDescent="0.25">
      <c r="B1359" s="87" t="str">
        <f>IF(A1359&lt;&gt;"",INDEX('Base de données'!A$4:L$990,MATCH(' TVA M'!A1359,'Base de données'!A$4:A$990,0),2),"")</f>
        <v/>
      </c>
      <c r="C1359" s="87" t="str">
        <f>IF(A1359&lt;&gt;"",INDEX('Base de données'!A$4:L$990,MATCH(' TVA M'!A1359,'Base de données'!A$4:A$990,0),12),"")</f>
        <v/>
      </c>
    </row>
    <row r="1360" spans="2:3" x14ac:dyDescent="0.25">
      <c r="B1360" s="87" t="str">
        <f>IF(A1360&lt;&gt;"",INDEX('Base de données'!A$4:L$990,MATCH(' TVA M'!A1360,'Base de données'!A$4:A$990,0),2),"")</f>
        <v/>
      </c>
      <c r="C1360" s="87" t="str">
        <f>IF(A1360&lt;&gt;"",INDEX('Base de données'!A$4:L$990,MATCH(' TVA M'!A1360,'Base de données'!A$4:A$990,0),12),"")</f>
        <v/>
      </c>
    </row>
    <row r="1361" spans="2:3" x14ac:dyDescent="0.25">
      <c r="B1361" s="87" t="str">
        <f>IF(A1361&lt;&gt;"",INDEX('Base de données'!A$4:L$990,MATCH(' TVA M'!A1361,'Base de données'!A$4:A$990,0),2),"")</f>
        <v/>
      </c>
      <c r="C1361" s="87" t="str">
        <f>IF(A1361&lt;&gt;"",INDEX('Base de données'!A$4:L$990,MATCH(' TVA M'!A1361,'Base de données'!A$4:A$990,0),12),"")</f>
        <v/>
      </c>
    </row>
    <row r="1362" spans="2:3" x14ac:dyDescent="0.25">
      <c r="B1362" s="87" t="str">
        <f>IF(A1362&lt;&gt;"",INDEX('Base de données'!A$4:L$990,MATCH(' TVA M'!A1362,'Base de données'!A$4:A$990,0),2),"")</f>
        <v/>
      </c>
      <c r="C1362" s="87" t="str">
        <f>IF(A1362&lt;&gt;"",INDEX('Base de données'!A$4:L$990,MATCH(' TVA M'!A1362,'Base de données'!A$4:A$990,0),12),"")</f>
        <v/>
      </c>
    </row>
    <row r="1363" spans="2:3" x14ac:dyDescent="0.25">
      <c r="B1363" s="87" t="str">
        <f>IF(A1363&lt;&gt;"",INDEX('Base de données'!A$4:L$990,MATCH(' TVA M'!A1363,'Base de données'!A$4:A$990,0),2),"")</f>
        <v/>
      </c>
      <c r="C1363" s="87" t="str">
        <f>IF(A1363&lt;&gt;"",INDEX('Base de données'!A$4:L$990,MATCH(' TVA M'!A1363,'Base de données'!A$4:A$990,0),12),"")</f>
        <v/>
      </c>
    </row>
    <row r="1364" spans="2:3" x14ac:dyDescent="0.25">
      <c r="B1364" s="87" t="str">
        <f>IF(A1364&lt;&gt;"",INDEX('Base de données'!A$4:L$990,MATCH(' TVA M'!A1364,'Base de données'!A$4:A$990,0),2),"")</f>
        <v/>
      </c>
      <c r="C1364" s="87" t="str">
        <f>IF(A1364&lt;&gt;"",INDEX('Base de données'!A$4:L$990,MATCH(' TVA M'!A1364,'Base de données'!A$4:A$990,0),12),"")</f>
        <v/>
      </c>
    </row>
    <row r="1365" spans="2:3" x14ac:dyDescent="0.25">
      <c r="B1365" s="87" t="str">
        <f>IF(A1365&lt;&gt;"",INDEX('Base de données'!A$4:L$990,MATCH(' TVA M'!A1365,'Base de données'!A$4:A$990,0),2),"")</f>
        <v/>
      </c>
      <c r="C1365" s="87" t="str">
        <f>IF(A1365&lt;&gt;"",INDEX('Base de données'!A$4:L$990,MATCH(' TVA M'!A1365,'Base de données'!A$4:A$990,0),12),"")</f>
        <v/>
      </c>
    </row>
    <row r="1366" spans="2:3" x14ac:dyDescent="0.25">
      <c r="B1366" s="87" t="str">
        <f>IF(A1366&lt;&gt;"",INDEX('Base de données'!A$4:L$990,MATCH(' TVA M'!A1366,'Base de données'!A$4:A$990,0),2),"")</f>
        <v/>
      </c>
      <c r="C1366" s="87" t="str">
        <f>IF(A1366&lt;&gt;"",INDEX('Base de données'!A$4:L$990,MATCH(' TVA M'!A1366,'Base de données'!A$4:A$990,0),12),"")</f>
        <v/>
      </c>
    </row>
    <row r="1367" spans="2:3" x14ac:dyDescent="0.25">
      <c r="B1367" s="87" t="str">
        <f>IF(A1367&lt;&gt;"",INDEX('Base de données'!A$4:L$990,MATCH(' TVA M'!A1367,'Base de données'!A$4:A$990,0),2),"")</f>
        <v/>
      </c>
      <c r="C1367" s="87" t="str">
        <f>IF(A1367&lt;&gt;"",INDEX('Base de données'!A$4:L$990,MATCH(' TVA M'!A1367,'Base de données'!A$4:A$990,0),12),"")</f>
        <v/>
      </c>
    </row>
    <row r="1368" spans="2:3" x14ac:dyDescent="0.25">
      <c r="B1368" s="87" t="str">
        <f>IF(A1368&lt;&gt;"",INDEX('Base de données'!A$4:L$990,MATCH(' TVA M'!A1368,'Base de données'!A$4:A$990,0),2),"")</f>
        <v/>
      </c>
      <c r="C1368" s="87" t="str">
        <f>IF(A1368&lt;&gt;"",INDEX('Base de données'!A$4:L$990,MATCH(' TVA M'!A1368,'Base de données'!A$4:A$990,0),12),"")</f>
        <v/>
      </c>
    </row>
    <row r="1369" spans="2:3" x14ac:dyDescent="0.25">
      <c r="B1369" s="87" t="str">
        <f>IF(A1369&lt;&gt;"",INDEX('Base de données'!A$4:L$990,MATCH(' TVA M'!A1369,'Base de données'!A$4:A$990,0),2),"")</f>
        <v/>
      </c>
      <c r="C1369" s="87" t="str">
        <f>IF(A1369&lt;&gt;"",INDEX('Base de données'!A$4:L$990,MATCH(' TVA M'!A1369,'Base de données'!A$4:A$990,0),12),"")</f>
        <v/>
      </c>
    </row>
    <row r="1370" spans="2:3" x14ac:dyDescent="0.25">
      <c r="B1370" s="87" t="str">
        <f>IF(A1370&lt;&gt;"",INDEX('Base de données'!A$4:L$990,MATCH(' TVA M'!A1370,'Base de données'!A$4:A$990,0),2),"")</f>
        <v/>
      </c>
      <c r="C1370" s="87" t="str">
        <f>IF(A1370&lt;&gt;"",INDEX('Base de données'!A$4:L$990,MATCH(' TVA M'!A1370,'Base de données'!A$4:A$990,0),12),"")</f>
        <v/>
      </c>
    </row>
    <row r="1371" spans="2:3" x14ac:dyDescent="0.25">
      <c r="B1371" s="87" t="str">
        <f>IF(A1371&lt;&gt;"",INDEX('Base de données'!A$4:L$990,MATCH(' TVA M'!A1371,'Base de données'!A$4:A$990,0),2),"")</f>
        <v/>
      </c>
      <c r="C1371" s="87" t="str">
        <f>IF(A1371&lt;&gt;"",INDEX('Base de données'!A$4:L$990,MATCH(' TVA M'!A1371,'Base de données'!A$4:A$990,0),12),"")</f>
        <v/>
      </c>
    </row>
    <row r="1372" spans="2:3" x14ac:dyDescent="0.25">
      <c r="B1372" s="87" t="str">
        <f>IF(A1372&lt;&gt;"",INDEX('Base de données'!A$4:L$990,MATCH(' TVA M'!A1372,'Base de données'!A$4:A$990,0),2),"")</f>
        <v/>
      </c>
      <c r="C1372" s="87" t="str">
        <f>IF(A1372&lt;&gt;"",INDEX('Base de données'!A$4:L$990,MATCH(' TVA M'!A1372,'Base de données'!A$4:A$990,0),12),"")</f>
        <v/>
      </c>
    </row>
    <row r="1373" spans="2:3" x14ac:dyDescent="0.25">
      <c r="B1373" s="87" t="str">
        <f>IF(A1373&lt;&gt;"",INDEX('Base de données'!A$4:L$990,MATCH(' TVA M'!A1373,'Base de données'!A$4:A$990,0),2),"")</f>
        <v/>
      </c>
      <c r="C1373" s="87" t="str">
        <f>IF(A1373&lt;&gt;"",INDEX('Base de données'!A$4:L$990,MATCH(' TVA M'!A1373,'Base de données'!A$4:A$990,0),12),"")</f>
        <v/>
      </c>
    </row>
    <row r="1374" spans="2:3" x14ac:dyDescent="0.25">
      <c r="B1374" s="87" t="str">
        <f>IF(A1374&lt;&gt;"",INDEX('Base de données'!A$4:L$990,MATCH(' TVA M'!A1374,'Base de données'!A$4:A$990,0),2),"")</f>
        <v/>
      </c>
      <c r="C1374" s="87" t="str">
        <f>IF(A1374&lt;&gt;"",INDEX('Base de données'!A$4:L$990,MATCH(' TVA M'!A1374,'Base de données'!A$4:A$990,0),12),"")</f>
        <v/>
      </c>
    </row>
    <row r="1375" spans="2:3" x14ac:dyDescent="0.25">
      <c r="B1375" s="87" t="str">
        <f>IF(A1375&lt;&gt;"",INDEX('Base de données'!A$4:L$990,MATCH(' TVA M'!A1375,'Base de données'!A$4:A$990,0),2),"")</f>
        <v/>
      </c>
      <c r="C1375" s="87" t="str">
        <f>IF(A1375&lt;&gt;"",INDEX('Base de données'!A$4:L$990,MATCH(' TVA M'!A1375,'Base de données'!A$4:A$990,0),12),"")</f>
        <v/>
      </c>
    </row>
    <row r="1376" spans="2:3" x14ac:dyDescent="0.25">
      <c r="B1376" s="87" t="str">
        <f>IF(A1376&lt;&gt;"",INDEX('Base de données'!A$4:L$990,MATCH(' TVA M'!A1376,'Base de données'!A$4:A$990,0),2),"")</f>
        <v/>
      </c>
      <c r="C1376" s="87" t="str">
        <f>IF(A1376&lt;&gt;"",INDEX('Base de données'!A$4:L$990,MATCH(' TVA M'!A1376,'Base de données'!A$4:A$990,0),12),"")</f>
        <v/>
      </c>
    </row>
    <row r="1377" spans="2:3" x14ac:dyDescent="0.25">
      <c r="B1377" s="87" t="str">
        <f>IF(A1377&lt;&gt;"",INDEX('Base de données'!A$4:L$990,MATCH(' TVA M'!A1377,'Base de données'!A$4:A$990,0),2),"")</f>
        <v/>
      </c>
      <c r="C1377" s="87" t="str">
        <f>IF(A1377&lt;&gt;"",INDEX('Base de données'!A$4:L$990,MATCH(' TVA M'!A1377,'Base de données'!A$4:A$990,0),12),"")</f>
        <v/>
      </c>
    </row>
    <row r="1378" spans="2:3" x14ac:dyDescent="0.25">
      <c r="B1378" s="87" t="str">
        <f>IF(A1378&lt;&gt;"",INDEX('Base de données'!A$4:L$990,MATCH(' TVA M'!A1378,'Base de données'!A$4:A$990,0),2),"")</f>
        <v/>
      </c>
      <c r="C1378" s="87" t="str">
        <f>IF(A1378&lt;&gt;"",INDEX('Base de données'!A$4:L$990,MATCH(' TVA M'!A1378,'Base de données'!A$4:A$990,0),12),"")</f>
        <v/>
      </c>
    </row>
    <row r="1379" spans="2:3" x14ac:dyDescent="0.25">
      <c r="B1379" s="87" t="str">
        <f>IF(A1379&lt;&gt;"",INDEX('Base de données'!A$4:L$990,MATCH(' TVA M'!A1379,'Base de données'!A$4:A$990,0),2),"")</f>
        <v/>
      </c>
      <c r="C1379" s="87" t="str">
        <f>IF(A1379&lt;&gt;"",INDEX('Base de données'!A$4:L$990,MATCH(' TVA M'!A1379,'Base de données'!A$4:A$990,0),12),"")</f>
        <v/>
      </c>
    </row>
    <row r="1380" spans="2:3" x14ac:dyDescent="0.25">
      <c r="B1380" s="87" t="str">
        <f>IF(A1380&lt;&gt;"",INDEX('Base de données'!A$4:L$990,MATCH(' TVA M'!A1380,'Base de données'!A$4:A$990,0),2),"")</f>
        <v/>
      </c>
      <c r="C1380" s="87" t="str">
        <f>IF(A1380&lt;&gt;"",INDEX('Base de données'!A$4:L$990,MATCH(' TVA M'!A1380,'Base de données'!A$4:A$990,0),12),"")</f>
        <v/>
      </c>
    </row>
    <row r="1381" spans="2:3" x14ac:dyDescent="0.25">
      <c r="B1381" s="87" t="str">
        <f>IF(A1381&lt;&gt;"",INDEX('Base de données'!A$4:L$990,MATCH(' TVA M'!A1381,'Base de données'!A$4:A$990,0),2),"")</f>
        <v/>
      </c>
      <c r="C1381" s="87" t="str">
        <f>IF(A1381&lt;&gt;"",INDEX('Base de données'!A$4:L$990,MATCH(' TVA M'!A1381,'Base de données'!A$4:A$990,0),12),"")</f>
        <v/>
      </c>
    </row>
    <row r="1382" spans="2:3" x14ac:dyDescent="0.25">
      <c r="B1382" s="87" t="str">
        <f>IF(A1382&lt;&gt;"",INDEX('Base de données'!A$4:L$990,MATCH(' TVA M'!A1382,'Base de données'!A$4:A$990,0),2),"")</f>
        <v/>
      </c>
      <c r="C1382" s="87" t="str">
        <f>IF(A1382&lt;&gt;"",INDEX('Base de données'!A$4:L$990,MATCH(' TVA M'!A1382,'Base de données'!A$4:A$990,0),12),"")</f>
        <v/>
      </c>
    </row>
    <row r="1383" spans="2:3" x14ac:dyDescent="0.25">
      <c r="B1383" s="87" t="str">
        <f>IF(A1383&lt;&gt;"",INDEX('Base de données'!A$4:L$990,MATCH(' TVA M'!A1383,'Base de données'!A$4:A$990,0),2),"")</f>
        <v/>
      </c>
      <c r="C1383" s="87" t="str">
        <f>IF(A1383&lt;&gt;"",INDEX('Base de données'!A$4:L$990,MATCH(' TVA M'!A1383,'Base de données'!A$4:A$990,0),12),"")</f>
        <v/>
      </c>
    </row>
    <row r="1384" spans="2:3" x14ac:dyDescent="0.25">
      <c r="B1384" s="87" t="str">
        <f>IF(A1384&lt;&gt;"",INDEX('Base de données'!A$4:L$990,MATCH(' TVA M'!A1384,'Base de données'!A$4:A$990,0),2),"")</f>
        <v/>
      </c>
      <c r="C1384" s="87" t="str">
        <f>IF(A1384&lt;&gt;"",INDEX('Base de données'!A$4:L$990,MATCH(' TVA M'!A1384,'Base de données'!A$4:A$990,0),12),"")</f>
        <v/>
      </c>
    </row>
    <row r="1385" spans="2:3" x14ac:dyDescent="0.25">
      <c r="B1385" s="87" t="str">
        <f>IF(A1385&lt;&gt;"",INDEX('Base de données'!A$4:L$990,MATCH(' TVA M'!A1385,'Base de données'!A$4:A$990,0),2),"")</f>
        <v/>
      </c>
      <c r="C1385" s="87" t="str">
        <f>IF(A1385&lt;&gt;"",INDEX('Base de données'!A$4:L$990,MATCH(' TVA M'!A1385,'Base de données'!A$4:A$990,0),12),"")</f>
        <v/>
      </c>
    </row>
    <row r="1386" spans="2:3" x14ac:dyDescent="0.25">
      <c r="B1386" s="87" t="str">
        <f>IF(A1386&lt;&gt;"",INDEX('Base de données'!A$4:L$990,MATCH(' TVA M'!A1386,'Base de données'!A$4:A$990,0),2),"")</f>
        <v/>
      </c>
      <c r="C1386" s="87" t="str">
        <f>IF(A1386&lt;&gt;"",INDEX('Base de données'!A$4:L$990,MATCH(' TVA M'!A1386,'Base de données'!A$4:A$990,0),12),"")</f>
        <v/>
      </c>
    </row>
    <row r="1387" spans="2:3" x14ac:dyDescent="0.25">
      <c r="B1387" s="87" t="str">
        <f>IF(A1387&lt;&gt;"",INDEX('Base de données'!A$4:L$990,MATCH(' TVA M'!A1387,'Base de données'!A$4:A$990,0),2),"")</f>
        <v/>
      </c>
      <c r="C1387" s="87" t="str">
        <f>IF(A1387&lt;&gt;"",INDEX('Base de données'!A$4:L$990,MATCH(' TVA M'!A1387,'Base de données'!A$4:A$990,0),12),"")</f>
        <v/>
      </c>
    </row>
    <row r="1388" spans="2:3" x14ac:dyDescent="0.25">
      <c r="B1388" s="87" t="str">
        <f>IF(A1388&lt;&gt;"",INDEX('Base de données'!A$4:L$990,MATCH(' TVA M'!A1388,'Base de données'!A$4:A$990,0),2),"")</f>
        <v/>
      </c>
      <c r="C1388" s="87" t="str">
        <f>IF(A1388&lt;&gt;"",INDEX('Base de données'!A$4:L$990,MATCH(' TVA M'!A1388,'Base de données'!A$4:A$990,0),12),"")</f>
        <v/>
      </c>
    </row>
    <row r="1389" spans="2:3" x14ac:dyDescent="0.25">
      <c r="B1389" s="87" t="str">
        <f>IF(A1389&lt;&gt;"",INDEX('Base de données'!A$4:L$990,MATCH(' TVA M'!A1389,'Base de données'!A$4:A$990,0),2),"")</f>
        <v/>
      </c>
      <c r="C1389" s="87" t="str">
        <f>IF(A1389&lt;&gt;"",INDEX('Base de données'!A$4:L$990,MATCH(' TVA M'!A1389,'Base de données'!A$4:A$990,0),12),"")</f>
        <v/>
      </c>
    </row>
    <row r="1390" spans="2:3" x14ac:dyDescent="0.25">
      <c r="B1390" s="87" t="str">
        <f>IF(A1390&lt;&gt;"",INDEX('Base de données'!A$4:L$990,MATCH(' TVA M'!A1390,'Base de données'!A$4:A$990,0),2),"")</f>
        <v/>
      </c>
      <c r="C1390" s="87" t="str">
        <f>IF(A1390&lt;&gt;"",INDEX('Base de données'!A$4:L$990,MATCH(' TVA M'!A1390,'Base de données'!A$4:A$990,0),12),"")</f>
        <v/>
      </c>
    </row>
    <row r="1391" spans="2:3" x14ac:dyDescent="0.25">
      <c r="B1391" s="87" t="str">
        <f>IF(A1391&lt;&gt;"",INDEX('Base de données'!A$4:L$990,MATCH(' TVA M'!A1391,'Base de données'!A$4:A$990,0),2),"")</f>
        <v/>
      </c>
      <c r="C1391" s="87" t="str">
        <f>IF(A1391&lt;&gt;"",INDEX('Base de données'!A$4:L$990,MATCH(' TVA M'!A1391,'Base de données'!A$4:A$990,0),12),"")</f>
        <v/>
      </c>
    </row>
    <row r="1392" spans="2:3" x14ac:dyDescent="0.25">
      <c r="B1392" s="87" t="str">
        <f>IF(A1392&lt;&gt;"",INDEX('Base de données'!A$4:L$990,MATCH(' TVA M'!A1392,'Base de données'!A$4:A$990,0),2),"")</f>
        <v/>
      </c>
      <c r="C1392" s="87" t="str">
        <f>IF(A1392&lt;&gt;"",INDEX('Base de données'!A$4:L$990,MATCH(' TVA M'!A1392,'Base de données'!A$4:A$990,0),12),"")</f>
        <v/>
      </c>
    </row>
    <row r="1393" spans="2:3" x14ac:dyDescent="0.25">
      <c r="B1393" s="87" t="str">
        <f>IF(A1393&lt;&gt;"",INDEX('Base de données'!A$4:L$990,MATCH(' TVA M'!A1393,'Base de données'!A$4:A$990,0),2),"")</f>
        <v/>
      </c>
      <c r="C1393" s="87" t="str">
        <f>IF(A1393&lt;&gt;"",INDEX('Base de données'!A$4:L$990,MATCH(' TVA M'!A1393,'Base de données'!A$4:A$990,0),12),"")</f>
        <v/>
      </c>
    </row>
    <row r="1394" spans="2:3" x14ac:dyDescent="0.25">
      <c r="B1394" s="87" t="str">
        <f>IF(A1394&lt;&gt;"",INDEX('Base de données'!A$4:L$990,MATCH(' TVA M'!A1394,'Base de données'!A$4:A$990,0),2),"")</f>
        <v/>
      </c>
      <c r="C1394" s="87" t="str">
        <f>IF(A1394&lt;&gt;"",INDEX('Base de données'!A$4:L$990,MATCH(' TVA M'!A1394,'Base de données'!A$4:A$990,0),12),"")</f>
        <v/>
      </c>
    </row>
    <row r="1395" spans="2:3" x14ac:dyDescent="0.25">
      <c r="B1395" s="87" t="str">
        <f>IF(A1395&lt;&gt;"",INDEX('Base de données'!A$4:L$990,MATCH(' TVA M'!A1395,'Base de données'!A$4:A$990,0),2),"")</f>
        <v/>
      </c>
      <c r="C1395" s="87" t="str">
        <f>IF(A1395&lt;&gt;"",INDEX('Base de données'!A$4:L$990,MATCH(' TVA M'!A1395,'Base de données'!A$4:A$990,0),12),"")</f>
        <v/>
      </c>
    </row>
    <row r="1396" spans="2:3" x14ac:dyDescent="0.25">
      <c r="B1396" s="87" t="str">
        <f>IF(A1396&lt;&gt;"",INDEX('Base de données'!A$4:L$990,MATCH(' TVA M'!A1396,'Base de données'!A$4:A$990,0),2),"")</f>
        <v/>
      </c>
      <c r="C1396" s="87" t="str">
        <f>IF(A1396&lt;&gt;"",INDEX('Base de données'!A$4:L$990,MATCH(' TVA M'!A1396,'Base de données'!A$4:A$990,0),12),"")</f>
        <v/>
      </c>
    </row>
    <row r="1397" spans="2:3" x14ac:dyDescent="0.25">
      <c r="B1397" s="87" t="str">
        <f>IF(A1397&lt;&gt;"",INDEX('Base de données'!A$4:L$990,MATCH(' TVA M'!A1397,'Base de données'!A$4:A$990,0),2),"")</f>
        <v/>
      </c>
      <c r="C1397" s="87" t="str">
        <f>IF(A1397&lt;&gt;"",INDEX('Base de données'!A$4:L$990,MATCH(' TVA M'!A1397,'Base de données'!A$4:A$990,0),12),"")</f>
        <v/>
      </c>
    </row>
    <row r="1398" spans="2:3" x14ac:dyDescent="0.25">
      <c r="B1398" s="87" t="str">
        <f>IF(A1398&lt;&gt;"",INDEX('Base de données'!A$4:L$990,MATCH(' TVA M'!A1398,'Base de données'!A$4:A$990,0),2),"")</f>
        <v/>
      </c>
      <c r="C1398" s="87" t="str">
        <f>IF(A1398&lt;&gt;"",INDEX('Base de données'!A$4:L$990,MATCH(' TVA M'!A1398,'Base de données'!A$4:A$990,0),12),"")</f>
        <v/>
      </c>
    </row>
    <row r="1399" spans="2:3" x14ac:dyDescent="0.25">
      <c r="B1399" s="87" t="str">
        <f>IF(A1399&lt;&gt;"",INDEX('Base de données'!A$4:L$990,MATCH(' TVA M'!A1399,'Base de données'!A$4:A$990,0),2),"")</f>
        <v/>
      </c>
      <c r="C1399" s="87" t="str">
        <f>IF(A1399&lt;&gt;"",INDEX('Base de données'!A$4:L$990,MATCH(' TVA M'!A1399,'Base de données'!A$4:A$990,0),12),"")</f>
        <v/>
      </c>
    </row>
    <row r="1400" spans="2:3" x14ac:dyDescent="0.25">
      <c r="B1400" s="87" t="str">
        <f>IF(A1400&lt;&gt;"",INDEX('Base de données'!A$4:L$990,MATCH(' TVA M'!A1400,'Base de données'!A$4:A$990,0),2),"")</f>
        <v/>
      </c>
      <c r="C1400" s="87" t="str">
        <f>IF(A1400&lt;&gt;"",INDEX('Base de données'!A$4:L$990,MATCH(' TVA M'!A1400,'Base de données'!A$4:A$990,0),12),"")</f>
        <v/>
      </c>
    </row>
    <row r="1401" spans="2:3" x14ac:dyDescent="0.25">
      <c r="B1401" s="87" t="str">
        <f>IF(A1401&lt;&gt;"",INDEX('Base de données'!A$4:L$990,MATCH(' TVA M'!A1401,'Base de données'!A$4:A$990,0),2),"")</f>
        <v/>
      </c>
      <c r="C1401" s="87" t="str">
        <f>IF(A1401&lt;&gt;"",INDEX('Base de données'!A$4:L$990,MATCH(' TVA M'!A1401,'Base de données'!A$4:A$990,0),12),"")</f>
        <v/>
      </c>
    </row>
    <row r="1402" spans="2:3" x14ac:dyDescent="0.25">
      <c r="B1402" s="87" t="str">
        <f>IF(A1402&lt;&gt;"",INDEX('Base de données'!A$4:L$990,MATCH(' TVA M'!A1402,'Base de données'!A$4:A$990,0),2),"")</f>
        <v/>
      </c>
      <c r="C1402" s="87" t="str">
        <f>IF(A1402&lt;&gt;"",INDEX('Base de données'!A$4:L$990,MATCH(' TVA M'!A1402,'Base de données'!A$4:A$990,0),12),"")</f>
        <v/>
      </c>
    </row>
    <row r="1403" spans="2:3" x14ac:dyDescent="0.25">
      <c r="B1403" s="87" t="str">
        <f>IF(A1403&lt;&gt;"",INDEX('Base de données'!A$4:L$990,MATCH(' TVA M'!A1403,'Base de données'!A$4:A$990,0),2),"")</f>
        <v/>
      </c>
      <c r="C1403" s="87" t="str">
        <f>IF(A1403&lt;&gt;"",INDEX('Base de données'!A$4:L$990,MATCH(' TVA M'!A1403,'Base de données'!A$4:A$990,0),12),"")</f>
        <v/>
      </c>
    </row>
    <row r="1404" spans="2:3" x14ac:dyDescent="0.25">
      <c r="B1404" s="87" t="str">
        <f>IF(A1404&lt;&gt;"",INDEX('Base de données'!A$4:L$990,MATCH(' TVA M'!A1404,'Base de données'!A$4:A$990,0),2),"")</f>
        <v/>
      </c>
      <c r="C1404" s="87" t="str">
        <f>IF(A1404&lt;&gt;"",INDEX('Base de données'!A$4:L$990,MATCH(' TVA M'!A1404,'Base de données'!A$4:A$990,0),12),"")</f>
        <v/>
      </c>
    </row>
    <row r="1405" spans="2:3" x14ac:dyDescent="0.25">
      <c r="B1405" s="87" t="str">
        <f>IF(A1405&lt;&gt;"",INDEX('Base de données'!A$4:L$990,MATCH(' TVA M'!A1405,'Base de données'!A$4:A$990,0),2),"")</f>
        <v/>
      </c>
      <c r="C1405" s="87" t="str">
        <f>IF(A1405&lt;&gt;"",INDEX('Base de données'!A$4:L$990,MATCH(' TVA M'!A1405,'Base de données'!A$4:A$990,0),12),"")</f>
        <v/>
      </c>
    </row>
    <row r="1406" spans="2:3" x14ac:dyDescent="0.25">
      <c r="B1406" s="87" t="str">
        <f>IF(A1406&lt;&gt;"",INDEX('Base de données'!A$4:L$990,MATCH(' TVA M'!A1406,'Base de données'!A$4:A$990,0),2),"")</f>
        <v/>
      </c>
      <c r="C1406" s="87" t="str">
        <f>IF(A1406&lt;&gt;"",INDEX('Base de données'!A$4:L$990,MATCH(' TVA M'!A1406,'Base de données'!A$4:A$990,0),12),"")</f>
        <v/>
      </c>
    </row>
    <row r="1407" spans="2:3" x14ac:dyDescent="0.25">
      <c r="B1407" s="87" t="str">
        <f>IF(A1407&lt;&gt;"",INDEX('Base de données'!A$4:L$990,MATCH(' TVA M'!A1407,'Base de données'!A$4:A$990,0),2),"")</f>
        <v/>
      </c>
      <c r="C1407" s="87" t="str">
        <f>IF(A1407&lt;&gt;"",INDEX('Base de données'!A$4:L$990,MATCH(' TVA M'!A1407,'Base de données'!A$4:A$990,0),12),"")</f>
        <v/>
      </c>
    </row>
    <row r="1408" spans="2:3" x14ac:dyDescent="0.25">
      <c r="B1408" s="87" t="str">
        <f>IF(A1408&lt;&gt;"",INDEX('Base de données'!A$4:L$990,MATCH(' TVA M'!A1408,'Base de données'!A$4:A$990,0),2),"")</f>
        <v/>
      </c>
      <c r="C1408" s="87" t="str">
        <f>IF(A1408&lt;&gt;"",INDEX('Base de données'!A$4:L$990,MATCH(' TVA M'!A1408,'Base de données'!A$4:A$990,0),12),"")</f>
        <v/>
      </c>
    </row>
    <row r="1409" spans="2:3" x14ac:dyDescent="0.25">
      <c r="B1409" s="87" t="str">
        <f>IF(A1409&lt;&gt;"",INDEX('Base de données'!A$4:L$990,MATCH(' TVA M'!A1409,'Base de données'!A$4:A$990,0),2),"")</f>
        <v/>
      </c>
      <c r="C1409" s="87" t="str">
        <f>IF(A1409&lt;&gt;"",INDEX('Base de données'!A$4:L$990,MATCH(' TVA M'!A1409,'Base de données'!A$4:A$990,0),12),"")</f>
        <v/>
      </c>
    </row>
    <row r="1410" spans="2:3" x14ac:dyDescent="0.25">
      <c r="B1410" s="87" t="str">
        <f>IF(A1410&lt;&gt;"",INDEX('Base de données'!A$4:L$990,MATCH(' TVA M'!A1410,'Base de données'!A$4:A$990,0),2),"")</f>
        <v/>
      </c>
      <c r="C1410" s="87" t="str">
        <f>IF(A1410&lt;&gt;"",INDEX('Base de données'!A$4:L$990,MATCH(' TVA M'!A1410,'Base de données'!A$4:A$990,0),12),"")</f>
        <v/>
      </c>
    </row>
    <row r="1411" spans="2:3" x14ac:dyDescent="0.25">
      <c r="B1411" s="87" t="str">
        <f>IF(A1411&lt;&gt;"",INDEX('Base de données'!A$4:L$990,MATCH(' TVA M'!A1411,'Base de données'!A$4:A$990,0),2),"")</f>
        <v/>
      </c>
      <c r="C1411" s="87" t="str">
        <f>IF(A1411&lt;&gt;"",INDEX('Base de données'!A$4:L$990,MATCH(' TVA M'!A1411,'Base de données'!A$4:A$990,0),12),"")</f>
        <v/>
      </c>
    </row>
    <row r="1412" spans="2:3" x14ac:dyDescent="0.25">
      <c r="B1412" s="87" t="str">
        <f>IF(A1412&lt;&gt;"",INDEX('Base de données'!A$4:L$990,MATCH(' TVA M'!A1412,'Base de données'!A$4:A$990,0),2),"")</f>
        <v/>
      </c>
      <c r="C1412" s="87" t="str">
        <f>IF(A1412&lt;&gt;"",INDEX('Base de données'!A$4:L$990,MATCH(' TVA M'!A1412,'Base de données'!A$4:A$990,0),12),"")</f>
        <v/>
      </c>
    </row>
    <row r="1413" spans="2:3" x14ac:dyDescent="0.25">
      <c r="B1413" s="87" t="str">
        <f>IF(A1413&lt;&gt;"",INDEX('Base de données'!A$4:L$990,MATCH(' TVA M'!A1413,'Base de données'!A$4:A$990,0),2),"")</f>
        <v/>
      </c>
      <c r="C1413" s="87" t="str">
        <f>IF(A1413&lt;&gt;"",INDEX('Base de données'!A$4:L$990,MATCH(' TVA M'!A1413,'Base de données'!A$4:A$990,0),12),"")</f>
        <v/>
      </c>
    </row>
    <row r="1414" spans="2:3" x14ac:dyDescent="0.25">
      <c r="B1414" s="87" t="str">
        <f>IF(A1414&lt;&gt;"",INDEX('Base de données'!A$4:L$990,MATCH(' TVA M'!A1414,'Base de données'!A$4:A$990,0),2),"")</f>
        <v/>
      </c>
      <c r="C1414" s="87" t="str">
        <f>IF(A1414&lt;&gt;"",INDEX('Base de données'!A$4:L$990,MATCH(' TVA M'!A1414,'Base de données'!A$4:A$990,0),12),"")</f>
        <v/>
      </c>
    </row>
    <row r="1415" spans="2:3" x14ac:dyDescent="0.25">
      <c r="B1415" s="87" t="str">
        <f>IF(A1415&lt;&gt;"",INDEX('Base de données'!A$4:L$990,MATCH(' TVA M'!A1415,'Base de données'!A$4:A$990,0),2),"")</f>
        <v/>
      </c>
      <c r="C1415" s="87" t="str">
        <f>IF(A1415&lt;&gt;"",INDEX('Base de données'!A$4:L$990,MATCH(' TVA M'!A1415,'Base de données'!A$4:A$990,0),12),"")</f>
        <v/>
      </c>
    </row>
    <row r="1416" spans="2:3" x14ac:dyDescent="0.25">
      <c r="B1416" s="87" t="str">
        <f>IF(A1416&lt;&gt;"",INDEX('Base de données'!A$4:L$990,MATCH(' TVA M'!A1416,'Base de données'!A$4:A$990,0),2),"")</f>
        <v/>
      </c>
      <c r="C1416" s="87" t="str">
        <f>IF(A1416&lt;&gt;"",INDEX('Base de données'!A$4:L$990,MATCH(' TVA M'!A1416,'Base de données'!A$4:A$990,0),12),"")</f>
        <v/>
      </c>
    </row>
    <row r="1417" spans="2:3" x14ac:dyDescent="0.25">
      <c r="B1417" s="87" t="str">
        <f>IF(A1417&lt;&gt;"",INDEX('Base de données'!A$4:L$990,MATCH(' TVA M'!A1417,'Base de données'!A$4:A$990,0),2),"")</f>
        <v/>
      </c>
      <c r="C1417" s="87" t="str">
        <f>IF(A1417&lt;&gt;"",INDEX('Base de données'!A$4:L$990,MATCH(' TVA M'!A1417,'Base de données'!A$4:A$990,0),12),"")</f>
        <v/>
      </c>
    </row>
    <row r="1418" spans="2:3" x14ac:dyDescent="0.25">
      <c r="B1418" s="87" t="str">
        <f>IF(A1418&lt;&gt;"",INDEX('Base de données'!A$4:L$990,MATCH(' TVA M'!A1418,'Base de données'!A$4:A$990,0),2),"")</f>
        <v/>
      </c>
      <c r="C1418" s="87" t="str">
        <f>IF(A1418&lt;&gt;"",INDEX('Base de données'!A$4:L$990,MATCH(' TVA M'!A1418,'Base de données'!A$4:A$990,0),12),"")</f>
        <v/>
      </c>
    </row>
    <row r="1419" spans="2:3" x14ac:dyDescent="0.25">
      <c r="B1419" s="87" t="str">
        <f>IF(A1419&lt;&gt;"",INDEX('Base de données'!A$4:L$990,MATCH(' TVA M'!A1419,'Base de données'!A$4:A$990,0),2),"")</f>
        <v/>
      </c>
      <c r="C1419" s="87" t="str">
        <f>IF(A1419&lt;&gt;"",INDEX('Base de données'!A$4:L$990,MATCH(' TVA M'!A1419,'Base de données'!A$4:A$990,0),12),"")</f>
        <v/>
      </c>
    </row>
    <row r="1420" spans="2:3" x14ac:dyDescent="0.25">
      <c r="B1420" s="87" t="str">
        <f>IF(A1420&lt;&gt;"",INDEX('Base de données'!A$4:L$990,MATCH(' TVA M'!A1420,'Base de données'!A$4:A$990,0),2),"")</f>
        <v/>
      </c>
      <c r="C1420" s="87" t="str">
        <f>IF(A1420&lt;&gt;"",INDEX('Base de données'!A$4:L$990,MATCH(' TVA M'!A1420,'Base de données'!A$4:A$990,0),12),"")</f>
        <v/>
      </c>
    </row>
    <row r="1421" spans="2:3" x14ac:dyDescent="0.25">
      <c r="B1421" s="87" t="str">
        <f>IF(A1421&lt;&gt;"",INDEX('Base de données'!A$4:L$990,MATCH(' TVA M'!A1421,'Base de données'!A$4:A$990,0),2),"")</f>
        <v/>
      </c>
      <c r="C1421" s="87" t="str">
        <f>IF(A1421&lt;&gt;"",INDEX('Base de données'!A$4:L$990,MATCH(' TVA M'!A1421,'Base de données'!A$4:A$990,0),12),"")</f>
        <v/>
      </c>
    </row>
    <row r="1422" spans="2:3" x14ac:dyDescent="0.25">
      <c r="B1422" s="87" t="str">
        <f>IF(A1422&lt;&gt;"",INDEX('Base de données'!A$4:L$990,MATCH(' TVA M'!A1422,'Base de données'!A$4:A$990,0),2),"")</f>
        <v/>
      </c>
      <c r="C1422" s="87" t="str">
        <f>IF(A1422&lt;&gt;"",INDEX('Base de données'!A$4:L$990,MATCH(' TVA M'!A1422,'Base de données'!A$4:A$990,0),12),"")</f>
        <v/>
      </c>
    </row>
    <row r="1423" spans="2:3" x14ac:dyDescent="0.25">
      <c r="B1423" s="87" t="str">
        <f>IF(A1423&lt;&gt;"",INDEX('Base de données'!A$4:L$990,MATCH(' TVA M'!A1423,'Base de données'!A$4:A$990,0),2),"")</f>
        <v/>
      </c>
      <c r="C1423" s="87" t="str">
        <f>IF(A1423&lt;&gt;"",INDEX('Base de données'!A$4:L$990,MATCH(' TVA M'!A1423,'Base de données'!A$4:A$990,0),12),"")</f>
        <v/>
      </c>
    </row>
    <row r="1424" spans="2:3" x14ac:dyDescent="0.25">
      <c r="B1424" s="87" t="str">
        <f>IF(A1424&lt;&gt;"",INDEX('Base de données'!A$4:L$990,MATCH(' TVA M'!A1424,'Base de données'!A$4:A$990,0),2),"")</f>
        <v/>
      </c>
      <c r="C1424" s="87" t="str">
        <f>IF(A1424&lt;&gt;"",INDEX('Base de données'!A$4:L$990,MATCH(' TVA M'!A1424,'Base de données'!A$4:A$990,0),12),"")</f>
        <v/>
      </c>
    </row>
    <row r="1425" spans="2:3" x14ac:dyDescent="0.25">
      <c r="B1425" s="87" t="str">
        <f>IF(A1425&lt;&gt;"",INDEX('Base de données'!A$4:L$990,MATCH(' TVA M'!A1425,'Base de données'!A$4:A$990,0),2),"")</f>
        <v/>
      </c>
      <c r="C1425" s="87" t="str">
        <f>IF(A1425&lt;&gt;"",INDEX('Base de données'!A$4:L$990,MATCH(' TVA M'!A1425,'Base de données'!A$4:A$990,0),12),"")</f>
        <v/>
      </c>
    </row>
    <row r="1426" spans="2:3" x14ac:dyDescent="0.25">
      <c r="B1426" s="87" t="str">
        <f>IF(A1426&lt;&gt;"",INDEX('Base de données'!A$4:L$990,MATCH(' TVA M'!A1426,'Base de données'!A$4:A$990,0),2),"")</f>
        <v/>
      </c>
      <c r="C1426" s="87" t="str">
        <f>IF(A1426&lt;&gt;"",INDEX('Base de données'!A$4:L$990,MATCH(' TVA M'!A1426,'Base de données'!A$4:A$990,0),12),"")</f>
        <v/>
      </c>
    </row>
    <row r="1427" spans="2:3" x14ac:dyDescent="0.25">
      <c r="B1427" s="87" t="str">
        <f>IF(A1427&lt;&gt;"",INDEX('Base de données'!A$4:L$990,MATCH(' TVA M'!A1427,'Base de données'!A$4:A$990,0),2),"")</f>
        <v/>
      </c>
      <c r="C1427" s="87" t="str">
        <f>IF(A1427&lt;&gt;"",INDEX('Base de données'!A$4:L$990,MATCH(' TVA M'!A1427,'Base de données'!A$4:A$990,0),12),"")</f>
        <v/>
      </c>
    </row>
    <row r="1428" spans="2:3" x14ac:dyDescent="0.25">
      <c r="B1428" s="87" t="str">
        <f>IF(A1428&lt;&gt;"",INDEX('Base de données'!A$4:L$990,MATCH(' TVA M'!A1428,'Base de données'!A$4:A$990,0),2),"")</f>
        <v/>
      </c>
      <c r="C1428" s="87" t="str">
        <f>IF(A1428&lt;&gt;"",INDEX('Base de données'!A$4:L$990,MATCH(' TVA M'!A1428,'Base de données'!A$4:A$990,0),12),"")</f>
        <v/>
      </c>
    </row>
    <row r="1429" spans="2:3" x14ac:dyDescent="0.25">
      <c r="B1429" s="87" t="str">
        <f>IF(A1429&lt;&gt;"",INDEX('Base de données'!A$4:L$990,MATCH(' TVA M'!A1429,'Base de données'!A$4:A$990,0),2),"")</f>
        <v/>
      </c>
      <c r="C1429" s="87" t="str">
        <f>IF(A1429&lt;&gt;"",INDEX('Base de données'!A$4:L$990,MATCH(' TVA M'!A1429,'Base de données'!A$4:A$990,0),12),"")</f>
        <v/>
      </c>
    </row>
    <row r="1430" spans="2:3" x14ac:dyDescent="0.25">
      <c r="B1430" s="87" t="str">
        <f>IF(A1430&lt;&gt;"",INDEX('Base de données'!A$4:L$990,MATCH(' TVA M'!A1430,'Base de données'!A$4:A$990,0),2),"")</f>
        <v/>
      </c>
      <c r="C1430" s="87" t="str">
        <f>IF(A1430&lt;&gt;"",INDEX('Base de données'!A$4:L$990,MATCH(' TVA M'!A1430,'Base de données'!A$4:A$990,0),12),"")</f>
        <v/>
      </c>
    </row>
    <row r="1431" spans="2:3" x14ac:dyDescent="0.25">
      <c r="B1431" s="87" t="str">
        <f>IF(A1431&lt;&gt;"",INDEX('Base de données'!A$4:L$990,MATCH(' TVA M'!A1431,'Base de données'!A$4:A$990,0),2),"")</f>
        <v/>
      </c>
      <c r="C1431" s="87" t="str">
        <f>IF(A1431&lt;&gt;"",INDEX('Base de données'!A$4:L$990,MATCH(' TVA M'!A1431,'Base de données'!A$4:A$990,0),12),"")</f>
        <v/>
      </c>
    </row>
    <row r="1432" spans="2:3" x14ac:dyDescent="0.25">
      <c r="B1432" s="87" t="str">
        <f>IF(A1432&lt;&gt;"",INDEX('Base de données'!A$4:L$990,MATCH(' TVA M'!A1432,'Base de données'!A$4:A$990,0),2),"")</f>
        <v/>
      </c>
      <c r="C1432" s="87" t="str">
        <f>IF(A1432&lt;&gt;"",INDEX('Base de données'!A$4:L$990,MATCH(' TVA M'!A1432,'Base de données'!A$4:A$990,0),12),"")</f>
        <v/>
      </c>
    </row>
    <row r="1433" spans="2:3" x14ac:dyDescent="0.25">
      <c r="B1433" s="87" t="str">
        <f>IF(A1433&lt;&gt;"",INDEX('Base de données'!A$4:L$990,MATCH(' TVA M'!A1433,'Base de données'!A$4:A$990,0),2),"")</f>
        <v/>
      </c>
      <c r="C1433" s="87" t="str">
        <f>IF(A1433&lt;&gt;"",INDEX('Base de données'!A$4:L$990,MATCH(' TVA M'!A1433,'Base de données'!A$4:A$990,0),12),"")</f>
        <v/>
      </c>
    </row>
    <row r="1434" spans="2:3" x14ac:dyDescent="0.25">
      <c r="B1434" s="87" t="str">
        <f>IF(A1434&lt;&gt;"",INDEX('Base de données'!A$4:L$990,MATCH(' TVA M'!A1434,'Base de données'!A$4:A$990,0),2),"")</f>
        <v/>
      </c>
      <c r="C1434" s="87" t="str">
        <f>IF(A1434&lt;&gt;"",INDEX('Base de données'!A$4:L$990,MATCH(' TVA M'!A1434,'Base de données'!A$4:A$990,0),12),"")</f>
        <v/>
      </c>
    </row>
    <row r="1435" spans="2:3" x14ac:dyDescent="0.25">
      <c r="B1435" s="87" t="str">
        <f>IF(A1435&lt;&gt;"",INDEX('Base de données'!A$4:L$990,MATCH(' TVA M'!A1435,'Base de données'!A$4:A$990,0),2),"")</f>
        <v/>
      </c>
      <c r="C1435" s="87" t="str">
        <f>IF(A1435&lt;&gt;"",INDEX('Base de données'!A$4:L$990,MATCH(' TVA M'!A1435,'Base de données'!A$4:A$990,0),12),"")</f>
        <v/>
      </c>
    </row>
    <row r="1436" spans="2:3" x14ac:dyDescent="0.25">
      <c r="B1436" s="87" t="str">
        <f>IF(A1436&lt;&gt;"",INDEX('Base de données'!A$4:L$990,MATCH(' TVA M'!A1436,'Base de données'!A$4:A$990,0),2),"")</f>
        <v/>
      </c>
      <c r="C1436" s="87" t="str">
        <f>IF(A1436&lt;&gt;"",INDEX('Base de données'!A$4:L$990,MATCH(' TVA M'!A1436,'Base de données'!A$4:A$990,0),12),"")</f>
        <v/>
      </c>
    </row>
    <row r="1437" spans="2:3" x14ac:dyDescent="0.25">
      <c r="B1437" s="87" t="str">
        <f>IF(A1437&lt;&gt;"",INDEX('Base de données'!A$4:L$990,MATCH(' TVA M'!A1437,'Base de données'!A$4:A$990,0),2),"")</f>
        <v/>
      </c>
      <c r="C1437" s="87" t="str">
        <f>IF(A1437&lt;&gt;"",INDEX('Base de données'!A$4:L$990,MATCH(' TVA M'!A1437,'Base de données'!A$4:A$990,0),12),"")</f>
        <v/>
      </c>
    </row>
    <row r="1438" spans="2:3" x14ac:dyDescent="0.25">
      <c r="B1438" s="87" t="str">
        <f>IF(A1438&lt;&gt;"",INDEX('Base de données'!A$4:L$990,MATCH(' TVA M'!A1438,'Base de données'!A$4:A$990,0),2),"")</f>
        <v/>
      </c>
      <c r="C1438" s="87" t="str">
        <f>IF(A1438&lt;&gt;"",INDEX('Base de données'!A$4:L$990,MATCH(' TVA M'!A1438,'Base de données'!A$4:A$990,0),12),"")</f>
        <v/>
      </c>
    </row>
    <row r="1439" spans="2:3" x14ac:dyDescent="0.25">
      <c r="B1439" s="87" t="str">
        <f>IF(A1439&lt;&gt;"",INDEX('Base de données'!A$4:L$990,MATCH(' TVA M'!A1439,'Base de données'!A$4:A$990,0),2),"")</f>
        <v/>
      </c>
      <c r="C1439" s="87" t="str">
        <f>IF(A1439&lt;&gt;"",INDEX('Base de données'!A$4:L$990,MATCH(' TVA M'!A1439,'Base de données'!A$4:A$990,0),12),"")</f>
        <v/>
      </c>
    </row>
    <row r="1440" spans="2:3" x14ac:dyDescent="0.25">
      <c r="B1440" s="87" t="str">
        <f>IF(A1440&lt;&gt;"",INDEX('Base de données'!A$4:L$990,MATCH(' TVA M'!A1440,'Base de données'!A$4:A$990,0),2),"")</f>
        <v/>
      </c>
      <c r="C1440" s="87" t="str">
        <f>IF(A1440&lt;&gt;"",INDEX('Base de données'!A$4:L$990,MATCH(' TVA M'!A1440,'Base de données'!A$4:A$990,0),12),"")</f>
        <v/>
      </c>
    </row>
    <row r="1441" spans="2:3" x14ac:dyDescent="0.25">
      <c r="B1441" s="87" t="str">
        <f>IF(A1441&lt;&gt;"",INDEX('Base de données'!A$4:L$990,MATCH(' TVA M'!A1441,'Base de données'!A$4:A$990,0),2),"")</f>
        <v/>
      </c>
      <c r="C1441" s="87" t="str">
        <f>IF(A1441&lt;&gt;"",INDEX('Base de données'!A$4:L$990,MATCH(' TVA M'!A1441,'Base de données'!A$4:A$990,0),12),"")</f>
        <v/>
      </c>
    </row>
    <row r="1442" spans="2:3" x14ac:dyDescent="0.25">
      <c r="B1442" s="87" t="str">
        <f>IF(A1442&lt;&gt;"",INDEX('Base de données'!A$4:L$990,MATCH(' TVA M'!A1442,'Base de données'!A$4:A$990,0),2),"")</f>
        <v/>
      </c>
      <c r="C1442" s="87" t="str">
        <f>IF(A1442&lt;&gt;"",INDEX('Base de données'!A$4:L$990,MATCH(' TVA M'!A1442,'Base de données'!A$4:A$990,0),12),"")</f>
        <v/>
      </c>
    </row>
    <row r="1443" spans="2:3" x14ac:dyDescent="0.25">
      <c r="B1443" s="87" t="str">
        <f>IF(A1443&lt;&gt;"",INDEX('Base de données'!A$4:L$990,MATCH(' TVA M'!A1443,'Base de données'!A$4:A$990,0),2),"")</f>
        <v/>
      </c>
      <c r="C1443" s="87" t="str">
        <f>IF(A1443&lt;&gt;"",INDEX('Base de données'!A$4:L$990,MATCH(' TVA M'!A1443,'Base de données'!A$4:A$990,0),12),"")</f>
        <v/>
      </c>
    </row>
    <row r="1444" spans="2:3" x14ac:dyDescent="0.25">
      <c r="B1444" s="87" t="str">
        <f>IF(A1444&lt;&gt;"",INDEX('Base de données'!A$4:L$990,MATCH(' TVA M'!A1444,'Base de données'!A$4:A$990,0),2),"")</f>
        <v/>
      </c>
      <c r="C1444" s="87" t="str">
        <f>IF(A1444&lt;&gt;"",INDEX('Base de données'!A$4:L$990,MATCH(' TVA M'!A1444,'Base de données'!A$4:A$990,0),12),"")</f>
        <v/>
      </c>
    </row>
    <row r="1445" spans="2:3" x14ac:dyDescent="0.25">
      <c r="B1445" s="87" t="str">
        <f>IF(A1445&lt;&gt;"",INDEX('Base de données'!A$4:L$990,MATCH(' TVA M'!A1445,'Base de données'!A$4:A$990,0),2),"")</f>
        <v/>
      </c>
      <c r="C1445" s="87" t="str">
        <f>IF(A1445&lt;&gt;"",INDEX('Base de données'!A$4:L$990,MATCH(' TVA M'!A1445,'Base de données'!A$4:A$990,0),12),"")</f>
        <v/>
      </c>
    </row>
    <row r="1446" spans="2:3" x14ac:dyDescent="0.25">
      <c r="B1446" s="87" t="str">
        <f>IF(A1446&lt;&gt;"",INDEX('Base de données'!A$4:L$990,MATCH(' TVA M'!A1446,'Base de données'!A$4:A$990,0),2),"")</f>
        <v/>
      </c>
      <c r="C1446" s="87" t="str">
        <f>IF(A1446&lt;&gt;"",INDEX('Base de données'!A$4:L$990,MATCH(' TVA M'!A1446,'Base de données'!A$4:A$990,0),12),"")</f>
        <v/>
      </c>
    </row>
    <row r="1447" spans="2:3" x14ac:dyDescent="0.25">
      <c r="B1447" s="87" t="str">
        <f>IF(A1447&lt;&gt;"",INDEX('Base de données'!A$4:L$990,MATCH(' TVA M'!A1447,'Base de données'!A$4:A$990,0),2),"")</f>
        <v/>
      </c>
      <c r="C1447" s="87" t="str">
        <f>IF(A1447&lt;&gt;"",INDEX('Base de données'!A$4:L$990,MATCH(' TVA M'!A1447,'Base de données'!A$4:A$990,0),12),"")</f>
        <v/>
      </c>
    </row>
    <row r="1448" spans="2:3" x14ac:dyDescent="0.25">
      <c r="B1448" s="87" t="str">
        <f>IF(A1448&lt;&gt;"",INDEX('Base de données'!A$4:L$990,MATCH(' TVA M'!A1448,'Base de données'!A$4:A$990,0),2),"")</f>
        <v/>
      </c>
      <c r="C1448" s="87" t="str">
        <f>IF(A1448&lt;&gt;"",INDEX('Base de données'!A$4:L$990,MATCH(' TVA M'!A1448,'Base de données'!A$4:A$990,0),12),"")</f>
        <v/>
      </c>
    </row>
    <row r="1449" spans="2:3" x14ac:dyDescent="0.25">
      <c r="B1449" s="87" t="str">
        <f>IF(A1449&lt;&gt;"",INDEX('Base de données'!A$4:L$990,MATCH(' TVA M'!A1449,'Base de données'!A$4:A$990,0),2),"")</f>
        <v/>
      </c>
      <c r="C1449" s="87" t="str">
        <f>IF(A1449&lt;&gt;"",INDEX('Base de données'!A$4:L$990,MATCH(' TVA M'!A1449,'Base de données'!A$4:A$990,0),12),"")</f>
        <v/>
      </c>
    </row>
    <row r="1450" spans="2:3" x14ac:dyDescent="0.25">
      <c r="B1450" s="87" t="str">
        <f>IF(A1450&lt;&gt;"",INDEX('Base de données'!A$4:L$990,MATCH(' TVA M'!A1450,'Base de données'!A$4:A$990,0),2),"")</f>
        <v/>
      </c>
      <c r="C1450" s="87" t="str">
        <f>IF(A1450&lt;&gt;"",INDEX('Base de données'!A$4:L$990,MATCH(' TVA M'!A1450,'Base de données'!A$4:A$990,0),12),"")</f>
        <v/>
      </c>
    </row>
    <row r="1451" spans="2:3" x14ac:dyDescent="0.25">
      <c r="B1451" s="87" t="str">
        <f>IF(A1451&lt;&gt;"",INDEX('Base de données'!A$4:L$990,MATCH(' TVA M'!A1451,'Base de données'!A$4:A$990,0),2),"")</f>
        <v/>
      </c>
      <c r="C1451" s="87" t="str">
        <f>IF(A1451&lt;&gt;"",INDEX('Base de données'!A$4:L$990,MATCH(' TVA M'!A1451,'Base de données'!A$4:A$990,0),12),"")</f>
        <v/>
      </c>
    </row>
    <row r="1452" spans="2:3" x14ac:dyDescent="0.25">
      <c r="B1452" s="87" t="str">
        <f>IF(A1452&lt;&gt;"",INDEX('Base de données'!A$4:L$990,MATCH(' TVA M'!A1452,'Base de données'!A$4:A$990,0),2),"")</f>
        <v/>
      </c>
      <c r="C1452" s="87" t="str">
        <f>IF(A1452&lt;&gt;"",INDEX('Base de données'!A$4:L$990,MATCH(' TVA M'!A1452,'Base de données'!A$4:A$990,0),12),"")</f>
        <v/>
      </c>
    </row>
    <row r="1453" spans="2:3" x14ac:dyDescent="0.25">
      <c r="B1453" s="87" t="str">
        <f>IF(A1453&lt;&gt;"",INDEX('Base de données'!A$4:L$990,MATCH(' TVA M'!A1453,'Base de données'!A$4:A$990,0),2),"")</f>
        <v/>
      </c>
      <c r="C1453" s="87" t="str">
        <f>IF(A1453&lt;&gt;"",INDEX('Base de données'!A$4:L$990,MATCH(' TVA M'!A1453,'Base de données'!A$4:A$990,0),12),"")</f>
        <v/>
      </c>
    </row>
    <row r="1454" spans="2:3" x14ac:dyDescent="0.25">
      <c r="B1454" s="87" t="str">
        <f>IF(A1454&lt;&gt;"",INDEX('Base de données'!A$4:L$990,MATCH(' TVA M'!A1454,'Base de données'!A$4:A$990,0),2),"")</f>
        <v/>
      </c>
      <c r="C1454" s="87" t="str">
        <f>IF(A1454&lt;&gt;"",INDEX('Base de données'!A$4:L$990,MATCH(' TVA M'!A1454,'Base de données'!A$4:A$990,0),12),"")</f>
        <v/>
      </c>
    </row>
    <row r="1455" spans="2:3" x14ac:dyDescent="0.25">
      <c r="B1455" s="87" t="str">
        <f>IF(A1455&lt;&gt;"",INDEX('Base de données'!A$4:L$990,MATCH(' TVA M'!A1455,'Base de données'!A$4:A$990,0),2),"")</f>
        <v/>
      </c>
      <c r="C1455" s="87" t="str">
        <f>IF(A1455&lt;&gt;"",INDEX('Base de données'!A$4:L$990,MATCH(' TVA M'!A1455,'Base de données'!A$4:A$990,0),12),"")</f>
        <v/>
      </c>
    </row>
    <row r="1456" spans="2:3" x14ac:dyDescent="0.25">
      <c r="B1456" s="87" t="str">
        <f>IF(A1456&lt;&gt;"",INDEX('Base de données'!A$4:L$990,MATCH(' TVA M'!A1456,'Base de données'!A$4:A$990,0),2),"")</f>
        <v/>
      </c>
      <c r="C1456" s="87" t="str">
        <f>IF(A1456&lt;&gt;"",INDEX('Base de données'!A$4:L$990,MATCH(' TVA M'!A1456,'Base de données'!A$4:A$990,0),12),"")</f>
        <v/>
      </c>
    </row>
    <row r="1457" spans="2:3" x14ac:dyDescent="0.25">
      <c r="B1457" s="87" t="str">
        <f>IF(A1457&lt;&gt;"",INDEX('Base de données'!A$4:L$990,MATCH(' TVA M'!A1457,'Base de données'!A$4:A$990,0),2),"")</f>
        <v/>
      </c>
      <c r="C1457" s="87" t="str">
        <f>IF(A1457&lt;&gt;"",INDEX('Base de données'!A$4:L$990,MATCH(' TVA M'!A1457,'Base de données'!A$4:A$990,0),12),"")</f>
        <v/>
      </c>
    </row>
    <row r="1458" spans="2:3" x14ac:dyDescent="0.25">
      <c r="B1458" s="87" t="str">
        <f>IF(A1458&lt;&gt;"",INDEX('Base de données'!A$4:L$990,MATCH(' TVA M'!A1458,'Base de données'!A$4:A$990,0),2),"")</f>
        <v/>
      </c>
      <c r="C1458" s="87" t="str">
        <f>IF(A1458&lt;&gt;"",INDEX('Base de données'!A$4:L$990,MATCH(' TVA M'!A1458,'Base de données'!A$4:A$990,0),12),"")</f>
        <v/>
      </c>
    </row>
    <row r="1459" spans="2:3" x14ac:dyDescent="0.25">
      <c r="B1459" s="87" t="str">
        <f>IF(A1459&lt;&gt;"",INDEX('Base de données'!A$4:L$990,MATCH(' TVA M'!A1459,'Base de données'!A$4:A$990,0),2),"")</f>
        <v/>
      </c>
      <c r="C1459" s="87" t="str">
        <f>IF(A1459&lt;&gt;"",INDEX('Base de données'!A$4:L$990,MATCH(' TVA M'!A1459,'Base de données'!A$4:A$990,0),12),"")</f>
        <v/>
      </c>
    </row>
    <row r="1460" spans="2:3" x14ac:dyDescent="0.25">
      <c r="B1460" s="87" t="str">
        <f>IF(A1460&lt;&gt;"",INDEX('Base de données'!A$4:L$990,MATCH(' TVA M'!A1460,'Base de données'!A$4:A$990,0),2),"")</f>
        <v/>
      </c>
      <c r="C1460" s="87" t="str">
        <f>IF(A1460&lt;&gt;"",INDEX('Base de données'!A$4:L$990,MATCH(' TVA M'!A1460,'Base de données'!A$4:A$990,0),12),"")</f>
        <v/>
      </c>
    </row>
    <row r="1461" spans="2:3" x14ac:dyDescent="0.25">
      <c r="B1461" s="87" t="str">
        <f>IF(A1461&lt;&gt;"",INDEX('Base de données'!A$4:L$990,MATCH(' TVA M'!A1461,'Base de données'!A$4:A$990,0),2),"")</f>
        <v/>
      </c>
      <c r="C1461" s="87" t="str">
        <f>IF(A1461&lt;&gt;"",INDEX('Base de données'!A$4:L$990,MATCH(' TVA M'!A1461,'Base de données'!A$4:A$990,0),12),"")</f>
        <v/>
      </c>
    </row>
    <row r="1462" spans="2:3" x14ac:dyDescent="0.25">
      <c r="B1462" s="87" t="str">
        <f>IF(A1462&lt;&gt;"",INDEX('Base de données'!A$4:L$990,MATCH(' TVA M'!A1462,'Base de données'!A$4:A$990,0),2),"")</f>
        <v/>
      </c>
      <c r="C1462" s="87" t="str">
        <f>IF(A1462&lt;&gt;"",INDEX('Base de données'!A$4:L$990,MATCH(' TVA M'!A1462,'Base de données'!A$4:A$990,0),12),"")</f>
        <v/>
      </c>
    </row>
    <row r="1463" spans="2:3" x14ac:dyDescent="0.25">
      <c r="B1463" s="87" t="str">
        <f>IF(A1463&lt;&gt;"",INDEX('Base de données'!A$4:L$990,MATCH(' TVA M'!A1463,'Base de données'!A$4:A$990,0),2),"")</f>
        <v/>
      </c>
      <c r="C1463" s="87" t="str">
        <f>IF(A1463&lt;&gt;"",INDEX('Base de données'!A$4:L$990,MATCH(' TVA M'!A1463,'Base de données'!A$4:A$990,0),12),"")</f>
        <v/>
      </c>
    </row>
    <row r="1464" spans="2:3" x14ac:dyDescent="0.25">
      <c r="B1464" s="87" t="str">
        <f>IF(A1464&lt;&gt;"",INDEX('Base de données'!A$4:L$990,MATCH(' TVA M'!A1464,'Base de données'!A$4:A$990,0),2),"")</f>
        <v/>
      </c>
      <c r="C1464" s="87" t="str">
        <f>IF(A1464&lt;&gt;"",INDEX('Base de données'!A$4:L$990,MATCH(' TVA M'!A1464,'Base de données'!A$4:A$990,0),12),"")</f>
        <v/>
      </c>
    </row>
    <row r="1465" spans="2:3" x14ac:dyDescent="0.25">
      <c r="B1465" s="87" t="str">
        <f>IF(A1465&lt;&gt;"",INDEX('Base de données'!A$4:L$990,MATCH(' TVA M'!A1465,'Base de données'!A$4:A$990,0),2),"")</f>
        <v/>
      </c>
      <c r="C1465" s="87" t="str">
        <f>IF(A1465&lt;&gt;"",INDEX('Base de données'!A$4:L$990,MATCH(' TVA M'!A1465,'Base de données'!A$4:A$990,0),12),"")</f>
        <v/>
      </c>
    </row>
    <row r="1466" spans="2:3" x14ac:dyDescent="0.25">
      <c r="B1466" s="87" t="str">
        <f>IF(A1466&lt;&gt;"",INDEX('Base de données'!A$4:L$990,MATCH(' TVA M'!A1466,'Base de données'!A$4:A$990,0),2),"")</f>
        <v/>
      </c>
      <c r="C1466" s="87" t="str">
        <f>IF(A1466&lt;&gt;"",INDEX('Base de données'!A$4:L$990,MATCH(' TVA M'!A1466,'Base de données'!A$4:A$990,0),12),"")</f>
        <v/>
      </c>
    </row>
    <row r="1467" spans="2:3" x14ac:dyDescent="0.25">
      <c r="B1467" s="87" t="str">
        <f>IF(A1467&lt;&gt;"",INDEX('Base de données'!A$4:L$990,MATCH(' TVA M'!A1467,'Base de données'!A$4:A$990,0),2),"")</f>
        <v/>
      </c>
      <c r="C1467" s="87" t="str">
        <f>IF(A1467&lt;&gt;"",INDEX('Base de données'!A$4:L$990,MATCH(' TVA M'!A1467,'Base de données'!A$4:A$990,0),12),"")</f>
        <v/>
      </c>
    </row>
    <row r="1468" spans="2:3" x14ac:dyDescent="0.25">
      <c r="B1468" s="87" t="str">
        <f>IF(A1468&lt;&gt;"",INDEX('Base de données'!A$4:L$990,MATCH(' TVA M'!A1468,'Base de données'!A$4:A$990,0),2),"")</f>
        <v/>
      </c>
      <c r="C1468" s="87" t="str">
        <f>IF(A1468&lt;&gt;"",INDEX('Base de données'!A$4:L$990,MATCH(' TVA M'!A1468,'Base de données'!A$4:A$990,0),12),"")</f>
        <v/>
      </c>
    </row>
    <row r="1469" spans="2:3" x14ac:dyDescent="0.25">
      <c r="B1469" s="87" t="str">
        <f>IF(A1469&lt;&gt;"",INDEX('Base de données'!A$4:L$990,MATCH(' TVA M'!A1469,'Base de données'!A$4:A$990,0),2),"")</f>
        <v/>
      </c>
      <c r="C1469" s="87" t="str">
        <f>IF(A1469&lt;&gt;"",INDEX('Base de données'!A$4:L$990,MATCH(' TVA M'!A1469,'Base de données'!A$4:A$990,0),12),"")</f>
        <v/>
      </c>
    </row>
    <row r="1470" spans="2:3" x14ac:dyDescent="0.25">
      <c r="B1470" s="87" t="str">
        <f>IF(A1470&lt;&gt;"",INDEX('Base de données'!A$4:L$990,MATCH(' TVA M'!A1470,'Base de données'!A$4:A$990,0),2),"")</f>
        <v/>
      </c>
      <c r="C1470" s="87" t="str">
        <f>IF(A1470&lt;&gt;"",INDEX('Base de données'!A$4:L$990,MATCH(' TVA M'!A1470,'Base de données'!A$4:A$990,0),12),"")</f>
        <v/>
      </c>
    </row>
    <row r="1471" spans="2:3" x14ac:dyDescent="0.25">
      <c r="B1471" s="87" t="str">
        <f>IF(A1471&lt;&gt;"",INDEX('Base de données'!A$4:L$990,MATCH(' TVA M'!A1471,'Base de données'!A$4:A$990,0),2),"")</f>
        <v/>
      </c>
      <c r="C1471" s="87" t="str">
        <f>IF(A1471&lt;&gt;"",INDEX('Base de données'!A$4:L$990,MATCH(' TVA M'!A1471,'Base de données'!A$4:A$990,0),12),"")</f>
        <v/>
      </c>
    </row>
    <row r="1472" spans="2:3" x14ac:dyDescent="0.25">
      <c r="B1472" s="87" t="str">
        <f>IF(A1472&lt;&gt;"",INDEX('Base de données'!A$4:L$990,MATCH(' TVA M'!A1472,'Base de données'!A$4:A$990,0),2),"")</f>
        <v/>
      </c>
      <c r="C1472" s="87" t="str">
        <f>IF(A1472&lt;&gt;"",INDEX('Base de données'!A$4:L$990,MATCH(' TVA M'!A1472,'Base de données'!A$4:A$990,0),12),"")</f>
        <v/>
      </c>
    </row>
    <row r="1473" spans="2:3" x14ac:dyDescent="0.25">
      <c r="B1473" s="87" t="str">
        <f>IF(A1473&lt;&gt;"",INDEX('Base de données'!A$4:L$990,MATCH(' TVA M'!A1473,'Base de données'!A$4:A$990,0),2),"")</f>
        <v/>
      </c>
      <c r="C1473" s="87" t="str">
        <f>IF(A1473&lt;&gt;"",INDEX('Base de données'!A$4:L$990,MATCH(' TVA M'!A1473,'Base de données'!A$4:A$990,0),12),"")</f>
        <v/>
      </c>
    </row>
    <row r="1474" spans="2:3" x14ac:dyDescent="0.25">
      <c r="B1474" s="87" t="str">
        <f>IF(A1474&lt;&gt;"",INDEX('Base de données'!A$4:L$990,MATCH(' TVA M'!A1474,'Base de données'!A$4:A$990,0),2),"")</f>
        <v/>
      </c>
      <c r="C1474" s="87" t="str">
        <f>IF(A1474&lt;&gt;"",INDEX('Base de données'!A$4:L$990,MATCH(' TVA M'!A1474,'Base de données'!A$4:A$990,0),12),"")</f>
        <v/>
      </c>
    </row>
    <row r="1475" spans="2:3" x14ac:dyDescent="0.25">
      <c r="B1475" s="87" t="str">
        <f>IF(A1475&lt;&gt;"",INDEX('Base de données'!A$4:L$990,MATCH(' TVA M'!A1475,'Base de données'!A$4:A$990,0),2),"")</f>
        <v/>
      </c>
      <c r="C1475" s="87" t="str">
        <f>IF(A1475&lt;&gt;"",INDEX('Base de données'!A$4:L$990,MATCH(' TVA M'!A1475,'Base de données'!A$4:A$990,0),12),"")</f>
        <v/>
      </c>
    </row>
    <row r="1476" spans="2:3" x14ac:dyDescent="0.25">
      <c r="B1476" s="87" t="str">
        <f>IF(A1476&lt;&gt;"",INDEX('Base de données'!A$4:L$990,MATCH(' TVA M'!A1476,'Base de données'!A$4:A$990,0),2),"")</f>
        <v/>
      </c>
      <c r="C1476" s="87" t="str">
        <f>IF(A1476&lt;&gt;"",INDEX('Base de données'!A$4:L$990,MATCH(' TVA M'!A1476,'Base de données'!A$4:A$990,0),12),"")</f>
        <v/>
      </c>
    </row>
    <row r="1477" spans="2:3" x14ac:dyDescent="0.25">
      <c r="B1477" s="87" t="str">
        <f>IF(A1477&lt;&gt;"",INDEX('Base de données'!A$4:L$990,MATCH(' TVA M'!A1477,'Base de données'!A$4:A$990,0),2),"")</f>
        <v/>
      </c>
      <c r="C1477" s="87" t="str">
        <f>IF(A1477&lt;&gt;"",INDEX('Base de données'!A$4:L$990,MATCH(' TVA M'!A1477,'Base de données'!A$4:A$990,0),12),"")</f>
        <v/>
      </c>
    </row>
    <row r="1478" spans="2:3" x14ac:dyDescent="0.25">
      <c r="B1478" s="87" t="str">
        <f>IF(A1478&lt;&gt;"",INDEX('Base de données'!A$4:L$990,MATCH(' TVA M'!A1478,'Base de données'!A$4:A$990,0),2),"")</f>
        <v/>
      </c>
      <c r="C1478" s="87" t="str">
        <f>IF(A1478&lt;&gt;"",INDEX('Base de données'!A$4:L$990,MATCH(' TVA M'!A1478,'Base de données'!A$4:A$990,0),12),"")</f>
        <v/>
      </c>
    </row>
    <row r="1479" spans="2:3" x14ac:dyDescent="0.25">
      <c r="B1479" s="87" t="str">
        <f>IF(A1479&lt;&gt;"",INDEX('Base de données'!A$4:L$990,MATCH(' TVA M'!A1479,'Base de données'!A$4:A$990,0),2),"")</f>
        <v/>
      </c>
      <c r="C1479" s="87" t="str">
        <f>IF(A1479&lt;&gt;"",INDEX('Base de données'!A$4:L$990,MATCH(' TVA M'!A1479,'Base de données'!A$4:A$990,0),12),"")</f>
        <v/>
      </c>
    </row>
    <row r="1480" spans="2:3" x14ac:dyDescent="0.25">
      <c r="B1480" s="87" t="str">
        <f>IF(A1480&lt;&gt;"",INDEX('Base de données'!A$4:L$990,MATCH(' TVA M'!A1480,'Base de données'!A$4:A$990,0),2),"")</f>
        <v/>
      </c>
      <c r="C1480" s="87" t="str">
        <f>IF(A1480&lt;&gt;"",INDEX('Base de données'!A$4:L$990,MATCH(' TVA M'!A1480,'Base de données'!A$4:A$990,0),12),"")</f>
        <v/>
      </c>
    </row>
    <row r="1481" spans="2:3" x14ac:dyDescent="0.25">
      <c r="B1481" s="87" t="str">
        <f>IF(A1481&lt;&gt;"",INDEX('Base de données'!A$4:L$990,MATCH(' TVA M'!A1481,'Base de données'!A$4:A$990,0),2),"")</f>
        <v/>
      </c>
      <c r="C1481" s="87" t="str">
        <f>IF(A1481&lt;&gt;"",INDEX('Base de données'!A$4:L$990,MATCH(' TVA M'!A1481,'Base de données'!A$4:A$990,0),12),"")</f>
        <v/>
      </c>
    </row>
    <row r="1482" spans="2:3" x14ac:dyDescent="0.25">
      <c r="B1482" s="87" t="str">
        <f>IF(A1482&lt;&gt;"",INDEX('Base de données'!A$4:L$990,MATCH(' TVA M'!A1482,'Base de données'!A$4:A$990,0),2),"")</f>
        <v/>
      </c>
      <c r="C1482" s="87" t="str">
        <f>IF(A1482&lt;&gt;"",INDEX('Base de données'!A$4:L$990,MATCH(' TVA M'!A1482,'Base de données'!A$4:A$990,0),12),"")</f>
        <v/>
      </c>
    </row>
    <row r="1483" spans="2:3" x14ac:dyDescent="0.25">
      <c r="B1483" s="87" t="str">
        <f>IF(A1483&lt;&gt;"",INDEX('Base de données'!A$4:L$990,MATCH(' TVA M'!A1483,'Base de données'!A$4:A$990,0),2),"")</f>
        <v/>
      </c>
      <c r="C1483" s="87" t="str">
        <f>IF(A1483&lt;&gt;"",INDEX('Base de données'!A$4:L$990,MATCH(' TVA M'!A1483,'Base de données'!A$4:A$990,0),12),"")</f>
        <v/>
      </c>
    </row>
    <row r="1484" spans="2:3" x14ac:dyDescent="0.25">
      <c r="B1484" s="87" t="str">
        <f>IF(A1484&lt;&gt;"",INDEX('Base de données'!A$4:L$990,MATCH(' TVA M'!A1484,'Base de données'!A$4:A$990,0),2),"")</f>
        <v/>
      </c>
      <c r="C1484" s="87" t="str">
        <f>IF(A1484&lt;&gt;"",INDEX('Base de données'!A$4:L$990,MATCH(' TVA M'!A1484,'Base de données'!A$4:A$990,0),12),"")</f>
        <v/>
      </c>
    </row>
    <row r="1485" spans="2:3" x14ac:dyDescent="0.25">
      <c r="B1485" s="87" t="str">
        <f>IF(A1485&lt;&gt;"",INDEX('Base de données'!A$4:L$990,MATCH(' TVA M'!A1485,'Base de données'!A$4:A$990,0),2),"")</f>
        <v/>
      </c>
      <c r="C1485" s="87" t="str">
        <f>IF(A1485&lt;&gt;"",INDEX('Base de données'!A$4:L$990,MATCH(' TVA M'!A1485,'Base de données'!A$4:A$990,0),12),"")</f>
        <v/>
      </c>
    </row>
    <row r="1486" spans="2:3" x14ac:dyDescent="0.25">
      <c r="B1486" s="87" t="str">
        <f>IF(A1486&lt;&gt;"",INDEX('Base de données'!A$4:L$990,MATCH(' TVA M'!A1486,'Base de données'!A$4:A$990,0),2),"")</f>
        <v/>
      </c>
      <c r="C1486" s="87" t="str">
        <f>IF(A1486&lt;&gt;"",INDEX('Base de données'!A$4:L$990,MATCH(' TVA M'!A1486,'Base de données'!A$4:A$990,0),12),"")</f>
        <v/>
      </c>
    </row>
    <row r="1487" spans="2:3" x14ac:dyDescent="0.25">
      <c r="B1487" s="87" t="str">
        <f>IF(A1487&lt;&gt;"",INDEX('Base de données'!A$4:L$990,MATCH(' TVA M'!A1487,'Base de données'!A$4:A$990,0),2),"")</f>
        <v/>
      </c>
      <c r="C1487" s="87" t="str">
        <f>IF(A1487&lt;&gt;"",INDEX('Base de données'!A$4:L$990,MATCH(' TVA M'!A1487,'Base de données'!A$4:A$990,0),12),"")</f>
        <v/>
      </c>
    </row>
    <row r="1488" spans="2:3" x14ac:dyDescent="0.25">
      <c r="B1488" s="87" t="str">
        <f>IF(A1488&lt;&gt;"",INDEX('Base de données'!A$4:L$990,MATCH(' TVA M'!A1488,'Base de données'!A$4:A$990,0),2),"")</f>
        <v/>
      </c>
      <c r="C1488" s="87" t="str">
        <f>IF(A1488&lt;&gt;"",INDEX('Base de données'!A$4:L$990,MATCH(' TVA M'!A1488,'Base de données'!A$4:A$990,0),12),"")</f>
        <v/>
      </c>
    </row>
    <row r="1489" spans="2:3" x14ac:dyDescent="0.25">
      <c r="B1489" s="87" t="str">
        <f>IF(A1489&lt;&gt;"",INDEX('Base de données'!A$4:L$990,MATCH(' TVA M'!A1489,'Base de données'!A$4:A$990,0),2),"")</f>
        <v/>
      </c>
      <c r="C1489" s="87" t="str">
        <f>IF(A1489&lt;&gt;"",INDEX('Base de données'!A$4:L$990,MATCH(' TVA M'!A1489,'Base de données'!A$4:A$990,0),12),"")</f>
        <v/>
      </c>
    </row>
    <row r="1490" spans="2:3" x14ac:dyDescent="0.25">
      <c r="B1490" s="87" t="str">
        <f>IF(A1490&lt;&gt;"",INDEX('Base de données'!A$4:L$990,MATCH(' TVA M'!A1490,'Base de données'!A$4:A$990,0),2),"")</f>
        <v/>
      </c>
      <c r="C1490" s="87" t="str">
        <f>IF(A1490&lt;&gt;"",INDEX('Base de données'!A$4:L$990,MATCH(' TVA M'!A1490,'Base de données'!A$4:A$990,0),12),"")</f>
        <v/>
      </c>
    </row>
    <row r="1491" spans="2:3" x14ac:dyDescent="0.25">
      <c r="B1491" s="87" t="str">
        <f>IF(A1491&lt;&gt;"",INDEX('Base de données'!A$4:L$990,MATCH(' TVA M'!A1491,'Base de données'!A$4:A$990,0),2),"")</f>
        <v/>
      </c>
      <c r="C1491" s="87" t="str">
        <f>IF(A1491&lt;&gt;"",INDEX('Base de données'!A$4:L$990,MATCH(' TVA M'!A1491,'Base de données'!A$4:A$990,0),12),"")</f>
        <v/>
      </c>
    </row>
    <row r="1492" spans="2:3" x14ac:dyDescent="0.25">
      <c r="B1492" s="87" t="str">
        <f>IF(A1492&lt;&gt;"",INDEX('Base de données'!A$4:L$990,MATCH(' TVA M'!A1492,'Base de données'!A$4:A$990,0),2),"")</f>
        <v/>
      </c>
      <c r="C1492" s="87" t="str">
        <f>IF(A1492&lt;&gt;"",INDEX('Base de données'!A$4:L$990,MATCH(' TVA M'!A1492,'Base de données'!A$4:A$990,0),12),"")</f>
        <v/>
      </c>
    </row>
    <row r="1493" spans="2:3" x14ac:dyDescent="0.25">
      <c r="B1493" s="87" t="str">
        <f>IF(A1493&lt;&gt;"",INDEX('Base de données'!A$4:L$990,MATCH(' TVA M'!A1493,'Base de données'!A$4:A$990,0),2),"")</f>
        <v/>
      </c>
      <c r="C1493" s="87" t="str">
        <f>IF(A1493&lt;&gt;"",INDEX('Base de données'!A$4:L$990,MATCH(' TVA M'!A1493,'Base de données'!A$4:A$990,0),12),"")</f>
        <v/>
      </c>
    </row>
    <row r="1494" spans="2:3" x14ac:dyDescent="0.25">
      <c r="B1494" s="87" t="str">
        <f>IF(A1494&lt;&gt;"",INDEX('Base de données'!A$4:L$990,MATCH(' TVA M'!A1494,'Base de données'!A$4:A$990,0),2),"")</f>
        <v/>
      </c>
      <c r="C1494" s="87" t="str">
        <f>IF(A1494&lt;&gt;"",INDEX('Base de données'!A$4:L$990,MATCH(' TVA M'!A1494,'Base de données'!A$4:A$990,0),12),"")</f>
        <v/>
      </c>
    </row>
    <row r="1495" spans="2:3" x14ac:dyDescent="0.25">
      <c r="B1495" s="87" t="str">
        <f>IF(A1495&lt;&gt;"",INDEX('Base de données'!A$4:L$990,MATCH(' TVA M'!A1495,'Base de données'!A$4:A$990,0),2),"")</f>
        <v/>
      </c>
      <c r="C1495" s="87" t="str">
        <f>IF(A1495&lt;&gt;"",INDEX('Base de données'!A$4:L$990,MATCH(' TVA M'!A1495,'Base de données'!A$4:A$990,0),12),"")</f>
        <v/>
      </c>
    </row>
    <row r="1496" spans="2:3" x14ac:dyDescent="0.25">
      <c r="B1496" s="87" t="str">
        <f>IF(A1496&lt;&gt;"",INDEX('Base de données'!A$4:L$990,MATCH(' TVA M'!A1496,'Base de données'!A$4:A$990,0),2),"")</f>
        <v/>
      </c>
      <c r="C1496" s="87" t="str">
        <f>IF(A1496&lt;&gt;"",INDEX('Base de données'!A$4:L$990,MATCH(' TVA M'!A1496,'Base de données'!A$4:A$990,0),12),"")</f>
        <v/>
      </c>
    </row>
    <row r="1497" spans="2:3" x14ac:dyDescent="0.25">
      <c r="B1497" s="87" t="str">
        <f>IF(A1497&lt;&gt;"",INDEX('Base de données'!A$4:L$990,MATCH(' TVA M'!A1497,'Base de données'!A$4:A$990,0),2),"")</f>
        <v/>
      </c>
      <c r="C1497" s="87" t="str">
        <f>IF(A1497&lt;&gt;"",INDEX('Base de données'!A$4:L$990,MATCH(' TVA M'!A1497,'Base de données'!A$4:A$990,0),12),"")</f>
        <v/>
      </c>
    </row>
    <row r="1498" spans="2:3" x14ac:dyDescent="0.25">
      <c r="B1498" s="87" t="str">
        <f>IF(A1498&lt;&gt;"",INDEX('Base de données'!A$4:L$990,MATCH(' TVA M'!A1498,'Base de données'!A$4:A$990,0),2),"")</f>
        <v/>
      </c>
      <c r="C1498" s="87" t="str">
        <f>IF(A1498&lt;&gt;"",INDEX('Base de données'!A$4:L$990,MATCH(' TVA M'!A1498,'Base de données'!A$4:A$990,0),12),"")</f>
        <v/>
      </c>
    </row>
    <row r="1499" spans="2:3" x14ac:dyDescent="0.25">
      <c r="B1499" s="87" t="str">
        <f>IF(A1499&lt;&gt;"",INDEX('Base de données'!A$4:L$990,MATCH(' TVA M'!A1499,'Base de données'!A$4:A$990,0),2),"")</f>
        <v/>
      </c>
      <c r="C1499" s="87" t="str">
        <f>IF(A1499&lt;&gt;"",INDEX('Base de données'!A$4:L$990,MATCH(' TVA M'!A1499,'Base de données'!A$4:A$990,0),12),"")</f>
        <v/>
      </c>
    </row>
    <row r="1500" spans="2:3" x14ac:dyDescent="0.25">
      <c r="B1500" s="87" t="str">
        <f>IF(A1500&lt;&gt;"",INDEX('Base de données'!A$4:L$990,MATCH(' TVA M'!A1500,'Base de données'!A$4:A$990,0),2),"")</f>
        <v/>
      </c>
      <c r="C1500" s="87" t="str">
        <f>IF(A1500&lt;&gt;"",INDEX('Base de données'!A$4:L$990,MATCH(' TVA M'!A1500,'Base de données'!A$4:A$990,0),12),"")</f>
        <v/>
      </c>
    </row>
    <row r="1501" spans="2:3" x14ac:dyDescent="0.25">
      <c r="B1501" s="87" t="str">
        <f>IF(A1501&lt;&gt;"",INDEX('Base de données'!A$4:L$990,MATCH(' TVA M'!A1501,'Base de données'!A$4:A$990,0),2),"")</f>
        <v/>
      </c>
      <c r="C1501" s="87" t="str">
        <f>IF(A1501&lt;&gt;"",INDEX('Base de données'!A$4:L$990,MATCH(' TVA M'!A1501,'Base de données'!A$4:A$990,0),12),"")</f>
        <v/>
      </c>
    </row>
    <row r="1502" spans="2:3" x14ac:dyDescent="0.25">
      <c r="B1502" s="87" t="str">
        <f>IF(A1502&lt;&gt;"",INDEX('Base de données'!A$4:L$990,MATCH(' TVA M'!A1502,'Base de données'!A$4:A$990,0),2),"")</f>
        <v/>
      </c>
      <c r="C1502" s="87" t="str">
        <f>IF(A1502&lt;&gt;"",INDEX('Base de données'!A$4:L$990,MATCH(' TVA M'!A1502,'Base de données'!A$4:A$990,0),12),"")</f>
        <v/>
      </c>
    </row>
    <row r="1503" spans="2:3" x14ac:dyDescent="0.25">
      <c r="B1503" s="87" t="str">
        <f>IF(A1503&lt;&gt;"",INDEX('Base de données'!A$4:L$990,MATCH(' TVA M'!A1503,'Base de données'!A$4:A$990,0),2),"")</f>
        <v/>
      </c>
      <c r="C1503" s="87" t="str">
        <f>IF(A1503&lt;&gt;"",INDEX('Base de données'!A$4:L$990,MATCH(' TVA M'!A1503,'Base de données'!A$4:A$990,0),12),"")</f>
        <v/>
      </c>
    </row>
    <row r="1504" spans="2:3" x14ac:dyDescent="0.25">
      <c r="B1504" s="87" t="str">
        <f>IF(A1504&lt;&gt;"",INDEX('Base de données'!A$4:L$990,MATCH(' TVA M'!A1504,'Base de données'!A$4:A$990,0),2),"")</f>
        <v/>
      </c>
      <c r="C1504" s="87" t="str">
        <f>IF(A1504&lt;&gt;"",INDEX('Base de données'!A$4:L$990,MATCH(' TVA M'!A1504,'Base de données'!A$4:A$990,0),12),"")</f>
        <v/>
      </c>
    </row>
    <row r="1505" spans="2:18" x14ac:dyDescent="0.25">
      <c r="B1505" s="87" t="str">
        <f>IF(A1505&lt;&gt;"",INDEX('Base de données'!A$4:L$990,MATCH(' TVA M'!A1505,'Base de données'!A$4:A$990,0),2),"")</f>
        <v/>
      </c>
      <c r="C1505" s="87" t="str">
        <f>IF(A1505&lt;&gt;"",INDEX('Base de données'!A$4:L$990,MATCH(' TVA M'!A1505,'Base de données'!A$4:A$990,0),12),"")</f>
        <v/>
      </c>
      <c r="P1505" s="126"/>
    </row>
    <row r="1506" spans="2:18" x14ac:dyDescent="0.25">
      <c r="B1506" s="87" t="str">
        <f>IF(A1506&lt;&gt;"",INDEX('Base de données'!A$4:L$990,MATCH(' TVA M'!A1506,'Base de données'!A$4:A$990,0),2),"")</f>
        <v/>
      </c>
      <c r="C1506" s="87" t="str">
        <f>IF(A1506&lt;&gt;"",INDEX('Base de données'!A$4:L$990,MATCH(' TVA M'!A1506,'Base de données'!A$4:A$990,0),12),"")</f>
        <v/>
      </c>
    </row>
    <row r="1507" spans="2:18" x14ac:dyDescent="0.25">
      <c r="B1507" s="87" t="str">
        <f>IF(A1507&lt;&gt;"",INDEX('Base de données'!A$4:L$990,MATCH(' TVA M'!A1507,'Base de données'!A$4:A$990,0),2),"")</f>
        <v/>
      </c>
      <c r="C1507" s="87" t="str">
        <f>IF(A1507&lt;&gt;"",INDEX('Base de données'!A$4:L$990,MATCH(' TVA M'!A1507,'Base de données'!A$4:A$990,0),12),"")</f>
        <v/>
      </c>
      <c r="P1507" s="126"/>
    </row>
    <row r="1508" spans="2:18" x14ac:dyDescent="0.25">
      <c r="B1508" s="87" t="str">
        <f>IF(A1508&lt;&gt;"",INDEX('Base de données'!A$4:L$990,MATCH(' TVA M'!A1508,'Base de données'!A$4:A$990,0),2),"")</f>
        <v/>
      </c>
      <c r="C1508" s="87" t="str">
        <f>IF(A1508&lt;&gt;"",INDEX('Base de données'!A$4:L$990,MATCH(' TVA M'!A1508,'Base de données'!A$4:A$990,0),12),"")</f>
        <v/>
      </c>
      <c r="L1508" s="126"/>
      <c r="P1508" s="126"/>
      <c r="R1508" s="126"/>
    </row>
    <row r="1509" spans="2:18" x14ac:dyDescent="0.25">
      <c r="B1509" s="87" t="str">
        <f>IF(A1509&lt;&gt;"",INDEX('Base de données'!A$4:L$990,MATCH(' TVA M'!A1509,'Base de données'!A$4:A$990,0),2),"")</f>
        <v/>
      </c>
      <c r="C1509" s="87" t="str">
        <f>IF(A1509&lt;&gt;"",INDEX('Base de données'!A$4:L$990,MATCH(' TVA M'!A1509,'Base de données'!A$4:A$990,0),12),"")</f>
        <v/>
      </c>
    </row>
    <row r="1510" spans="2:18" x14ac:dyDescent="0.25">
      <c r="B1510" s="87" t="str">
        <f>IF(A1510&lt;&gt;"",INDEX('Base de données'!A$4:L$990,MATCH(' TVA M'!A1510,'Base de données'!A$4:A$990,0),2),"")</f>
        <v/>
      </c>
      <c r="C1510" s="87" t="str">
        <f>IF(A1510&lt;&gt;"",INDEX('Base de données'!A$4:L$990,MATCH(' TVA M'!A1510,'Base de données'!A$4:A$990,0),12),"")</f>
        <v/>
      </c>
    </row>
    <row r="1511" spans="2:18" x14ac:dyDescent="0.25">
      <c r="B1511" s="87" t="str">
        <f>IF(A1511&lt;&gt;"",INDEX('Base de données'!A$4:L$990,MATCH(' TVA M'!A1511,'Base de données'!A$4:A$990,0),2),"")</f>
        <v/>
      </c>
      <c r="C1511" s="87" t="str">
        <f>IF(A1511&lt;&gt;"",INDEX('Base de données'!A$4:L$990,MATCH(' TVA M'!A1511,'Base de données'!A$4:A$990,0),12),"")</f>
        <v/>
      </c>
    </row>
    <row r="1512" spans="2:18" x14ac:dyDescent="0.25">
      <c r="B1512" s="87" t="str">
        <f>IF(A1512&lt;&gt;"",INDEX('Base de données'!A$4:L$990,MATCH(' TVA M'!A1512,'Base de données'!A$4:A$990,0),2),"")</f>
        <v/>
      </c>
      <c r="C1512" s="87" t="str">
        <f>IF(A1512&lt;&gt;"",INDEX('Base de données'!A$4:L$990,MATCH(' TVA M'!A1512,'Base de données'!A$4:A$990,0),12),"")</f>
        <v/>
      </c>
    </row>
    <row r="1513" spans="2:18" x14ac:dyDescent="0.25">
      <c r="B1513" s="87" t="str">
        <f>IF(A1513&lt;&gt;"",INDEX('Base de données'!A$4:L$990,MATCH(' TVA M'!A1513,'Base de données'!A$4:A$990,0),2),"")</f>
        <v/>
      </c>
      <c r="C1513" s="87" t="str">
        <f>IF(A1513&lt;&gt;"",INDEX('Base de données'!A$4:L$990,MATCH(' TVA M'!A1513,'Base de données'!A$4:A$990,0),12),"")</f>
        <v/>
      </c>
    </row>
    <row r="1514" spans="2:18" x14ac:dyDescent="0.25">
      <c r="B1514" s="87" t="str">
        <f>IF(A1514&lt;&gt;"",INDEX('Base de données'!A$4:L$990,MATCH(' TVA M'!A1514,'Base de données'!A$4:A$990,0),2),"")</f>
        <v/>
      </c>
      <c r="C1514" s="87" t="str">
        <f>IF(A1514&lt;&gt;"",INDEX('Base de données'!A$4:L$990,MATCH(' TVA M'!A1514,'Base de données'!A$4:A$990,0),12),"")</f>
        <v/>
      </c>
    </row>
    <row r="1515" spans="2:18" x14ac:dyDescent="0.25">
      <c r="B1515" s="87" t="str">
        <f>IF(A1515&lt;&gt;"",INDEX('Base de données'!A$4:L$990,MATCH(' TVA M'!A1515,'Base de données'!A$4:A$990,0),2),"")</f>
        <v/>
      </c>
      <c r="C1515" s="87" t="str">
        <f>IF(A1515&lt;&gt;"",INDEX('Base de données'!A$4:L$990,MATCH(' TVA M'!A1515,'Base de données'!A$4:A$990,0),12),"")</f>
        <v/>
      </c>
    </row>
    <row r="1516" spans="2:18" x14ac:dyDescent="0.25">
      <c r="B1516" s="87" t="str">
        <f>IF(A1516&lt;&gt;"",INDEX('Base de données'!A$4:L$990,MATCH(' TVA M'!A1516,'Base de données'!A$4:A$990,0),2),"")</f>
        <v/>
      </c>
      <c r="C1516" s="87" t="str">
        <f>IF(A1516&lt;&gt;"",INDEX('Base de données'!A$4:L$990,MATCH(' TVA M'!A1516,'Base de données'!A$4:A$990,0),12),"")</f>
        <v/>
      </c>
    </row>
    <row r="1517" spans="2:18" x14ac:dyDescent="0.25">
      <c r="B1517" s="87" t="str">
        <f>IF(A1517&lt;&gt;"",INDEX('Base de données'!A$4:L$990,MATCH(' TVA M'!A1517,'Base de données'!A$4:A$990,0),2),"")</f>
        <v/>
      </c>
      <c r="C1517" s="87" t="str">
        <f>IF(A1517&lt;&gt;"",INDEX('Base de données'!A$4:L$990,MATCH(' TVA M'!A1517,'Base de données'!A$4:A$990,0),12),"")</f>
        <v/>
      </c>
    </row>
    <row r="1518" spans="2:18" x14ac:dyDescent="0.25">
      <c r="B1518" s="87" t="str">
        <f>IF(A1518&lt;&gt;"",INDEX('Base de données'!A$4:L$990,MATCH(' TVA M'!A1518,'Base de données'!A$4:A$990,0),2),"")</f>
        <v/>
      </c>
      <c r="C1518" s="87" t="str">
        <f>IF(A1518&lt;&gt;"",INDEX('Base de données'!A$4:L$990,MATCH(' TVA M'!A1518,'Base de données'!A$4:A$990,0),12),"")</f>
        <v/>
      </c>
    </row>
    <row r="1519" spans="2:18" x14ac:dyDescent="0.25">
      <c r="B1519" s="87" t="str">
        <f>IF(A1519&lt;&gt;"",INDEX('Base de données'!A$4:L$990,MATCH(' TVA M'!A1519,'Base de données'!A$4:A$990,0),2),"")</f>
        <v/>
      </c>
      <c r="C1519" s="87" t="str">
        <f>IF(A1519&lt;&gt;"",INDEX('Base de données'!A$4:L$990,MATCH(' TVA M'!A1519,'Base de données'!A$4:A$990,0),12),"")</f>
        <v/>
      </c>
    </row>
    <row r="1520" spans="2:18" x14ac:dyDescent="0.25">
      <c r="B1520" s="87" t="str">
        <f>IF(A1520&lt;&gt;"",INDEX('Base de données'!A$4:L$990,MATCH(' TVA M'!A1520,'Base de données'!A$4:A$990,0),2),"")</f>
        <v/>
      </c>
      <c r="C1520" s="87" t="str">
        <f>IF(A1520&lt;&gt;"",INDEX('Base de données'!A$4:L$990,MATCH(' TVA M'!A1520,'Base de données'!A$4:A$990,0),12),"")</f>
        <v/>
      </c>
    </row>
    <row r="1521" spans="2:3" x14ac:dyDescent="0.25">
      <c r="B1521" s="87" t="str">
        <f>IF(A1521&lt;&gt;"",INDEX('Base de données'!A$4:L$990,MATCH(' TVA M'!A1521,'Base de données'!A$4:A$990,0),2),"")</f>
        <v/>
      </c>
      <c r="C1521" s="87" t="str">
        <f>IF(A1521&lt;&gt;"",INDEX('Base de données'!A$4:L$990,MATCH(' TVA M'!A1521,'Base de données'!A$4:A$990,0),12),"")</f>
        <v/>
      </c>
    </row>
    <row r="1522" spans="2:3" x14ac:dyDescent="0.25">
      <c r="B1522" s="87" t="str">
        <f>IF(A1522&lt;&gt;"",INDEX('Base de données'!A$4:L$990,MATCH(' TVA M'!A1522,'Base de données'!A$4:A$990,0),2),"")</f>
        <v/>
      </c>
      <c r="C1522" s="87" t="str">
        <f>IF(A1522&lt;&gt;"",INDEX('Base de données'!A$4:L$990,MATCH(' TVA M'!A1522,'Base de données'!A$4:A$990,0),12),"")</f>
        <v/>
      </c>
    </row>
    <row r="1523" spans="2:3" x14ac:dyDescent="0.25">
      <c r="B1523" s="87" t="str">
        <f>IF(A1523&lt;&gt;"",INDEX('Base de données'!A$4:L$990,MATCH(' TVA M'!A1523,'Base de données'!A$4:A$990,0),2),"")</f>
        <v/>
      </c>
      <c r="C1523" s="87" t="str">
        <f>IF(A1523&lt;&gt;"",INDEX('Base de données'!A$4:L$990,MATCH(' TVA M'!A1523,'Base de données'!A$4:A$990,0),12),"")</f>
        <v/>
      </c>
    </row>
    <row r="1524" spans="2:3" x14ac:dyDescent="0.25">
      <c r="B1524" s="87" t="str">
        <f>IF(A1524&lt;&gt;"",INDEX('Base de données'!A$4:L$990,MATCH(' TVA M'!A1524,'Base de données'!A$4:A$990,0),2),"")</f>
        <v/>
      </c>
      <c r="C1524" s="87" t="str">
        <f>IF(A1524&lt;&gt;"",INDEX('Base de données'!A$4:L$990,MATCH(' TVA M'!A1524,'Base de données'!A$4:A$990,0),12),"")</f>
        <v/>
      </c>
    </row>
    <row r="1525" spans="2:3" x14ac:dyDescent="0.25">
      <c r="B1525" s="87" t="str">
        <f>IF(A1525&lt;&gt;"",INDEX('Base de données'!A$4:L$990,MATCH(' TVA M'!A1525,'Base de données'!A$4:A$990,0),2),"")</f>
        <v/>
      </c>
      <c r="C1525" s="87" t="str">
        <f>IF(A1525&lt;&gt;"",INDEX('Base de données'!A$4:L$990,MATCH(' TVA M'!A1525,'Base de données'!A$4:A$990,0),12),"")</f>
        <v/>
      </c>
    </row>
    <row r="1526" spans="2:3" x14ac:dyDescent="0.25">
      <c r="B1526" s="87" t="str">
        <f>IF(A1526&lt;&gt;"",INDEX('Base de données'!A$4:L$990,MATCH(' TVA M'!A1526,'Base de données'!A$4:A$990,0),2),"")</f>
        <v/>
      </c>
      <c r="C1526" s="87" t="str">
        <f>IF(A1526&lt;&gt;"",INDEX('Base de données'!A$4:L$990,MATCH(' TVA M'!A1526,'Base de données'!A$4:A$990,0),12),"")</f>
        <v/>
      </c>
    </row>
    <row r="1527" spans="2:3" x14ac:dyDescent="0.25">
      <c r="B1527" s="87" t="str">
        <f>IF(A1527&lt;&gt;"",INDEX('Base de données'!A$4:L$990,MATCH(' TVA M'!A1527,'Base de données'!A$4:A$990,0),2),"")</f>
        <v/>
      </c>
      <c r="C1527" s="87" t="str">
        <f>IF(A1527&lt;&gt;"",INDEX('Base de données'!A$4:L$990,MATCH(' TVA M'!A1527,'Base de données'!A$4:A$990,0),12),"")</f>
        <v/>
      </c>
    </row>
    <row r="1528" spans="2:3" x14ac:dyDescent="0.25">
      <c r="B1528" s="87" t="str">
        <f>IF(A1528&lt;&gt;"",INDEX('Base de données'!A$4:L$990,MATCH(' TVA M'!A1528,'Base de données'!A$4:A$990,0),2),"")</f>
        <v/>
      </c>
      <c r="C1528" s="87" t="str">
        <f>IF(A1528&lt;&gt;"",INDEX('Base de données'!A$4:L$990,MATCH(' TVA M'!A1528,'Base de données'!A$4:A$990,0),12),"")</f>
        <v/>
      </c>
    </row>
    <row r="1529" spans="2:3" x14ac:dyDescent="0.25">
      <c r="B1529" s="87" t="str">
        <f>IF(A1529&lt;&gt;"",INDEX('Base de données'!A$4:L$990,MATCH(' TVA M'!A1529,'Base de données'!A$4:A$990,0),2),"")</f>
        <v/>
      </c>
      <c r="C1529" s="87" t="str">
        <f>IF(A1529&lt;&gt;"",INDEX('Base de données'!A$4:L$990,MATCH(' TVA M'!A1529,'Base de données'!A$4:A$990,0),12),"")</f>
        <v/>
      </c>
    </row>
    <row r="1530" spans="2:3" x14ac:dyDescent="0.25">
      <c r="B1530" s="87" t="str">
        <f>IF(A1530&lt;&gt;"",INDEX('Base de données'!A$4:L$990,MATCH(' TVA M'!A1530,'Base de données'!A$4:A$990,0),2),"")</f>
        <v/>
      </c>
      <c r="C1530" s="87" t="str">
        <f>IF(A1530&lt;&gt;"",INDEX('Base de données'!A$4:L$990,MATCH(' TVA M'!A1530,'Base de données'!A$4:A$990,0),12),"")</f>
        <v/>
      </c>
    </row>
    <row r="1531" spans="2:3" x14ac:dyDescent="0.25">
      <c r="B1531" s="87" t="str">
        <f>IF(A1531&lt;&gt;"",INDEX('Base de données'!A$4:L$990,MATCH(' TVA M'!A1531,'Base de données'!A$4:A$990,0),2),"")</f>
        <v/>
      </c>
      <c r="C1531" s="87" t="str">
        <f>IF(A1531&lt;&gt;"",INDEX('Base de données'!A$4:L$990,MATCH(' TVA M'!A1531,'Base de données'!A$4:A$990,0),12),"")</f>
        <v/>
      </c>
    </row>
    <row r="1532" spans="2:3" x14ac:dyDescent="0.25">
      <c r="B1532" s="87" t="str">
        <f>IF(A1532&lt;&gt;"",INDEX('Base de données'!A$4:L$990,MATCH(' TVA M'!A1532,'Base de données'!A$4:A$990,0),2),"")</f>
        <v/>
      </c>
      <c r="C1532" s="87" t="str">
        <f>IF(A1532&lt;&gt;"",INDEX('Base de données'!A$4:L$990,MATCH(' TVA M'!A1532,'Base de données'!A$4:A$990,0),12),"")</f>
        <v/>
      </c>
    </row>
    <row r="1533" spans="2:3" x14ac:dyDescent="0.25">
      <c r="B1533" s="87" t="str">
        <f>IF(A1533&lt;&gt;"",INDEX('Base de données'!A$4:L$990,MATCH(' TVA M'!A1533,'Base de données'!A$4:A$990,0),2),"")</f>
        <v/>
      </c>
      <c r="C1533" s="87" t="str">
        <f>IF(A1533&lt;&gt;"",INDEX('Base de données'!A$4:L$990,MATCH(' TVA M'!A1533,'Base de données'!A$4:A$990,0),12),"")</f>
        <v/>
      </c>
    </row>
    <row r="1534" spans="2:3" x14ac:dyDescent="0.25">
      <c r="B1534" s="87" t="str">
        <f>IF(A1534&lt;&gt;"",INDEX('Base de données'!A$4:L$990,MATCH(' TVA M'!A1534,'Base de données'!A$4:A$990,0),2),"")</f>
        <v/>
      </c>
      <c r="C1534" s="87" t="str">
        <f>IF(A1534&lt;&gt;"",INDEX('Base de données'!A$4:L$990,MATCH(' TVA M'!A1534,'Base de données'!A$4:A$990,0),12),"")</f>
        <v/>
      </c>
    </row>
    <row r="1535" spans="2:3" x14ac:dyDescent="0.25">
      <c r="B1535" s="87" t="str">
        <f>IF(A1535&lt;&gt;"",INDEX('Base de données'!A$4:L$990,MATCH(' TVA M'!A1535,'Base de données'!A$4:A$990,0),2),"")</f>
        <v/>
      </c>
      <c r="C1535" s="87" t="str">
        <f>IF(A1535&lt;&gt;"",INDEX('Base de données'!A$4:L$990,MATCH(' TVA M'!A1535,'Base de données'!A$4:A$990,0),12),"")</f>
        <v/>
      </c>
    </row>
    <row r="1536" spans="2:3" x14ac:dyDescent="0.25">
      <c r="B1536" s="87" t="str">
        <f>IF(A1536&lt;&gt;"",INDEX('Base de données'!A$4:L$990,MATCH(' TVA M'!A1536,'Base de données'!A$4:A$990,0),2),"")</f>
        <v/>
      </c>
      <c r="C1536" s="87" t="str">
        <f>IF(A1536&lt;&gt;"",INDEX('Base de données'!A$4:L$990,MATCH(' TVA M'!A1536,'Base de données'!A$4:A$990,0),12),"")</f>
        <v/>
      </c>
    </row>
    <row r="1537" spans="2:3" x14ac:dyDescent="0.25">
      <c r="B1537" s="87" t="str">
        <f>IF(A1537&lt;&gt;"",INDEX('Base de données'!A$4:L$990,MATCH(' TVA M'!A1537,'Base de données'!A$4:A$990,0),2),"")</f>
        <v/>
      </c>
      <c r="C1537" s="87" t="str">
        <f>IF(A1537&lt;&gt;"",INDEX('Base de données'!A$4:L$990,MATCH(' TVA M'!A1537,'Base de données'!A$4:A$990,0),12),"")</f>
        <v/>
      </c>
    </row>
    <row r="1538" spans="2:3" x14ac:dyDescent="0.25">
      <c r="B1538" s="87" t="str">
        <f>IF(A1538&lt;&gt;"",INDEX('Base de données'!A$4:L$990,MATCH(' TVA M'!A1538,'Base de données'!A$4:A$990,0),2),"")</f>
        <v/>
      </c>
      <c r="C1538" s="87" t="str">
        <f>IF(A1538&lt;&gt;"",INDEX('Base de données'!A$4:L$990,MATCH(' TVA M'!A1538,'Base de données'!A$4:A$990,0),12),"")</f>
        <v/>
      </c>
    </row>
    <row r="1539" spans="2:3" x14ac:dyDescent="0.25">
      <c r="B1539" s="87" t="str">
        <f>IF(A1539&lt;&gt;"",INDEX('Base de données'!A$4:L$990,MATCH(' TVA M'!A1539,'Base de données'!A$4:A$990,0),2),"")</f>
        <v/>
      </c>
      <c r="C1539" s="87" t="str">
        <f>IF(A1539&lt;&gt;"",INDEX('Base de données'!A$4:L$990,MATCH(' TVA M'!A1539,'Base de données'!A$4:A$990,0),12),"")</f>
        <v/>
      </c>
    </row>
    <row r="1540" spans="2:3" x14ac:dyDescent="0.25">
      <c r="B1540" s="87" t="str">
        <f>IF(A1540&lt;&gt;"",INDEX('Base de données'!A$4:L$990,MATCH(' TVA M'!A1540,'Base de données'!A$4:A$990,0),2),"")</f>
        <v/>
      </c>
      <c r="C1540" s="87" t="str">
        <f>IF(A1540&lt;&gt;"",INDEX('Base de données'!A$4:L$990,MATCH(' TVA M'!A1540,'Base de données'!A$4:A$990,0),12),"")</f>
        <v/>
      </c>
    </row>
    <row r="1541" spans="2:3" x14ac:dyDescent="0.25">
      <c r="B1541" s="87" t="str">
        <f>IF(A1541&lt;&gt;"",INDEX('Base de données'!A$4:L$990,MATCH(' TVA M'!A1541,'Base de données'!A$4:A$990,0),2),"")</f>
        <v/>
      </c>
      <c r="C1541" s="87" t="str">
        <f>IF(A1541&lt;&gt;"",INDEX('Base de données'!A$4:L$990,MATCH(' TVA M'!A1541,'Base de données'!A$4:A$990,0),12),"")</f>
        <v/>
      </c>
    </row>
    <row r="1542" spans="2:3" x14ac:dyDescent="0.25">
      <c r="B1542" s="87" t="str">
        <f>IF(A1542&lt;&gt;"",INDEX('Base de données'!A$4:L$990,MATCH(' TVA M'!A1542,'Base de données'!A$4:A$990,0),2),"")</f>
        <v/>
      </c>
      <c r="C1542" s="87" t="str">
        <f>IF(A1542&lt;&gt;"",INDEX('Base de données'!A$4:L$990,MATCH(' TVA M'!A1542,'Base de données'!A$4:A$990,0),12),"")</f>
        <v/>
      </c>
    </row>
    <row r="1543" spans="2:3" x14ac:dyDescent="0.25">
      <c r="B1543" s="87" t="str">
        <f>IF(A1543&lt;&gt;"",INDEX('Base de données'!A$4:L$990,MATCH(' TVA M'!A1543,'Base de données'!A$4:A$990,0),2),"")</f>
        <v/>
      </c>
      <c r="C1543" s="87" t="str">
        <f>IF(A1543&lt;&gt;"",INDEX('Base de données'!A$4:L$990,MATCH(' TVA M'!A1543,'Base de données'!A$4:A$990,0),12),"")</f>
        <v/>
      </c>
    </row>
    <row r="1544" spans="2:3" x14ac:dyDescent="0.25">
      <c r="B1544" s="87" t="str">
        <f>IF(A1544&lt;&gt;"",INDEX('Base de données'!A$4:L$990,MATCH(' TVA M'!A1544,'Base de données'!A$4:A$990,0),2),"")</f>
        <v/>
      </c>
      <c r="C1544" s="87" t="str">
        <f>IF(A1544&lt;&gt;"",INDEX('Base de données'!A$4:L$990,MATCH(' TVA M'!A1544,'Base de données'!A$4:A$990,0),12),"")</f>
        <v/>
      </c>
    </row>
    <row r="1545" spans="2:3" x14ac:dyDescent="0.25">
      <c r="B1545" s="87" t="str">
        <f>IF(A1545&lt;&gt;"",INDEX('Base de données'!A$4:L$990,MATCH(' TVA M'!A1545,'Base de données'!A$4:A$990,0),2),"")</f>
        <v/>
      </c>
      <c r="C1545" s="87" t="str">
        <f>IF(A1545&lt;&gt;"",INDEX('Base de données'!A$4:L$990,MATCH(' TVA M'!A1545,'Base de données'!A$4:A$990,0),12),"")</f>
        <v/>
      </c>
    </row>
    <row r="1546" spans="2:3" x14ac:dyDescent="0.25">
      <c r="B1546" s="87" t="str">
        <f>IF(A1546&lt;&gt;"",INDEX('Base de données'!A$4:L$990,MATCH(' TVA M'!A1546,'Base de données'!A$4:A$990,0),2),"")</f>
        <v/>
      </c>
      <c r="C1546" s="87" t="str">
        <f>IF(A1546&lt;&gt;"",INDEX('Base de données'!A$4:L$990,MATCH(' TVA M'!A1546,'Base de données'!A$4:A$990,0),12),"")</f>
        <v/>
      </c>
    </row>
    <row r="1547" spans="2:3" x14ac:dyDescent="0.25">
      <c r="B1547" s="87" t="str">
        <f>IF(A1547&lt;&gt;"",INDEX('Base de données'!A$4:L$990,MATCH(' TVA M'!A1547,'Base de données'!A$4:A$990,0),2),"")</f>
        <v/>
      </c>
      <c r="C1547" s="87" t="str">
        <f>IF(A1547&lt;&gt;"",INDEX('Base de données'!A$4:L$990,MATCH(' TVA M'!A1547,'Base de données'!A$4:A$990,0),12),"")</f>
        <v/>
      </c>
    </row>
    <row r="1548" spans="2:3" x14ac:dyDescent="0.25">
      <c r="B1548" s="87" t="str">
        <f>IF(A1548&lt;&gt;"",INDEX('Base de données'!A$4:L$990,MATCH(' TVA M'!A1548,'Base de données'!A$4:A$990,0),2),"")</f>
        <v/>
      </c>
      <c r="C1548" s="87" t="str">
        <f>IF(A1548&lt;&gt;"",INDEX('Base de données'!A$4:L$990,MATCH(' TVA M'!A1548,'Base de données'!A$4:A$990,0),12),"")</f>
        <v/>
      </c>
    </row>
    <row r="1549" spans="2:3" x14ac:dyDescent="0.25">
      <c r="B1549" s="87" t="str">
        <f>IF(A1549&lt;&gt;"",INDEX('Base de données'!A$4:L$990,MATCH(' TVA M'!A1549,'Base de données'!A$4:A$990,0),2),"")</f>
        <v/>
      </c>
      <c r="C1549" s="87" t="str">
        <f>IF(A1549&lt;&gt;"",INDEX('Base de données'!A$4:L$990,MATCH(' TVA M'!A1549,'Base de données'!A$4:A$990,0),12),"")</f>
        <v/>
      </c>
    </row>
    <row r="1550" spans="2:3" x14ac:dyDescent="0.25">
      <c r="B1550" s="87" t="str">
        <f>IF(A1550&lt;&gt;"",INDEX('Base de données'!A$4:L$990,MATCH(' TVA M'!A1550,'Base de données'!A$4:A$990,0),2),"")</f>
        <v/>
      </c>
      <c r="C1550" s="87" t="str">
        <f>IF(A1550&lt;&gt;"",INDEX('Base de données'!A$4:L$990,MATCH(' TVA M'!A1550,'Base de données'!A$4:A$990,0),12),"")</f>
        <v/>
      </c>
    </row>
    <row r="1551" spans="2:3" x14ac:dyDescent="0.25">
      <c r="B1551" s="87" t="str">
        <f>IF(A1551&lt;&gt;"",INDEX('Base de données'!A$4:L$990,MATCH(' TVA M'!A1551,'Base de données'!A$4:A$990,0),2),"")</f>
        <v/>
      </c>
      <c r="C1551" s="87" t="str">
        <f>IF(A1551&lt;&gt;"",INDEX('Base de données'!A$4:L$990,MATCH(' TVA M'!A1551,'Base de données'!A$4:A$990,0),12),"")</f>
        <v/>
      </c>
    </row>
    <row r="1552" spans="2:3" x14ac:dyDescent="0.25">
      <c r="B1552" s="87" t="str">
        <f>IF(A1552&lt;&gt;"",INDEX('Base de données'!A$4:L$990,MATCH(' TVA M'!A1552,'Base de données'!A$4:A$990,0),2),"")</f>
        <v/>
      </c>
      <c r="C1552" s="87" t="str">
        <f>IF(A1552&lt;&gt;"",INDEX('Base de données'!A$4:L$990,MATCH(' TVA M'!A1552,'Base de données'!A$4:A$990,0),12),"")</f>
        <v/>
      </c>
    </row>
    <row r="1553" spans="2:3" x14ac:dyDescent="0.25">
      <c r="B1553" s="87" t="str">
        <f>IF(A1553&lt;&gt;"",INDEX('Base de données'!A$4:L$990,MATCH(' TVA M'!A1553,'Base de données'!A$4:A$990,0),2),"")</f>
        <v/>
      </c>
      <c r="C1553" s="87" t="str">
        <f>IF(A1553&lt;&gt;"",INDEX('Base de données'!A$4:L$990,MATCH(' TVA M'!A1553,'Base de données'!A$4:A$990,0),12),"")</f>
        <v/>
      </c>
    </row>
    <row r="1554" spans="2:3" x14ac:dyDescent="0.25">
      <c r="B1554" s="87" t="str">
        <f>IF(A1554&lt;&gt;"",INDEX('Base de données'!A$4:L$990,MATCH(' TVA M'!A1554,'Base de données'!A$4:A$990,0),2),"")</f>
        <v/>
      </c>
      <c r="C1554" s="87" t="str">
        <f>IF(A1554&lt;&gt;"",INDEX('Base de données'!A$4:L$990,MATCH(' TVA M'!A1554,'Base de données'!A$4:A$990,0),12),"")</f>
        <v/>
      </c>
    </row>
    <row r="1555" spans="2:3" x14ac:dyDescent="0.25">
      <c r="B1555" s="87" t="str">
        <f>IF(A1555&lt;&gt;"",INDEX('Base de données'!A$4:L$990,MATCH(' TVA M'!A1555,'Base de données'!A$4:A$990,0),2),"")</f>
        <v/>
      </c>
      <c r="C1555" s="87" t="str">
        <f>IF(A1555&lt;&gt;"",INDEX('Base de données'!A$4:L$990,MATCH(' TVA M'!A1555,'Base de données'!A$4:A$990,0),12),"")</f>
        <v/>
      </c>
    </row>
    <row r="1556" spans="2:3" x14ac:dyDescent="0.25">
      <c r="B1556" s="87" t="str">
        <f>IF(A1556&lt;&gt;"",INDEX('Base de données'!A$4:L$990,MATCH(' TVA M'!A1556,'Base de données'!A$4:A$990,0),2),"")</f>
        <v/>
      </c>
      <c r="C1556" s="87" t="str">
        <f>IF(A1556&lt;&gt;"",INDEX('Base de données'!A$4:L$990,MATCH(' TVA M'!A1556,'Base de données'!A$4:A$990,0),12),"")</f>
        <v/>
      </c>
    </row>
  </sheetData>
  <sheetProtection sheet="1" objects="1" scenarios="1" deleteRows="0" selectLockedCells="1" autoFilter="0"/>
  <autoFilter ref="A8:C1556"/>
  <mergeCells count="17">
    <mergeCell ref="Z7:AA7"/>
    <mergeCell ref="D7:E7"/>
    <mergeCell ref="F7:G7"/>
    <mergeCell ref="H7:I7"/>
    <mergeCell ref="J7:K7"/>
    <mergeCell ref="L7:M7"/>
    <mergeCell ref="N7:O7"/>
    <mergeCell ref="P7:Q7"/>
    <mergeCell ref="R7:S7"/>
    <mergeCell ref="T7:U7"/>
    <mergeCell ref="V7:W7"/>
    <mergeCell ref="X7:Y7"/>
    <mergeCell ref="AH7:AI7"/>
    <mergeCell ref="AJ7:AK7"/>
    <mergeCell ref="AL7:AM7"/>
    <mergeCell ref="AN7:AO7"/>
    <mergeCell ref="AP7:AQ7"/>
  </mergeCells>
  <conditionalFormatting sqref="A9:A361">
    <cfRule type="duplicateValues" dxfId="75" priority="39"/>
  </conditionalFormatting>
  <dataValidations count="2">
    <dataValidation type="date" allowBlank="1" showInputMessage="1" showErrorMessage="1" sqref="D9">
      <formula1>43497</formula1>
      <formula2>43830</formula2>
    </dataValidation>
    <dataValidation type="list" allowBlank="1" showInputMessage="1" sqref="AE8">
      <formula1>"KHAMISSA HDIMANE,DAOUD ISSKELA,RACHID NAAIMI ,FATIMA EZZAHRA JAIZI,NAJAT SAOUD,MOHAMED ESSAID,Med EGHIZ,HALIMA OUIJANE,FATIMA EZZAHRA AIT AHMED,ZINEB ELKHOUDARI,"</formula1>
    </dataValidation>
  </dataValidations>
  <pageMargins left="0.7" right="0.7" top="0.75" bottom="0.75" header="0.3" footer="0.3"/>
  <pageSetup paperSize="9" orientation="portrait" verticalDpi="0" r:id="rId1"/>
  <ignoredErrors>
    <ignoredError sqref="U3:U5 S3:S5 Y3:Y5" evalError="1"/>
    <ignoredError sqref="X1 Z1 E1 F1:F3 G1:G2 H1:H4 J1:J3 I1 K1 L1:L3 N1:N3 M1 P1:P3 Q1 O1 R1:R3 T1:T3 V1:V3 X2:X3 Z2:Z3" formula="1"/>
    <ignoredError sqref="U1 S1 Y1" evalError="1" formula="1"/>
  </ignoredError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51" operator="greaterThan" id="{B8ACC13E-C1C3-4466-8578-40AEB8DFF7B7}">
            <xm:f>'Calendrier fiscal'!$D$9</xm:f>
            <x14:dxf>
              <fill>
                <patternFill>
                  <bgColor rgb="FFFF0000"/>
                </patternFill>
              </fill>
            </x14:dxf>
          </x14:cfRule>
          <xm:sqref>F9:F311</xm:sqref>
        </x14:conditionalFormatting>
        <x14:conditionalFormatting xmlns:xm="http://schemas.microsoft.com/office/excel/2006/main">
          <x14:cfRule type="cellIs" priority="50" operator="greaterThan" id="{26463D93-B5E3-4ED1-9DA7-61FE674AB47A}">
            <xm:f>'Calendrier fiscal'!$D$8</xm:f>
            <x14:dxf>
              <fill>
                <patternFill>
                  <bgColor rgb="FFFF0000"/>
                </patternFill>
              </fill>
            </x14:dxf>
          </x14:cfRule>
          <xm:sqref>D9:D311</xm:sqref>
        </x14:conditionalFormatting>
        <x14:conditionalFormatting xmlns:xm="http://schemas.microsoft.com/office/excel/2006/main">
          <x14:cfRule type="cellIs" priority="49" operator="greaterThan" id="{82F372CE-3D88-441C-8085-4D436EDFD29D}">
            <xm:f>'Calendrier fiscal'!$D$10</xm:f>
            <x14:dxf>
              <fill>
                <patternFill>
                  <bgColor rgb="FFFF0000"/>
                </patternFill>
              </fill>
            </x14:dxf>
          </x14:cfRule>
          <xm:sqref>H9:H311</xm:sqref>
        </x14:conditionalFormatting>
        <x14:conditionalFormatting xmlns:xm="http://schemas.microsoft.com/office/excel/2006/main">
          <x14:cfRule type="cellIs" priority="48" operator="greaterThan" id="{FD2E8ECF-0419-4E4B-ADDF-5D62325D051C}">
            <xm:f>'Calendrier fiscal'!$D$11</xm:f>
            <x14:dxf>
              <font>
                <color auto="1"/>
              </font>
              <fill>
                <patternFill>
                  <bgColor rgb="FFFF0000"/>
                </patternFill>
              </fill>
            </x14:dxf>
          </x14:cfRule>
          <xm:sqref>J9:J44 J54:J311</xm:sqref>
        </x14:conditionalFormatting>
        <x14:conditionalFormatting xmlns:xm="http://schemas.microsoft.com/office/excel/2006/main">
          <x14:cfRule type="cellIs" priority="47" operator="greaterThan" id="{DB64D25D-B72E-43DC-9137-1EE32D4BF3AB}">
            <xm:f>'Calendrier fiscal'!$D$13</xm:f>
            <x14:dxf>
              <fill>
                <patternFill>
                  <bgColor rgb="FFFF0000"/>
                </patternFill>
              </fill>
            </x14:dxf>
          </x14:cfRule>
          <xm:sqref>N9:N79 N82:N311</xm:sqref>
        </x14:conditionalFormatting>
        <x14:conditionalFormatting xmlns:xm="http://schemas.microsoft.com/office/excel/2006/main">
          <x14:cfRule type="cellIs" priority="46" operator="greaterThan" id="{E0BBA762-BC5C-47F5-A8CB-84429CA96182}">
            <xm:f>'Calendrier fiscal'!$D$12</xm:f>
            <x14:dxf>
              <fill>
                <patternFill>
                  <bgColor rgb="FFFF0000"/>
                </patternFill>
              </fill>
            </x14:dxf>
          </x14:cfRule>
          <xm:sqref>L9:L43 L60:L79 L82:L311</xm:sqref>
        </x14:conditionalFormatting>
        <x14:conditionalFormatting xmlns:xm="http://schemas.microsoft.com/office/excel/2006/main">
          <x14:cfRule type="cellIs" priority="45" operator="greaterThan" id="{B6890263-639B-4A8B-8746-EAEA353E35A6}">
            <xm:f>'Calendrier fiscal'!$D$14</xm:f>
            <x14:dxf>
              <font>
                <color auto="1"/>
              </font>
              <fill>
                <patternFill>
                  <bgColor rgb="FFFF0000"/>
                </patternFill>
              </fill>
            </x14:dxf>
          </x14:cfRule>
          <xm:sqref>P9:P43 P71:P79 P82:P311</xm:sqref>
        </x14:conditionalFormatting>
        <x14:conditionalFormatting xmlns:xm="http://schemas.microsoft.com/office/excel/2006/main">
          <x14:cfRule type="cellIs" priority="44" operator="greaterThan" id="{63F0DFB0-FFDC-4F68-9831-335FC4DB4E67}">
            <xm:f>'Calendrier fiscal'!$D$15</xm:f>
            <x14:dxf>
              <fill>
                <patternFill>
                  <bgColor rgb="FFFF0000"/>
                </patternFill>
              </fill>
            </x14:dxf>
          </x14:cfRule>
          <xm:sqref>R9:R47 R49:R79 R81:R311</xm:sqref>
        </x14:conditionalFormatting>
        <x14:conditionalFormatting xmlns:xm="http://schemas.microsoft.com/office/excel/2006/main">
          <x14:cfRule type="cellIs" priority="43" operator="greaterThan" id="{B57E1807-4728-4159-917E-FE02EB54A93E}">
            <xm:f>'Calendrier fiscal'!$D$16</xm:f>
            <x14:dxf>
              <fill>
                <patternFill>
                  <bgColor rgb="FFFF0000"/>
                </patternFill>
              </fill>
            </x14:dxf>
          </x14:cfRule>
          <xm:sqref>T9:T45 T58 T67:T311</xm:sqref>
        </x14:conditionalFormatting>
        <x14:conditionalFormatting xmlns:xm="http://schemas.microsoft.com/office/excel/2006/main">
          <x14:cfRule type="cellIs" priority="42" operator="greaterThan" id="{8A3F8275-D673-42A0-8D48-678712666361}">
            <xm:f>'Calendrier fiscal'!$B$17</xm:f>
            <x14:dxf>
              <fill>
                <patternFill>
                  <bgColor rgb="FFFF0000"/>
                </patternFill>
              </fill>
            </x14:dxf>
          </x14:cfRule>
          <xm:sqref>V9:V30 V94:V311</xm:sqref>
        </x14:conditionalFormatting>
        <x14:conditionalFormatting xmlns:xm="http://schemas.microsoft.com/office/excel/2006/main">
          <x14:cfRule type="cellIs" priority="41" operator="greaterThan" id="{29C9C10A-6475-46CA-BC1E-04E265545B3A}">
            <xm:f>'Calendrier fiscal'!$D$18</xm:f>
            <x14:dxf>
              <fill>
                <patternFill>
                  <bgColor rgb="FFFF0000"/>
                </patternFill>
              </fill>
            </x14:dxf>
          </x14:cfRule>
          <xm:sqref>X9:X24 X94:X311</xm:sqref>
        </x14:conditionalFormatting>
        <x14:conditionalFormatting xmlns:xm="http://schemas.microsoft.com/office/excel/2006/main">
          <x14:cfRule type="cellIs" priority="40" operator="greaterThan" id="{4EA42A9A-845A-4049-BE74-8C7CF0B47F3F}">
            <xm:f>'Calendrier fiscal'!$D$19</xm:f>
            <x14:dxf>
              <fill>
                <patternFill>
                  <bgColor rgb="FFFF0000"/>
                </patternFill>
              </fill>
            </x14:dxf>
          </x14:cfRule>
          <xm:sqref>Z9:Z311</xm:sqref>
        </x14:conditionalFormatting>
        <x14:conditionalFormatting xmlns:xm="http://schemas.microsoft.com/office/excel/2006/main">
          <x14:cfRule type="cellIs" priority="34" operator="greaterThan" id="{73818F87-2B05-4D46-96D3-DCB5A57A65EA}">
            <xm:f>'Calendrier fiscal'!$D$14</xm:f>
            <x14:dxf>
              <font>
                <color auto="1"/>
              </font>
              <fill>
                <patternFill>
                  <bgColor rgb="FFFF0000"/>
                </patternFill>
              </fill>
            </x14:dxf>
          </x14:cfRule>
          <xm:sqref>P53</xm:sqref>
        </x14:conditionalFormatting>
        <x14:conditionalFormatting xmlns:xm="http://schemas.microsoft.com/office/excel/2006/main">
          <x14:cfRule type="cellIs" priority="33" operator="greaterThan" id="{81D32D1A-354B-4C85-89A2-426EFCD259CD}">
            <xm:f>'Calendrier fiscal'!$D$14</xm:f>
            <x14:dxf>
              <font>
                <color auto="1"/>
              </font>
              <fill>
                <patternFill>
                  <bgColor rgb="FFFF0000"/>
                </patternFill>
              </fill>
            </x14:dxf>
          </x14:cfRule>
          <xm:sqref>J45:J56</xm:sqref>
        </x14:conditionalFormatting>
        <x14:conditionalFormatting xmlns:xm="http://schemas.microsoft.com/office/excel/2006/main">
          <x14:cfRule type="cellIs" priority="32" operator="greaterThan" id="{9453F582-97AA-41E9-8681-1F27067584BD}">
            <xm:f>'Calendrier fiscal'!$D$14</xm:f>
            <x14:dxf>
              <font>
                <color auto="1"/>
              </font>
              <fill>
                <patternFill>
                  <bgColor rgb="FFFF0000"/>
                </patternFill>
              </fill>
            </x14:dxf>
          </x14:cfRule>
          <xm:sqref>L44:L51</xm:sqref>
        </x14:conditionalFormatting>
        <x14:conditionalFormatting xmlns:xm="http://schemas.microsoft.com/office/excel/2006/main">
          <x14:cfRule type="cellIs" priority="31" operator="greaterThan" id="{8E313658-3770-4970-BF31-09F1C972C199}">
            <xm:f>'Calendrier fiscal'!$D$14</xm:f>
            <x14:dxf>
              <font>
                <color auto="1"/>
              </font>
              <fill>
                <patternFill>
                  <bgColor rgb="FFFF0000"/>
                </patternFill>
              </fill>
            </x14:dxf>
          </x14:cfRule>
          <xm:sqref>P44:P52</xm:sqref>
        </x14:conditionalFormatting>
        <x14:conditionalFormatting xmlns:xm="http://schemas.microsoft.com/office/excel/2006/main">
          <x14:cfRule type="cellIs" priority="30" operator="greaterThan" id="{1A237FED-5F05-4DF6-A949-C046F06CE3D2}">
            <xm:f>'Calendrier fiscal'!$D$14</xm:f>
            <x14:dxf>
              <font>
                <color auto="1"/>
              </font>
              <fill>
                <patternFill>
                  <bgColor rgb="FFFF0000"/>
                </patternFill>
              </fill>
            </x14:dxf>
          </x14:cfRule>
          <xm:sqref>R48</xm:sqref>
        </x14:conditionalFormatting>
        <x14:conditionalFormatting xmlns:xm="http://schemas.microsoft.com/office/excel/2006/main">
          <x14:cfRule type="cellIs" priority="29" operator="greaterThan" id="{6191EAAC-0F8E-4BF0-BA56-D445A271927E}">
            <xm:f>'Calendrier fiscal'!$D$14</xm:f>
            <x14:dxf>
              <font>
                <color auto="1"/>
              </font>
              <fill>
                <patternFill>
                  <bgColor rgb="FFFF0000"/>
                </patternFill>
              </fill>
            </x14:dxf>
          </x14:cfRule>
          <xm:sqref>L52:L64</xm:sqref>
        </x14:conditionalFormatting>
        <x14:conditionalFormatting xmlns:xm="http://schemas.microsoft.com/office/excel/2006/main">
          <x14:cfRule type="cellIs" priority="28" operator="greaterThan" id="{4F2A7433-A770-4FC6-92B5-7B8BDFFB4A48}">
            <xm:f>'Calendrier fiscal'!$D$14</xm:f>
            <x14:dxf>
              <font>
                <color auto="1"/>
              </font>
              <fill>
                <patternFill>
                  <bgColor rgb="FFFF0000"/>
                </patternFill>
              </fill>
            </x14:dxf>
          </x14:cfRule>
          <xm:sqref>P54:P55</xm:sqref>
        </x14:conditionalFormatting>
        <x14:conditionalFormatting xmlns:xm="http://schemas.microsoft.com/office/excel/2006/main">
          <x14:cfRule type="cellIs" priority="27" operator="greaterThan" id="{B7DCA15E-3D1A-41AA-8631-B628A10AC60E}">
            <xm:f>'Calendrier fiscal'!$D$14</xm:f>
            <x14:dxf>
              <font>
                <color auto="1"/>
              </font>
              <fill>
                <patternFill>
                  <bgColor rgb="FFFF0000"/>
                </patternFill>
              </fill>
            </x14:dxf>
          </x14:cfRule>
          <xm:sqref>J58:J66</xm:sqref>
        </x14:conditionalFormatting>
        <x14:conditionalFormatting xmlns:xm="http://schemas.microsoft.com/office/excel/2006/main">
          <x14:cfRule type="cellIs" priority="26" operator="greaterThan" id="{088890FB-F972-4ADA-9126-1E629ABDA13A}">
            <xm:f>'Calendrier fiscal'!$D$14</xm:f>
            <x14:dxf>
              <font>
                <color auto="1"/>
              </font>
              <fill>
                <patternFill>
                  <bgColor rgb="FFFF0000"/>
                </patternFill>
              </fill>
            </x14:dxf>
          </x14:cfRule>
          <xm:sqref>P56:P59</xm:sqref>
        </x14:conditionalFormatting>
        <x14:conditionalFormatting xmlns:xm="http://schemas.microsoft.com/office/excel/2006/main">
          <x14:cfRule type="cellIs" priority="25" operator="greaterThan" id="{777F8941-D8CF-4A8A-8ACB-6FFB226427EE}">
            <xm:f>'Calendrier fiscal'!$D$14</xm:f>
            <x14:dxf>
              <font>
                <color auto="1"/>
              </font>
              <fill>
                <patternFill>
                  <bgColor rgb="FFFF0000"/>
                </patternFill>
              </fill>
            </x14:dxf>
          </x14:cfRule>
          <xm:sqref>P60:P63</xm:sqref>
        </x14:conditionalFormatting>
        <x14:conditionalFormatting xmlns:xm="http://schemas.microsoft.com/office/excel/2006/main">
          <x14:cfRule type="cellIs" priority="24" operator="greaterThan" id="{B0A359C6-6F01-486F-B2F2-3CBF10235FA2}">
            <xm:f>'Calendrier fiscal'!$D$14</xm:f>
            <x14:dxf>
              <font>
                <color auto="1"/>
              </font>
              <fill>
                <patternFill>
                  <bgColor rgb="FFFF0000"/>
                </patternFill>
              </fill>
            </x14:dxf>
          </x14:cfRule>
          <xm:sqref>L66:L67</xm:sqref>
        </x14:conditionalFormatting>
        <x14:conditionalFormatting xmlns:xm="http://schemas.microsoft.com/office/excel/2006/main">
          <x14:cfRule type="cellIs" priority="23" operator="greaterThan" id="{F1AF8F51-DA6A-4F7C-8D40-AF9329D4A9FF}">
            <xm:f>'Calendrier fiscal'!$D$14</xm:f>
            <x14:dxf>
              <font>
                <color auto="1"/>
              </font>
              <fill>
                <patternFill>
                  <bgColor rgb="FFFF0000"/>
                </patternFill>
              </fill>
            </x14:dxf>
          </x14:cfRule>
          <xm:sqref>P64:P70</xm:sqref>
        </x14:conditionalFormatting>
        <x14:conditionalFormatting xmlns:xm="http://schemas.microsoft.com/office/excel/2006/main">
          <x14:cfRule type="cellIs" priority="22" operator="greaterThan" id="{BD3358DE-D4AE-43AB-B1D3-DAF2B044D0A9}">
            <xm:f>'Calendrier fiscal'!$D$14</xm:f>
            <x14:dxf>
              <font>
                <color auto="1"/>
              </font>
              <fill>
                <patternFill>
                  <bgColor rgb="FFFF0000"/>
                </patternFill>
              </fill>
            </x14:dxf>
          </x14:cfRule>
          <xm:sqref>T52:T63</xm:sqref>
        </x14:conditionalFormatting>
        <x14:conditionalFormatting xmlns:xm="http://schemas.microsoft.com/office/excel/2006/main">
          <x14:cfRule type="cellIs" priority="21" operator="greaterThan" id="{708D608F-42E0-43FB-8FAD-70EED0E05BA4}">
            <xm:f>'Calendrier fiscal'!$D$14</xm:f>
            <x14:dxf>
              <font>
                <color auto="1"/>
              </font>
              <fill>
                <patternFill>
                  <bgColor rgb="FFFF0000"/>
                </patternFill>
              </fill>
            </x14:dxf>
          </x14:cfRule>
          <xm:sqref>T59:T66</xm:sqref>
        </x14:conditionalFormatting>
        <x14:conditionalFormatting xmlns:xm="http://schemas.microsoft.com/office/excel/2006/main">
          <x14:cfRule type="cellIs" priority="20" operator="greaterThan" id="{13D6E11A-32F9-4A1A-A5B7-8262FDF8D4B2}">
            <xm:f>'Calendrier fiscal'!$D$14</xm:f>
            <x14:dxf>
              <font>
                <color auto="1"/>
              </font>
              <fill>
                <patternFill>
                  <bgColor rgb="FFFF0000"/>
                </patternFill>
              </fill>
            </x14:dxf>
          </x14:cfRule>
          <xm:sqref>T46:T51</xm:sqref>
        </x14:conditionalFormatting>
        <x14:conditionalFormatting xmlns:xm="http://schemas.microsoft.com/office/excel/2006/main">
          <x14:cfRule type="cellIs" priority="19" operator="greaterThan" id="{AC2C8B45-A27F-4989-8D82-C1AA1243E34A}">
            <xm:f>'Calendrier fiscal'!$D$15</xm:f>
            <x14:dxf>
              <fill>
                <patternFill>
                  <bgColor rgb="FFFF0000"/>
                </patternFill>
              </fill>
            </x14:dxf>
          </x14:cfRule>
          <xm:sqref>P81</xm:sqref>
        </x14:conditionalFormatting>
        <x14:conditionalFormatting xmlns:xm="http://schemas.microsoft.com/office/excel/2006/main">
          <x14:cfRule type="cellIs" priority="17" operator="greaterThan" id="{F61B6C32-BFDF-4CF2-8A7D-87033B30F0F7}">
            <xm:f>'Calendrier fiscal'!$D$15</xm:f>
            <x14:dxf>
              <fill>
                <patternFill>
                  <bgColor rgb="FFFF0000"/>
                </patternFill>
              </fill>
            </x14:dxf>
          </x14:cfRule>
          <xm:sqref>R80</xm:sqref>
        </x14:conditionalFormatting>
        <x14:conditionalFormatting xmlns:xm="http://schemas.microsoft.com/office/excel/2006/main">
          <x14:cfRule type="cellIs" priority="16" operator="greaterThan" id="{49378A41-8AB9-42F1-9595-0F38FDA6D18E}">
            <xm:f>'Calendrier fiscal'!$D$15</xm:f>
            <x14:dxf>
              <fill>
                <patternFill>
                  <bgColor rgb="FFFF0000"/>
                </patternFill>
              </fill>
            </x14:dxf>
          </x14:cfRule>
          <xm:sqref>N81</xm:sqref>
        </x14:conditionalFormatting>
        <x14:conditionalFormatting xmlns:xm="http://schemas.microsoft.com/office/excel/2006/main">
          <x14:cfRule type="cellIs" priority="15" operator="greaterThan" id="{54896854-5ECF-4A5B-AA3D-19629EF4E362}">
            <xm:f>'Calendrier fiscal'!$D$15</xm:f>
            <x14:dxf>
              <fill>
                <patternFill>
                  <bgColor rgb="FFFF0000"/>
                </patternFill>
              </fill>
            </x14:dxf>
          </x14:cfRule>
          <xm:sqref>N80</xm:sqref>
        </x14:conditionalFormatting>
        <x14:conditionalFormatting xmlns:xm="http://schemas.microsoft.com/office/excel/2006/main">
          <x14:cfRule type="cellIs" priority="14" operator="greaterThan" id="{ECCA4F03-FB82-4086-8E64-BDF425F30DCC}">
            <xm:f>'Calendrier fiscal'!$D$15</xm:f>
            <x14:dxf>
              <fill>
                <patternFill>
                  <bgColor rgb="FFFF0000"/>
                </patternFill>
              </fill>
            </x14:dxf>
          </x14:cfRule>
          <xm:sqref>L80</xm:sqref>
        </x14:conditionalFormatting>
        <x14:conditionalFormatting xmlns:xm="http://schemas.microsoft.com/office/excel/2006/main">
          <x14:cfRule type="cellIs" priority="13" operator="greaterThan" id="{54138C54-1406-4515-9476-0094B526D84F}">
            <xm:f>'Calendrier fiscal'!$D$15</xm:f>
            <x14:dxf>
              <fill>
                <patternFill>
                  <bgColor rgb="FFFF0000"/>
                </patternFill>
              </fill>
            </x14:dxf>
          </x14:cfRule>
          <xm:sqref>P80</xm:sqref>
        </x14:conditionalFormatting>
        <x14:conditionalFormatting xmlns:xm="http://schemas.microsoft.com/office/excel/2006/main">
          <x14:cfRule type="cellIs" priority="12" operator="greaterThan" id="{E83D35FD-C474-4D0C-A7D7-D620325B92E6}">
            <xm:f>'Calendrier fiscal'!$D$15</xm:f>
            <x14:dxf>
              <fill>
                <patternFill>
                  <bgColor rgb="FFFF0000"/>
                </patternFill>
              </fill>
            </x14:dxf>
          </x14:cfRule>
          <xm:sqref>L81</xm:sqref>
        </x14:conditionalFormatting>
        <x14:conditionalFormatting xmlns:xm="http://schemas.microsoft.com/office/excel/2006/main">
          <x14:cfRule type="cellIs" priority="2" operator="greaterThan" id="{1995B7BA-8C6D-4E8B-A24E-FEC7D6A9BBA5}">
            <xm:f>'Calendrier fiscal'!$B$17</xm:f>
            <x14:dxf>
              <fill>
                <patternFill>
                  <bgColor rgb="FFFF0000"/>
                </patternFill>
              </fill>
            </x14:dxf>
          </x14:cfRule>
          <xm:sqref>V31:V93</xm:sqref>
        </x14:conditionalFormatting>
        <x14:conditionalFormatting xmlns:xm="http://schemas.microsoft.com/office/excel/2006/main">
          <x14:cfRule type="cellIs" priority="1" operator="greaterThan" id="{56F3578F-209D-43F8-90E1-E74C87432AFA}">
            <xm:f>'Calendrier fiscal'!$D$16</xm:f>
            <x14:dxf>
              <fill>
                <patternFill>
                  <bgColor rgb="FFFF0000"/>
                </patternFill>
              </fill>
            </x14:dxf>
          </x14:cfRule>
          <xm:sqref>X25:X93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tabColor theme="5"/>
  </sheetPr>
  <dimension ref="A1:M318"/>
  <sheetViews>
    <sheetView showGridLines="0" showRowColHeaders="0" topLeftCell="A4" zoomScale="90" zoomScaleNormal="90" workbookViewId="0">
      <selection activeCell="D38" sqref="D38"/>
    </sheetView>
  </sheetViews>
  <sheetFormatPr baseColWidth="10" defaultColWidth="11.42578125" defaultRowHeight="15" x14ac:dyDescent="0.25"/>
  <cols>
    <col min="1" max="1" width="11.42578125" style="55"/>
    <col min="2" max="2" width="24.140625" style="55" bestFit="1" customWidth="1"/>
    <col min="3" max="3" width="26.28515625" style="55" customWidth="1"/>
    <col min="4" max="4" width="19.28515625" style="55" customWidth="1"/>
    <col min="5" max="5" width="19.7109375" style="55" customWidth="1"/>
    <col min="6" max="7" width="7" style="55" customWidth="1"/>
    <col min="8" max="8" width="14.5703125" style="55" customWidth="1"/>
    <col min="9" max="9" width="15.140625" style="55" customWidth="1"/>
    <col min="10" max="10" width="13.85546875" style="55" customWidth="1"/>
    <col min="11" max="16384" width="11.42578125" style="55"/>
  </cols>
  <sheetData>
    <row r="1" spans="1:13" s="147" customFormat="1" ht="21" customHeight="1" x14ac:dyDescent="0.25">
      <c r="E1" s="54">
        <v>70</v>
      </c>
      <c r="F1" s="54">
        <f>COUNTA(D6:D318)</f>
        <v>29</v>
      </c>
      <c r="G1" s="54"/>
    </row>
    <row r="2" spans="1:13" s="147" customFormat="1" ht="20.25" customHeight="1" x14ac:dyDescent="0.25">
      <c r="E2" s="54">
        <v>20</v>
      </c>
      <c r="F2" s="54">
        <f>COUNTIF(D6:D318,"&lt;="&amp;'Calendrier fiscal'!B36)</f>
        <v>29</v>
      </c>
      <c r="G2" s="54">
        <f>COUNTIF(D6:D318,"&lt;="&amp;'Calendrier fiscal'!B35)</f>
        <v>29</v>
      </c>
    </row>
    <row r="3" spans="1:13" s="147" customFormat="1" ht="21.75" customHeight="1" x14ac:dyDescent="0.25">
      <c r="E3" s="54">
        <v>10</v>
      </c>
      <c r="F3" s="72">
        <f>F2/F1</f>
        <v>1</v>
      </c>
      <c r="G3" s="72">
        <f>G2/F1</f>
        <v>1</v>
      </c>
    </row>
    <row r="4" spans="1:13" s="147" customFormat="1" ht="21" customHeight="1" thickBot="1" x14ac:dyDescent="0.3">
      <c r="D4" s="178"/>
      <c r="E4" s="76">
        <f>SUM(E1:E3)</f>
        <v>100</v>
      </c>
      <c r="F4" s="72">
        <f>F3</f>
        <v>1</v>
      </c>
      <c r="G4" s="72"/>
    </row>
    <row r="5" spans="1:13" ht="30.75" thickBot="1" x14ac:dyDescent="0.3">
      <c r="A5" s="52" t="s">
        <v>478</v>
      </c>
      <c r="B5" s="52" t="s">
        <v>479</v>
      </c>
      <c r="C5" s="52" t="s">
        <v>480</v>
      </c>
      <c r="D5" s="53" t="s">
        <v>482</v>
      </c>
      <c r="E5" s="53" t="s">
        <v>483</v>
      </c>
      <c r="F5" s="72">
        <v>0.02</v>
      </c>
      <c r="G5" s="148"/>
      <c r="I5" s="135" t="s">
        <v>617</v>
      </c>
      <c r="J5" s="134" t="s">
        <v>531</v>
      </c>
    </row>
    <row r="6" spans="1:13" x14ac:dyDescent="0.25">
      <c r="A6" s="444">
        <v>342</v>
      </c>
      <c r="B6" s="40" t="str">
        <f>IF(A6&lt;&gt;"",INDEX('Base de données'!A$4:L$990,MATCH(A6,'Base de données'!A$4:A$990,0),2),"")</f>
        <v xml:space="preserve">HIMICHE CAR </v>
      </c>
      <c r="C6" s="40" t="str">
        <f>IF(A6&lt;&gt;"",INDEX('Base de données'!A$4:L$990,MATCH(A6,'Base de données'!A$4:A$990,0),12),"")</f>
        <v>NAJAT SAOUD</v>
      </c>
      <c r="D6" s="537">
        <v>44214</v>
      </c>
      <c r="E6" s="444" t="s">
        <v>1461</v>
      </c>
      <c r="F6" s="72">
        <f>F7-SUM(F4:F5)</f>
        <v>0</v>
      </c>
      <c r="G6" s="148"/>
    </row>
    <row r="7" spans="1:13" x14ac:dyDescent="0.25">
      <c r="A7" s="444">
        <v>107</v>
      </c>
      <c r="B7" s="40" t="str">
        <f>IF(A7&lt;&gt;"",INDEX('Base de données'!A$4:L$990,MATCH(A7,'Base de données'!A$4:A$990,0),2),"")</f>
        <v xml:space="preserve">R BACK </v>
      </c>
      <c r="C7" s="40" t="str">
        <f>IF(A7&lt;&gt;"",INDEX('Base de données'!A$4:L$990,MATCH(A7,'Base de données'!A$4:A$990,0),12),"")</f>
        <v>NAJAT SAOUD</v>
      </c>
      <c r="D7" s="537">
        <v>44214</v>
      </c>
      <c r="E7" s="444" t="s">
        <v>1462</v>
      </c>
      <c r="F7" s="72">
        <f>1.02</f>
        <v>1.02</v>
      </c>
      <c r="G7" s="148"/>
      <c r="H7" s="139" t="s">
        <v>605</v>
      </c>
      <c r="I7" s="140" t="s">
        <v>610</v>
      </c>
      <c r="J7" s="139" t="s">
        <v>611</v>
      </c>
      <c r="K7" s="139" t="s">
        <v>609</v>
      </c>
      <c r="L7" s="139" t="s">
        <v>621</v>
      </c>
      <c r="M7" s="344" t="s">
        <v>639</v>
      </c>
    </row>
    <row r="8" spans="1:13" x14ac:dyDescent="0.25">
      <c r="A8" s="444">
        <v>35</v>
      </c>
      <c r="B8" s="40" t="str">
        <f>IF(A8&lt;&gt;"",INDEX('Base de données'!A$4:L$990,MATCH(A8,'Base de données'!A$4:A$990,0),2),"")</f>
        <v xml:space="preserve">ATLAS OUKAIMDEN CONS </v>
      </c>
      <c r="C8" s="40" t="str">
        <f>IF(A8&lt;&gt;"",INDEX('Base de données'!A$4:L$990,MATCH(A8,'Base de données'!A$4:A$990,0),12),"")</f>
        <v>NAJAT SAOUD</v>
      </c>
      <c r="D8" s="537">
        <v>44214</v>
      </c>
      <c r="E8" s="444" t="s">
        <v>1463</v>
      </c>
      <c r="F8" s="147"/>
      <c r="G8" s="147"/>
      <c r="H8" s="136">
        <f>COUNTIFS(C6:C318,J5,D6:D318,"&lt;&gt;"&amp;"")</f>
        <v>0</v>
      </c>
      <c r="I8" s="136">
        <f>COUNTIFS(C6:C318,J5,D6:D318,"&lt;="&amp;'Calendrier fiscal'!B36)</f>
        <v>0</v>
      </c>
      <c r="J8" s="136">
        <f>COUNTIFS(C6:C318,K5,D6:D318,"&lt;="&amp;'Calendrier fiscal'!B35)</f>
        <v>0</v>
      </c>
      <c r="K8" s="136">
        <f>H8-J8</f>
        <v>0</v>
      </c>
      <c r="L8" s="138" t="str">
        <f>IF(H8=0,"",I8/H8)</f>
        <v/>
      </c>
      <c r="M8" s="138" t="str">
        <f>IF(H8&lt;&gt;0,J8/H8,"")</f>
        <v/>
      </c>
    </row>
    <row r="9" spans="1:13" x14ac:dyDescent="0.25">
      <c r="A9" s="444">
        <v>55</v>
      </c>
      <c r="B9" s="40" t="str">
        <f>IF(A9&lt;&gt;"",INDEX('Base de données'!A$4:L$990,MATCH(A9,'Base de données'!A$4:A$990,0),2),"")</f>
        <v>MILANOMAR</v>
      </c>
      <c r="C9" s="40" t="str">
        <f>IF(A9&lt;&gt;"",INDEX('Base de données'!A$4:L$990,MATCH(A9,'Base de données'!A$4:A$990,0),12),"")</f>
        <v>NAJAT SAOUD</v>
      </c>
      <c r="D9" s="537">
        <v>44214</v>
      </c>
      <c r="E9" s="444" t="s">
        <v>1464</v>
      </c>
    </row>
    <row r="10" spans="1:13" x14ac:dyDescent="0.25">
      <c r="A10" s="444">
        <v>293</v>
      </c>
      <c r="B10" s="40" t="str">
        <f>IF(A10&lt;&gt;"",INDEX('Base de données'!A$4:L$990,MATCH(A10,'Base de données'!A$4:A$990,0),2),"")</f>
        <v xml:space="preserve">TRAM WORK </v>
      </c>
      <c r="C10" s="40" t="str">
        <f>IF(A10&lt;&gt;"",INDEX('Base de données'!A$4:L$990,MATCH(A10,'Base de données'!A$4:A$990,0),12),"")</f>
        <v>NAJAT SAOUD</v>
      </c>
      <c r="D10" s="537">
        <v>44229</v>
      </c>
      <c r="E10" s="444" t="s">
        <v>1465</v>
      </c>
    </row>
    <row r="11" spans="1:13" x14ac:dyDescent="0.25">
      <c r="A11" s="444">
        <v>307</v>
      </c>
      <c r="B11" s="40" t="str">
        <f>IF(A11&lt;&gt;"",INDEX('Base de données'!A$4:L$990,MATCH(A11,'Base de données'!A$4:A$990,0),2),"")</f>
        <v>MOSAB ALI TRANS</v>
      </c>
      <c r="C11" s="40" t="str">
        <f>IF(A11&lt;&gt;"",INDEX('Base de données'!A$4:L$990,MATCH(A11,'Base de données'!A$4:A$990,0),12),"")</f>
        <v>NAJAT SAOUD</v>
      </c>
      <c r="D11" s="537">
        <v>44229</v>
      </c>
      <c r="E11" s="444" t="s">
        <v>1466</v>
      </c>
    </row>
    <row r="12" spans="1:13" x14ac:dyDescent="0.25">
      <c r="A12" s="444">
        <v>379</v>
      </c>
      <c r="B12" s="40" t="str">
        <f>IF(A12&lt;&gt;"",INDEX('Base de données'!A$4:L$990,MATCH(A12,'Base de données'!A$4:A$990,0),2),"")</f>
        <v>YAPI RENT CAR</v>
      </c>
      <c r="C12" s="40" t="str">
        <f>IF(A12&lt;&gt;"",INDEX('Base de données'!A$4:L$990,MATCH(A12,'Base de données'!A$4:A$990,0),12),"")</f>
        <v>NAJAT SAOUD</v>
      </c>
      <c r="D12" s="537">
        <v>44229</v>
      </c>
      <c r="E12" s="444" t="s">
        <v>1467</v>
      </c>
    </row>
    <row r="13" spans="1:13" x14ac:dyDescent="0.25">
      <c r="A13" s="444">
        <v>377</v>
      </c>
      <c r="B13" s="40" t="str">
        <f>IF(A13&lt;&gt;"",INDEX('Base de données'!A$4:L$990,MATCH(A13,'Base de données'!A$4:A$990,0),2),"")</f>
        <v>YOUNCE CAR</v>
      </c>
      <c r="C13" s="40" t="str">
        <f>IF(A13&lt;&gt;"",INDEX('Base de données'!A$4:L$990,MATCH(A13,'Base de données'!A$4:A$990,0),12),"")</f>
        <v>NAJAT SAOUD</v>
      </c>
      <c r="D13" s="537">
        <v>44229</v>
      </c>
      <c r="E13" s="444" t="s">
        <v>1468</v>
      </c>
    </row>
    <row r="14" spans="1:13" x14ac:dyDescent="0.25">
      <c r="A14" s="444">
        <v>400</v>
      </c>
      <c r="B14" s="40" t="str">
        <f>IF(A14&lt;&gt;"",INDEX('Base de données'!A$4:L$990,MATCH(A14,'Base de données'!A$4:A$990,0),2),"")</f>
        <v xml:space="preserve">LAHLIB TOUR </v>
      </c>
      <c r="C14" s="40" t="str">
        <f>IF(A14&lt;&gt;"",INDEX('Base de données'!A$4:L$990,MATCH(A14,'Base de données'!A$4:A$990,0),12),"")</f>
        <v>NAJAT SAOUD</v>
      </c>
      <c r="D14" s="537">
        <v>44229</v>
      </c>
      <c r="E14" s="444" t="s">
        <v>1469</v>
      </c>
    </row>
    <row r="15" spans="1:13" x14ac:dyDescent="0.25">
      <c r="A15" s="444">
        <v>388</v>
      </c>
      <c r="B15" s="40" t="str">
        <f>IF(A15&lt;&gt;"",INDEX('Base de données'!A$4:L$990,MATCH(A15,'Base de données'!A$4:A$990,0),2),"")</f>
        <v>CR9 SERVICE</v>
      </c>
      <c r="C15" s="40" t="str">
        <f>IF(A15&lt;&gt;"",INDEX('Base de données'!A$4:L$990,MATCH(A15,'Base de données'!A$4:A$990,0),12),"")</f>
        <v>NAJAT SAOUD</v>
      </c>
      <c r="D15" s="537">
        <v>44229</v>
      </c>
      <c r="E15" s="444" t="s">
        <v>1470</v>
      </c>
    </row>
    <row r="16" spans="1:13" x14ac:dyDescent="0.25">
      <c r="A16" s="444">
        <v>412</v>
      </c>
      <c r="B16" s="40" t="str">
        <f>IF(A16&lt;&gt;"",INDEX('Base de données'!A$4:L$990,MATCH(A16,'Base de données'!A$4:A$990,0),2),"")</f>
        <v>RIAD PREMIUM</v>
      </c>
      <c r="C16" s="40" t="str">
        <f>IF(A16&lt;&gt;"",INDEX('Base de données'!A$4:L$990,MATCH(A16,'Base de données'!A$4:A$990,0),12),"")</f>
        <v>NAJAT SAOUD</v>
      </c>
      <c r="D16" s="537">
        <v>44229</v>
      </c>
      <c r="E16" s="444" t="s">
        <v>1471</v>
      </c>
    </row>
    <row r="17" spans="1:5" x14ac:dyDescent="0.25">
      <c r="A17" s="444">
        <v>410</v>
      </c>
      <c r="B17" s="40" t="str">
        <f>IF(A17&lt;&gt;"",INDEX('Base de données'!A$4:L$990,MATCH(A17,'Base de données'!A$4:A$990,0),2),"")</f>
        <v>MAISON PRIME ROSE</v>
      </c>
      <c r="C17" s="40" t="str">
        <f>IF(A17&lt;&gt;"",INDEX('Base de données'!A$4:L$990,MATCH(A17,'Base de données'!A$4:A$990,0),12),"")</f>
        <v>NAJAT SAOUD</v>
      </c>
      <c r="D17" s="537">
        <v>44229</v>
      </c>
      <c r="E17" s="444" t="s">
        <v>1472</v>
      </c>
    </row>
    <row r="18" spans="1:5" x14ac:dyDescent="0.25">
      <c r="A18" s="444">
        <v>201</v>
      </c>
      <c r="B18" s="40" t="str">
        <f>IF(A18&lt;&gt;"",INDEX('Base de données'!A$4:L$990,MATCH(A18,'Base de données'!A$4:A$990,0),2),"")</f>
        <v>MEDICALOGIC</v>
      </c>
      <c r="C18" s="40" t="str">
        <f>IF(A18&lt;&gt;"",INDEX('Base de données'!A$4:L$990,MATCH(A18,'Base de données'!A$4:A$990,0),12),"")</f>
        <v>NAJAT SAOUD</v>
      </c>
      <c r="D18" s="537">
        <v>44229</v>
      </c>
      <c r="E18" s="444" t="s">
        <v>1473</v>
      </c>
    </row>
    <row r="19" spans="1:5" x14ac:dyDescent="0.25">
      <c r="A19" s="621">
        <v>292</v>
      </c>
      <c r="B19" s="40" t="str">
        <f>IF(A19&lt;&gt;"",INDEX('Base de données'!A$4:L$990,MATCH(A19,'Base de données'!A$4:A$990,0),2),"")</f>
        <v>ABI LOGISTIC CARS</v>
      </c>
      <c r="C19" s="40" t="str">
        <f>IF(A19&lt;&gt;"",INDEX('Base de données'!A$4:L$990,MATCH(A19,'Base de données'!A$4:A$990,0),12),"")</f>
        <v>NAJAT SAOUD</v>
      </c>
      <c r="D19" s="537">
        <v>44229</v>
      </c>
      <c r="E19" s="444" t="s">
        <v>1474</v>
      </c>
    </row>
    <row r="20" spans="1:5" x14ac:dyDescent="0.25">
      <c r="A20" s="444">
        <v>99</v>
      </c>
      <c r="B20" s="40" t="str">
        <f>IF(A20&lt;&gt;"",INDEX('Base de données'!A$4:L$990,MATCH(A20,'Base de données'!A$4:A$990,0),2),"")</f>
        <v>FESTIMA</v>
      </c>
      <c r="C20" s="40" t="str">
        <f>IF(A20&lt;&gt;"",INDEX('Base de données'!A$4:L$990,MATCH(A20,'Base de données'!A$4:A$990,0),12),"")</f>
        <v>NAJAT SAOUD</v>
      </c>
      <c r="D20" s="537">
        <v>44230</v>
      </c>
      <c r="E20" s="444" t="s">
        <v>1475</v>
      </c>
    </row>
    <row r="21" spans="1:5" x14ac:dyDescent="0.25">
      <c r="A21" s="444">
        <v>6</v>
      </c>
      <c r="B21" s="40" t="str">
        <f>IF(A21&lt;&gt;"",INDEX('Base de données'!A$4:L$990,MATCH(A21,'Base de données'!A$4:A$990,0),2),"")</f>
        <v xml:space="preserve">IBTISSAM CAR </v>
      </c>
      <c r="C21" s="40" t="str">
        <f>IF(A21&lt;&gt;"",INDEX('Base de données'!A$4:L$990,MATCH(A21,'Base de données'!A$4:A$990,0),12),"")</f>
        <v>NAJAT SAOUD</v>
      </c>
      <c r="D21" s="537">
        <v>44230</v>
      </c>
      <c r="E21" s="444" t="s">
        <v>1476</v>
      </c>
    </row>
    <row r="22" spans="1:5" x14ac:dyDescent="0.25">
      <c r="A22" s="444">
        <v>224</v>
      </c>
      <c r="B22" s="40" t="str">
        <f>IF(A22&lt;&gt;"",INDEX('Base de données'!A$4:L$990,MATCH(A22,'Base de données'!A$4:A$990,0),2),"")</f>
        <v>JINANE CARS</v>
      </c>
      <c r="C22" s="40" t="str">
        <f>IF(A22&lt;&gt;"",INDEX('Base de données'!A$4:L$990,MATCH(A22,'Base de données'!A$4:A$990,0),12),"")</f>
        <v>NAJAT SAOUD</v>
      </c>
      <c r="D22" s="537">
        <v>44230</v>
      </c>
      <c r="E22" s="444" t="s">
        <v>1477</v>
      </c>
    </row>
    <row r="23" spans="1:5" x14ac:dyDescent="0.25">
      <c r="A23" s="444">
        <v>208</v>
      </c>
      <c r="B23" s="40" t="str">
        <f>IF(A23&lt;&gt;"",INDEX('Base de données'!A$4:L$990,MATCH(A23,'Base de données'!A$4:A$990,0),2),"")</f>
        <v xml:space="preserve">TOUFITRA </v>
      </c>
      <c r="C23" s="40" t="str">
        <f>IF(A23&lt;&gt;"",INDEX('Base de données'!A$4:L$990,MATCH(A23,'Base de données'!A$4:A$990,0),12),"")</f>
        <v>NAJAT SAOUD</v>
      </c>
      <c r="D23" s="537">
        <v>44230</v>
      </c>
      <c r="E23" s="444" t="s">
        <v>1478</v>
      </c>
    </row>
    <row r="24" spans="1:5" x14ac:dyDescent="0.25">
      <c r="A24" s="444">
        <v>175</v>
      </c>
      <c r="B24" s="40" t="str">
        <f>IF(A24&lt;&gt;"",INDEX('Base de données'!A$4:L$990,MATCH(A24,'Base de données'!A$4:A$990,0),2),"")</f>
        <v>TSC D'AMEUBLEMENT</v>
      </c>
      <c r="C24" s="40" t="str">
        <f>IF(A24&lt;&gt;"",INDEX('Base de données'!A$4:L$990,MATCH(A24,'Base de données'!A$4:A$990,0),12),"")</f>
        <v>NAJAT SAOUD</v>
      </c>
      <c r="D24" s="537">
        <v>44230</v>
      </c>
      <c r="E24" s="444" t="s">
        <v>1479</v>
      </c>
    </row>
    <row r="25" spans="1:5" x14ac:dyDescent="0.25">
      <c r="A25" s="444">
        <v>94</v>
      </c>
      <c r="B25" s="40" t="str">
        <f>IF(A25&lt;&gt;"",INDEX('Base de données'!A$4:L$990,MATCH(A25,'Base de données'!A$4:A$990,0),2),"")</f>
        <v>MARIGHA CONSTRUCTION</v>
      </c>
      <c r="C25" s="40" t="str">
        <f>IF(A25&lt;&gt;"",INDEX('Base de données'!A$4:L$990,MATCH(A25,'Base de données'!A$4:A$990,0),12),"")</f>
        <v>NAJAT SAOUD</v>
      </c>
      <c r="D25" s="537">
        <v>44230</v>
      </c>
      <c r="E25" s="444" t="s">
        <v>1480</v>
      </c>
    </row>
    <row r="26" spans="1:5" x14ac:dyDescent="0.25">
      <c r="A26" s="444">
        <v>328</v>
      </c>
      <c r="B26" s="40" t="str">
        <f>IF(A26&lt;&gt;"",INDEX('Base de données'!A$4:L$990,MATCH(A26,'Base de données'!A$4:A$990,0),2),"")</f>
        <v xml:space="preserve">BLANCHISSERIE YASSIN </v>
      </c>
      <c r="C26" s="40" t="str">
        <f>IF(A26&lt;&gt;"",INDEX('Base de données'!A$4:L$990,MATCH(A26,'Base de données'!A$4:A$990,0),12),"")</f>
        <v>NAJAT SAOUD</v>
      </c>
      <c r="D26" s="537">
        <v>44211</v>
      </c>
      <c r="E26" s="444" t="s">
        <v>1481</v>
      </c>
    </row>
    <row r="27" spans="1:5" x14ac:dyDescent="0.25">
      <c r="A27" s="444">
        <v>303</v>
      </c>
      <c r="B27" s="40" t="str">
        <f>IF(A27&lt;&gt;"",INDEX('Base de données'!A$4:L$990,MATCH(A27,'Base de données'!A$4:A$990,0),2),"")</f>
        <v xml:space="preserve">SALIM BRAHIM </v>
      </c>
      <c r="C27" s="40" t="str">
        <f>IF(A27&lt;&gt;"",INDEX('Base de données'!A$4:L$990,MATCH(A27,'Base de données'!A$4:A$990,0),12),"")</f>
        <v>NAJAT SAOUD</v>
      </c>
      <c r="D27" s="537">
        <v>44211</v>
      </c>
      <c r="E27" s="444" t="s">
        <v>1482</v>
      </c>
    </row>
    <row r="28" spans="1:5" x14ac:dyDescent="0.25">
      <c r="A28" s="444">
        <v>234</v>
      </c>
      <c r="B28" s="40" t="str">
        <f>IF(A28&lt;&gt;"",INDEX('Base de données'!A$4:L$990,MATCH(A28,'Base de données'!A$4:A$990,0),2),"")</f>
        <v>NASSIRA ECHARITI</v>
      </c>
      <c r="C28" s="40" t="str">
        <f>IF(A28&lt;&gt;"",INDEX('Base de données'!A$4:L$990,MATCH(A28,'Base de données'!A$4:A$990,0),12),"")</f>
        <v>NAJAT SAOUD</v>
      </c>
      <c r="D28" s="537">
        <v>44230</v>
      </c>
      <c r="E28" s="444" t="s">
        <v>1483</v>
      </c>
    </row>
    <row r="29" spans="1:5" x14ac:dyDescent="0.25">
      <c r="A29" s="444">
        <v>13</v>
      </c>
      <c r="B29" s="40" t="str">
        <f>IF(A29&lt;&gt;"",INDEX('Base de données'!A$4:L$990,MATCH(A29,'Base de données'!A$4:A$990,0),2),"")</f>
        <v>EL AABIDI LAHCEN</v>
      </c>
      <c r="C29" s="40" t="str">
        <f>IF(A29&lt;&gt;"",INDEX('Base de données'!A$4:L$990,MATCH(A29,'Base de données'!A$4:A$990,0),12),"")</f>
        <v>NAJAT SAOUD</v>
      </c>
      <c r="D29" s="537">
        <v>44212</v>
      </c>
      <c r="E29" s="444" t="s">
        <v>1484</v>
      </c>
    </row>
    <row r="30" spans="1:5" x14ac:dyDescent="0.25">
      <c r="A30" s="444">
        <v>353</v>
      </c>
      <c r="B30" s="40" t="str">
        <f>IF(A30&lt;&gt;"",INDEX('Base de données'!A$4:L$990,MATCH(A30,'Base de données'!A$4:A$990,0),2),"")</f>
        <v xml:space="preserve">K.M.N SARL </v>
      </c>
      <c r="C30" s="40" t="str">
        <f>IF(A30&lt;&gt;"",INDEX('Base de données'!A$4:L$990,MATCH(A30,'Base de données'!A$4:A$990,0),12),"")</f>
        <v>NAJAT SAOUD</v>
      </c>
      <c r="D30" s="537">
        <v>44238</v>
      </c>
      <c r="E30" s="444" t="s">
        <v>1485</v>
      </c>
    </row>
    <row r="31" spans="1:5" x14ac:dyDescent="0.25">
      <c r="A31" s="444">
        <v>326</v>
      </c>
      <c r="B31" s="40" t="str">
        <f>IF(A31&lt;&gt;"",INDEX('Base de données'!A$4:L$990,MATCH(A31,'Base de données'!A$4:A$990,0),2),"")</f>
        <v>I.H.B</v>
      </c>
      <c r="C31" s="40" t="str">
        <f>IF(A31&lt;&gt;"",INDEX('Base de données'!A$4:L$990,MATCH(A31,'Base de données'!A$4:A$990,0),12),"")</f>
        <v>NAJAT SAOUD</v>
      </c>
      <c r="D31" s="537">
        <v>44240</v>
      </c>
      <c r="E31" s="444" t="s">
        <v>1486</v>
      </c>
    </row>
    <row r="32" spans="1:5" x14ac:dyDescent="0.25">
      <c r="A32" s="444">
        <v>160</v>
      </c>
      <c r="B32" s="40" t="str">
        <f>IF(A32&lt;&gt;"",INDEX('Base de données'!A$4:L$990,MATCH(A32,'Base de données'!A$4:A$990,0),2),"")</f>
        <v>ECOLE AL ITQANE 2</v>
      </c>
      <c r="C32" s="40" t="str">
        <f>IF(A32&lt;&gt;"",INDEX('Base de données'!A$4:L$990,MATCH(A32,'Base de données'!A$4:A$990,0),12),"")</f>
        <v>NAJAT SAOUD</v>
      </c>
      <c r="D32" s="537">
        <v>44252</v>
      </c>
      <c r="E32" s="444" t="s">
        <v>1487</v>
      </c>
    </row>
    <row r="33" spans="1:5" x14ac:dyDescent="0.25">
      <c r="A33" s="444">
        <v>189</v>
      </c>
      <c r="B33" s="40" t="str">
        <f>IF(A33&lt;&gt;"",INDEX('Base de données'!A$4:L$990,MATCH(A33,'Base de données'!A$4:A$990,0),2),"")</f>
        <v xml:space="preserve">BE MARRAKECH </v>
      </c>
      <c r="C33" s="40" t="str">
        <f>IF(A33&lt;&gt;"",INDEX('Base de données'!A$4:L$990,MATCH(A33,'Base de données'!A$4:A$990,0),12),"")</f>
        <v>NAJAT SAOUD</v>
      </c>
      <c r="D33" s="537">
        <v>44232</v>
      </c>
      <c r="E33" s="444" t="s">
        <v>1488</v>
      </c>
    </row>
    <row r="34" spans="1:5" x14ac:dyDescent="0.25">
      <c r="A34" s="444">
        <v>14</v>
      </c>
      <c r="B34" s="40" t="str">
        <f>IF(A34&lt;&gt;"",INDEX('Base de données'!A$4:L$990,MATCH(A34,'Base de données'!A$4:A$990,0),2),"")</f>
        <v>MOUZINE CAR</v>
      </c>
      <c r="C34" s="40" t="str">
        <f>IF(A34&lt;&gt;"",INDEX('Base de données'!A$4:L$990,MATCH(A34,'Base de données'!A$4:A$990,0),12),"")</f>
        <v>NAJAT SAOUD</v>
      </c>
      <c r="D34" s="537">
        <v>44235</v>
      </c>
      <c r="E34" s="444" t="s">
        <v>1489</v>
      </c>
    </row>
    <row r="35" spans="1:5" x14ac:dyDescent="0.25">
      <c r="A35" s="444"/>
      <c r="B35" s="40" t="str">
        <f>IF(A35&lt;&gt;"",INDEX('Base de données'!A$4:L$990,MATCH(A35,'Base de données'!A$4:A$990,0),2),"")</f>
        <v/>
      </c>
      <c r="C35" s="40" t="str">
        <f>IF(A35&lt;&gt;"",INDEX('Base de données'!A$4:L$990,MATCH(A35,'Base de données'!A$4:A$990,0),12),"")</f>
        <v/>
      </c>
      <c r="D35" s="444"/>
      <c r="E35" s="444"/>
    </row>
    <row r="36" spans="1:5" x14ac:dyDescent="0.25">
      <c r="A36" s="444"/>
      <c r="B36" s="40" t="str">
        <f>IF(A36&lt;&gt;"",INDEX('Base de données'!A$4:L$990,MATCH(A36,'Base de données'!A$4:A$990,0),2),"")</f>
        <v/>
      </c>
      <c r="C36" s="40" t="str">
        <f>IF(A36&lt;&gt;"",INDEX('Base de données'!A$4:L$990,MATCH(A36,'Base de données'!A$4:A$990,0),12),"")</f>
        <v/>
      </c>
      <c r="D36" s="444"/>
      <c r="E36" s="444"/>
    </row>
    <row r="37" spans="1:5" x14ac:dyDescent="0.25">
      <c r="A37" s="444"/>
      <c r="B37" s="40" t="str">
        <f>IF(A37&lt;&gt;"",INDEX('Base de données'!A$4:L$990,MATCH(A37,'Base de données'!A$4:A$990,0),2),"")</f>
        <v/>
      </c>
      <c r="C37" s="40" t="str">
        <f>IF(A37&lt;&gt;"",INDEX('Base de données'!A$4:L$990,MATCH(A37,'Base de données'!A$4:A$990,0),12),"")</f>
        <v/>
      </c>
      <c r="D37" s="444"/>
      <c r="E37" s="444"/>
    </row>
    <row r="38" spans="1:5" x14ac:dyDescent="0.25">
      <c r="A38" s="444"/>
      <c r="B38" s="40" t="str">
        <f>IF(A38&lt;&gt;"",INDEX('Base de données'!A$4:L$990,MATCH(A38,'Base de données'!A$4:A$990,0),2),"")</f>
        <v/>
      </c>
      <c r="C38" s="40" t="str">
        <f>IF(A38&lt;&gt;"",INDEX('Base de données'!A$4:L$990,MATCH(A38,'Base de données'!A$4:A$990,0),12),"")</f>
        <v/>
      </c>
      <c r="D38" s="444"/>
      <c r="E38" s="444"/>
    </row>
    <row r="39" spans="1:5" x14ac:dyDescent="0.25">
      <c r="A39" s="444"/>
      <c r="B39" s="40" t="str">
        <f>IF(A39&lt;&gt;"",INDEX('Base de données'!A$4:L$990,MATCH(A39,'Base de données'!A$4:A$990,0),2),"")</f>
        <v/>
      </c>
      <c r="C39" s="40" t="str">
        <f>IF(A39&lt;&gt;"",INDEX('Base de données'!A$4:L$990,MATCH(A39,'Base de données'!A$4:A$990,0),12),"")</f>
        <v/>
      </c>
      <c r="D39" s="444"/>
      <c r="E39" s="444"/>
    </row>
    <row r="40" spans="1:5" x14ac:dyDescent="0.25">
      <c r="A40" s="444"/>
      <c r="B40" s="40" t="str">
        <f>IF(A40&lt;&gt;"",INDEX('Base de données'!A$4:L$990,MATCH(A40,'Base de données'!A$4:A$990,0),2),"")</f>
        <v/>
      </c>
      <c r="C40" s="40" t="str">
        <f>IF(A40&lt;&gt;"",INDEX('Base de données'!A$4:L$990,MATCH(A40,'Base de données'!A$4:A$990,0),12),"")</f>
        <v/>
      </c>
      <c r="D40" s="444"/>
      <c r="E40" s="444"/>
    </row>
    <row r="41" spans="1:5" x14ac:dyDescent="0.25">
      <c r="A41" s="444"/>
      <c r="B41" s="40" t="str">
        <f>IF(A41&lt;&gt;"",INDEX('Base de données'!A$4:L$990,MATCH(A41,'Base de données'!A$4:A$990,0),2),"")</f>
        <v/>
      </c>
      <c r="C41" s="40" t="str">
        <f>IF(A41&lt;&gt;"",INDEX('Base de données'!A$4:L$990,MATCH(A41,'Base de données'!A$4:A$990,0),12),"")</f>
        <v/>
      </c>
      <c r="D41" s="444"/>
      <c r="E41" s="444"/>
    </row>
    <row r="42" spans="1:5" x14ac:dyDescent="0.25">
      <c r="A42" s="444"/>
      <c r="B42" s="40" t="str">
        <f>IF(A42&lt;&gt;"",INDEX('Base de données'!A$4:L$990,MATCH(A42,'Base de données'!A$4:A$990,0),2),"")</f>
        <v/>
      </c>
      <c r="C42" s="40" t="str">
        <f>IF(A42&lt;&gt;"",INDEX('Base de données'!A$4:L$990,MATCH(A42,'Base de données'!A$4:A$990,0),12),"")</f>
        <v/>
      </c>
      <c r="D42" s="444"/>
      <c r="E42" s="444"/>
    </row>
    <row r="43" spans="1:5" x14ac:dyDescent="0.25">
      <c r="A43" s="444"/>
      <c r="B43" s="40" t="str">
        <f>IF(A43&lt;&gt;"",INDEX('Base de données'!A$4:L$990,MATCH(A43,'Base de données'!A$4:A$990,0),2),"")</f>
        <v/>
      </c>
      <c r="C43" s="40" t="str">
        <f>IF(A43&lt;&gt;"",INDEX('Base de données'!A$4:L$990,MATCH(A43,'Base de données'!A$4:A$990,0),12),"")</f>
        <v/>
      </c>
      <c r="D43" s="444"/>
      <c r="E43" s="444"/>
    </row>
    <row r="44" spans="1:5" x14ac:dyDescent="0.25">
      <c r="A44" s="444"/>
      <c r="B44" s="40" t="str">
        <f>IF(A44&lt;&gt;"",INDEX('Base de données'!A$4:L$990,MATCH(A44,'Base de données'!A$4:A$990,0),2),"")</f>
        <v/>
      </c>
      <c r="C44" s="40" t="str">
        <f>IF(A44&lt;&gt;"",INDEX('Base de données'!A$4:L$990,MATCH(A44,'Base de données'!A$4:A$990,0),12),"")</f>
        <v/>
      </c>
      <c r="D44" s="444"/>
      <c r="E44" s="444"/>
    </row>
    <row r="45" spans="1:5" x14ac:dyDescent="0.25">
      <c r="A45" s="444"/>
      <c r="B45" s="40" t="str">
        <f>IF(A45&lt;&gt;"",INDEX('Base de données'!A$4:L$990,MATCH(A45,'Base de données'!A$4:A$990,0),2),"")</f>
        <v/>
      </c>
      <c r="C45" s="40" t="str">
        <f>IF(A45&lt;&gt;"",INDEX('Base de données'!A$4:L$990,MATCH(A45,'Base de données'!A$4:A$990,0),12),"")</f>
        <v/>
      </c>
      <c r="D45" s="444"/>
      <c r="E45" s="444"/>
    </row>
    <row r="46" spans="1:5" x14ac:dyDescent="0.25">
      <c r="A46" s="444"/>
      <c r="B46" s="40" t="str">
        <f>IF(A46&lt;&gt;"",INDEX('Base de données'!A$4:L$990,MATCH(A46,'Base de données'!A$4:A$990,0),2),"")</f>
        <v/>
      </c>
      <c r="C46" s="40" t="str">
        <f>IF(A46&lt;&gt;"",INDEX('Base de données'!A$4:L$990,MATCH(A46,'Base de données'!A$4:A$990,0),12),"")</f>
        <v/>
      </c>
      <c r="D46" s="444"/>
      <c r="E46" s="444"/>
    </row>
    <row r="47" spans="1:5" x14ac:dyDescent="0.25">
      <c r="A47" s="444"/>
      <c r="B47" s="40" t="str">
        <f>IF(A47&lt;&gt;"",INDEX('Base de données'!A$4:L$990,MATCH(A47,'Base de données'!A$4:A$990,0),2),"")</f>
        <v/>
      </c>
      <c r="C47" s="40" t="str">
        <f>IF(A47&lt;&gt;"",INDEX('Base de données'!A$4:L$990,MATCH(A47,'Base de données'!A$4:A$990,0),12),"")</f>
        <v/>
      </c>
      <c r="D47" s="444"/>
      <c r="E47" s="444"/>
    </row>
    <row r="48" spans="1:5" x14ac:dyDescent="0.25">
      <c r="A48" s="444"/>
      <c r="B48" s="40" t="str">
        <f>IF(A48&lt;&gt;"",INDEX('Base de données'!A$4:L$990,MATCH(A48,'Base de données'!A$4:A$990,0),2),"")</f>
        <v/>
      </c>
      <c r="C48" s="40" t="str">
        <f>IF(A48&lt;&gt;"",INDEX('Base de données'!A$4:L$990,MATCH(A48,'Base de données'!A$4:A$990,0),12),"")</f>
        <v/>
      </c>
      <c r="D48" s="444"/>
      <c r="E48" s="444"/>
    </row>
    <row r="49" spans="1:5" x14ac:dyDescent="0.25">
      <c r="A49" s="444"/>
      <c r="B49" s="40" t="str">
        <f>IF(A49&lt;&gt;"",INDEX('Base de données'!A$4:L$990,MATCH(A49,'Base de données'!A$4:A$990,0),2),"")</f>
        <v/>
      </c>
      <c r="C49" s="40" t="str">
        <f>IF(A49&lt;&gt;"",INDEX('Base de données'!A$4:L$990,MATCH(A49,'Base de données'!A$4:A$990,0),12),"")</f>
        <v/>
      </c>
      <c r="D49" s="444"/>
      <c r="E49" s="444"/>
    </row>
    <row r="50" spans="1:5" x14ac:dyDescent="0.25">
      <c r="A50" s="444"/>
      <c r="B50" s="40" t="str">
        <f>IF(A50&lt;&gt;"",INDEX('Base de données'!A$4:L$990,MATCH(A50,'Base de données'!A$4:A$990,0),2),"")</f>
        <v/>
      </c>
      <c r="C50" s="40" t="str">
        <f>IF(A50&lt;&gt;"",INDEX('Base de données'!A$4:L$990,MATCH(A50,'Base de données'!A$4:A$990,0),12),"")</f>
        <v/>
      </c>
      <c r="D50" s="444"/>
      <c r="E50" s="444"/>
    </row>
    <row r="51" spans="1:5" x14ac:dyDescent="0.25">
      <c r="A51" s="444"/>
      <c r="B51" s="40" t="str">
        <f>IF(A51&lt;&gt;"",INDEX('Base de données'!A$4:L$990,MATCH(A51,'Base de données'!A$4:A$990,0),2),"")</f>
        <v/>
      </c>
      <c r="C51" s="40" t="str">
        <f>IF(A51&lt;&gt;"",INDEX('Base de données'!A$4:L$990,MATCH(A51,'Base de données'!A$4:A$990,0),12),"")</f>
        <v/>
      </c>
      <c r="D51" s="444"/>
      <c r="E51" s="444"/>
    </row>
    <row r="52" spans="1:5" x14ac:dyDescent="0.25">
      <c r="A52" s="444"/>
      <c r="B52" s="40" t="str">
        <f>IF(A52&lt;&gt;"",INDEX('Base de données'!A$4:L$990,MATCH(A52,'Base de données'!A$4:A$990,0),2),"")</f>
        <v/>
      </c>
      <c r="C52" s="40" t="str">
        <f>IF(A52&lt;&gt;"",INDEX('Base de données'!A$4:L$990,MATCH(A52,'Base de données'!A$4:A$990,0),12),"")</f>
        <v/>
      </c>
      <c r="D52" s="444"/>
      <c r="E52" s="444"/>
    </row>
    <row r="53" spans="1:5" x14ac:dyDescent="0.25">
      <c r="A53" s="444"/>
      <c r="B53" s="40" t="str">
        <f>IF(A53&lt;&gt;"",INDEX('Base de données'!A$4:L$990,MATCH(A53,'Base de données'!A$4:A$990,0),2),"")</f>
        <v/>
      </c>
      <c r="C53" s="40" t="str">
        <f>IF(A53&lt;&gt;"",INDEX('Base de données'!A$4:L$990,MATCH(A53,'Base de données'!A$4:A$990,0),12),"")</f>
        <v/>
      </c>
      <c r="D53" s="444"/>
      <c r="E53" s="444"/>
    </row>
    <row r="54" spans="1:5" x14ac:dyDescent="0.25">
      <c r="A54" s="444"/>
      <c r="B54" s="40" t="str">
        <f>IF(A54&lt;&gt;"",INDEX('Base de données'!A$4:L$990,MATCH(A54,'Base de données'!A$4:A$990,0),2),"")</f>
        <v/>
      </c>
      <c r="C54" s="40" t="str">
        <f>IF(A54&lt;&gt;"",INDEX('Base de données'!A$4:L$990,MATCH(A54,'Base de données'!A$4:A$990,0),12),"")</f>
        <v/>
      </c>
      <c r="D54" s="444"/>
      <c r="E54" s="444"/>
    </row>
    <row r="55" spans="1:5" x14ac:dyDescent="0.25">
      <c r="A55" s="444"/>
      <c r="B55" s="40" t="str">
        <f>IF(A55&lt;&gt;"",INDEX('Base de données'!A$4:L$990,MATCH(A55,'Base de données'!A$4:A$990,0),2),"")</f>
        <v/>
      </c>
      <c r="C55" s="40" t="str">
        <f>IF(A55&lt;&gt;"",INDEX('Base de données'!A$4:L$990,MATCH(A55,'Base de données'!A$4:A$990,0),12),"")</f>
        <v/>
      </c>
      <c r="D55" s="444"/>
      <c r="E55" s="444"/>
    </row>
    <row r="56" spans="1:5" x14ac:dyDescent="0.25">
      <c r="A56" s="444"/>
      <c r="B56" s="40" t="str">
        <f>IF(A56&lt;&gt;"",INDEX('Base de données'!A$4:L$990,MATCH(A56,'Base de données'!A$4:A$990,0),2),"")</f>
        <v/>
      </c>
      <c r="C56" s="40" t="str">
        <f>IF(A56&lt;&gt;"",INDEX('Base de données'!A$4:L$990,MATCH(A56,'Base de données'!A$4:A$990,0),12),"")</f>
        <v/>
      </c>
      <c r="D56" s="444"/>
      <c r="E56" s="444"/>
    </row>
    <row r="57" spans="1:5" x14ac:dyDescent="0.25">
      <c r="A57" s="444"/>
      <c r="B57" s="40" t="str">
        <f>IF(A57&lt;&gt;"",INDEX('Base de données'!A$4:L$990,MATCH(A57,'Base de données'!A$4:A$990,0),2),"")</f>
        <v/>
      </c>
      <c r="C57" s="40" t="str">
        <f>IF(A57&lt;&gt;"",INDEX('Base de données'!A$4:L$990,MATCH(A57,'Base de données'!A$4:A$990,0),12),"")</f>
        <v/>
      </c>
      <c r="D57" s="444"/>
      <c r="E57" s="444"/>
    </row>
    <row r="58" spans="1:5" x14ac:dyDescent="0.25">
      <c r="A58" s="444"/>
      <c r="B58" s="40" t="str">
        <f>IF(A58&lt;&gt;"",INDEX('Base de données'!A$4:L$990,MATCH(A58,'Base de données'!A$4:A$990,0),2),"")</f>
        <v/>
      </c>
      <c r="C58" s="40" t="str">
        <f>IF(A58&lt;&gt;"",INDEX('Base de données'!A$4:L$990,MATCH(A58,'Base de données'!A$4:A$990,0),12),"")</f>
        <v/>
      </c>
      <c r="D58" s="444"/>
      <c r="E58" s="444"/>
    </row>
    <row r="59" spans="1:5" x14ac:dyDescent="0.25">
      <c r="A59" s="444"/>
      <c r="B59" s="40" t="str">
        <f>IF(A59&lt;&gt;"",INDEX('Base de données'!A$4:L$990,MATCH(A59,'Base de données'!A$4:A$990,0),2),"")</f>
        <v/>
      </c>
      <c r="C59" s="40" t="str">
        <f>IF(A59&lt;&gt;"",INDEX('Base de données'!A$4:L$990,MATCH(A59,'Base de données'!A$4:A$990,0),12),"")</f>
        <v/>
      </c>
      <c r="D59" s="444"/>
      <c r="E59" s="444"/>
    </row>
    <row r="60" spans="1:5" x14ac:dyDescent="0.25">
      <c r="A60" s="444"/>
      <c r="B60" s="40" t="str">
        <f>IF(A60&lt;&gt;"",INDEX('Base de données'!A$4:L$990,MATCH(A60,'Base de données'!A$4:A$990,0),2),"")</f>
        <v/>
      </c>
      <c r="C60" s="40" t="str">
        <f>IF(A60&lt;&gt;"",INDEX('Base de données'!A$4:L$990,MATCH(A60,'Base de données'!A$4:A$990,0),12),"")</f>
        <v/>
      </c>
      <c r="D60" s="444"/>
      <c r="E60" s="444"/>
    </row>
    <row r="61" spans="1:5" x14ac:dyDescent="0.25">
      <c r="A61" s="444"/>
      <c r="B61" s="40" t="str">
        <f>IF(A61&lt;&gt;"",INDEX('Base de données'!A$4:L$990,MATCH(A61,'Base de données'!A$4:A$990,0),2),"")</f>
        <v/>
      </c>
      <c r="C61" s="40" t="str">
        <f>IF(A61&lt;&gt;"",INDEX('Base de données'!A$4:L$990,MATCH(A61,'Base de données'!A$4:A$990,0),12),"")</f>
        <v/>
      </c>
      <c r="D61" s="444"/>
      <c r="E61" s="444"/>
    </row>
    <row r="62" spans="1:5" x14ac:dyDescent="0.25">
      <c r="A62" s="444"/>
      <c r="B62" s="40" t="str">
        <f>IF(A62&lt;&gt;"",INDEX('Base de données'!A$4:L$990,MATCH(A62,'Base de données'!A$4:A$990,0),2),"")</f>
        <v/>
      </c>
      <c r="C62" s="40" t="str">
        <f>IF(A62&lt;&gt;"",INDEX('Base de données'!A$4:L$990,MATCH(A62,'Base de données'!A$4:A$990,0),12),"")</f>
        <v/>
      </c>
      <c r="D62" s="444"/>
      <c r="E62" s="444"/>
    </row>
    <row r="63" spans="1:5" x14ac:dyDescent="0.25">
      <c r="A63" s="444"/>
      <c r="B63" s="40" t="str">
        <f>IF(A63&lt;&gt;"",INDEX('Base de données'!A$4:L$990,MATCH(A63,'Base de données'!A$4:A$990,0),2),"")</f>
        <v/>
      </c>
      <c r="C63" s="40" t="str">
        <f>IF(A63&lt;&gt;"",INDEX('Base de données'!A$4:L$990,MATCH(A63,'Base de données'!A$4:A$990,0),12),"")</f>
        <v/>
      </c>
      <c r="D63" s="444"/>
      <c r="E63" s="444"/>
    </row>
    <row r="64" spans="1:5" x14ac:dyDescent="0.25">
      <c r="A64" s="444"/>
      <c r="B64" s="40" t="str">
        <f>IF(A64&lt;&gt;"",INDEX('Base de données'!A$4:L$990,MATCH(A64,'Base de données'!A$4:A$990,0),2),"")</f>
        <v/>
      </c>
      <c r="C64" s="40" t="str">
        <f>IF(A64&lt;&gt;"",INDEX('Base de données'!A$4:L$990,MATCH(A64,'Base de données'!A$4:A$990,0),12),"")</f>
        <v/>
      </c>
      <c r="D64" s="444"/>
      <c r="E64" s="444"/>
    </row>
    <row r="65" spans="1:5" x14ac:dyDescent="0.25">
      <c r="A65" s="444"/>
      <c r="B65" s="40" t="str">
        <f>IF(A65&lt;&gt;"",INDEX('Base de données'!A$4:L$990,MATCH(A65,'Base de données'!A$4:A$990,0),2),"")</f>
        <v/>
      </c>
      <c r="C65" s="40" t="str">
        <f>IF(A65&lt;&gt;"",INDEX('Base de données'!A$4:L$990,MATCH(A65,'Base de données'!A$4:A$990,0),12),"")</f>
        <v/>
      </c>
      <c r="D65" s="444"/>
      <c r="E65" s="444"/>
    </row>
    <row r="66" spans="1:5" x14ac:dyDescent="0.25">
      <c r="A66" s="444"/>
      <c r="B66" s="40" t="str">
        <f>IF(A66&lt;&gt;"",INDEX('Base de données'!A$4:L$990,MATCH(A66,'Base de données'!A$4:A$990,0),2),"")</f>
        <v/>
      </c>
      <c r="C66" s="40" t="str">
        <f>IF(A66&lt;&gt;"",INDEX('Base de données'!A$4:L$990,MATCH(A66,'Base de données'!A$4:A$990,0),12),"")</f>
        <v/>
      </c>
      <c r="D66" s="444"/>
      <c r="E66" s="444"/>
    </row>
    <row r="67" spans="1:5" x14ac:dyDescent="0.25">
      <c r="A67" s="444"/>
      <c r="B67" s="40" t="str">
        <f>IF(A67&lt;&gt;"",INDEX('Base de données'!A$4:L$990,MATCH(A67,'Base de données'!A$4:A$990,0),2),"")</f>
        <v/>
      </c>
      <c r="C67" s="40" t="str">
        <f>IF(A67&lt;&gt;"",INDEX('Base de données'!A$4:L$990,MATCH(A67,'Base de données'!A$4:A$990,0),12),"")</f>
        <v/>
      </c>
      <c r="D67" s="444"/>
      <c r="E67" s="444"/>
    </row>
    <row r="68" spans="1:5" x14ac:dyDescent="0.25">
      <c r="A68" s="444"/>
      <c r="B68" s="40" t="str">
        <f>IF(A68&lt;&gt;"",INDEX('Base de données'!A$4:L$990,MATCH(A68,'Base de données'!A$4:A$990,0),2),"")</f>
        <v/>
      </c>
      <c r="C68" s="40" t="str">
        <f>IF(A68&lt;&gt;"",INDEX('Base de données'!A$4:L$990,MATCH(A68,'Base de données'!A$4:A$990,0),12),"")</f>
        <v/>
      </c>
      <c r="D68" s="444"/>
      <c r="E68" s="444"/>
    </row>
    <row r="69" spans="1:5" x14ac:dyDescent="0.25">
      <c r="A69" s="444"/>
      <c r="B69" s="40" t="str">
        <f>IF(A69&lt;&gt;"",INDEX('Base de données'!A$4:L$990,MATCH(A69,'Base de données'!A$4:A$990,0),2),"")</f>
        <v/>
      </c>
      <c r="C69" s="40" t="str">
        <f>IF(A69&lt;&gt;"",INDEX('Base de données'!A$4:L$990,MATCH(A69,'Base de données'!A$4:A$990,0),12),"")</f>
        <v/>
      </c>
      <c r="D69" s="444"/>
      <c r="E69" s="444"/>
    </row>
    <row r="70" spans="1:5" x14ac:dyDescent="0.25">
      <c r="A70" s="444"/>
      <c r="B70" s="40" t="str">
        <f>IF(A70&lt;&gt;"",INDEX('Base de données'!A$4:L$990,MATCH(A70,'Base de données'!A$4:A$990,0),2),"")</f>
        <v/>
      </c>
      <c r="C70" s="40" t="str">
        <f>IF(A70&lt;&gt;"",INDEX('Base de données'!A$4:L$990,MATCH(A70,'Base de données'!A$4:A$990,0),12),"")</f>
        <v/>
      </c>
      <c r="D70" s="444"/>
      <c r="E70" s="444"/>
    </row>
    <row r="71" spans="1:5" x14ac:dyDescent="0.25">
      <c r="A71" s="444"/>
      <c r="B71" s="40" t="str">
        <f>IF(A71&lt;&gt;"",INDEX('Base de données'!A$4:L$990,MATCH(A71,'Base de données'!A$4:A$990,0),2),"")</f>
        <v/>
      </c>
      <c r="C71" s="40" t="str">
        <f>IF(A71&lt;&gt;"",INDEX('Base de données'!A$4:L$990,MATCH(A71,'Base de données'!A$4:A$990,0),12),"")</f>
        <v/>
      </c>
      <c r="D71" s="444"/>
      <c r="E71" s="444"/>
    </row>
    <row r="72" spans="1:5" x14ac:dyDescent="0.25">
      <c r="A72" s="444"/>
      <c r="B72" s="40" t="str">
        <f>IF(A72&lt;&gt;"",INDEX('Base de données'!A$4:L$990,MATCH(A72,'Base de données'!A$4:A$990,0),2),"")</f>
        <v/>
      </c>
      <c r="C72" s="40" t="str">
        <f>IF(A72&lt;&gt;"",INDEX('Base de données'!A$4:L$990,MATCH(A72,'Base de données'!A$4:A$990,0),12),"")</f>
        <v/>
      </c>
      <c r="D72" s="444"/>
      <c r="E72" s="444"/>
    </row>
    <row r="73" spans="1:5" x14ac:dyDescent="0.25">
      <c r="A73" s="444"/>
      <c r="B73" s="40" t="str">
        <f>IF(A73&lt;&gt;"",INDEX('Base de données'!A$4:L$990,MATCH(A73,'Base de données'!A$4:A$990,0),2),"")</f>
        <v/>
      </c>
      <c r="C73" s="40" t="str">
        <f>IF(A73&lt;&gt;"",INDEX('Base de données'!A$4:L$990,MATCH(A73,'Base de données'!A$4:A$990,0),12),"")</f>
        <v/>
      </c>
      <c r="D73" s="444"/>
      <c r="E73" s="444"/>
    </row>
    <row r="74" spans="1:5" x14ac:dyDescent="0.25">
      <c r="A74" s="444"/>
      <c r="B74" s="40" t="str">
        <f>IF(A74&lt;&gt;"",INDEX('Base de données'!A$4:L$990,MATCH(A74,'Base de données'!A$4:A$990,0),2),"")</f>
        <v/>
      </c>
      <c r="C74" s="40" t="str">
        <f>IF(A74&lt;&gt;"",INDEX('Base de données'!A$4:L$990,MATCH(A74,'Base de données'!A$4:A$990,0),12),"")</f>
        <v/>
      </c>
      <c r="D74" s="444"/>
      <c r="E74" s="444"/>
    </row>
    <row r="75" spans="1:5" x14ac:dyDescent="0.25">
      <c r="A75" s="444"/>
      <c r="B75" s="40" t="str">
        <f>IF(A75&lt;&gt;"",INDEX('Base de données'!A$4:L$990,MATCH(A75,'Base de données'!A$4:A$990,0),2),"")</f>
        <v/>
      </c>
      <c r="C75" s="40" t="str">
        <f>IF(A75&lt;&gt;"",INDEX('Base de données'!A$4:L$990,MATCH(A75,'Base de données'!A$4:A$990,0),12),"")</f>
        <v/>
      </c>
      <c r="D75" s="444"/>
      <c r="E75" s="444"/>
    </row>
    <row r="76" spans="1:5" x14ac:dyDescent="0.25">
      <c r="A76" s="444"/>
      <c r="B76" s="40" t="str">
        <f>IF(A76&lt;&gt;"",INDEX('Base de données'!A$4:L$990,MATCH(A76,'Base de données'!A$4:A$990,0),2),"")</f>
        <v/>
      </c>
      <c r="C76" s="40" t="str">
        <f>IF(A76&lt;&gt;"",INDEX('Base de données'!A$4:L$990,MATCH(A76,'Base de données'!A$4:A$990,0),12),"")</f>
        <v/>
      </c>
      <c r="D76" s="444"/>
      <c r="E76" s="444"/>
    </row>
    <row r="77" spans="1:5" x14ac:dyDescent="0.25">
      <c r="A77" s="444"/>
      <c r="B77" s="40" t="str">
        <f>IF(A77&lt;&gt;"",INDEX('Base de données'!A$4:L$990,MATCH(A77,'Base de données'!A$4:A$990,0),2),"")</f>
        <v/>
      </c>
      <c r="C77" s="40" t="str">
        <f>IF(A77&lt;&gt;"",INDEX('Base de données'!A$4:L$990,MATCH(A77,'Base de données'!A$4:A$990,0),12),"")</f>
        <v/>
      </c>
      <c r="D77" s="444"/>
      <c r="E77" s="444"/>
    </row>
    <row r="78" spans="1:5" x14ac:dyDescent="0.25">
      <c r="A78" s="444"/>
      <c r="B78" s="40" t="str">
        <f>IF(A78&lt;&gt;"",INDEX('Base de données'!A$4:L$990,MATCH(A78,'Base de données'!A$4:A$990,0),2),"")</f>
        <v/>
      </c>
      <c r="C78" s="40" t="str">
        <f>IF(A78&lt;&gt;"",INDEX('Base de données'!A$4:L$990,MATCH(A78,'Base de données'!A$4:A$990,0),12),"")</f>
        <v/>
      </c>
      <c r="D78" s="444"/>
      <c r="E78" s="444"/>
    </row>
    <row r="79" spans="1:5" x14ac:dyDescent="0.25">
      <c r="A79" s="444"/>
      <c r="B79" s="40" t="str">
        <f>IF(A79&lt;&gt;"",INDEX('Base de données'!A$4:L$990,MATCH(A79,'Base de données'!A$4:A$990,0),2),"")</f>
        <v/>
      </c>
      <c r="C79" s="40" t="str">
        <f>IF(A79&lt;&gt;"",INDEX('Base de données'!A$4:L$990,MATCH(A79,'Base de données'!A$4:A$990,0),12),"")</f>
        <v/>
      </c>
      <c r="D79" s="444"/>
      <c r="E79" s="444"/>
    </row>
    <row r="80" spans="1:5" x14ac:dyDescent="0.25">
      <c r="A80" s="444"/>
      <c r="B80" s="40" t="str">
        <f>IF(A80&lt;&gt;"",INDEX('Base de données'!A$4:L$990,MATCH(A80,'Base de données'!A$4:A$990,0),2),"")</f>
        <v/>
      </c>
      <c r="C80" s="40" t="str">
        <f>IF(A80&lt;&gt;"",INDEX('Base de données'!A$4:L$990,MATCH(A80,'Base de données'!A$4:A$990,0),12),"")</f>
        <v/>
      </c>
      <c r="D80" s="444"/>
      <c r="E80" s="444"/>
    </row>
    <row r="81" spans="1:5" x14ac:dyDescent="0.25">
      <c r="A81" s="444"/>
      <c r="B81" s="40" t="str">
        <f>IF(A81&lt;&gt;"",INDEX('Base de données'!A$4:L$990,MATCH(A81,'Base de données'!A$4:A$990,0),2),"")</f>
        <v/>
      </c>
      <c r="C81" s="40" t="str">
        <f>IF(A81&lt;&gt;"",INDEX('Base de données'!A$4:L$990,MATCH(A81,'Base de données'!A$4:A$990,0),12),"")</f>
        <v/>
      </c>
      <c r="D81" s="444"/>
      <c r="E81" s="444"/>
    </row>
    <row r="82" spans="1:5" x14ac:dyDescent="0.25">
      <c r="A82" s="444"/>
      <c r="B82" s="40" t="str">
        <f>IF(A82&lt;&gt;"",INDEX('Base de données'!A$4:L$990,MATCH(A82,'Base de données'!A$4:A$990,0),2),"")</f>
        <v/>
      </c>
      <c r="C82" s="40" t="str">
        <f>IF(A82&lt;&gt;"",INDEX('Base de données'!A$4:L$990,MATCH(A82,'Base de données'!A$4:A$990,0),12),"")</f>
        <v/>
      </c>
      <c r="D82" s="444"/>
      <c r="E82" s="444"/>
    </row>
    <row r="83" spans="1:5" x14ac:dyDescent="0.25">
      <c r="A83" s="444"/>
      <c r="B83" s="40" t="str">
        <f>IF(A83&lt;&gt;"",INDEX('Base de données'!A$4:L$990,MATCH(A83,'Base de données'!A$4:A$990,0),2),"")</f>
        <v/>
      </c>
      <c r="C83" s="40" t="str">
        <f>IF(A83&lt;&gt;"",INDEX('Base de données'!A$4:L$990,MATCH(A83,'Base de données'!A$4:A$990,0),12),"")</f>
        <v/>
      </c>
      <c r="D83" s="444"/>
      <c r="E83" s="444"/>
    </row>
    <row r="84" spans="1:5" x14ac:dyDescent="0.25">
      <c r="A84" s="444"/>
      <c r="B84" s="40" t="str">
        <f>IF(A84&lt;&gt;"",INDEX('Base de données'!A$4:L$990,MATCH(A84,'Base de données'!A$4:A$990,0),2),"")</f>
        <v/>
      </c>
      <c r="C84" s="40" t="str">
        <f>IF(A84&lt;&gt;"",INDEX('Base de données'!A$4:L$990,MATCH(A84,'Base de données'!A$4:A$990,0),12),"")</f>
        <v/>
      </c>
      <c r="D84" s="444"/>
      <c r="E84" s="444"/>
    </row>
    <row r="85" spans="1:5" x14ac:dyDescent="0.25">
      <c r="A85" s="444"/>
      <c r="B85" s="40" t="str">
        <f>IF(A85&lt;&gt;"",INDEX('Base de données'!A$4:L$990,MATCH(A85,'Base de données'!A$4:A$990,0),2),"")</f>
        <v/>
      </c>
      <c r="C85" s="40" t="str">
        <f>IF(A85&lt;&gt;"",INDEX('Base de données'!A$4:L$990,MATCH(A85,'Base de données'!A$4:A$990,0),12),"")</f>
        <v/>
      </c>
      <c r="D85" s="444"/>
      <c r="E85" s="444"/>
    </row>
    <row r="86" spans="1:5" x14ac:dyDescent="0.25">
      <c r="A86" s="444"/>
      <c r="B86" s="40" t="str">
        <f>IF(A86&lt;&gt;"",INDEX('Base de données'!A$4:L$990,MATCH(A86,'Base de données'!A$4:A$990,0),2),"")</f>
        <v/>
      </c>
      <c r="C86" s="40" t="str">
        <f>IF(A86&lt;&gt;"",INDEX('Base de données'!A$4:L$990,MATCH(A86,'Base de données'!A$4:A$990,0),12),"")</f>
        <v/>
      </c>
      <c r="D86" s="444"/>
      <c r="E86" s="444"/>
    </row>
    <row r="87" spans="1:5" x14ac:dyDescent="0.25">
      <c r="A87" s="444"/>
      <c r="B87" s="40" t="str">
        <f>IF(A87&lt;&gt;"",INDEX('Base de données'!A$4:L$990,MATCH(A87,'Base de données'!A$4:A$990,0),2),"")</f>
        <v/>
      </c>
      <c r="C87" s="40" t="str">
        <f>IF(A87&lt;&gt;"",INDEX('Base de données'!A$4:L$990,MATCH(A87,'Base de données'!A$4:A$990,0),12),"")</f>
        <v/>
      </c>
      <c r="D87" s="444"/>
      <c r="E87" s="444"/>
    </row>
    <row r="88" spans="1:5" x14ac:dyDescent="0.25">
      <c r="A88" s="444"/>
      <c r="B88" s="40" t="str">
        <f>IF(A88&lt;&gt;"",INDEX('Base de données'!A$4:L$990,MATCH(A88,'Base de données'!A$4:A$990,0),2),"")</f>
        <v/>
      </c>
      <c r="C88" s="40" t="str">
        <f>IF(A88&lt;&gt;"",INDEX('Base de données'!A$4:L$990,MATCH(A88,'Base de données'!A$4:A$990,0),12),"")</f>
        <v/>
      </c>
      <c r="D88" s="444"/>
      <c r="E88" s="444"/>
    </row>
    <row r="89" spans="1:5" x14ac:dyDescent="0.25">
      <c r="A89" s="444"/>
      <c r="B89" s="40" t="str">
        <f>IF(A89&lt;&gt;"",INDEX('Base de données'!A$4:L$990,MATCH(A89,'Base de données'!A$4:A$990,0),2),"")</f>
        <v/>
      </c>
      <c r="C89" s="40" t="str">
        <f>IF(A89&lt;&gt;"",INDEX('Base de données'!A$4:L$990,MATCH(A89,'Base de données'!A$4:A$990,0),12),"")</f>
        <v/>
      </c>
      <c r="D89" s="444"/>
      <c r="E89" s="444"/>
    </row>
    <row r="90" spans="1:5" x14ac:dyDescent="0.25">
      <c r="A90" s="444"/>
      <c r="B90" s="40" t="str">
        <f>IF(A90&lt;&gt;"",INDEX('Base de données'!A$4:L$990,MATCH(A90,'Base de données'!A$4:A$990,0),2),"")</f>
        <v/>
      </c>
      <c r="C90" s="40" t="str">
        <f>IF(A90&lt;&gt;"",INDEX('Base de données'!A$4:L$990,MATCH(A90,'Base de données'!A$4:A$990,0),12),"")</f>
        <v/>
      </c>
      <c r="D90" s="444"/>
      <c r="E90" s="444"/>
    </row>
    <row r="91" spans="1:5" x14ac:dyDescent="0.25">
      <c r="A91" s="444"/>
      <c r="B91" s="40" t="str">
        <f>IF(A91&lt;&gt;"",INDEX('Base de données'!A$4:L$990,MATCH(A91,'Base de données'!A$4:A$990,0),2),"")</f>
        <v/>
      </c>
      <c r="C91" s="40" t="str">
        <f>IF(A91&lt;&gt;"",INDEX('Base de données'!A$4:L$990,MATCH(A91,'Base de données'!A$4:A$990,0),12),"")</f>
        <v/>
      </c>
      <c r="D91" s="444"/>
      <c r="E91" s="444"/>
    </row>
    <row r="92" spans="1:5" x14ac:dyDescent="0.25">
      <c r="A92" s="444"/>
      <c r="B92" s="40" t="str">
        <f>IF(A92&lt;&gt;"",INDEX('Base de données'!A$4:L$990,MATCH(A92,'Base de données'!A$4:A$990,0),2),"")</f>
        <v/>
      </c>
      <c r="C92" s="40" t="str">
        <f>IF(A92&lt;&gt;"",INDEX('Base de données'!A$4:L$990,MATCH(A92,'Base de données'!A$4:A$990,0),12),"")</f>
        <v/>
      </c>
      <c r="D92" s="444"/>
      <c r="E92" s="444"/>
    </row>
    <row r="93" spans="1:5" x14ac:dyDescent="0.25">
      <c r="A93" s="444"/>
      <c r="B93" s="40" t="str">
        <f>IF(A93&lt;&gt;"",INDEX('Base de données'!A$4:L$990,MATCH(A93,'Base de données'!A$4:A$990,0),2),"")</f>
        <v/>
      </c>
      <c r="C93" s="40" t="str">
        <f>IF(A93&lt;&gt;"",INDEX('Base de données'!A$4:L$990,MATCH(A93,'Base de données'!A$4:A$990,0),12),"")</f>
        <v/>
      </c>
      <c r="D93" s="444"/>
      <c r="E93" s="444"/>
    </row>
    <row r="94" spans="1:5" x14ac:dyDescent="0.25">
      <c r="A94" s="444"/>
      <c r="B94" s="40" t="str">
        <f>IF(A94&lt;&gt;"",INDEX('Base de données'!A$4:L$990,MATCH(A94,'Base de données'!A$4:A$990,0),2),"")</f>
        <v/>
      </c>
      <c r="C94" s="40" t="str">
        <f>IF(A94&lt;&gt;"",INDEX('Base de données'!A$4:L$990,MATCH(A94,'Base de données'!A$4:A$990,0),12),"")</f>
        <v/>
      </c>
      <c r="D94" s="444"/>
      <c r="E94" s="444"/>
    </row>
    <row r="95" spans="1:5" x14ac:dyDescent="0.25">
      <c r="A95" s="444"/>
      <c r="B95" s="40" t="str">
        <f>IF(A95&lt;&gt;"",INDEX('Base de données'!A$4:L$990,MATCH(A95,'Base de données'!A$4:A$990,0),2),"")</f>
        <v/>
      </c>
      <c r="C95" s="40" t="str">
        <f>IF(A95&lt;&gt;"",INDEX('Base de données'!A$4:L$990,MATCH(A95,'Base de données'!A$4:A$990,0),12),"")</f>
        <v/>
      </c>
      <c r="D95" s="444"/>
      <c r="E95" s="444"/>
    </row>
    <row r="96" spans="1:5" x14ac:dyDescent="0.25">
      <c r="A96" s="444"/>
      <c r="B96" s="40" t="str">
        <f>IF(A96&lt;&gt;"",INDEX('Base de données'!A$4:L$990,MATCH(A96,'Base de données'!A$4:A$990,0),2),"")</f>
        <v/>
      </c>
      <c r="C96" s="40" t="str">
        <f>IF(A96&lt;&gt;"",INDEX('Base de données'!A$4:L$990,MATCH(A96,'Base de données'!A$4:A$990,0),12),"")</f>
        <v/>
      </c>
      <c r="D96" s="444"/>
      <c r="E96" s="444"/>
    </row>
    <row r="97" spans="1:5" x14ac:dyDescent="0.25">
      <c r="A97" s="444"/>
      <c r="B97" s="40" t="str">
        <f>IF(A97&lt;&gt;"",INDEX('Base de données'!A$4:L$990,MATCH(A97,'Base de données'!A$4:A$990,0),2),"")</f>
        <v/>
      </c>
      <c r="C97" s="40" t="str">
        <f>IF(A97&lt;&gt;"",INDEX('Base de données'!A$4:L$990,MATCH(A97,'Base de données'!A$4:A$990,0),12),"")</f>
        <v/>
      </c>
      <c r="D97" s="444"/>
      <c r="E97" s="444"/>
    </row>
    <row r="98" spans="1:5" x14ac:dyDescent="0.25">
      <c r="A98" s="444"/>
      <c r="B98" s="40" t="str">
        <f>IF(A98&lt;&gt;"",INDEX('Base de données'!A$4:L$990,MATCH(A98,'Base de données'!A$4:A$990,0),2),"")</f>
        <v/>
      </c>
      <c r="C98" s="40" t="str">
        <f>IF(A98&lt;&gt;"",INDEX('Base de données'!A$4:L$990,MATCH(A98,'Base de données'!A$4:A$990,0),12),"")</f>
        <v/>
      </c>
      <c r="D98" s="444"/>
      <c r="E98" s="444"/>
    </row>
    <row r="99" spans="1:5" x14ac:dyDescent="0.25">
      <c r="A99" s="444"/>
      <c r="B99" s="40" t="str">
        <f>IF(A99&lt;&gt;"",INDEX('Base de données'!A$4:L$990,MATCH(A99,'Base de données'!A$4:A$990,0),2),"")</f>
        <v/>
      </c>
      <c r="C99" s="40" t="str">
        <f>IF(A99&lt;&gt;"",INDEX('Base de données'!A$4:L$990,MATCH(A99,'Base de données'!A$4:A$990,0),12),"")</f>
        <v/>
      </c>
      <c r="D99" s="444"/>
      <c r="E99" s="444"/>
    </row>
    <row r="100" spans="1:5" x14ac:dyDescent="0.25">
      <c r="A100" s="444"/>
      <c r="B100" s="40" t="str">
        <f>IF(A100&lt;&gt;"",INDEX('Base de données'!A$4:L$990,MATCH(A100,'Base de données'!A$4:A$990,0),2),"")</f>
        <v/>
      </c>
      <c r="C100" s="40" t="str">
        <f>IF(A100&lt;&gt;"",INDEX('Base de données'!A$4:L$990,MATCH(A100,'Base de données'!A$4:A$990,0),12),"")</f>
        <v/>
      </c>
      <c r="D100" s="444"/>
      <c r="E100" s="444"/>
    </row>
    <row r="101" spans="1:5" x14ac:dyDescent="0.25">
      <c r="A101" s="444"/>
      <c r="B101" s="40" t="str">
        <f>IF(A101&lt;&gt;"",INDEX('Base de données'!A$4:L$990,MATCH(A101,'Base de données'!A$4:A$990,0),2),"")</f>
        <v/>
      </c>
      <c r="C101" s="40" t="str">
        <f>IF(A101&lt;&gt;"",INDEX('Base de données'!A$4:L$990,MATCH(A101,'Base de données'!A$4:A$990,0),12),"")</f>
        <v/>
      </c>
      <c r="D101" s="444"/>
      <c r="E101" s="444"/>
    </row>
    <row r="102" spans="1:5" x14ac:dyDescent="0.25">
      <c r="A102" s="444"/>
      <c r="B102" s="40" t="str">
        <f>IF(A102&lt;&gt;"",INDEX('Base de données'!A$4:L$990,MATCH(A102,'Base de données'!A$4:A$990,0),2),"")</f>
        <v/>
      </c>
      <c r="C102" s="40" t="str">
        <f>IF(A102&lt;&gt;"",INDEX('Base de données'!A$4:L$990,MATCH(A102,'Base de données'!A$4:A$990,0),12),"")</f>
        <v/>
      </c>
      <c r="D102" s="444"/>
      <c r="E102" s="444"/>
    </row>
    <row r="103" spans="1:5" x14ac:dyDescent="0.25">
      <c r="A103" s="444"/>
      <c r="B103" s="40" t="str">
        <f>IF(A103&lt;&gt;"",INDEX('Base de données'!A$4:L$990,MATCH(A103,'Base de données'!A$4:A$990,0),2),"")</f>
        <v/>
      </c>
      <c r="C103" s="40" t="str">
        <f>IF(A103&lt;&gt;"",INDEX('Base de données'!A$4:L$990,MATCH(A103,'Base de données'!A$4:A$990,0),12),"")</f>
        <v/>
      </c>
      <c r="D103" s="444"/>
      <c r="E103" s="444"/>
    </row>
    <row r="104" spans="1:5" x14ac:dyDescent="0.25">
      <c r="A104" s="444"/>
      <c r="B104" s="40" t="str">
        <f>IF(A104&lt;&gt;"",INDEX('Base de données'!A$4:L$990,MATCH(A104,'Base de données'!A$4:A$990,0),2),"")</f>
        <v/>
      </c>
      <c r="C104" s="40" t="str">
        <f>IF(A104&lt;&gt;"",INDEX('Base de données'!A$4:L$990,MATCH(A104,'Base de données'!A$4:A$990,0),12),"")</f>
        <v/>
      </c>
      <c r="D104" s="444"/>
      <c r="E104" s="444"/>
    </row>
    <row r="105" spans="1:5" x14ac:dyDescent="0.25">
      <c r="A105" s="444"/>
      <c r="B105" s="40" t="str">
        <f>IF(A105&lt;&gt;"",INDEX('Base de données'!A$4:L$990,MATCH(A105,'Base de données'!A$4:A$990,0),2),"")</f>
        <v/>
      </c>
      <c r="C105" s="40" t="str">
        <f>IF(A105&lt;&gt;"",INDEX('Base de données'!A$4:L$990,MATCH(A105,'Base de données'!A$4:A$990,0),12),"")</f>
        <v/>
      </c>
      <c r="D105" s="444"/>
      <c r="E105" s="444"/>
    </row>
    <row r="106" spans="1:5" x14ac:dyDescent="0.25">
      <c r="A106" s="444"/>
      <c r="B106" s="40" t="str">
        <f>IF(A106&lt;&gt;"",INDEX('Base de données'!A$4:L$990,MATCH(A106,'Base de données'!A$4:A$990,0),2),"")</f>
        <v/>
      </c>
      <c r="C106" s="40" t="str">
        <f>IF(A106&lt;&gt;"",INDEX('Base de données'!A$4:L$990,MATCH(A106,'Base de données'!A$4:A$990,0),12),"")</f>
        <v/>
      </c>
      <c r="D106" s="444"/>
      <c r="E106" s="444"/>
    </row>
    <row r="107" spans="1:5" x14ac:dyDescent="0.25">
      <c r="A107" s="444"/>
      <c r="B107" s="40" t="str">
        <f>IF(A107&lt;&gt;"",INDEX('Base de données'!A$4:L$990,MATCH(A107,'Base de données'!A$4:A$990,0),2),"")</f>
        <v/>
      </c>
      <c r="C107" s="40" t="str">
        <f>IF(A107&lt;&gt;"",INDEX('Base de données'!A$4:L$990,MATCH(A107,'Base de données'!A$4:A$990,0),12),"")</f>
        <v/>
      </c>
      <c r="D107" s="444"/>
      <c r="E107" s="444"/>
    </row>
    <row r="108" spans="1:5" x14ac:dyDescent="0.25">
      <c r="A108" s="444"/>
      <c r="B108" s="40" t="str">
        <f>IF(A108&lt;&gt;"",INDEX('Base de données'!A$4:L$990,MATCH(A108,'Base de données'!A$4:A$990,0),2),"")</f>
        <v/>
      </c>
      <c r="C108" s="40" t="str">
        <f>IF(A108&lt;&gt;"",INDEX('Base de données'!A$4:L$990,MATCH(A108,'Base de données'!A$4:A$990,0),12),"")</f>
        <v/>
      </c>
      <c r="D108" s="444"/>
      <c r="E108" s="444"/>
    </row>
    <row r="109" spans="1:5" x14ac:dyDescent="0.25">
      <c r="A109" s="444"/>
      <c r="B109" s="40" t="str">
        <f>IF(A109&lt;&gt;"",INDEX('Base de données'!A$4:L$990,MATCH(A109,'Base de données'!A$4:A$990,0),2),"")</f>
        <v/>
      </c>
      <c r="C109" s="40" t="str">
        <f>IF(A109&lt;&gt;"",INDEX('Base de données'!A$4:L$990,MATCH(A109,'Base de données'!A$4:A$990,0),12),"")</f>
        <v/>
      </c>
      <c r="D109" s="444"/>
      <c r="E109" s="444"/>
    </row>
    <row r="110" spans="1:5" x14ac:dyDescent="0.25">
      <c r="A110" s="444"/>
      <c r="B110" s="40" t="str">
        <f>IF(A110&lt;&gt;"",INDEX('Base de données'!A$4:L$990,MATCH(A110,'Base de données'!A$4:A$990,0),2),"")</f>
        <v/>
      </c>
      <c r="C110" s="40" t="str">
        <f>IF(A110&lt;&gt;"",INDEX('Base de données'!A$4:L$990,MATCH(A110,'Base de données'!A$4:A$990,0),12),"")</f>
        <v/>
      </c>
      <c r="D110" s="444"/>
      <c r="E110" s="444"/>
    </row>
    <row r="111" spans="1:5" x14ac:dyDescent="0.25">
      <c r="A111" s="444"/>
      <c r="B111" s="40" t="str">
        <f>IF(A111&lt;&gt;"",INDEX('Base de données'!A$4:L$990,MATCH(A111,'Base de données'!A$4:A$990,0),2),"")</f>
        <v/>
      </c>
      <c r="C111" s="40" t="str">
        <f>IF(A111&lt;&gt;"",INDEX('Base de données'!A$4:L$990,MATCH(A111,'Base de données'!A$4:A$990,0),12),"")</f>
        <v/>
      </c>
      <c r="D111" s="444"/>
      <c r="E111" s="444"/>
    </row>
    <row r="112" spans="1:5" x14ac:dyDescent="0.25">
      <c r="A112" s="444"/>
      <c r="B112" s="40" t="str">
        <f>IF(A112&lt;&gt;"",INDEX('Base de données'!A$4:L$990,MATCH(A112,'Base de données'!A$4:A$990,0),2),"")</f>
        <v/>
      </c>
      <c r="C112" s="40" t="str">
        <f>IF(A112&lt;&gt;"",INDEX('Base de données'!A$4:L$990,MATCH(A112,'Base de données'!A$4:A$990,0),12),"")</f>
        <v/>
      </c>
      <c r="D112" s="444"/>
      <c r="E112" s="444"/>
    </row>
    <row r="113" spans="1:5" x14ac:dyDescent="0.25">
      <c r="A113" s="444"/>
      <c r="B113" s="40" t="str">
        <f>IF(A113&lt;&gt;"",INDEX('Base de données'!A$4:L$990,MATCH(A113,'Base de données'!A$4:A$990,0),2),"")</f>
        <v/>
      </c>
      <c r="C113" s="40" t="str">
        <f>IF(A113&lt;&gt;"",INDEX('Base de données'!A$4:L$990,MATCH(A113,'Base de données'!A$4:A$990,0),12),"")</f>
        <v/>
      </c>
      <c r="D113" s="444"/>
      <c r="E113" s="444"/>
    </row>
    <row r="114" spans="1:5" x14ac:dyDescent="0.25">
      <c r="A114" s="444"/>
      <c r="B114" s="40" t="str">
        <f>IF(A114&lt;&gt;"",INDEX('Base de données'!A$4:L$990,MATCH(A114,'Base de données'!A$4:A$990,0),2),"")</f>
        <v/>
      </c>
      <c r="C114" s="40" t="str">
        <f>IF(A114&lt;&gt;"",INDEX('Base de données'!A$4:L$990,MATCH(A114,'Base de données'!A$4:A$990,0),12),"")</f>
        <v/>
      </c>
      <c r="D114" s="444"/>
      <c r="E114" s="444"/>
    </row>
    <row r="115" spans="1:5" x14ac:dyDescent="0.25">
      <c r="A115" s="444"/>
      <c r="B115" s="40" t="str">
        <f>IF(A115&lt;&gt;"",INDEX('Base de données'!A$4:L$990,MATCH(A115,'Base de données'!A$4:A$990,0),2),"")</f>
        <v/>
      </c>
      <c r="C115" s="40" t="str">
        <f>IF(A115&lt;&gt;"",INDEX('Base de données'!A$4:L$990,MATCH(A115,'Base de données'!A$4:A$990,0),12),"")</f>
        <v/>
      </c>
      <c r="D115" s="444"/>
      <c r="E115" s="444"/>
    </row>
    <row r="116" spans="1:5" x14ac:dyDescent="0.25">
      <c r="A116" s="444"/>
      <c r="B116" s="40" t="str">
        <f>IF(A116&lt;&gt;"",INDEX('Base de données'!A$4:L$990,MATCH(A116,'Base de données'!A$4:A$990,0),2),"")</f>
        <v/>
      </c>
      <c r="C116" s="40" t="str">
        <f>IF(A116&lt;&gt;"",INDEX('Base de données'!A$4:L$990,MATCH(A116,'Base de données'!A$4:A$990,0),12),"")</f>
        <v/>
      </c>
      <c r="D116" s="444"/>
      <c r="E116" s="444"/>
    </row>
    <row r="117" spans="1:5" x14ac:dyDescent="0.25">
      <c r="A117" s="444"/>
      <c r="B117" s="40" t="str">
        <f>IF(A117&lt;&gt;"",INDEX('Base de données'!A$4:L$990,MATCH(A117,'Base de données'!A$4:A$990,0),2),"")</f>
        <v/>
      </c>
      <c r="C117" s="40" t="str">
        <f>IF(A117&lt;&gt;"",INDEX('Base de données'!A$4:L$990,MATCH(A117,'Base de données'!A$4:A$990,0),12),"")</f>
        <v/>
      </c>
      <c r="D117" s="444"/>
      <c r="E117" s="444"/>
    </row>
    <row r="118" spans="1:5" x14ac:dyDescent="0.25">
      <c r="A118" s="444"/>
      <c r="B118" s="40" t="str">
        <f>IF(A118&lt;&gt;"",INDEX('Base de données'!A$4:L$990,MATCH(A118,'Base de données'!A$4:A$990,0),2),"")</f>
        <v/>
      </c>
      <c r="C118" s="40" t="str">
        <f>IF(A118&lt;&gt;"",INDEX('Base de données'!A$4:L$990,MATCH(A118,'Base de données'!A$4:A$990,0),12),"")</f>
        <v/>
      </c>
      <c r="D118" s="444"/>
      <c r="E118" s="444"/>
    </row>
    <row r="119" spans="1:5" x14ac:dyDescent="0.25">
      <c r="A119" s="444"/>
      <c r="B119" s="40" t="str">
        <f>IF(A119&lt;&gt;"",INDEX('Base de données'!A$4:L$990,MATCH(A119,'Base de données'!A$4:A$990,0),2),"")</f>
        <v/>
      </c>
      <c r="C119" s="40" t="str">
        <f>IF(A119&lt;&gt;"",INDEX('Base de données'!A$4:L$990,MATCH(A119,'Base de données'!A$4:A$990,0),12),"")</f>
        <v/>
      </c>
      <c r="D119" s="444"/>
      <c r="E119" s="444"/>
    </row>
    <row r="120" spans="1:5" x14ac:dyDescent="0.25">
      <c r="A120" s="444"/>
      <c r="B120" s="40" t="str">
        <f>IF(A120&lt;&gt;"",INDEX('Base de données'!A$4:L$990,MATCH(A120,'Base de données'!A$4:A$990,0),2),"")</f>
        <v/>
      </c>
      <c r="C120" s="40" t="str">
        <f>IF(A120&lt;&gt;"",INDEX('Base de données'!A$4:L$990,MATCH(A120,'Base de données'!A$4:A$990,0),12),"")</f>
        <v/>
      </c>
      <c r="D120" s="444"/>
      <c r="E120" s="444"/>
    </row>
    <row r="121" spans="1:5" x14ac:dyDescent="0.25">
      <c r="A121" s="444"/>
      <c r="B121" s="40" t="str">
        <f>IF(A121&lt;&gt;"",INDEX('Base de données'!A$4:L$990,MATCH(A121,'Base de données'!A$4:A$990,0),2),"")</f>
        <v/>
      </c>
      <c r="C121" s="40" t="str">
        <f>IF(A121&lt;&gt;"",INDEX('Base de données'!A$4:L$990,MATCH(A121,'Base de données'!A$4:A$990,0),12),"")</f>
        <v/>
      </c>
      <c r="D121" s="444"/>
      <c r="E121" s="444"/>
    </row>
    <row r="122" spans="1:5" x14ac:dyDescent="0.25">
      <c r="A122" s="444"/>
      <c r="B122" s="40" t="str">
        <f>IF(A122&lt;&gt;"",INDEX('Base de données'!A$4:L$990,MATCH(A122,'Base de données'!A$4:A$990,0),2),"")</f>
        <v/>
      </c>
      <c r="C122" s="40" t="str">
        <f>IF(A122&lt;&gt;"",INDEX('Base de données'!A$4:L$990,MATCH(A122,'Base de données'!A$4:A$990,0),12),"")</f>
        <v/>
      </c>
      <c r="D122" s="444"/>
      <c r="E122" s="444"/>
    </row>
    <row r="123" spans="1:5" x14ac:dyDescent="0.25">
      <c r="A123" s="444"/>
      <c r="B123" s="40" t="str">
        <f>IF(A123&lt;&gt;"",INDEX('Base de données'!A$4:L$990,MATCH(A123,'Base de données'!A$4:A$990,0),2),"")</f>
        <v/>
      </c>
      <c r="C123" s="40" t="str">
        <f>IF(A123&lt;&gt;"",INDEX('Base de données'!A$4:L$990,MATCH(A123,'Base de données'!A$4:A$990,0),12),"")</f>
        <v/>
      </c>
      <c r="D123" s="444"/>
      <c r="E123" s="444"/>
    </row>
    <row r="124" spans="1:5" x14ac:dyDescent="0.25">
      <c r="A124" s="444"/>
      <c r="B124" s="40" t="str">
        <f>IF(A124&lt;&gt;"",INDEX('Base de données'!A$4:L$990,MATCH(A124,'Base de données'!A$4:A$990,0),2),"")</f>
        <v/>
      </c>
      <c r="C124" s="40" t="str">
        <f>IF(A124&lt;&gt;"",INDEX('Base de données'!A$4:L$990,MATCH(A124,'Base de données'!A$4:A$990,0),12),"")</f>
        <v/>
      </c>
      <c r="D124" s="444"/>
      <c r="E124" s="444"/>
    </row>
    <row r="125" spans="1:5" x14ac:dyDescent="0.25">
      <c r="A125" s="444"/>
      <c r="B125" s="40" t="str">
        <f>IF(A125&lt;&gt;"",INDEX('Base de données'!A$4:L$990,MATCH(A125,'Base de données'!A$4:A$990,0),2),"")</f>
        <v/>
      </c>
      <c r="C125" s="40" t="str">
        <f>IF(A125&lt;&gt;"",INDEX('Base de données'!A$4:L$990,MATCH(A125,'Base de données'!A$4:A$990,0),12),"")</f>
        <v/>
      </c>
      <c r="D125" s="444"/>
      <c r="E125" s="444"/>
    </row>
    <row r="126" spans="1:5" x14ac:dyDescent="0.25">
      <c r="A126" s="444"/>
      <c r="B126" s="40" t="str">
        <f>IF(A126&lt;&gt;"",INDEX('Base de données'!A$4:L$990,MATCH(A126,'Base de données'!A$4:A$990,0),2),"")</f>
        <v/>
      </c>
      <c r="C126" s="40" t="str">
        <f>IF(A126&lt;&gt;"",INDEX('Base de données'!A$4:L$990,MATCH(A126,'Base de données'!A$4:A$990,0),12),"")</f>
        <v/>
      </c>
      <c r="D126" s="444"/>
      <c r="E126" s="444"/>
    </row>
    <row r="127" spans="1:5" x14ac:dyDescent="0.25">
      <c r="A127" s="444"/>
      <c r="B127" s="40" t="str">
        <f>IF(A127&lt;&gt;"",INDEX('Base de données'!A$4:L$990,MATCH(A127,'Base de données'!A$4:A$990,0),2),"")</f>
        <v/>
      </c>
      <c r="C127" s="40" t="str">
        <f>IF(A127&lt;&gt;"",INDEX('Base de données'!A$4:L$990,MATCH(A127,'Base de données'!A$4:A$990,0),12),"")</f>
        <v/>
      </c>
      <c r="D127" s="444"/>
      <c r="E127" s="444"/>
    </row>
    <row r="128" spans="1:5" x14ac:dyDescent="0.25">
      <c r="A128" s="444"/>
      <c r="B128" s="40" t="str">
        <f>IF(A128&lt;&gt;"",INDEX('Base de données'!A$4:L$990,MATCH(A128,'Base de données'!A$4:A$990,0),2),"")</f>
        <v/>
      </c>
      <c r="C128" s="40" t="str">
        <f>IF(A128&lt;&gt;"",INDEX('Base de données'!A$4:L$990,MATCH(A128,'Base de données'!A$4:A$990,0),12),"")</f>
        <v/>
      </c>
      <c r="D128" s="444"/>
      <c r="E128" s="444"/>
    </row>
    <row r="129" spans="1:5" x14ac:dyDescent="0.25">
      <c r="A129" s="444"/>
      <c r="B129" s="40" t="str">
        <f>IF(A129&lt;&gt;"",INDEX('Base de données'!A$4:L$990,MATCH(A129,'Base de données'!A$4:A$990,0),2),"")</f>
        <v/>
      </c>
      <c r="C129" s="40" t="str">
        <f>IF(A129&lt;&gt;"",INDEX('Base de données'!A$4:L$990,MATCH(A129,'Base de données'!A$4:A$990,0),12),"")</f>
        <v/>
      </c>
      <c r="D129" s="444"/>
      <c r="E129" s="444"/>
    </row>
    <row r="130" spans="1:5" x14ac:dyDescent="0.25">
      <c r="A130" s="444"/>
      <c r="B130" s="40" t="str">
        <f>IF(A130&lt;&gt;"",INDEX('Base de données'!A$4:L$990,MATCH(A130,'Base de données'!A$4:A$990,0),2),"")</f>
        <v/>
      </c>
      <c r="C130" s="40" t="str">
        <f>IF(A130&lt;&gt;"",INDEX('Base de données'!A$4:L$990,MATCH(A130,'Base de données'!A$4:A$990,0),12),"")</f>
        <v/>
      </c>
      <c r="D130" s="444"/>
      <c r="E130" s="444"/>
    </row>
    <row r="131" spans="1:5" x14ac:dyDescent="0.25">
      <c r="A131" s="444"/>
      <c r="B131" s="40" t="str">
        <f>IF(A131&lt;&gt;"",INDEX('Base de données'!A$4:L$990,MATCH(A131,'Base de données'!A$4:A$990,0),2),"")</f>
        <v/>
      </c>
      <c r="C131" s="40" t="str">
        <f>IF(A131&lt;&gt;"",INDEX('Base de données'!A$4:L$990,MATCH(A131,'Base de données'!A$4:A$990,0),12),"")</f>
        <v/>
      </c>
      <c r="D131" s="444"/>
      <c r="E131" s="444"/>
    </row>
    <row r="132" spans="1:5" x14ac:dyDescent="0.25">
      <c r="A132" s="444"/>
      <c r="B132" s="40" t="str">
        <f>IF(A132&lt;&gt;"",INDEX('Base de données'!A$4:L$990,MATCH(A132,'Base de données'!A$4:A$990,0),2),"")</f>
        <v/>
      </c>
      <c r="C132" s="40" t="str">
        <f>IF(A132&lt;&gt;"",INDEX('Base de données'!A$4:L$990,MATCH(A132,'Base de données'!A$4:A$990,0),12),"")</f>
        <v/>
      </c>
      <c r="D132" s="444"/>
      <c r="E132" s="444"/>
    </row>
    <row r="133" spans="1:5" x14ac:dyDescent="0.25">
      <c r="A133" s="444"/>
      <c r="B133" s="40" t="str">
        <f>IF(A133&lt;&gt;"",INDEX('Base de données'!A$4:L$990,MATCH(A133,'Base de données'!A$4:A$990,0),2),"")</f>
        <v/>
      </c>
      <c r="C133" s="40" t="str">
        <f>IF(A133&lt;&gt;"",INDEX('Base de données'!A$4:L$990,MATCH(A133,'Base de données'!A$4:A$990,0),12),"")</f>
        <v/>
      </c>
      <c r="D133" s="444"/>
      <c r="E133" s="444"/>
    </row>
    <row r="134" spans="1:5" x14ac:dyDescent="0.25">
      <c r="A134" s="444"/>
      <c r="B134" s="40" t="str">
        <f>IF(A134&lt;&gt;"",INDEX('Base de données'!A$4:L$990,MATCH(A134,'Base de données'!A$4:A$990,0),2),"")</f>
        <v/>
      </c>
      <c r="C134" s="40" t="str">
        <f>IF(A134&lt;&gt;"",INDEX('Base de données'!A$4:L$990,MATCH(A134,'Base de données'!A$4:A$990,0),12),"")</f>
        <v/>
      </c>
      <c r="D134" s="444"/>
      <c r="E134" s="444"/>
    </row>
    <row r="135" spans="1:5" x14ac:dyDescent="0.25">
      <c r="A135" s="444"/>
      <c r="B135" s="40" t="str">
        <f>IF(A135&lt;&gt;"",INDEX('Base de données'!A$4:L$990,MATCH(A135,'Base de données'!A$4:A$990,0),2),"")</f>
        <v/>
      </c>
      <c r="C135" s="40" t="str">
        <f>IF(A135&lt;&gt;"",INDEX('Base de données'!A$4:L$990,MATCH(A135,'Base de données'!A$4:A$990,0),12),"")</f>
        <v/>
      </c>
      <c r="D135" s="444"/>
      <c r="E135" s="444"/>
    </row>
    <row r="136" spans="1:5" x14ac:dyDescent="0.25">
      <c r="A136" s="444"/>
      <c r="B136" s="40" t="str">
        <f>IF(A136&lt;&gt;"",INDEX('Base de données'!A$4:L$990,MATCH(A136,'Base de données'!A$4:A$990,0),2),"")</f>
        <v/>
      </c>
      <c r="C136" s="40" t="str">
        <f>IF(A136&lt;&gt;"",INDEX('Base de données'!A$4:L$990,MATCH(A136,'Base de données'!A$4:A$990,0),12),"")</f>
        <v/>
      </c>
      <c r="D136" s="444"/>
      <c r="E136" s="444"/>
    </row>
    <row r="137" spans="1:5" x14ac:dyDescent="0.25">
      <c r="A137" s="444"/>
      <c r="B137" s="40" t="str">
        <f>IF(A137&lt;&gt;"",INDEX('Base de données'!A$4:L$990,MATCH(A137,'Base de données'!A$4:A$990,0),2),"")</f>
        <v/>
      </c>
      <c r="C137" s="40" t="str">
        <f>IF(A137&lt;&gt;"",INDEX('Base de données'!A$4:L$990,MATCH(A137,'Base de données'!A$4:A$990,0),12),"")</f>
        <v/>
      </c>
      <c r="D137" s="444"/>
      <c r="E137" s="444"/>
    </row>
    <row r="138" spans="1:5" x14ac:dyDescent="0.25">
      <c r="A138" s="444"/>
      <c r="B138" s="40" t="str">
        <f>IF(A138&lt;&gt;"",INDEX('Base de données'!A$4:L$990,MATCH(A138,'Base de données'!A$4:A$990,0),2),"")</f>
        <v/>
      </c>
      <c r="C138" s="40" t="str">
        <f>IF(A138&lt;&gt;"",INDEX('Base de données'!A$4:L$990,MATCH(A138,'Base de données'!A$4:A$990,0),12),"")</f>
        <v/>
      </c>
      <c r="D138" s="444"/>
      <c r="E138" s="444"/>
    </row>
    <row r="139" spans="1:5" x14ac:dyDescent="0.25">
      <c r="A139" s="444"/>
      <c r="B139" s="40" t="str">
        <f>IF(A139&lt;&gt;"",INDEX('Base de données'!A$4:L$990,MATCH(A139,'Base de données'!A$4:A$990,0),2),"")</f>
        <v/>
      </c>
      <c r="C139" s="40" t="str">
        <f>IF(A139&lt;&gt;"",INDEX('Base de données'!A$4:L$990,MATCH(A139,'Base de données'!A$4:A$990,0),12),"")</f>
        <v/>
      </c>
      <c r="D139" s="444"/>
      <c r="E139" s="444"/>
    </row>
    <row r="140" spans="1:5" x14ac:dyDescent="0.25">
      <c r="A140" s="444"/>
      <c r="B140" s="40" t="str">
        <f>IF(A140&lt;&gt;"",INDEX('Base de données'!A$4:L$990,MATCH(A140,'Base de données'!A$4:A$990,0),2),"")</f>
        <v/>
      </c>
      <c r="C140" s="40" t="str">
        <f>IF(A140&lt;&gt;"",INDEX('Base de données'!A$4:L$990,MATCH(A140,'Base de données'!A$4:A$990,0),12),"")</f>
        <v/>
      </c>
      <c r="D140" s="444"/>
      <c r="E140" s="444"/>
    </row>
    <row r="141" spans="1:5" x14ac:dyDescent="0.25">
      <c r="A141" s="444"/>
      <c r="B141" s="40" t="str">
        <f>IF(A141&lt;&gt;"",INDEX('Base de données'!A$4:L$990,MATCH(A141,'Base de données'!A$4:A$990,0),2),"")</f>
        <v/>
      </c>
      <c r="C141" s="40" t="str">
        <f>IF(A141&lt;&gt;"",INDEX('Base de données'!A$4:L$990,MATCH(A141,'Base de données'!A$4:A$990,0),12),"")</f>
        <v/>
      </c>
      <c r="D141" s="444"/>
      <c r="E141" s="444"/>
    </row>
    <row r="142" spans="1:5" x14ac:dyDescent="0.25">
      <c r="A142" s="444"/>
      <c r="B142" s="40" t="str">
        <f>IF(A142&lt;&gt;"",INDEX('Base de données'!A$4:L$990,MATCH(A142,'Base de données'!A$4:A$990,0),2),"")</f>
        <v/>
      </c>
      <c r="C142" s="40" t="str">
        <f>IF(A142&lt;&gt;"",INDEX('Base de données'!A$4:L$990,MATCH(A142,'Base de données'!A$4:A$990,0),12),"")</f>
        <v/>
      </c>
      <c r="D142" s="444"/>
      <c r="E142" s="444"/>
    </row>
    <row r="143" spans="1:5" x14ac:dyDescent="0.25">
      <c r="A143" s="444"/>
      <c r="B143" s="40" t="str">
        <f>IF(A143&lt;&gt;"",INDEX('Base de données'!A$4:L$990,MATCH(A143,'Base de données'!A$4:A$990,0),2),"")</f>
        <v/>
      </c>
      <c r="C143" s="40" t="str">
        <f>IF(A143&lt;&gt;"",INDEX('Base de données'!A$4:L$990,MATCH(A143,'Base de données'!A$4:A$990,0),12),"")</f>
        <v/>
      </c>
      <c r="D143" s="444"/>
      <c r="E143" s="444"/>
    </row>
    <row r="144" spans="1:5" x14ac:dyDescent="0.25">
      <c r="A144" s="444"/>
      <c r="B144" s="40" t="str">
        <f>IF(A144&lt;&gt;"",INDEX('Base de données'!A$4:L$990,MATCH(A144,'Base de données'!A$4:A$990,0),2),"")</f>
        <v/>
      </c>
      <c r="C144" s="40" t="str">
        <f>IF(A144&lt;&gt;"",INDEX('Base de données'!A$4:L$990,MATCH(A144,'Base de données'!A$4:A$990,0),12),"")</f>
        <v/>
      </c>
      <c r="D144" s="444"/>
      <c r="E144" s="444"/>
    </row>
    <row r="145" spans="1:5" x14ac:dyDescent="0.25">
      <c r="A145" s="444"/>
      <c r="B145" s="40" t="str">
        <f>IF(A145&lt;&gt;"",INDEX('Base de données'!A$4:L$990,MATCH(A145,'Base de données'!A$4:A$990,0),2),"")</f>
        <v/>
      </c>
      <c r="C145" s="40" t="str">
        <f>IF(A145&lt;&gt;"",INDEX('Base de données'!A$4:L$990,MATCH(A145,'Base de données'!A$4:A$990,0),12),"")</f>
        <v/>
      </c>
      <c r="D145" s="444"/>
      <c r="E145" s="444"/>
    </row>
    <row r="146" spans="1:5" x14ac:dyDescent="0.25">
      <c r="A146" s="444"/>
      <c r="B146" s="40" t="str">
        <f>IF(A146&lt;&gt;"",INDEX('Base de données'!A$4:L$990,MATCH(A146,'Base de données'!A$4:A$990,0),2),"")</f>
        <v/>
      </c>
      <c r="C146" s="40" t="str">
        <f>IF(A146&lt;&gt;"",INDEX('Base de données'!A$4:L$990,MATCH(A146,'Base de données'!A$4:A$990,0),12),"")</f>
        <v/>
      </c>
      <c r="D146" s="444"/>
      <c r="E146" s="444"/>
    </row>
    <row r="147" spans="1:5" x14ac:dyDescent="0.25">
      <c r="A147" s="444"/>
      <c r="B147" s="40" t="str">
        <f>IF(A147&lt;&gt;"",INDEX('Base de données'!A$4:L$990,MATCH(A147,'Base de données'!A$4:A$990,0),2),"")</f>
        <v/>
      </c>
      <c r="C147" s="40" t="str">
        <f>IF(A147&lt;&gt;"",INDEX('Base de données'!A$4:L$990,MATCH(A147,'Base de données'!A$4:A$990,0),12),"")</f>
        <v/>
      </c>
      <c r="D147" s="444"/>
      <c r="E147" s="444"/>
    </row>
    <row r="148" spans="1:5" x14ac:dyDescent="0.25">
      <c r="A148" s="444"/>
      <c r="B148" s="40" t="str">
        <f>IF(A148&lt;&gt;"",INDEX('Base de données'!A$4:L$990,MATCH(A148,'Base de données'!A$4:A$990,0),2),"")</f>
        <v/>
      </c>
      <c r="C148" s="40" t="str">
        <f>IF(A148&lt;&gt;"",INDEX('Base de données'!A$4:L$990,MATCH(A148,'Base de données'!A$4:A$990,0),12),"")</f>
        <v/>
      </c>
      <c r="D148" s="444"/>
      <c r="E148" s="444"/>
    </row>
    <row r="149" spans="1:5" x14ac:dyDescent="0.25">
      <c r="A149" s="444"/>
      <c r="B149" s="40" t="str">
        <f>IF(A149&lt;&gt;"",INDEX('Base de données'!A$4:L$990,MATCH(A149,'Base de données'!A$4:A$990,0),2),"")</f>
        <v/>
      </c>
      <c r="C149" s="40" t="str">
        <f>IF(A149&lt;&gt;"",INDEX('Base de données'!A$4:L$990,MATCH(A149,'Base de données'!A$4:A$990,0),12),"")</f>
        <v/>
      </c>
      <c r="D149" s="444"/>
      <c r="E149" s="444"/>
    </row>
    <row r="150" spans="1:5" x14ac:dyDescent="0.25">
      <c r="A150" s="444"/>
      <c r="B150" s="40" t="str">
        <f>IF(A150&lt;&gt;"",INDEX('Base de données'!A$4:L$990,MATCH(A150,'Base de données'!A$4:A$990,0),2),"")</f>
        <v/>
      </c>
      <c r="C150" s="40" t="str">
        <f>IF(A150&lt;&gt;"",INDEX('Base de données'!A$4:L$990,MATCH(A150,'Base de données'!A$4:A$990,0),12),"")</f>
        <v/>
      </c>
      <c r="D150" s="444"/>
      <c r="E150" s="444"/>
    </row>
    <row r="151" spans="1:5" x14ac:dyDescent="0.25">
      <c r="A151" s="444"/>
      <c r="B151" s="40" t="str">
        <f>IF(A151&lt;&gt;"",INDEX('Base de données'!A$4:L$990,MATCH(A151,'Base de données'!A$4:A$990,0),2),"")</f>
        <v/>
      </c>
      <c r="C151" s="40" t="str">
        <f>IF(A151&lt;&gt;"",INDEX('Base de données'!A$4:L$990,MATCH(A151,'Base de données'!A$4:A$990,0),12),"")</f>
        <v/>
      </c>
      <c r="D151" s="444"/>
      <c r="E151" s="444"/>
    </row>
    <row r="152" spans="1:5" x14ac:dyDescent="0.25">
      <c r="A152" s="444"/>
      <c r="B152" s="40" t="str">
        <f>IF(A152&lt;&gt;"",INDEX('Base de données'!A$4:L$990,MATCH(A152,'Base de données'!A$4:A$990,0),2),"")</f>
        <v/>
      </c>
      <c r="C152" s="40" t="str">
        <f>IF(A152&lt;&gt;"",INDEX('Base de données'!A$4:L$990,MATCH(A152,'Base de données'!A$4:A$990,0),12),"")</f>
        <v/>
      </c>
      <c r="D152" s="444"/>
      <c r="E152" s="444"/>
    </row>
    <row r="153" spans="1:5" x14ac:dyDescent="0.25">
      <c r="A153" s="444"/>
      <c r="B153" s="40" t="str">
        <f>IF(A153&lt;&gt;"",INDEX('Base de données'!A$4:L$990,MATCH(A153,'Base de données'!A$4:A$990,0),2),"")</f>
        <v/>
      </c>
      <c r="C153" s="40" t="str">
        <f>IF(A153&lt;&gt;"",INDEX('Base de données'!A$4:L$990,MATCH(A153,'Base de données'!A$4:A$990,0),12),"")</f>
        <v/>
      </c>
      <c r="D153" s="444"/>
      <c r="E153" s="444"/>
    </row>
    <row r="154" spans="1:5" x14ac:dyDescent="0.25">
      <c r="A154" s="444"/>
      <c r="B154" s="40" t="str">
        <f>IF(A154&lt;&gt;"",INDEX('Base de données'!A$4:L$990,MATCH(A154,'Base de données'!A$4:A$990,0),2),"")</f>
        <v/>
      </c>
      <c r="C154" s="40" t="str">
        <f>IF(A154&lt;&gt;"",INDEX('Base de données'!A$4:L$990,MATCH(A154,'Base de données'!A$4:A$990,0),12),"")</f>
        <v/>
      </c>
      <c r="D154" s="444"/>
      <c r="E154" s="444"/>
    </row>
    <row r="155" spans="1:5" x14ac:dyDescent="0.25">
      <c r="A155" s="444"/>
      <c r="B155" s="40" t="str">
        <f>IF(A155&lt;&gt;"",INDEX('Base de données'!A$4:L$990,MATCH(A155,'Base de données'!A$4:A$990,0),2),"")</f>
        <v/>
      </c>
      <c r="C155" s="40" t="str">
        <f>IF(A155&lt;&gt;"",INDEX('Base de données'!A$4:L$990,MATCH(A155,'Base de données'!A$4:A$990,0),12),"")</f>
        <v/>
      </c>
      <c r="D155" s="444"/>
      <c r="E155" s="444"/>
    </row>
    <row r="156" spans="1:5" x14ac:dyDescent="0.25">
      <c r="A156" s="444"/>
      <c r="B156" s="40" t="str">
        <f>IF(A156&lt;&gt;"",INDEX('Base de données'!A$4:L$990,MATCH(A156,'Base de données'!A$4:A$990,0),2),"")</f>
        <v/>
      </c>
      <c r="C156" s="40" t="str">
        <f>IF(A156&lt;&gt;"",INDEX('Base de données'!A$4:L$990,MATCH(A156,'Base de données'!A$4:A$990,0),12),"")</f>
        <v/>
      </c>
      <c r="D156" s="444"/>
      <c r="E156" s="444"/>
    </row>
    <row r="157" spans="1:5" x14ac:dyDescent="0.25">
      <c r="A157" s="444"/>
      <c r="B157" s="40" t="str">
        <f>IF(A157&lt;&gt;"",INDEX('Base de données'!A$4:L$990,MATCH(A157,'Base de données'!A$4:A$990,0),2),"")</f>
        <v/>
      </c>
      <c r="C157" s="40" t="str">
        <f>IF(A157&lt;&gt;"",INDEX('Base de données'!A$4:L$990,MATCH(A157,'Base de données'!A$4:A$990,0),12),"")</f>
        <v/>
      </c>
      <c r="D157" s="444"/>
      <c r="E157" s="444"/>
    </row>
    <row r="158" spans="1:5" x14ac:dyDescent="0.25">
      <c r="A158" s="444"/>
      <c r="B158" s="40" t="str">
        <f>IF(A158&lt;&gt;"",INDEX('Base de données'!A$4:L$990,MATCH(A158,'Base de données'!A$4:A$990,0),2),"")</f>
        <v/>
      </c>
      <c r="C158" s="40" t="str">
        <f>IF(A158&lt;&gt;"",INDEX('Base de données'!A$4:L$990,MATCH(A158,'Base de données'!A$4:A$990,0),12),"")</f>
        <v/>
      </c>
      <c r="D158" s="444"/>
      <c r="E158" s="444"/>
    </row>
    <row r="159" spans="1:5" x14ac:dyDescent="0.25">
      <c r="A159" s="444"/>
      <c r="B159" s="40" t="str">
        <f>IF(A159&lt;&gt;"",INDEX('Base de données'!A$4:L$990,MATCH(A159,'Base de données'!A$4:A$990,0),2),"")</f>
        <v/>
      </c>
      <c r="C159" s="40" t="str">
        <f>IF(A159&lt;&gt;"",INDEX('Base de données'!A$4:L$990,MATCH(A159,'Base de données'!A$4:A$990,0),12),"")</f>
        <v/>
      </c>
      <c r="D159" s="444"/>
      <c r="E159" s="444"/>
    </row>
    <row r="160" spans="1:5" x14ac:dyDescent="0.25">
      <c r="A160" s="444"/>
      <c r="B160" s="40" t="str">
        <f>IF(A160&lt;&gt;"",INDEX('Base de données'!A$4:L$990,MATCH(A160,'Base de données'!A$4:A$990,0),2),"")</f>
        <v/>
      </c>
      <c r="C160" s="40" t="str">
        <f>IF(A160&lt;&gt;"",INDEX('Base de données'!A$4:L$990,MATCH(A160,'Base de données'!A$4:A$990,0),12),"")</f>
        <v/>
      </c>
      <c r="D160" s="444"/>
      <c r="E160" s="444"/>
    </row>
    <row r="161" spans="1:5" x14ac:dyDescent="0.25">
      <c r="A161" s="444"/>
      <c r="B161" s="40" t="str">
        <f>IF(A161&lt;&gt;"",INDEX('Base de données'!A$4:L$990,MATCH(A161,'Base de données'!A$4:A$990,0),2),"")</f>
        <v/>
      </c>
      <c r="C161" s="40" t="str">
        <f>IF(A161&lt;&gt;"",INDEX('Base de données'!A$4:L$990,MATCH(A161,'Base de données'!A$4:A$990,0),12),"")</f>
        <v/>
      </c>
      <c r="D161" s="444"/>
      <c r="E161" s="444"/>
    </row>
    <row r="162" spans="1:5" x14ac:dyDescent="0.25">
      <c r="A162" s="444"/>
      <c r="B162" s="40" t="str">
        <f>IF(A162&lt;&gt;"",INDEX('Base de données'!A$4:L$990,MATCH(A162,'Base de données'!A$4:A$990,0),2),"")</f>
        <v/>
      </c>
      <c r="C162" s="40" t="str">
        <f>IF(A162&lt;&gt;"",INDEX('Base de données'!A$4:L$990,MATCH(A162,'Base de données'!A$4:A$990,0),12),"")</f>
        <v/>
      </c>
      <c r="D162" s="444"/>
      <c r="E162" s="444"/>
    </row>
    <row r="163" spans="1:5" x14ac:dyDescent="0.25">
      <c r="A163" s="444"/>
      <c r="B163" s="40" t="str">
        <f>IF(A163&lt;&gt;"",INDEX('Base de données'!A$4:L$990,MATCH(A163,'Base de données'!A$4:A$990,0),2),"")</f>
        <v/>
      </c>
      <c r="C163" s="40" t="str">
        <f>IF(A163&lt;&gt;"",INDEX('Base de données'!A$4:L$990,MATCH(A163,'Base de données'!A$4:A$990,0),12),"")</f>
        <v/>
      </c>
      <c r="D163" s="444"/>
      <c r="E163" s="444"/>
    </row>
    <row r="164" spans="1:5" x14ac:dyDescent="0.25">
      <c r="A164" s="444"/>
      <c r="B164" s="40" t="str">
        <f>IF(A164&lt;&gt;"",INDEX('Base de données'!A$4:L$990,MATCH(A164,'Base de données'!A$4:A$990,0),2),"")</f>
        <v/>
      </c>
      <c r="C164" s="40" t="str">
        <f>IF(A164&lt;&gt;"",INDEX('Base de données'!A$4:L$990,MATCH(A164,'Base de données'!A$4:A$990,0),12),"")</f>
        <v/>
      </c>
      <c r="D164" s="444"/>
      <c r="E164" s="444"/>
    </row>
    <row r="165" spans="1:5" x14ac:dyDescent="0.25">
      <c r="A165" s="444"/>
      <c r="B165" s="40" t="str">
        <f>IF(A165&lt;&gt;"",INDEX('Base de données'!A$4:L$990,MATCH(A165,'Base de données'!A$4:A$990,0),2),"")</f>
        <v/>
      </c>
      <c r="C165" s="40" t="str">
        <f>IF(A165&lt;&gt;"",INDEX('Base de données'!A$4:L$990,MATCH(A165,'Base de données'!A$4:A$990,0),12),"")</f>
        <v/>
      </c>
      <c r="D165" s="444"/>
      <c r="E165" s="444"/>
    </row>
    <row r="166" spans="1:5" x14ac:dyDescent="0.25">
      <c r="A166" s="444"/>
      <c r="B166" s="40" t="str">
        <f>IF(A166&lt;&gt;"",INDEX('Base de données'!A$4:L$990,MATCH(A166,'Base de données'!A$4:A$990,0),2),"")</f>
        <v/>
      </c>
      <c r="C166" s="40" t="str">
        <f>IF(A166&lt;&gt;"",INDEX('Base de données'!A$4:L$990,MATCH(A166,'Base de données'!A$4:A$990,0),12),"")</f>
        <v/>
      </c>
      <c r="D166" s="444"/>
      <c r="E166" s="444"/>
    </row>
    <row r="167" spans="1:5" x14ac:dyDescent="0.25">
      <c r="A167" s="444"/>
      <c r="B167" s="40" t="str">
        <f>IF(A167&lt;&gt;"",INDEX('Base de données'!A$4:L$990,MATCH(A167,'Base de données'!A$4:A$990,0),2),"")</f>
        <v/>
      </c>
      <c r="C167" s="40" t="str">
        <f>IF(A167&lt;&gt;"",INDEX('Base de données'!A$4:L$990,MATCH(A167,'Base de données'!A$4:A$990,0),12),"")</f>
        <v/>
      </c>
      <c r="D167" s="444"/>
      <c r="E167" s="444"/>
    </row>
    <row r="168" spans="1:5" x14ac:dyDescent="0.25">
      <c r="A168" s="444"/>
      <c r="B168" s="40" t="str">
        <f>IF(A168&lt;&gt;"",INDEX('Base de données'!A$4:L$990,MATCH(A168,'Base de données'!A$4:A$990,0),2),"")</f>
        <v/>
      </c>
      <c r="C168" s="40" t="str">
        <f>IF(A168&lt;&gt;"",INDEX('Base de données'!A$4:L$990,MATCH(A168,'Base de données'!A$4:A$990,0),12),"")</f>
        <v/>
      </c>
      <c r="D168" s="444"/>
      <c r="E168" s="444"/>
    </row>
    <row r="169" spans="1:5" x14ac:dyDescent="0.25">
      <c r="A169" s="444"/>
      <c r="B169" s="40" t="str">
        <f>IF(A169&lt;&gt;"",INDEX('Base de données'!A$4:L$990,MATCH(A169,'Base de données'!A$4:A$990,0),2),"")</f>
        <v/>
      </c>
      <c r="C169" s="40" t="str">
        <f>IF(A169&lt;&gt;"",INDEX('Base de données'!A$4:L$990,MATCH(A169,'Base de données'!A$4:A$990,0),12),"")</f>
        <v/>
      </c>
      <c r="D169" s="444"/>
      <c r="E169" s="444"/>
    </row>
    <row r="170" spans="1:5" x14ac:dyDescent="0.25">
      <c r="A170" s="444"/>
      <c r="B170" s="40" t="str">
        <f>IF(A170&lt;&gt;"",INDEX('Base de données'!A$4:L$990,MATCH(A170,'Base de données'!A$4:A$990,0),2),"")</f>
        <v/>
      </c>
      <c r="C170" s="40" t="str">
        <f>IF(A170&lt;&gt;"",INDEX('Base de données'!A$4:L$990,MATCH(A170,'Base de données'!A$4:A$990,0),12),"")</f>
        <v/>
      </c>
      <c r="D170" s="444"/>
      <c r="E170" s="444"/>
    </row>
    <row r="171" spans="1:5" x14ac:dyDescent="0.25">
      <c r="A171" s="444"/>
      <c r="B171" s="40" t="str">
        <f>IF(A171&lt;&gt;"",INDEX('Base de données'!A$4:L$990,MATCH(A171,'Base de données'!A$4:A$990,0),2),"")</f>
        <v/>
      </c>
      <c r="C171" s="40" t="str">
        <f>IF(A171&lt;&gt;"",INDEX('Base de données'!A$4:L$990,MATCH(A171,'Base de données'!A$4:A$990,0),12),"")</f>
        <v/>
      </c>
      <c r="D171" s="444"/>
      <c r="E171" s="444"/>
    </row>
    <row r="172" spans="1:5" x14ac:dyDescent="0.25">
      <c r="A172" s="444"/>
      <c r="B172" s="40" t="str">
        <f>IF(A172&lt;&gt;"",INDEX('Base de données'!A$4:L$990,MATCH(A172,'Base de données'!A$4:A$990,0),2),"")</f>
        <v/>
      </c>
      <c r="C172" s="40" t="str">
        <f>IF(A172&lt;&gt;"",INDEX('Base de données'!A$4:L$990,MATCH(A172,'Base de données'!A$4:A$990,0),12),"")</f>
        <v/>
      </c>
      <c r="D172" s="444"/>
      <c r="E172" s="444"/>
    </row>
    <row r="173" spans="1:5" x14ac:dyDescent="0.25">
      <c r="A173" s="444"/>
      <c r="B173" s="40" t="str">
        <f>IF(A173&lt;&gt;"",INDEX('Base de données'!A$4:L$990,MATCH(A173,'Base de données'!A$4:A$990,0),2),"")</f>
        <v/>
      </c>
      <c r="C173" s="40" t="str">
        <f>IF(A173&lt;&gt;"",INDEX('Base de données'!A$4:L$990,MATCH(A173,'Base de données'!A$4:A$990,0),12),"")</f>
        <v/>
      </c>
      <c r="D173" s="444"/>
      <c r="E173" s="444"/>
    </row>
    <row r="174" spans="1:5" x14ac:dyDescent="0.25">
      <c r="A174" s="444"/>
      <c r="B174" s="40" t="str">
        <f>IF(A174&lt;&gt;"",INDEX('Base de données'!A$4:L$990,MATCH(A174,'Base de données'!A$4:A$990,0),2),"")</f>
        <v/>
      </c>
      <c r="C174" s="40" t="str">
        <f>IF(A174&lt;&gt;"",INDEX('Base de données'!A$4:L$990,MATCH(A174,'Base de données'!A$4:A$990,0),12),"")</f>
        <v/>
      </c>
      <c r="D174" s="444"/>
      <c r="E174" s="444"/>
    </row>
    <row r="175" spans="1:5" x14ac:dyDescent="0.25">
      <c r="A175" s="444"/>
      <c r="B175" s="40" t="str">
        <f>IF(A175&lt;&gt;"",INDEX('Base de données'!A$4:L$990,MATCH(A175,'Base de données'!A$4:A$990,0),2),"")</f>
        <v/>
      </c>
      <c r="C175" s="40" t="str">
        <f>IF(A175&lt;&gt;"",INDEX('Base de données'!A$4:L$990,MATCH(A175,'Base de données'!A$4:A$990,0),12),"")</f>
        <v/>
      </c>
      <c r="D175" s="444"/>
      <c r="E175" s="444"/>
    </row>
    <row r="176" spans="1:5" x14ac:dyDescent="0.25">
      <c r="A176" s="444"/>
      <c r="B176" s="40" t="str">
        <f>IF(A176&lt;&gt;"",INDEX('Base de données'!A$4:L$990,MATCH(A176,'Base de données'!A$4:A$990,0),2),"")</f>
        <v/>
      </c>
      <c r="C176" s="40" t="str">
        <f>IF(A176&lt;&gt;"",INDEX('Base de données'!A$4:L$990,MATCH(A176,'Base de données'!A$4:A$990,0),12),"")</f>
        <v/>
      </c>
      <c r="D176" s="444"/>
      <c r="E176" s="444"/>
    </row>
    <row r="177" spans="1:5" x14ac:dyDescent="0.25">
      <c r="A177" s="444"/>
      <c r="B177" s="40" t="str">
        <f>IF(A177&lt;&gt;"",INDEX('Base de données'!A$4:L$990,MATCH(A177,'Base de données'!A$4:A$990,0),2),"")</f>
        <v/>
      </c>
      <c r="C177" s="40" t="str">
        <f>IF(A177&lt;&gt;"",INDEX('Base de données'!A$4:L$990,MATCH(A177,'Base de données'!A$4:A$990,0),12),"")</f>
        <v/>
      </c>
      <c r="D177" s="444"/>
      <c r="E177" s="444"/>
    </row>
    <row r="178" spans="1:5" x14ac:dyDescent="0.25">
      <c r="A178" s="444"/>
      <c r="B178" s="40" t="str">
        <f>IF(A178&lt;&gt;"",INDEX('Base de données'!A$4:L$990,MATCH(A178,'Base de données'!A$4:A$990,0),2),"")</f>
        <v/>
      </c>
      <c r="C178" s="40" t="str">
        <f>IF(A178&lt;&gt;"",INDEX('Base de données'!A$4:L$990,MATCH(A178,'Base de données'!A$4:A$990,0),12),"")</f>
        <v/>
      </c>
      <c r="D178" s="444"/>
      <c r="E178" s="444"/>
    </row>
    <row r="179" spans="1:5" x14ac:dyDescent="0.25">
      <c r="A179" s="444"/>
      <c r="B179" s="40" t="str">
        <f>IF(A179&lt;&gt;"",INDEX('Base de données'!A$4:L$990,MATCH(A179,'Base de données'!A$4:A$990,0),2),"")</f>
        <v/>
      </c>
      <c r="C179" s="40" t="str">
        <f>IF(A179&lt;&gt;"",INDEX('Base de données'!A$4:L$990,MATCH(A179,'Base de données'!A$4:A$990,0),12),"")</f>
        <v/>
      </c>
      <c r="D179" s="444"/>
      <c r="E179" s="444"/>
    </row>
    <row r="180" spans="1:5" x14ac:dyDescent="0.25">
      <c r="A180" s="444"/>
      <c r="B180" s="40" t="str">
        <f>IF(A180&lt;&gt;"",INDEX('Base de données'!A$4:L$990,MATCH(A180,'Base de données'!A$4:A$990,0),2),"")</f>
        <v/>
      </c>
      <c r="C180" s="40" t="str">
        <f>IF(A180&lt;&gt;"",INDEX('Base de données'!A$4:L$990,MATCH(A180,'Base de données'!A$4:A$990,0),12),"")</f>
        <v/>
      </c>
      <c r="D180" s="444"/>
      <c r="E180" s="444"/>
    </row>
    <row r="181" spans="1:5" x14ac:dyDescent="0.25">
      <c r="A181" s="444"/>
      <c r="B181" s="40" t="str">
        <f>IF(A181&lt;&gt;"",INDEX('Base de données'!A$4:L$990,MATCH(A181,'Base de données'!A$4:A$990,0),2),"")</f>
        <v/>
      </c>
      <c r="C181" s="40" t="str">
        <f>IF(A181&lt;&gt;"",INDEX('Base de données'!A$4:L$990,MATCH(A181,'Base de données'!A$4:A$990,0),12),"")</f>
        <v/>
      </c>
      <c r="D181" s="444"/>
      <c r="E181" s="444"/>
    </row>
    <row r="182" spans="1:5" x14ac:dyDescent="0.25">
      <c r="A182" s="444"/>
      <c r="B182" s="40" t="str">
        <f>IF(A182&lt;&gt;"",INDEX('Base de données'!A$4:L$990,MATCH(A182,'Base de données'!A$4:A$990,0),2),"")</f>
        <v/>
      </c>
      <c r="C182" s="40" t="str">
        <f>IF(A182&lt;&gt;"",INDEX('Base de données'!A$4:L$990,MATCH(A182,'Base de données'!A$4:A$990,0),12),"")</f>
        <v/>
      </c>
      <c r="D182" s="444"/>
      <c r="E182" s="444"/>
    </row>
    <row r="183" spans="1:5" x14ac:dyDescent="0.25">
      <c r="A183" s="444"/>
      <c r="B183" s="40" t="str">
        <f>IF(A183&lt;&gt;"",INDEX('Base de données'!A$4:L$990,MATCH(A183,'Base de données'!A$4:A$990,0),2),"")</f>
        <v/>
      </c>
      <c r="C183" s="40" t="str">
        <f>IF(A183&lt;&gt;"",INDEX('Base de données'!A$4:L$990,MATCH(A183,'Base de données'!A$4:A$990,0),12),"")</f>
        <v/>
      </c>
      <c r="D183" s="444"/>
      <c r="E183" s="444"/>
    </row>
    <row r="184" spans="1:5" x14ac:dyDescent="0.25">
      <c r="A184" s="444"/>
      <c r="B184" s="40" t="str">
        <f>IF(A184&lt;&gt;"",INDEX('Base de données'!A$4:L$990,MATCH(A184,'Base de données'!A$4:A$990,0),2),"")</f>
        <v/>
      </c>
      <c r="C184" s="40" t="str">
        <f>IF(A184&lt;&gt;"",INDEX('Base de données'!A$4:L$990,MATCH(A184,'Base de données'!A$4:A$990,0),12),"")</f>
        <v/>
      </c>
      <c r="D184" s="444"/>
      <c r="E184" s="444"/>
    </row>
    <row r="185" spans="1:5" x14ac:dyDescent="0.25">
      <c r="A185" s="444"/>
      <c r="B185" s="40" t="str">
        <f>IF(A185&lt;&gt;"",INDEX('Base de données'!A$4:L$990,MATCH(A185,'Base de données'!A$4:A$990,0),2),"")</f>
        <v/>
      </c>
      <c r="C185" s="40" t="str">
        <f>IF(A185&lt;&gt;"",INDEX('Base de données'!A$4:L$990,MATCH(A185,'Base de données'!A$4:A$990,0),12),"")</f>
        <v/>
      </c>
      <c r="D185" s="444"/>
      <c r="E185" s="444"/>
    </row>
    <row r="186" spans="1:5" x14ac:dyDescent="0.25">
      <c r="A186" s="444"/>
      <c r="B186" s="40" t="str">
        <f>IF(A186&lt;&gt;"",INDEX('Base de données'!A$4:L$990,MATCH(A186,'Base de données'!A$4:A$990,0),2),"")</f>
        <v/>
      </c>
      <c r="C186" s="40" t="str">
        <f>IF(A186&lt;&gt;"",INDEX('Base de données'!A$4:L$990,MATCH(A186,'Base de données'!A$4:A$990,0),12),"")</f>
        <v/>
      </c>
      <c r="D186" s="444"/>
      <c r="E186" s="444"/>
    </row>
    <row r="187" spans="1:5" x14ac:dyDescent="0.25">
      <c r="A187" s="444"/>
      <c r="B187" s="40" t="str">
        <f>IF(A187&lt;&gt;"",INDEX('Base de données'!A$4:L$990,MATCH(A187,'Base de données'!A$4:A$990,0),2),"")</f>
        <v/>
      </c>
      <c r="C187" s="40" t="str">
        <f>IF(A187&lt;&gt;"",INDEX('Base de données'!A$4:L$990,MATCH(A187,'Base de données'!A$4:A$990,0),12),"")</f>
        <v/>
      </c>
      <c r="D187" s="444"/>
      <c r="E187" s="444"/>
    </row>
    <row r="188" spans="1:5" x14ac:dyDescent="0.25">
      <c r="A188" s="444"/>
      <c r="B188" s="40" t="str">
        <f>IF(A188&lt;&gt;"",INDEX('Base de données'!A$4:L$990,MATCH(A188,'Base de données'!A$4:A$990,0),2),"")</f>
        <v/>
      </c>
      <c r="C188" s="40" t="str">
        <f>IF(A188&lt;&gt;"",INDEX('Base de données'!A$4:L$990,MATCH(A188,'Base de données'!A$4:A$990,0),12),"")</f>
        <v/>
      </c>
      <c r="D188" s="444"/>
      <c r="E188" s="444"/>
    </row>
    <row r="189" spans="1:5" x14ac:dyDescent="0.25">
      <c r="A189" s="444"/>
      <c r="B189" s="40" t="str">
        <f>IF(A189&lt;&gt;"",INDEX('Base de données'!A$4:L$990,MATCH(A189,'Base de données'!A$4:A$990,0),2),"")</f>
        <v/>
      </c>
      <c r="C189" s="40" t="str">
        <f>IF(A189&lt;&gt;"",INDEX('Base de données'!A$4:L$990,MATCH(A189,'Base de données'!A$4:A$990,0),12),"")</f>
        <v/>
      </c>
      <c r="D189" s="444"/>
      <c r="E189" s="444"/>
    </row>
    <row r="190" spans="1:5" x14ac:dyDescent="0.25">
      <c r="A190" s="444"/>
      <c r="B190" s="40" t="str">
        <f>IF(A190&lt;&gt;"",INDEX('Base de données'!A$4:L$990,MATCH(A190,'Base de données'!A$4:A$990,0),2),"")</f>
        <v/>
      </c>
      <c r="C190" s="40" t="str">
        <f>IF(A190&lt;&gt;"",INDEX('Base de données'!A$4:L$990,MATCH(A190,'Base de données'!A$4:A$990,0),12),"")</f>
        <v/>
      </c>
      <c r="D190" s="444"/>
      <c r="E190" s="444"/>
    </row>
    <row r="191" spans="1:5" x14ac:dyDescent="0.25">
      <c r="A191" s="444"/>
      <c r="B191" s="40" t="str">
        <f>IF(A191&lt;&gt;"",INDEX('Base de données'!A$4:L$990,MATCH(A191,'Base de données'!A$4:A$990,0),2),"")</f>
        <v/>
      </c>
      <c r="C191" s="40" t="str">
        <f>IF(A191&lt;&gt;"",INDEX('Base de données'!A$4:L$990,MATCH(A191,'Base de données'!A$4:A$990,0),12),"")</f>
        <v/>
      </c>
      <c r="D191" s="444"/>
      <c r="E191" s="444"/>
    </row>
    <row r="192" spans="1:5" x14ac:dyDescent="0.25">
      <c r="A192" s="444"/>
      <c r="B192" s="40" t="str">
        <f>IF(A192&lt;&gt;"",INDEX('Base de données'!A$4:L$990,MATCH(A192,'Base de données'!A$4:A$990,0),2),"")</f>
        <v/>
      </c>
      <c r="C192" s="40" t="str">
        <f>IF(A192&lt;&gt;"",INDEX('Base de données'!A$4:L$990,MATCH(A192,'Base de données'!A$4:A$990,0),12),"")</f>
        <v/>
      </c>
      <c r="D192" s="444"/>
      <c r="E192" s="444"/>
    </row>
    <row r="193" spans="1:5" x14ac:dyDescent="0.25">
      <c r="A193" s="444"/>
      <c r="B193" s="40" t="str">
        <f>IF(A193&lt;&gt;"",INDEX('Base de données'!A$4:L$990,MATCH(A193,'Base de données'!A$4:A$990,0),2),"")</f>
        <v/>
      </c>
      <c r="C193" s="40" t="str">
        <f>IF(A193&lt;&gt;"",INDEX('Base de données'!A$4:L$990,MATCH(A193,'Base de données'!A$4:A$990,0),12),"")</f>
        <v/>
      </c>
      <c r="D193" s="444"/>
      <c r="E193" s="444"/>
    </row>
    <row r="194" spans="1:5" x14ac:dyDescent="0.25">
      <c r="A194" s="444"/>
      <c r="B194" s="40" t="str">
        <f>IF(A194&lt;&gt;"",INDEX('Base de données'!A$4:L$990,MATCH(A194,'Base de données'!A$4:A$990,0),2),"")</f>
        <v/>
      </c>
      <c r="C194" s="40" t="str">
        <f>IF(A194&lt;&gt;"",INDEX('Base de données'!A$4:L$990,MATCH(A194,'Base de données'!A$4:A$990,0),12),"")</f>
        <v/>
      </c>
      <c r="D194" s="444"/>
      <c r="E194" s="444"/>
    </row>
    <row r="195" spans="1:5" x14ac:dyDescent="0.25">
      <c r="A195" s="444"/>
      <c r="B195" s="40" t="str">
        <f>IF(A195&lt;&gt;"",INDEX('Base de données'!A$4:L$990,MATCH(A195,'Base de données'!A$4:A$990,0),2),"")</f>
        <v/>
      </c>
      <c r="C195" s="40" t="str">
        <f>IF(A195&lt;&gt;"",INDEX('Base de données'!A$4:L$990,MATCH(A195,'Base de données'!A$4:A$990,0),12),"")</f>
        <v/>
      </c>
      <c r="D195" s="444"/>
      <c r="E195" s="444"/>
    </row>
    <row r="196" spans="1:5" x14ac:dyDescent="0.25">
      <c r="A196" s="444"/>
      <c r="B196" s="40" t="str">
        <f>IF(A196&lt;&gt;"",INDEX('Base de données'!A$4:L$990,MATCH(A196,'Base de données'!A$4:A$990,0),2),"")</f>
        <v/>
      </c>
      <c r="C196" s="40" t="str">
        <f>IF(A196&lt;&gt;"",INDEX('Base de données'!A$4:L$990,MATCH(A196,'Base de données'!A$4:A$990,0),12),"")</f>
        <v/>
      </c>
      <c r="D196" s="444"/>
      <c r="E196" s="444"/>
    </row>
    <row r="197" spans="1:5" x14ac:dyDescent="0.25">
      <c r="A197" s="444"/>
      <c r="B197" s="40" t="str">
        <f>IF(A197&lt;&gt;"",INDEX('Base de données'!A$4:L$990,MATCH(A197,'Base de données'!A$4:A$990,0),2),"")</f>
        <v/>
      </c>
      <c r="C197" s="40" t="str">
        <f>IF(A197&lt;&gt;"",INDEX('Base de données'!A$4:L$990,MATCH(A197,'Base de données'!A$4:A$990,0),12),"")</f>
        <v/>
      </c>
      <c r="D197" s="444"/>
      <c r="E197" s="444"/>
    </row>
    <row r="198" spans="1:5" x14ac:dyDescent="0.25">
      <c r="A198" s="444"/>
      <c r="B198" s="40" t="str">
        <f>IF(A198&lt;&gt;"",INDEX('Base de données'!A$4:L$990,MATCH(A198,'Base de données'!A$4:A$990,0),2),"")</f>
        <v/>
      </c>
      <c r="C198" s="40" t="str">
        <f>IF(A198&lt;&gt;"",INDEX('Base de données'!A$4:L$990,MATCH(A198,'Base de données'!A$4:A$990,0),12),"")</f>
        <v/>
      </c>
      <c r="D198" s="444"/>
      <c r="E198" s="444"/>
    </row>
    <row r="199" spans="1:5" x14ac:dyDescent="0.25">
      <c r="A199" s="444"/>
      <c r="B199" s="40" t="str">
        <f>IF(A199&lt;&gt;"",INDEX('Base de données'!A$4:L$990,MATCH(A199,'Base de données'!A$4:A$990,0),2),"")</f>
        <v/>
      </c>
      <c r="C199" s="40" t="str">
        <f>IF(A199&lt;&gt;"",INDEX('Base de données'!A$4:L$990,MATCH(A199,'Base de données'!A$4:A$990,0),12),"")</f>
        <v/>
      </c>
      <c r="D199" s="444"/>
      <c r="E199" s="444"/>
    </row>
    <row r="200" spans="1:5" x14ac:dyDescent="0.25">
      <c r="A200" s="444"/>
      <c r="B200" s="40" t="str">
        <f>IF(A200&lt;&gt;"",INDEX('Base de données'!A$4:L$990,MATCH(A200,'Base de données'!A$4:A$990,0),2),"")</f>
        <v/>
      </c>
      <c r="C200" s="40" t="str">
        <f>IF(A200&lt;&gt;"",INDEX('Base de données'!A$4:L$990,MATCH(A200,'Base de données'!A$4:A$990,0),12),"")</f>
        <v/>
      </c>
      <c r="D200" s="444"/>
      <c r="E200" s="444"/>
    </row>
    <row r="201" spans="1:5" x14ac:dyDescent="0.25">
      <c r="A201" s="444"/>
      <c r="B201" s="40" t="str">
        <f>IF(A201&lt;&gt;"",INDEX('Base de données'!A$4:L$990,MATCH(A201,'Base de données'!A$4:A$990,0),2),"")</f>
        <v/>
      </c>
      <c r="C201" s="40" t="str">
        <f>IF(A201&lt;&gt;"",INDEX('Base de données'!A$4:L$990,MATCH(A201,'Base de données'!A$4:A$990,0),12),"")</f>
        <v/>
      </c>
      <c r="D201" s="444"/>
      <c r="E201" s="444"/>
    </row>
    <row r="202" spans="1:5" x14ac:dyDescent="0.25">
      <c r="A202" s="444"/>
      <c r="B202" s="40" t="str">
        <f>IF(A202&lt;&gt;"",INDEX('Base de données'!A$4:L$990,MATCH(A202,'Base de données'!A$4:A$990,0),2),"")</f>
        <v/>
      </c>
      <c r="C202" s="40" t="str">
        <f>IF(A202&lt;&gt;"",INDEX('Base de données'!A$4:L$990,MATCH(A202,'Base de données'!A$4:A$990,0),12),"")</f>
        <v/>
      </c>
      <c r="D202" s="444"/>
      <c r="E202" s="444"/>
    </row>
    <row r="203" spans="1:5" x14ac:dyDescent="0.25">
      <c r="A203" s="444"/>
      <c r="B203" s="40" t="str">
        <f>IF(A203&lt;&gt;"",INDEX('Base de données'!A$4:L$990,MATCH(A203,'Base de données'!A$4:A$990,0),2),"")</f>
        <v/>
      </c>
      <c r="C203" s="40" t="str">
        <f>IF(A203&lt;&gt;"",INDEX('Base de données'!A$4:L$990,MATCH(A203,'Base de données'!A$4:A$990,0),12),"")</f>
        <v/>
      </c>
      <c r="D203" s="444"/>
      <c r="E203" s="444"/>
    </row>
    <row r="204" spans="1:5" x14ac:dyDescent="0.25">
      <c r="A204" s="444"/>
      <c r="B204" s="40" t="str">
        <f>IF(A204&lt;&gt;"",INDEX('Base de données'!A$4:L$990,MATCH(A204,'Base de données'!A$4:A$990,0),2),"")</f>
        <v/>
      </c>
      <c r="C204" s="40" t="str">
        <f>IF(A204&lt;&gt;"",INDEX('Base de données'!A$4:L$990,MATCH(A204,'Base de données'!A$4:A$990,0),12),"")</f>
        <v/>
      </c>
      <c r="D204" s="444"/>
      <c r="E204" s="444"/>
    </row>
    <row r="205" spans="1:5" x14ac:dyDescent="0.25">
      <c r="A205" s="444"/>
      <c r="B205" s="40" t="str">
        <f>IF(A205&lt;&gt;"",INDEX('Base de données'!A$4:L$990,MATCH(A205,'Base de données'!A$4:A$990,0),2),"")</f>
        <v/>
      </c>
      <c r="C205" s="40" t="str">
        <f>IF(A205&lt;&gt;"",INDEX('Base de données'!A$4:L$990,MATCH(A205,'Base de données'!A$4:A$990,0),12),"")</f>
        <v/>
      </c>
      <c r="D205" s="444"/>
      <c r="E205" s="444"/>
    </row>
    <row r="206" spans="1:5" x14ac:dyDescent="0.25">
      <c r="A206" s="444"/>
      <c r="B206" s="40" t="str">
        <f>IF(A206&lt;&gt;"",INDEX('Base de données'!A$4:L$990,MATCH(A206,'Base de données'!A$4:A$990,0),2),"")</f>
        <v/>
      </c>
      <c r="C206" s="40" t="str">
        <f>IF(A206&lt;&gt;"",INDEX('Base de données'!A$4:L$990,MATCH(A206,'Base de données'!A$4:A$990,0),12),"")</f>
        <v/>
      </c>
      <c r="D206" s="444"/>
      <c r="E206" s="444"/>
    </row>
    <row r="207" spans="1:5" x14ac:dyDescent="0.25">
      <c r="A207" s="444"/>
      <c r="B207" s="40" t="str">
        <f>IF(A207&lt;&gt;"",INDEX('Base de données'!A$4:L$990,MATCH(A207,'Base de données'!A$4:A$990,0),2),"")</f>
        <v/>
      </c>
      <c r="C207" s="40" t="str">
        <f>IF(A207&lt;&gt;"",INDEX('Base de données'!A$4:L$990,MATCH(A207,'Base de données'!A$4:A$990,0),12),"")</f>
        <v/>
      </c>
      <c r="D207" s="444"/>
      <c r="E207" s="444"/>
    </row>
    <row r="208" spans="1:5" x14ac:dyDescent="0.25">
      <c r="A208" s="444"/>
      <c r="B208" s="40" t="str">
        <f>IF(A208&lt;&gt;"",INDEX('Base de données'!A$4:L$990,MATCH(A208,'Base de données'!A$4:A$990,0),2),"")</f>
        <v/>
      </c>
      <c r="C208" s="40" t="str">
        <f>IF(A208&lt;&gt;"",INDEX('Base de données'!A$4:L$990,MATCH(A208,'Base de données'!A$4:A$990,0),12),"")</f>
        <v/>
      </c>
      <c r="D208" s="444"/>
      <c r="E208" s="444"/>
    </row>
    <row r="209" spans="1:5" x14ac:dyDescent="0.25">
      <c r="A209" s="444"/>
      <c r="B209" s="40" t="str">
        <f>IF(A209&lt;&gt;"",INDEX('Base de données'!A$4:L$990,MATCH(A209,'Base de données'!A$4:A$990,0),2),"")</f>
        <v/>
      </c>
      <c r="C209" s="40" t="str">
        <f>IF(A209&lt;&gt;"",INDEX('Base de données'!A$4:L$990,MATCH(A209,'Base de données'!A$4:A$990,0),12),"")</f>
        <v/>
      </c>
      <c r="D209" s="444"/>
      <c r="E209" s="444"/>
    </row>
    <row r="210" spans="1:5" x14ac:dyDescent="0.25">
      <c r="A210" s="444"/>
      <c r="B210" s="40" t="str">
        <f>IF(A210&lt;&gt;"",INDEX('Base de données'!A$4:L$990,MATCH(A210,'Base de données'!A$4:A$990,0),2),"")</f>
        <v/>
      </c>
      <c r="C210" s="40" t="str">
        <f>IF(A210&lt;&gt;"",INDEX('Base de données'!A$4:L$990,MATCH(A210,'Base de données'!A$4:A$990,0),12),"")</f>
        <v/>
      </c>
      <c r="D210" s="444"/>
      <c r="E210" s="444"/>
    </row>
    <row r="211" spans="1:5" x14ac:dyDescent="0.25">
      <c r="A211" s="444"/>
      <c r="B211" s="40" t="str">
        <f>IF(A211&lt;&gt;"",INDEX('Base de données'!A$4:L$990,MATCH(A211,'Base de données'!A$4:A$990,0),2),"")</f>
        <v/>
      </c>
      <c r="C211" s="40" t="str">
        <f>IF(A211&lt;&gt;"",INDEX('Base de données'!A$4:L$990,MATCH(A211,'Base de données'!A$4:A$990,0),12),"")</f>
        <v/>
      </c>
      <c r="D211" s="444"/>
      <c r="E211" s="444"/>
    </row>
    <row r="212" spans="1:5" x14ac:dyDescent="0.25">
      <c r="A212" s="444"/>
      <c r="B212" s="40" t="str">
        <f>IF(A212&lt;&gt;"",INDEX('Base de données'!A$4:L$990,MATCH(A212,'Base de données'!A$4:A$990,0),2),"")</f>
        <v/>
      </c>
      <c r="C212" s="40" t="str">
        <f>IF(A212&lt;&gt;"",INDEX('Base de données'!A$4:L$990,MATCH(A212,'Base de données'!A$4:A$990,0),12),"")</f>
        <v/>
      </c>
      <c r="D212" s="444"/>
      <c r="E212" s="444"/>
    </row>
    <row r="213" spans="1:5" x14ac:dyDescent="0.25">
      <c r="A213" s="444"/>
      <c r="B213" s="40" t="str">
        <f>IF(A213&lt;&gt;"",INDEX('Base de données'!A$4:L$990,MATCH(A213,'Base de données'!A$4:A$990,0),2),"")</f>
        <v/>
      </c>
      <c r="C213" s="40" t="str">
        <f>IF(A213&lt;&gt;"",INDEX('Base de données'!A$4:L$990,MATCH(A213,'Base de données'!A$4:A$990,0),12),"")</f>
        <v/>
      </c>
      <c r="D213" s="444"/>
      <c r="E213" s="444"/>
    </row>
    <row r="214" spans="1:5" x14ac:dyDescent="0.25">
      <c r="A214" s="444"/>
      <c r="B214" s="40" t="str">
        <f>IF(A214&lt;&gt;"",INDEX('Base de données'!A$4:L$990,MATCH(A214,'Base de données'!A$4:A$990,0),2),"")</f>
        <v/>
      </c>
      <c r="C214" s="40" t="str">
        <f>IF(A214&lt;&gt;"",INDEX('Base de données'!A$4:L$990,MATCH(A214,'Base de données'!A$4:A$990,0),12),"")</f>
        <v/>
      </c>
      <c r="D214" s="444"/>
      <c r="E214" s="444"/>
    </row>
    <row r="215" spans="1:5" x14ac:dyDescent="0.25">
      <c r="A215" s="444"/>
      <c r="B215" s="40" t="str">
        <f>IF(A215&lt;&gt;"",INDEX('Base de données'!A$4:L$990,MATCH(A215,'Base de données'!A$4:A$990,0),2),"")</f>
        <v/>
      </c>
      <c r="C215" s="40" t="str">
        <f>IF(A215&lt;&gt;"",INDEX('Base de données'!A$4:L$990,MATCH(A215,'Base de données'!A$4:A$990,0),12),"")</f>
        <v/>
      </c>
      <c r="D215" s="444"/>
      <c r="E215" s="444"/>
    </row>
    <row r="216" spans="1:5" x14ac:dyDescent="0.25">
      <c r="A216" s="444"/>
      <c r="B216" s="40" t="str">
        <f>IF(A216&lt;&gt;"",INDEX('Base de données'!A$4:L$990,MATCH(A216,'Base de données'!A$4:A$990,0),2),"")</f>
        <v/>
      </c>
      <c r="C216" s="40" t="str">
        <f>IF(A216&lt;&gt;"",INDEX('Base de données'!A$4:L$990,MATCH(A216,'Base de données'!A$4:A$990,0),12),"")</f>
        <v/>
      </c>
      <c r="D216" s="444"/>
      <c r="E216" s="444"/>
    </row>
    <row r="217" spans="1:5" x14ac:dyDescent="0.25">
      <c r="A217" s="444"/>
      <c r="B217" s="40" t="str">
        <f>IF(A217&lt;&gt;"",INDEX('Base de données'!A$4:L$990,MATCH(A217,'Base de données'!A$4:A$990,0),2),"")</f>
        <v/>
      </c>
      <c r="C217" s="40" t="str">
        <f>IF(A217&lt;&gt;"",INDEX('Base de données'!A$4:L$990,MATCH(A217,'Base de données'!A$4:A$990,0),12),"")</f>
        <v/>
      </c>
      <c r="D217" s="444"/>
      <c r="E217" s="444"/>
    </row>
    <row r="218" spans="1:5" x14ac:dyDescent="0.25">
      <c r="A218" s="444"/>
      <c r="B218" s="40" t="str">
        <f>IF(A218&lt;&gt;"",INDEX('Base de données'!A$4:L$990,MATCH(A218,'Base de données'!A$4:A$990,0),2),"")</f>
        <v/>
      </c>
      <c r="C218" s="40" t="str">
        <f>IF(A218&lt;&gt;"",INDEX('Base de données'!A$4:L$990,MATCH(A218,'Base de données'!A$4:A$990,0),12),"")</f>
        <v/>
      </c>
      <c r="D218" s="444"/>
      <c r="E218" s="444"/>
    </row>
    <row r="219" spans="1:5" x14ac:dyDescent="0.25">
      <c r="A219" s="444"/>
      <c r="B219" s="40" t="str">
        <f>IF(A219&lt;&gt;"",INDEX('Base de données'!A$4:L$990,MATCH(A219,'Base de données'!A$4:A$990,0),2),"")</f>
        <v/>
      </c>
      <c r="C219" s="40" t="str">
        <f>IF(A219&lt;&gt;"",INDEX('Base de données'!A$4:L$990,MATCH(A219,'Base de données'!A$4:A$990,0),12),"")</f>
        <v/>
      </c>
      <c r="D219" s="444"/>
      <c r="E219" s="444"/>
    </row>
    <row r="220" spans="1:5" x14ac:dyDescent="0.25">
      <c r="A220" s="444"/>
      <c r="B220" s="40" t="str">
        <f>IF(A220&lt;&gt;"",INDEX('Base de données'!A$4:L$990,MATCH(A220,'Base de données'!A$4:A$990,0),2),"")</f>
        <v/>
      </c>
      <c r="C220" s="40" t="str">
        <f>IF(A220&lt;&gt;"",INDEX('Base de données'!A$4:L$990,MATCH(A220,'Base de données'!A$4:A$990,0),12),"")</f>
        <v/>
      </c>
      <c r="D220" s="444"/>
      <c r="E220" s="444"/>
    </row>
    <row r="221" spans="1:5" x14ac:dyDescent="0.25">
      <c r="A221" s="444"/>
      <c r="B221" s="40" t="str">
        <f>IF(A221&lt;&gt;"",INDEX('Base de données'!A$4:L$990,MATCH(A221,'Base de données'!A$4:A$990,0),2),"")</f>
        <v/>
      </c>
      <c r="C221" s="40" t="str">
        <f>IF(A221&lt;&gt;"",INDEX('Base de données'!A$4:L$990,MATCH(A221,'Base de données'!A$4:A$990,0),12),"")</f>
        <v/>
      </c>
      <c r="D221" s="444"/>
      <c r="E221" s="444"/>
    </row>
    <row r="222" spans="1:5" x14ac:dyDescent="0.25">
      <c r="A222" s="444"/>
      <c r="B222" s="40" t="str">
        <f>IF(A222&lt;&gt;"",INDEX('Base de données'!A$4:L$990,MATCH(A222,'Base de données'!A$4:A$990,0),2),"")</f>
        <v/>
      </c>
      <c r="C222" s="40" t="str">
        <f>IF(A222&lt;&gt;"",INDEX('Base de données'!A$4:L$990,MATCH(A222,'Base de données'!A$4:A$990,0),12),"")</f>
        <v/>
      </c>
      <c r="D222" s="444"/>
      <c r="E222" s="444"/>
    </row>
    <row r="223" spans="1:5" x14ac:dyDescent="0.25">
      <c r="A223" s="444"/>
      <c r="B223" s="40" t="str">
        <f>IF(A223&lt;&gt;"",INDEX('Base de données'!A$4:L$990,MATCH(A223,'Base de données'!A$4:A$990,0),2),"")</f>
        <v/>
      </c>
      <c r="C223" s="40" t="str">
        <f>IF(A223&lt;&gt;"",INDEX('Base de données'!A$4:L$990,MATCH(A223,'Base de données'!A$4:A$990,0),12),"")</f>
        <v/>
      </c>
      <c r="D223" s="444"/>
      <c r="E223" s="444"/>
    </row>
    <row r="224" spans="1:5" x14ac:dyDescent="0.25">
      <c r="A224" s="444"/>
      <c r="B224" s="40" t="str">
        <f>IF(A224&lt;&gt;"",INDEX('Base de données'!A$4:L$990,MATCH(A224,'Base de données'!A$4:A$990,0),2),"")</f>
        <v/>
      </c>
      <c r="C224" s="40" t="str">
        <f>IF(A224&lt;&gt;"",INDEX('Base de données'!A$4:L$990,MATCH(A224,'Base de données'!A$4:A$990,0),12),"")</f>
        <v/>
      </c>
      <c r="D224" s="444"/>
      <c r="E224" s="444"/>
    </row>
    <row r="225" spans="1:5" x14ac:dyDescent="0.25">
      <c r="A225" s="444"/>
      <c r="B225" s="40" t="str">
        <f>IF(A225&lt;&gt;"",INDEX('Base de données'!A$4:L$990,MATCH(A225,'Base de données'!A$4:A$990,0),2),"")</f>
        <v/>
      </c>
      <c r="C225" s="40" t="str">
        <f>IF(A225&lt;&gt;"",INDEX('Base de données'!A$4:L$990,MATCH(A225,'Base de données'!A$4:A$990,0),12),"")</f>
        <v/>
      </c>
      <c r="D225" s="444"/>
      <c r="E225" s="444"/>
    </row>
    <row r="226" spans="1:5" x14ac:dyDescent="0.25">
      <c r="A226" s="444"/>
      <c r="B226" s="40" t="str">
        <f>IF(A226&lt;&gt;"",INDEX('Base de données'!A$4:L$990,MATCH(A226,'Base de données'!A$4:A$990,0),2),"")</f>
        <v/>
      </c>
      <c r="C226" s="40" t="str">
        <f>IF(A226&lt;&gt;"",INDEX('Base de données'!A$4:L$990,MATCH(A226,'Base de données'!A$4:A$990,0),12),"")</f>
        <v/>
      </c>
      <c r="D226" s="444"/>
      <c r="E226" s="444"/>
    </row>
    <row r="227" spans="1:5" x14ac:dyDescent="0.25">
      <c r="A227" s="444"/>
      <c r="B227" s="40" t="str">
        <f>IF(A227&lt;&gt;"",INDEX('Base de données'!A$4:L$990,MATCH(A227,'Base de données'!A$4:A$990,0),2),"")</f>
        <v/>
      </c>
      <c r="C227" s="40" t="str">
        <f>IF(A227&lt;&gt;"",INDEX('Base de données'!A$4:L$990,MATCH(A227,'Base de données'!A$4:A$990,0),12),"")</f>
        <v/>
      </c>
      <c r="D227" s="444"/>
      <c r="E227" s="444"/>
    </row>
    <row r="228" spans="1:5" x14ac:dyDescent="0.25">
      <c r="A228" s="444"/>
      <c r="B228" s="40" t="str">
        <f>IF(A228&lt;&gt;"",INDEX('Base de données'!A$4:L$990,MATCH(A228,'Base de données'!A$4:A$990,0),2),"")</f>
        <v/>
      </c>
      <c r="C228" s="40" t="str">
        <f>IF(A228&lt;&gt;"",INDEX('Base de données'!A$4:L$990,MATCH(A228,'Base de données'!A$4:A$990,0),12),"")</f>
        <v/>
      </c>
      <c r="D228" s="444"/>
      <c r="E228" s="444"/>
    </row>
    <row r="229" spans="1:5" x14ac:dyDescent="0.25">
      <c r="A229" s="444"/>
      <c r="B229" s="40" t="str">
        <f>IF(A229&lt;&gt;"",INDEX('Base de données'!A$4:L$990,MATCH(A229,'Base de données'!A$4:A$990,0),2),"")</f>
        <v/>
      </c>
      <c r="C229" s="40" t="str">
        <f>IF(A229&lt;&gt;"",INDEX('Base de données'!A$4:L$990,MATCH(A229,'Base de données'!A$4:A$990,0),12),"")</f>
        <v/>
      </c>
      <c r="D229" s="444"/>
      <c r="E229" s="444"/>
    </row>
    <row r="230" spans="1:5" x14ac:dyDescent="0.25">
      <c r="A230" s="444"/>
      <c r="B230" s="40" t="str">
        <f>IF(A230&lt;&gt;"",INDEX('Base de données'!A$4:L$990,MATCH(A230,'Base de données'!A$4:A$990,0),2),"")</f>
        <v/>
      </c>
      <c r="C230" s="40" t="str">
        <f>IF(A230&lt;&gt;"",INDEX('Base de données'!A$4:L$990,MATCH(A230,'Base de données'!A$4:A$990,0),12),"")</f>
        <v/>
      </c>
      <c r="D230" s="444"/>
      <c r="E230" s="444"/>
    </row>
    <row r="231" spans="1:5" x14ac:dyDescent="0.25">
      <c r="A231" s="444"/>
      <c r="B231" s="40" t="str">
        <f>IF(A231&lt;&gt;"",INDEX('Base de données'!A$4:L$990,MATCH(A231,'Base de données'!A$4:A$990,0),2),"")</f>
        <v/>
      </c>
      <c r="C231" s="40" t="str">
        <f>IF(A231&lt;&gt;"",INDEX('Base de données'!A$4:L$990,MATCH(A231,'Base de données'!A$4:A$990,0),12),"")</f>
        <v/>
      </c>
      <c r="D231" s="444"/>
      <c r="E231" s="444"/>
    </row>
    <row r="232" spans="1:5" x14ac:dyDescent="0.25">
      <c r="A232" s="444"/>
      <c r="B232" s="40" t="str">
        <f>IF(A232&lt;&gt;"",INDEX('Base de données'!A$4:L$990,MATCH(A232,'Base de données'!A$4:A$990,0),2),"")</f>
        <v/>
      </c>
      <c r="C232" s="40" t="str">
        <f>IF(A232&lt;&gt;"",INDEX('Base de données'!A$4:L$990,MATCH(A232,'Base de données'!A$4:A$990,0),12),"")</f>
        <v/>
      </c>
      <c r="D232" s="444"/>
      <c r="E232" s="444"/>
    </row>
    <row r="233" spans="1:5" x14ac:dyDescent="0.25">
      <c r="A233" s="444"/>
      <c r="B233" s="40" t="str">
        <f>IF(A233&lt;&gt;"",INDEX('Base de données'!A$4:L$990,MATCH(A233,'Base de données'!A$4:A$990,0),2),"")</f>
        <v/>
      </c>
      <c r="C233" s="40" t="str">
        <f>IF(A233&lt;&gt;"",INDEX('Base de données'!A$4:L$990,MATCH(A233,'Base de données'!A$4:A$990,0),12),"")</f>
        <v/>
      </c>
      <c r="D233" s="444"/>
      <c r="E233" s="444"/>
    </row>
    <row r="234" spans="1:5" x14ac:dyDescent="0.25">
      <c r="A234" s="444"/>
      <c r="B234" s="40" t="str">
        <f>IF(A234&lt;&gt;"",INDEX('Base de données'!A$4:L$990,MATCH(A234,'Base de données'!A$4:A$990,0),2),"")</f>
        <v/>
      </c>
      <c r="C234" s="40" t="str">
        <f>IF(A234&lt;&gt;"",INDEX('Base de données'!A$4:L$990,MATCH(A234,'Base de données'!A$4:A$990,0),12),"")</f>
        <v/>
      </c>
      <c r="D234" s="444"/>
      <c r="E234" s="444"/>
    </row>
    <row r="235" spans="1:5" x14ac:dyDescent="0.25">
      <c r="A235" s="444"/>
      <c r="B235" s="40" t="str">
        <f>IF(A235&lt;&gt;"",INDEX('Base de données'!A$4:L$990,MATCH(A235,'Base de données'!A$4:A$990,0),2),"")</f>
        <v/>
      </c>
      <c r="C235" s="40" t="str">
        <f>IF(A235&lt;&gt;"",INDEX('Base de données'!A$4:L$990,MATCH(A235,'Base de données'!A$4:A$990,0),12),"")</f>
        <v/>
      </c>
      <c r="D235" s="444"/>
      <c r="E235" s="444"/>
    </row>
    <row r="236" spans="1:5" x14ac:dyDescent="0.25">
      <c r="A236" s="444"/>
      <c r="B236" s="40" t="str">
        <f>IF(A236&lt;&gt;"",INDEX('Base de données'!A$4:L$990,MATCH(A236,'Base de données'!A$4:A$990,0),2),"")</f>
        <v/>
      </c>
      <c r="C236" s="40" t="str">
        <f>IF(A236&lt;&gt;"",INDEX('Base de données'!A$4:L$990,MATCH(A236,'Base de données'!A$4:A$990,0),12),"")</f>
        <v/>
      </c>
      <c r="D236" s="444"/>
      <c r="E236" s="444"/>
    </row>
    <row r="237" spans="1:5" x14ac:dyDescent="0.25">
      <c r="A237" s="444"/>
      <c r="B237" s="40" t="str">
        <f>IF(A237&lt;&gt;"",INDEX('Base de données'!A$4:L$990,MATCH(A237,'Base de données'!A$4:A$990,0),2),"")</f>
        <v/>
      </c>
      <c r="C237" s="40" t="str">
        <f>IF(A237&lt;&gt;"",INDEX('Base de données'!A$4:L$990,MATCH(A237,'Base de données'!A$4:A$990,0),12),"")</f>
        <v/>
      </c>
      <c r="D237" s="444"/>
      <c r="E237" s="444"/>
    </row>
    <row r="238" spans="1:5" x14ac:dyDescent="0.25">
      <c r="A238" s="444"/>
      <c r="B238" s="40" t="str">
        <f>IF(A238&lt;&gt;"",INDEX('Base de données'!A$4:L$990,MATCH(A238,'Base de données'!A$4:A$990,0),2),"")</f>
        <v/>
      </c>
      <c r="C238" s="40" t="str">
        <f>IF(A238&lt;&gt;"",INDEX('Base de données'!A$4:L$990,MATCH(A238,'Base de données'!A$4:A$990,0),12),"")</f>
        <v/>
      </c>
      <c r="D238" s="444"/>
      <c r="E238" s="444"/>
    </row>
    <row r="239" spans="1:5" x14ac:dyDescent="0.25">
      <c r="A239" s="444"/>
      <c r="B239" s="40" t="str">
        <f>IF(A239&lt;&gt;"",INDEX('Base de données'!A$4:L$990,MATCH(A239,'Base de données'!A$4:A$990,0),2),"")</f>
        <v/>
      </c>
      <c r="C239" s="40" t="str">
        <f>IF(A239&lt;&gt;"",INDEX('Base de données'!A$4:L$990,MATCH(A239,'Base de données'!A$4:A$990,0),12),"")</f>
        <v/>
      </c>
      <c r="D239" s="444"/>
      <c r="E239" s="444"/>
    </row>
    <row r="240" spans="1:5" x14ac:dyDescent="0.25">
      <c r="A240" s="444"/>
      <c r="B240" s="40" t="str">
        <f>IF(A240&lt;&gt;"",INDEX('Base de données'!A$4:L$990,MATCH(A240,'Base de données'!A$4:A$990,0),2),"")</f>
        <v/>
      </c>
      <c r="C240" s="40" t="str">
        <f>IF(A240&lt;&gt;"",INDEX('Base de données'!A$4:L$990,MATCH(A240,'Base de données'!A$4:A$990,0),12),"")</f>
        <v/>
      </c>
      <c r="D240" s="444"/>
      <c r="E240" s="444"/>
    </row>
    <row r="241" spans="1:5" x14ac:dyDescent="0.25">
      <c r="A241" s="444"/>
      <c r="B241" s="40" t="str">
        <f>IF(A241&lt;&gt;"",INDEX('Base de données'!A$4:L$990,MATCH(A241,'Base de données'!A$4:A$990,0),2),"")</f>
        <v/>
      </c>
      <c r="C241" s="40" t="str">
        <f>IF(A241&lt;&gt;"",INDEX('Base de données'!A$4:L$990,MATCH(A241,'Base de données'!A$4:A$990,0),12),"")</f>
        <v/>
      </c>
      <c r="D241" s="444"/>
      <c r="E241" s="444"/>
    </row>
    <row r="242" spans="1:5" x14ac:dyDescent="0.25">
      <c r="A242" s="444"/>
      <c r="B242" s="40" t="str">
        <f>IF(A242&lt;&gt;"",INDEX('Base de données'!A$4:L$990,MATCH(A242,'Base de données'!A$4:A$990,0),2),"")</f>
        <v/>
      </c>
      <c r="C242" s="40" t="str">
        <f>IF(A242&lt;&gt;"",INDEX('Base de données'!A$4:L$990,MATCH(A242,'Base de données'!A$4:A$990,0),12),"")</f>
        <v/>
      </c>
      <c r="D242" s="444"/>
      <c r="E242" s="444"/>
    </row>
    <row r="243" spans="1:5" x14ac:dyDescent="0.25">
      <c r="A243" s="444"/>
      <c r="B243" s="40" t="str">
        <f>IF(A243&lt;&gt;"",INDEX('Base de données'!A$4:L$990,MATCH(A243,'Base de données'!A$4:A$990,0),2),"")</f>
        <v/>
      </c>
      <c r="C243" s="40" t="str">
        <f>IF(A243&lt;&gt;"",INDEX('Base de données'!A$4:L$990,MATCH(A243,'Base de données'!A$4:A$990,0),12),"")</f>
        <v/>
      </c>
      <c r="D243" s="444"/>
      <c r="E243" s="444"/>
    </row>
    <row r="244" spans="1:5" x14ac:dyDescent="0.25">
      <c r="A244" s="444"/>
      <c r="B244" s="40" t="str">
        <f>IF(A244&lt;&gt;"",INDEX('Base de données'!A$4:L$990,MATCH(A244,'Base de données'!A$4:A$990,0),2),"")</f>
        <v/>
      </c>
      <c r="C244" s="40" t="str">
        <f>IF(A244&lt;&gt;"",INDEX('Base de données'!A$4:L$990,MATCH(A244,'Base de données'!A$4:A$990,0),12),"")</f>
        <v/>
      </c>
      <c r="D244" s="444"/>
      <c r="E244" s="444"/>
    </row>
    <row r="245" spans="1:5" x14ac:dyDescent="0.25">
      <c r="A245" s="444"/>
      <c r="B245" s="40" t="str">
        <f>IF(A245&lt;&gt;"",INDEX('Base de données'!A$4:L$990,MATCH(A245,'Base de données'!A$4:A$990,0),2),"")</f>
        <v/>
      </c>
      <c r="C245" s="40" t="str">
        <f>IF(A245&lt;&gt;"",INDEX('Base de données'!A$4:L$990,MATCH(A245,'Base de données'!A$4:A$990,0),12),"")</f>
        <v/>
      </c>
      <c r="D245" s="444"/>
      <c r="E245" s="444"/>
    </row>
    <row r="246" spans="1:5" x14ac:dyDescent="0.25">
      <c r="A246" s="444"/>
      <c r="B246" s="40" t="str">
        <f>IF(A246&lt;&gt;"",INDEX('Base de données'!A$4:L$990,MATCH(A246,'Base de données'!A$4:A$990,0),2),"")</f>
        <v/>
      </c>
      <c r="C246" s="40" t="str">
        <f>IF(A246&lt;&gt;"",INDEX('Base de données'!A$4:L$990,MATCH(A246,'Base de données'!A$4:A$990,0),12),"")</f>
        <v/>
      </c>
      <c r="D246" s="444"/>
      <c r="E246" s="444"/>
    </row>
    <row r="247" spans="1:5" x14ac:dyDescent="0.25">
      <c r="A247" s="444"/>
      <c r="B247" s="40" t="str">
        <f>IF(A247&lt;&gt;"",INDEX('Base de données'!A$4:L$990,MATCH(A247,'Base de données'!A$4:A$990,0),2),"")</f>
        <v/>
      </c>
      <c r="C247" s="40" t="str">
        <f>IF(A247&lt;&gt;"",INDEX('Base de données'!A$4:L$990,MATCH(A247,'Base de données'!A$4:A$990,0),12),"")</f>
        <v/>
      </c>
      <c r="D247" s="444"/>
      <c r="E247" s="444"/>
    </row>
    <row r="248" spans="1:5" x14ac:dyDescent="0.25">
      <c r="A248" s="444"/>
      <c r="B248" s="40" t="str">
        <f>IF(A248&lt;&gt;"",INDEX('Base de données'!A$4:L$990,MATCH(A248,'Base de données'!A$4:A$990,0),2),"")</f>
        <v/>
      </c>
      <c r="C248" s="40" t="str">
        <f>IF(A248&lt;&gt;"",INDEX('Base de données'!A$4:L$990,MATCH(A248,'Base de données'!A$4:A$990,0),12),"")</f>
        <v/>
      </c>
      <c r="D248" s="444"/>
      <c r="E248" s="444"/>
    </row>
    <row r="249" spans="1:5" x14ac:dyDescent="0.25">
      <c r="A249" s="444"/>
      <c r="B249" s="40" t="str">
        <f>IF(A249&lt;&gt;"",INDEX('Base de données'!A$4:L$990,MATCH(A249,'Base de données'!A$4:A$990,0),2),"")</f>
        <v/>
      </c>
      <c r="C249" s="40" t="str">
        <f>IF(A249&lt;&gt;"",INDEX('Base de données'!A$4:L$990,MATCH(A249,'Base de données'!A$4:A$990,0),12),"")</f>
        <v/>
      </c>
      <c r="D249" s="444"/>
      <c r="E249" s="444"/>
    </row>
    <row r="250" spans="1:5" x14ac:dyDescent="0.25">
      <c r="A250" s="444"/>
      <c r="B250" s="40" t="str">
        <f>IF(A250&lt;&gt;"",INDEX('Base de données'!A$4:L$990,MATCH(A250,'Base de données'!A$4:A$990,0),2),"")</f>
        <v/>
      </c>
      <c r="C250" s="40" t="str">
        <f>IF(A250&lt;&gt;"",INDEX('Base de données'!A$4:L$990,MATCH(A250,'Base de données'!A$4:A$990,0),12),"")</f>
        <v/>
      </c>
      <c r="D250" s="444"/>
      <c r="E250" s="444"/>
    </row>
    <row r="251" spans="1:5" x14ac:dyDescent="0.25">
      <c r="A251" s="444"/>
      <c r="B251" s="40" t="str">
        <f>IF(A251&lt;&gt;"",INDEX('Base de données'!A$4:L$990,MATCH(A251,'Base de données'!A$4:A$990,0),2),"")</f>
        <v/>
      </c>
      <c r="C251" s="40" t="str">
        <f>IF(A251&lt;&gt;"",INDEX('Base de données'!A$4:L$990,MATCH(A251,'Base de données'!A$4:A$990,0),12),"")</f>
        <v/>
      </c>
      <c r="D251" s="444"/>
      <c r="E251" s="444"/>
    </row>
    <row r="252" spans="1:5" x14ac:dyDescent="0.25">
      <c r="A252" s="444"/>
      <c r="B252" s="40" t="str">
        <f>IF(A252&lt;&gt;"",INDEX('Base de données'!A$4:L$990,MATCH(A252,'Base de données'!A$4:A$990,0),2),"")</f>
        <v/>
      </c>
      <c r="C252" s="40" t="str">
        <f>IF(A252&lt;&gt;"",INDEX('Base de données'!A$4:L$990,MATCH(A252,'Base de données'!A$4:A$990,0),12),"")</f>
        <v/>
      </c>
      <c r="D252" s="444"/>
      <c r="E252" s="444"/>
    </row>
    <row r="253" spans="1:5" x14ac:dyDescent="0.25">
      <c r="A253" s="444"/>
      <c r="B253" s="40" t="str">
        <f>IF(A253&lt;&gt;"",INDEX('Base de données'!A$4:L$990,MATCH(A253,'Base de données'!A$4:A$990,0),2),"")</f>
        <v/>
      </c>
      <c r="C253" s="40" t="str">
        <f>IF(A253&lt;&gt;"",INDEX('Base de données'!A$4:L$990,MATCH(A253,'Base de données'!A$4:A$990,0),12),"")</f>
        <v/>
      </c>
      <c r="D253" s="444"/>
      <c r="E253" s="444"/>
    </row>
    <row r="254" spans="1:5" x14ac:dyDescent="0.25">
      <c r="A254" s="444"/>
      <c r="B254" s="40" t="str">
        <f>IF(A254&lt;&gt;"",INDEX('Base de données'!A$4:L$990,MATCH(A254,'Base de données'!A$4:A$990,0),2),"")</f>
        <v/>
      </c>
      <c r="C254" s="40" t="str">
        <f>IF(A254&lt;&gt;"",INDEX('Base de données'!A$4:L$990,MATCH(A254,'Base de données'!A$4:A$990,0),12),"")</f>
        <v/>
      </c>
      <c r="D254" s="444"/>
      <c r="E254" s="444"/>
    </row>
    <row r="255" spans="1:5" x14ac:dyDescent="0.25">
      <c r="A255" s="444"/>
      <c r="B255" s="40" t="str">
        <f>IF(A255&lt;&gt;"",INDEX('Base de données'!A$4:L$990,MATCH(A255,'Base de données'!A$4:A$990,0),2),"")</f>
        <v/>
      </c>
      <c r="C255" s="40" t="str">
        <f>IF(A255&lt;&gt;"",INDEX('Base de données'!A$4:L$990,MATCH(A255,'Base de données'!A$4:A$990,0),12),"")</f>
        <v/>
      </c>
      <c r="D255" s="444"/>
      <c r="E255" s="444"/>
    </row>
    <row r="256" spans="1:5" x14ac:dyDescent="0.25">
      <c r="A256" s="444"/>
      <c r="B256" s="40" t="str">
        <f>IF(A256&lt;&gt;"",INDEX('Base de données'!A$4:L$990,MATCH(A256,'Base de données'!A$4:A$990,0),2),"")</f>
        <v/>
      </c>
      <c r="C256" s="40" t="str">
        <f>IF(A256&lt;&gt;"",INDEX('Base de données'!A$4:L$990,MATCH(A256,'Base de données'!A$4:A$990,0),12),"")</f>
        <v/>
      </c>
      <c r="D256" s="444"/>
      <c r="E256" s="444"/>
    </row>
    <row r="257" spans="1:5" x14ac:dyDescent="0.25">
      <c r="A257" s="444"/>
      <c r="B257" s="40" t="str">
        <f>IF(A257&lt;&gt;"",INDEX('Base de données'!A$4:L$990,MATCH(A257,'Base de données'!A$4:A$990,0),2),"")</f>
        <v/>
      </c>
      <c r="C257" s="40" t="str">
        <f>IF(A257&lt;&gt;"",INDEX('Base de données'!A$4:L$990,MATCH(A257,'Base de données'!A$4:A$990,0),12),"")</f>
        <v/>
      </c>
      <c r="D257" s="444"/>
      <c r="E257" s="444"/>
    </row>
    <row r="258" spans="1:5" x14ac:dyDescent="0.25">
      <c r="A258" s="444"/>
      <c r="B258" s="40" t="str">
        <f>IF(A258&lt;&gt;"",INDEX('Base de données'!A$4:L$990,MATCH(A258,'Base de données'!A$4:A$990,0),2),"")</f>
        <v/>
      </c>
      <c r="C258" s="40" t="str">
        <f>IF(A258&lt;&gt;"",INDEX('Base de données'!A$4:L$990,MATCH(A258,'Base de données'!A$4:A$990,0),12),"")</f>
        <v/>
      </c>
      <c r="D258" s="444"/>
      <c r="E258" s="444"/>
    </row>
    <row r="259" spans="1:5" x14ac:dyDescent="0.25">
      <c r="A259" s="444"/>
      <c r="B259" s="40" t="str">
        <f>IF(A259&lt;&gt;"",INDEX('Base de données'!A$4:L$990,MATCH(A259,'Base de données'!A$4:A$990,0),2),"")</f>
        <v/>
      </c>
      <c r="C259" s="40" t="str">
        <f>IF(A259&lt;&gt;"",INDEX('Base de données'!A$4:L$990,MATCH(A259,'Base de données'!A$4:A$990,0),12),"")</f>
        <v/>
      </c>
      <c r="D259" s="444"/>
      <c r="E259" s="444"/>
    </row>
    <row r="260" spans="1:5" x14ac:dyDescent="0.25">
      <c r="A260" s="444"/>
      <c r="B260" s="40" t="str">
        <f>IF(A260&lt;&gt;"",INDEX('Base de données'!A$4:L$990,MATCH(A260,'Base de données'!A$4:A$990,0),2),"")</f>
        <v/>
      </c>
      <c r="C260" s="40" t="str">
        <f>IF(A260&lt;&gt;"",INDEX('Base de données'!A$4:L$990,MATCH(A260,'Base de données'!A$4:A$990,0),12),"")</f>
        <v/>
      </c>
      <c r="D260" s="444"/>
      <c r="E260" s="444"/>
    </row>
    <row r="261" spans="1:5" x14ac:dyDescent="0.25">
      <c r="A261" s="444"/>
      <c r="B261" s="40" t="str">
        <f>IF(A261&lt;&gt;"",INDEX('Base de données'!A$4:L$990,MATCH(A261,'Base de données'!A$4:A$990,0),2),"")</f>
        <v/>
      </c>
      <c r="C261" s="40" t="str">
        <f>IF(A261&lt;&gt;"",INDEX('Base de données'!A$4:L$990,MATCH(A261,'Base de données'!A$4:A$990,0),12),"")</f>
        <v/>
      </c>
      <c r="D261" s="444"/>
      <c r="E261" s="444"/>
    </row>
    <row r="262" spans="1:5" x14ac:dyDescent="0.25">
      <c r="A262" s="444"/>
      <c r="B262" s="40" t="str">
        <f>IF(A262&lt;&gt;"",INDEX('Base de données'!A$4:L$990,MATCH(A262,'Base de données'!A$4:A$990,0),2),"")</f>
        <v/>
      </c>
      <c r="C262" s="40" t="str">
        <f>IF(A262&lt;&gt;"",INDEX('Base de données'!A$4:L$990,MATCH(A262,'Base de données'!A$4:A$990,0),12),"")</f>
        <v/>
      </c>
      <c r="D262" s="444"/>
      <c r="E262" s="444"/>
    </row>
    <row r="263" spans="1:5" x14ac:dyDescent="0.25">
      <c r="A263" s="444"/>
      <c r="B263" s="40" t="str">
        <f>IF(A263&lt;&gt;"",INDEX('Base de données'!A$4:L$990,MATCH(A263,'Base de données'!A$4:A$990,0),2),"")</f>
        <v/>
      </c>
      <c r="C263" s="40" t="str">
        <f>IF(A263&lt;&gt;"",INDEX('Base de données'!A$4:L$990,MATCH(A263,'Base de données'!A$4:A$990,0),12),"")</f>
        <v/>
      </c>
      <c r="D263" s="444"/>
      <c r="E263" s="444"/>
    </row>
    <row r="264" spans="1:5" x14ac:dyDescent="0.25">
      <c r="A264" s="444"/>
      <c r="B264" s="40" t="str">
        <f>IF(A264&lt;&gt;"",INDEX('Base de données'!A$4:L$990,MATCH(A264,'Base de données'!A$4:A$990,0),2),"")</f>
        <v/>
      </c>
      <c r="C264" s="40" t="str">
        <f>IF(A264&lt;&gt;"",INDEX('Base de données'!A$4:L$990,MATCH(A264,'Base de données'!A$4:A$990,0),12),"")</f>
        <v/>
      </c>
      <c r="D264" s="444"/>
      <c r="E264" s="444"/>
    </row>
    <row r="265" spans="1:5" x14ac:dyDescent="0.25">
      <c r="A265" s="444"/>
      <c r="B265" s="40" t="str">
        <f>IF(A265&lt;&gt;"",INDEX('Base de données'!A$4:L$990,MATCH(A265,'Base de données'!A$4:A$990,0),2),"")</f>
        <v/>
      </c>
      <c r="C265" s="40" t="str">
        <f>IF(A265&lt;&gt;"",INDEX('Base de données'!A$4:L$990,MATCH(A265,'Base de données'!A$4:A$990,0),12),"")</f>
        <v/>
      </c>
      <c r="D265" s="444"/>
      <c r="E265" s="444"/>
    </row>
    <row r="266" spans="1:5" x14ac:dyDescent="0.25">
      <c r="A266" s="444"/>
      <c r="B266" s="40" t="str">
        <f>IF(A266&lt;&gt;"",INDEX('Base de données'!A$4:L$990,MATCH(A266,'Base de données'!A$4:A$990,0),2),"")</f>
        <v/>
      </c>
      <c r="C266" s="40" t="str">
        <f>IF(A266&lt;&gt;"",INDEX('Base de données'!A$4:L$990,MATCH(A266,'Base de données'!A$4:A$990,0),12),"")</f>
        <v/>
      </c>
      <c r="D266" s="444"/>
      <c r="E266" s="444"/>
    </row>
    <row r="267" spans="1:5" x14ac:dyDescent="0.25">
      <c r="A267" s="444"/>
      <c r="B267" s="40" t="str">
        <f>IF(A267&lt;&gt;"",INDEX('Base de données'!A$4:L$990,MATCH(A267,'Base de données'!A$4:A$990,0),2),"")</f>
        <v/>
      </c>
      <c r="C267" s="40" t="str">
        <f>IF(A267&lt;&gt;"",INDEX('Base de données'!A$4:L$990,MATCH(A267,'Base de données'!A$4:A$990,0),12),"")</f>
        <v/>
      </c>
      <c r="D267" s="444"/>
      <c r="E267" s="444"/>
    </row>
    <row r="268" spans="1:5" x14ac:dyDescent="0.25">
      <c r="A268" s="444"/>
      <c r="B268" s="40" t="str">
        <f>IF(A268&lt;&gt;"",INDEX('Base de données'!A$4:L$990,MATCH(A268,'Base de données'!A$4:A$990,0),2),"")</f>
        <v/>
      </c>
      <c r="C268" s="40" t="str">
        <f>IF(A268&lt;&gt;"",INDEX('Base de données'!A$4:L$990,MATCH(A268,'Base de données'!A$4:A$990,0),12),"")</f>
        <v/>
      </c>
      <c r="D268" s="444"/>
      <c r="E268" s="444"/>
    </row>
    <row r="269" spans="1:5" x14ac:dyDescent="0.25">
      <c r="A269" s="444"/>
      <c r="B269" s="40" t="str">
        <f>IF(A269&lt;&gt;"",INDEX('Base de données'!A$4:L$990,MATCH(A269,'Base de données'!A$4:A$990,0),2),"")</f>
        <v/>
      </c>
      <c r="C269" s="40" t="str">
        <f>IF(A269&lt;&gt;"",INDEX('Base de données'!A$4:L$990,MATCH(A269,'Base de données'!A$4:A$990,0),12),"")</f>
        <v/>
      </c>
      <c r="D269" s="444"/>
      <c r="E269" s="444"/>
    </row>
    <row r="270" spans="1:5" x14ac:dyDescent="0.25">
      <c r="A270" s="444"/>
      <c r="B270" s="40" t="str">
        <f>IF(A270&lt;&gt;"",INDEX('Base de données'!A$4:L$990,MATCH(A270,'Base de données'!A$4:A$990,0),2),"")</f>
        <v/>
      </c>
      <c r="C270" s="40" t="str">
        <f>IF(A270&lt;&gt;"",INDEX('Base de données'!A$4:L$990,MATCH(A270,'Base de données'!A$4:A$990,0),12),"")</f>
        <v/>
      </c>
      <c r="D270" s="444"/>
      <c r="E270" s="444"/>
    </row>
    <row r="271" spans="1:5" x14ac:dyDescent="0.25">
      <c r="A271" s="444"/>
      <c r="B271" s="40" t="str">
        <f>IF(A271&lt;&gt;"",INDEX('Base de données'!A$4:L$990,MATCH(A271,'Base de données'!A$4:A$990,0),2),"")</f>
        <v/>
      </c>
      <c r="C271" s="40" t="str">
        <f>IF(A271&lt;&gt;"",INDEX('Base de données'!A$4:L$990,MATCH(A271,'Base de données'!A$4:A$990,0),12),"")</f>
        <v/>
      </c>
      <c r="D271" s="444"/>
      <c r="E271" s="444"/>
    </row>
    <row r="272" spans="1:5" x14ac:dyDescent="0.25">
      <c r="A272" s="444"/>
      <c r="B272" s="40" t="str">
        <f>IF(A272&lt;&gt;"",INDEX('Base de données'!A$4:L$990,MATCH(A272,'Base de données'!A$4:A$990,0),2),"")</f>
        <v/>
      </c>
      <c r="C272" s="40" t="str">
        <f>IF(A272&lt;&gt;"",INDEX('Base de données'!A$4:L$990,MATCH(A272,'Base de données'!A$4:A$990,0),12),"")</f>
        <v/>
      </c>
      <c r="D272" s="444"/>
      <c r="E272" s="444"/>
    </row>
    <row r="273" spans="1:5" x14ac:dyDescent="0.25">
      <c r="A273" s="444"/>
      <c r="B273" s="40" t="str">
        <f>IF(A273&lt;&gt;"",INDEX('Base de données'!A$4:L$990,MATCH(A273,'Base de données'!A$4:A$990,0),2),"")</f>
        <v/>
      </c>
      <c r="C273" s="40" t="str">
        <f>IF(A273&lt;&gt;"",INDEX('Base de données'!A$4:L$990,MATCH(A273,'Base de données'!A$4:A$990,0),12),"")</f>
        <v/>
      </c>
      <c r="D273" s="444"/>
      <c r="E273" s="444"/>
    </row>
    <row r="274" spans="1:5" x14ac:dyDescent="0.25">
      <c r="A274" s="444"/>
      <c r="B274" s="40" t="str">
        <f>IF(A274&lt;&gt;"",INDEX('Base de données'!A$4:L$990,MATCH(A274,'Base de données'!A$4:A$990,0),2),"")</f>
        <v/>
      </c>
      <c r="C274" s="40" t="str">
        <f>IF(A274&lt;&gt;"",INDEX('Base de données'!A$4:L$990,MATCH(A274,'Base de données'!A$4:A$990,0),12),"")</f>
        <v/>
      </c>
      <c r="D274" s="444"/>
      <c r="E274" s="444"/>
    </row>
    <row r="275" spans="1:5" x14ac:dyDescent="0.25">
      <c r="A275" s="444"/>
      <c r="B275" s="40" t="str">
        <f>IF(A275&lt;&gt;"",INDEX('Base de données'!A$4:L$990,MATCH(A275,'Base de données'!A$4:A$990,0),2),"")</f>
        <v/>
      </c>
      <c r="C275" s="40" t="str">
        <f>IF(A275&lt;&gt;"",INDEX('Base de données'!A$4:L$990,MATCH(A275,'Base de données'!A$4:A$990,0),12),"")</f>
        <v/>
      </c>
      <c r="D275" s="444"/>
      <c r="E275" s="444"/>
    </row>
    <row r="276" spans="1:5" x14ac:dyDescent="0.25">
      <c r="A276" s="444"/>
      <c r="B276" s="40" t="str">
        <f>IF(A276&lt;&gt;"",INDEX('Base de données'!A$4:L$990,MATCH(A276,'Base de données'!A$4:A$990,0),2),"")</f>
        <v/>
      </c>
      <c r="C276" s="40" t="str">
        <f>IF(A276&lt;&gt;"",INDEX('Base de données'!A$4:L$990,MATCH(A276,'Base de données'!A$4:A$990,0),12),"")</f>
        <v/>
      </c>
      <c r="D276" s="444"/>
      <c r="E276" s="444"/>
    </row>
    <row r="277" spans="1:5" x14ac:dyDescent="0.25">
      <c r="A277" s="444"/>
      <c r="B277" s="40" t="str">
        <f>IF(A277&lt;&gt;"",INDEX('Base de données'!A$4:L$990,MATCH(A277,'Base de données'!A$4:A$990,0),2),"")</f>
        <v/>
      </c>
      <c r="C277" s="40" t="str">
        <f>IF(A277&lt;&gt;"",INDEX('Base de données'!A$4:L$990,MATCH(A277,'Base de données'!A$4:A$990,0),12),"")</f>
        <v/>
      </c>
      <c r="D277" s="444"/>
      <c r="E277" s="444"/>
    </row>
    <row r="278" spans="1:5" x14ac:dyDescent="0.25">
      <c r="A278" s="444"/>
      <c r="B278" s="40" t="str">
        <f>IF(A278&lt;&gt;"",INDEX('Base de données'!A$4:L$990,MATCH(A278,'Base de données'!A$4:A$990,0),2),"")</f>
        <v/>
      </c>
      <c r="C278" s="40" t="str">
        <f>IF(A278&lt;&gt;"",INDEX('Base de données'!A$4:L$990,MATCH(A278,'Base de données'!A$4:A$990,0),12),"")</f>
        <v/>
      </c>
      <c r="D278" s="444"/>
      <c r="E278" s="444"/>
    </row>
    <row r="279" spans="1:5" x14ac:dyDescent="0.25">
      <c r="A279" s="444"/>
      <c r="B279" s="40" t="str">
        <f>IF(A279&lt;&gt;"",INDEX('Base de données'!A$4:L$990,MATCH(A279,'Base de données'!A$4:A$990,0),2),"")</f>
        <v/>
      </c>
      <c r="C279" s="40" t="str">
        <f>IF(A279&lt;&gt;"",INDEX('Base de données'!A$4:L$990,MATCH(A279,'Base de données'!A$4:A$990,0),12),"")</f>
        <v/>
      </c>
      <c r="D279" s="444"/>
      <c r="E279" s="444"/>
    </row>
    <row r="280" spans="1:5" x14ac:dyDescent="0.25">
      <c r="A280" s="444"/>
      <c r="B280" s="40" t="str">
        <f>IF(A280&lt;&gt;"",INDEX('Base de données'!A$4:L$990,MATCH(A280,'Base de données'!A$4:A$990,0),2),"")</f>
        <v/>
      </c>
      <c r="C280" s="40" t="str">
        <f>IF(A280&lt;&gt;"",INDEX('Base de données'!A$4:L$990,MATCH(A280,'Base de données'!A$4:A$990,0),12),"")</f>
        <v/>
      </c>
      <c r="D280" s="444"/>
      <c r="E280" s="444"/>
    </row>
    <row r="281" spans="1:5" x14ac:dyDescent="0.25">
      <c r="A281" s="444"/>
      <c r="B281" s="40" t="str">
        <f>IF(A281&lt;&gt;"",INDEX('Base de données'!A$4:L$990,MATCH(A281,'Base de données'!A$4:A$990,0),2),"")</f>
        <v/>
      </c>
      <c r="C281" s="40" t="str">
        <f>IF(A281&lt;&gt;"",INDEX('Base de données'!A$4:L$990,MATCH(A281,'Base de données'!A$4:A$990,0),12),"")</f>
        <v/>
      </c>
      <c r="D281" s="444"/>
      <c r="E281" s="444"/>
    </row>
    <row r="282" spans="1:5" x14ac:dyDescent="0.25">
      <c r="A282" s="444"/>
      <c r="B282" s="40" t="str">
        <f>IF(A282&lt;&gt;"",INDEX('Base de données'!A$4:L$990,MATCH(A282,'Base de données'!A$4:A$990,0),2),"")</f>
        <v/>
      </c>
      <c r="C282" s="40" t="str">
        <f>IF(A282&lt;&gt;"",INDEX('Base de données'!A$4:L$990,MATCH(A282,'Base de données'!A$4:A$990,0),12),"")</f>
        <v/>
      </c>
      <c r="D282" s="444"/>
      <c r="E282" s="444"/>
    </row>
    <row r="283" spans="1:5" x14ac:dyDescent="0.25">
      <c r="A283" s="444"/>
      <c r="B283" s="40" t="str">
        <f>IF(A283&lt;&gt;"",INDEX('Base de données'!A$4:L$990,MATCH(A283,'Base de données'!A$4:A$990,0),2),"")</f>
        <v/>
      </c>
      <c r="C283" s="40" t="str">
        <f>IF(A283&lt;&gt;"",INDEX('Base de données'!A$4:L$990,MATCH(A283,'Base de données'!A$4:A$990,0),12),"")</f>
        <v/>
      </c>
      <c r="D283" s="444"/>
      <c r="E283" s="444"/>
    </row>
    <row r="284" spans="1:5" x14ac:dyDescent="0.25">
      <c r="A284" s="444"/>
      <c r="B284" s="40" t="str">
        <f>IF(A284&lt;&gt;"",INDEX('Base de données'!A$4:L$990,MATCH(A284,'Base de données'!A$4:A$990,0),2),"")</f>
        <v/>
      </c>
      <c r="C284" s="40" t="str">
        <f>IF(A284&lt;&gt;"",INDEX('Base de données'!A$4:L$990,MATCH(A284,'Base de données'!A$4:A$990,0),12),"")</f>
        <v/>
      </c>
      <c r="D284" s="444"/>
      <c r="E284" s="444"/>
    </row>
    <row r="285" spans="1:5" x14ac:dyDescent="0.25">
      <c r="A285" s="444"/>
      <c r="B285" s="40" t="str">
        <f>IF(A285&lt;&gt;"",INDEX('Base de données'!A$4:L$990,MATCH(A285,'Base de données'!A$4:A$990,0),2),"")</f>
        <v/>
      </c>
      <c r="C285" s="40" t="str">
        <f>IF(A285&lt;&gt;"",INDEX('Base de données'!A$4:L$990,MATCH(A285,'Base de données'!A$4:A$990,0),12),"")</f>
        <v/>
      </c>
      <c r="D285" s="444"/>
      <c r="E285" s="444"/>
    </row>
    <row r="286" spans="1:5" x14ac:dyDescent="0.25">
      <c r="A286" s="444"/>
      <c r="B286" s="40" t="str">
        <f>IF(A286&lt;&gt;"",INDEX('Base de données'!A$4:L$990,MATCH(A286,'Base de données'!A$4:A$990,0),2),"")</f>
        <v/>
      </c>
      <c r="C286" s="40" t="str">
        <f>IF(A286&lt;&gt;"",INDEX('Base de données'!A$4:L$990,MATCH(A286,'Base de données'!A$4:A$990,0),12),"")</f>
        <v/>
      </c>
      <c r="D286" s="444"/>
      <c r="E286" s="444"/>
    </row>
    <row r="287" spans="1:5" x14ac:dyDescent="0.25">
      <c r="A287" s="444"/>
      <c r="B287" s="40" t="str">
        <f>IF(A287&lt;&gt;"",INDEX('Base de données'!A$4:L$990,MATCH(A287,'Base de données'!A$4:A$990,0),2),"")</f>
        <v/>
      </c>
      <c r="C287" s="40" t="str">
        <f>IF(A287&lt;&gt;"",INDEX('Base de données'!A$4:L$990,MATCH(A287,'Base de données'!A$4:A$990,0),12),"")</f>
        <v/>
      </c>
      <c r="D287" s="444"/>
      <c r="E287" s="444"/>
    </row>
    <row r="288" spans="1:5" x14ac:dyDescent="0.25">
      <c r="A288" s="444"/>
      <c r="B288" s="40" t="str">
        <f>IF(A288&lt;&gt;"",INDEX('Base de données'!A$4:L$990,MATCH(A288,'Base de données'!A$4:A$990,0),2),"")</f>
        <v/>
      </c>
      <c r="C288" s="40" t="str">
        <f>IF(A288&lt;&gt;"",INDEX('Base de données'!A$4:L$990,MATCH(A288,'Base de données'!A$4:A$990,0),12),"")</f>
        <v/>
      </c>
      <c r="D288" s="444"/>
      <c r="E288" s="444"/>
    </row>
    <row r="289" spans="1:5" x14ac:dyDescent="0.25">
      <c r="A289" s="444"/>
      <c r="B289" s="40" t="str">
        <f>IF(A289&lt;&gt;"",INDEX('Base de données'!A$4:L$990,MATCH(A289,'Base de données'!A$4:A$990,0),2),"")</f>
        <v/>
      </c>
      <c r="C289" s="40" t="str">
        <f>IF(A289&lt;&gt;"",INDEX('Base de données'!A$4:L$990,MATCH(A289,'Base de données'!A$4:A$990,0),12),"")</f>
        <v/>
      </c>
      <c r="D289" s="444"/>
      <c r="E289" s="444"/>
    </row>
    <row r="290" spans="1:5" x14ac:dyDescent="0.25">
      <c r="A290" s="444"/>
      <c r="B290" s="40" t="str">
        <f>IF(A290&lt;&gt;"",INDEX('Base de données'!A$4:L$990,MATCH(A290,'Base de données'!A$4:A$990,0),2),"")</f>
        <v/>
      </c>
      <c r="C290" s="40" t="str">
        <f>IF(A290&lt;&gt;"",INDEX('Base de données'!A$4:L$990,MATCH(A290,'Base de données'!A$4:A$990,0),12),"")</f>
        <v/>
      </c>
      <c r="D290" s="444"/>
      <c r="E290" s="444"/>
    </row>
    <row r="291" spans="1:5" x14ac:dyDescent="0.25">
      <c r="A291" s="444"/>
      <c r="B291" s="40" t="str">
        <f>IF(A291&lt;&gt;"",INDEX('Base de données'!A$4:L$990,MATCH(A291,'Base de données'!A$4:A$990,0),2),"")</f>
        <v/>
      </c>
      <c r="C291" s="40" t="str">
        <f>IF(A291&lt;&gt;"",INDEX('Base de données'!A$4:L$990,MATCH(A291,'Base de données'!A$4:A$990,0),12),"")</f>
        <v/>
      </c>
      <c r="D291" s="444"/>
      <c r="E291" s="444"/>
    </row>
    <row r="292" spans="1:5" x14ac:dyDescent="0.25">
      <c r="A292" s="444"/>
      <c r="B292" s="40" t="str">
        <f>IF(A292&lt;&gt;"",INDEX('Base de données'!A$4:L$990,MATCH(A292,'Base de données'!A$4:A$990,0),2),"")</f>
        <v/>
      </c>
      <c r="C292" s="40" t="str">
        <f>IF(A292&lt;&gt;"",INDEX('Base de données'!A$4:L$990,MATCH(A292,'Base de données'!A$4:A$990,0),12),"")</f>
        <v/>
      </c>
      <c r="D292" s="444"/>
      <c r="E292" s="444"/>
    </row>
    <row r="293" spans="1:5" x14ac:dyDescent="0.25">
      <c r="A293" s="444"/>
      <c r="B293" s="40" t="str">
        <f>IF(A293&lt;&gt;"",INDEX('Base de données'!A$4:L$990,MATCH(A293,'Base de données'!A$4:A$990,0),2),"")</f>
        <v/>
      </c>
      <c r="C293" s="40" t="str">
        <f>IF(A293&lt;&gt;"",INDEX('Base de données'!A$4:L$990,MATCH(A293,'Base de données'!A$4:A$990,0),12),"")</f>
        <v/>
      </c>
      <c r="D293" s="444"/>
      <c r="E293" s="444"/>
    </row>
    <row r="294" spans="1:5" x14ac:dyDescent="0.25">
      <c r="A294" s="444"/>
      <c r="B294" s="40" t="str">
        <f>IF(A294&lt;&gt;"",INDEX('Base de données'!A$4:L$990,MATCH(A294,'Base de données'!A$4:A$990,0),2),"")</f>
        <v/>
      </c>
      <c r="C294" s="40" t="str">
        <f>IF(A294&lt;&gt;"",INDEX('Base de données'!A$4:L$990,MATCH(A294,'Base de données'!A$4:A$990,0),12),"")</f>
        <v/>
      </c>
      <c r="D294" s="444"/>
      <c r="E294" s="444"/>
    </row>
    <row r="295" spans="1:5" x14ac:dyDescent="0.25">
      <c r="A295" s="444"/>
      <c r="B295" s="40" t="str">
        <f>IF(A295&lt;&gt;"",INDEX('Base de données'!A$4:L$990,MATCH(A295,'Base de données'!A$4:A$990,0),2),"")</f>
        <v/>
      </c>
      <c r="C295" s="40" t="str">
        <f>IF(A295&lt;&gt;"",INDEX('Base de données'!A$4:L$990,MATCH(A295,'Base de données'!A$4:A$990,0),12),"")</f>
        <v/>
      </c>
      <c r="D295" s="444"/>
      <c r="E295" s="444"/>
    </row>
    <row r="296" spans="1:5" x14ac:dyDescent="0.25">
      <c r="A296" s="444"/>
      <c r="B296" s="40" t="str">
        <f>IF(A296&lt;&gt;"",INDEX('Base de données'!A$4:L$990,MATCH(A296,'Base de données'!A$4:A$990,0),2),"")</f>
        <v/>
      </c>
      <c r="C296" s="40" t="str">
        <f>IF(A296&lt;&gt;"",INDEX('Base de données'!A$4:L$990,MATCH(A296,'Base de données'!A$4:A$990,0),12),"")</f>
        <v/>
      </c>
      <c r="D296" s="444"/>
      <c r="E296" s="444"/>
    </row>
    <row r="297" spans="1:5" x14ac:dyDescent="0.25">
      <c r="A297" s="444"/>
      <c r="B297" s="40" t="str">
        <f>IF(A297&lt;&gt;"",INDEX('Base de données'!A$4:L$990,MATCH(A297,'Base de données'!A$4:A$990,0),2),"")</f>
        <v/>
      </c>
      <c r="C297" s="40" t="str">
        <f>IF(A297&lt;&gt;"",INDEX('Base de données'!A$4:L$990,MATCH(A297,'Base de données'!A$4:A$990,0),12),"")</f>
        <v/>
      </c>
      <c r="D297" s="444"/>
      <c r="E297" s="444"/>
    </row>
    <row r="298" spans="1:5" x14ac:dyDescent="0.25">
      <c r="A298" s="444"/>
      <c r="B298" s="40" t="str">
        <f>IF(A298&lt;&gt;"",INDEX('Base de données'!A$4:L$990,MATCH(A298,'Base de données'!A$4:A$990,0),2),"")</f>
        <v/>
      </c>
      <c r="C298" s="40" t="str">
        <f>IF(A298&lt;&gt;"",INDEX('Base de données'!A$4:L$990,MATCH(A298,'Base de données'!A$4:A$990,0),12),"")</f>
        <v/>
      </c>
      <c r="D298" s="444"/>
      <c r="E298" s="444"/>
    </row>
    <row r="299" spans="1:5" x14ac:dyDescent="0.25">
      <c r="A299" s="444"/>
      <c r="B299" s="40" t="str">
        <f>IF(A299&lt;&gt;"",INDEX('Base de données'!A$4:L$990,MATCH(A299,'Base de données'!A$4:A$990,0),2),"")</f>
        <v/>
      </c>
      <c r="C299" s="40" t="str">
        <f>IF(A299&lt;&gt;"",INDEX('Base de données'!A$4:L$990,MATCH(A299,'Base de données'!A$4:A$990,0),12),"")</f>
        <v/>
      </c>
      <c r="D299" s="444"/>
      <c r="E299" s="444"/>
    </row>
    <row r="300" spans="1:5" x14ac:dyDescent="0.25">
      <c r="A300" s="444"/>
      <c r="B300" s="40" t="str">
        <f>IF(A300&lt;&gt;"",INDEX('Base de données'!A$4:L$990,MATCH(A300,'Base de données'!A$4:A$990,0),2),"")</f>
        <v/>
      </c>
      <c r="C300" s="40" t="str">
        <f>IF(A300&lt;&gt;"",INDEX('Base de données'!A$4:L$990,MATCH(A300,'Base de données'!A$4:A$990,0),12),"")</f>
        <v/>
      </c>
      <c r="D300" s="444"/>
      <c r="E300" s="444"/>
    </row>
    <row r="301" spans="1:5" x14ac:dyDescent="0.25">
      <c r="A301" s="444"/>
      <c r="B301" s="40" t="str">
        <f>IF(A301&lt;&gt;"",INDEX('Base de données'!A$4:L$990,MATCH(A301,'Base de données'!A$4:A$990,0),2),"")</f>
        <v/>
      </c>
      <c r="C301" s="40" t="str">
        <f>IF(A301&lt;&gt;"",INDEX('Base de données'!A$4:L$990,MATCH(A301,'Base de données'!A$4:A$990,0),12),"")</f>
        <v/>
      </c>
      <c r="D301" s="444"/>
      <c r="E301" s="444"/>
    </row>
    <row r="302" spans="1:5" x14ac:dyDescent="0.25">
      <c r="A302" s="444"/>
      <c r="B302" s="40" t="str">
        <f>IF(A302&lt;&gt;"",INDEX('Base de données'!A$4:L$990,MATCH(A302,'Base de données'!A$4:A$990,0),2),"")</f>
        <v/>
      </c>
      <c r="C302" s="40" t="str">
        <f>IF(A302&lt;&gt;"",INDEX('Base de données'!A$4:L$990,MATCH(A302,'Base de données'!A$4:A$990,0),12),"")</f>
        <v/>
      </c>
      <c r="D302" s="444"/>
      <c r="E302" s="444"/>
    </row>
    <row r="303" spans="1:5" x14ac:dyDescent="0.25">
      <c r="A303" s="444"/>
      <c r="B303" s="40" t="str">
        <f>IF(A303&lt;&gt;"",INDEX('Base de données'!A$4:L$990,MATCH(A303,'Base de données'!A$4:A$990,0),2),"")</f>
        <v/>
      </c>
      <c r="C303" s="40" t="str">
        <f>IF(A303&lt;&gt;"",INDEX('Base de données'!A$4:L$990,MATCH(A303,'Base de données'!A$4:A$990,0),12),"")</f>
        <v/>
      </c>
      <c r="D303" s="444"/>
      <c r="E303" s="444"/>
    </row>
    <row r="304" spans="1:5" x14ac:dyDescent="0.25">
      <c r="A304" s="444"/>
      <c r="B304" s="40" t="str">
        <f>IF(A304&lt;&gt;"",INDEX('Base de données'!A$4:L$990,MATCH(A304,'Base de données'!A$4:A$990,0),2),"")</f>
        <v/>
      </c>
      <c r="C304" s="40" t="str">
        <f>IF(A304&lt;&gt;"",INDEX('Base de données'!A$4:L$990,MATCH(A304,'Base de données'!A$4:A$990,0),12),"")</f>
        <v/>
      </c>
      <c r="D304" s="444"/>
      <c r="E304" s="444"/>
    </row>
    <row r="305" spans="1:5" x14ac:dyDescent="0.25">
      <c r="A305" s="444"/>
      <c r="B305" s="40" t="str">
        <f>IF(A305&lt;&gt;"",INDEX('Base de données'!A$4:L$990,MATCH(A305,'Base de données'!A$4:A$990,0),2),"")</f>
        <v/>
      </c>
      <c r="C305" s="40" t="str">
        <f>IF(A305&lt;&gt;"",INDEX('Base de données'!A$4:L$990,MATCH(A305,'Base de données'!A$4:A$990,0),12),"")</f>
        <v/>
      </c>
      <c r="D305" s="444"/>
      <c r="E305" s="444"/>
    </row>
    <row r="306" spans="1:5" x14ac:dyDescent="0.25">
      <c r="A306" s="444"/>
      <c r="B306" s="40" t="str">
        <f>IF(A306&lt;&gt;"",INDEX('Base de données'!A$4:L$990,MATCH(A306,'Base de données'!A$4:A$990,0),2),"")</f>
        <v/>
      </c>
      <c r="C306" s="40" t="str">
        <f>IF(A306&lt;&gt;"",INDEX('Base de données'!A$4:L$990,MATCH(A306,'Base de données'!A$4:A$990,0),12),"")</f>
        <v/>
      </c>
      <c r="D306" s="444"/>
      <c r="E306" s="444"/>
    </row>
    <row r="307" spans="1:5" x14ac:dyDescent="0.25">
      <c r="A307" s="444"/>
      <c r="B307" s="40" t="str">
        <f>IF(A307&lt;&gt;"",INDEX('Base de données'!A$4:L$990,MATCH(A307,'Base de données'!A$4:A$990,0),2),"")</f>
        <v/>
      </c>
      <c r="C307" s="40" t="str">
        <f>IF(A307&lt;&gt;"",INDEX('Base de données'!A$4:L$990,MATCH(A307,'Base de données'!A$4:A$990,0),12),"")</f>
        <v/>
      </c>
      <c r="D307" s="444"/>
      <c r="E307" s="444"/>
    </row>
    <row r="308" spans="1:5" x14ac:dyDescent="0.25">
      <c r="A308" s="444"/>
      <c r="B308" s="40" t="str">
        <f>IF(A308&lt;&gt;"",INDEX('Base de données'!A$4:L$990,MATCH(A308,'Base de données'!A$4:A$990,0),2),"")</f>
        <v/>
      </c>
      <c r="C308" s="40" t="str">
        <f>IF(A308&lt;&gt;"",INDEX('Base de données'!A$4:L$990,MATCH(A308,'Base de données'!A$4:A$990,0),12),"")</f>
        <v/>
      </c>
      <c r="D308" s="444"/>
      <c r="E308" s="444"/>
    </row>
    <row r="309" spans="1:5" x14ac:dyDescent="0.25">
      <c r="A309" s="444"/>
      <c r="B309" s="40" t="str">
        <f>IF(A309&lt;&gt;"",INDEX('Base de données'!A$4:L$990,MATCH(A309,'Base de données'!A$4:A$990,0),2),"")</f>
        <v/>
      </c>
      <c r="C309" s="40" t="str">
        <f>IF(A309&lt;&gt;"",INDEX('Base de données'!A$4:L$990,MATCH(A309,'Base de données'!A$4:A$990,0),12),"")</f>
        <v/>
      </c>
      <c r="D309" s="444"/>
      <c r="E309" s="444"/>
    </row>
    <row r="310" spans="1:5" x14ac:dyDescent="0.25">
      <c r="A310" s="444"/>
      <c r="B310" s="40" t="str">
        <f>IF(A310&lt;&gt;"",INDEX('Base de données'!A$4:L$990,MATCH(A310,'Base de données'!A$4:A$990,0),2),"")</f>
        <v/>
      </c>
      <c r="C310" s="40" t="str">
        <f>IF(A310&lt;&gt;"",INDEX('Base de données'!A$4:L$990,MATCH(A310,'Base de données'!A$4:A$990,0),12),"")</f>
        <v/>
      </c>
      <c r="D310" s="444"/>
      <c r="E310" s="444"/>
    </row>
    <row r="311" spans="1:5" x14ac:dyDescent="0.25">
      <c r="A311" s="444"/>
      <c r="B311" s="40" t="str">
        <f>IF(A311&lt;&gt;"",INDEX('Base de données'!A$4:L$990,MATCH(A311,'Base de données'!A$4:A$990,0),2),"")</f>
        <v/>
      </c>
      <c r="C311" s="40" t="str">
        <f>IF(A311&lt;&gt;"",INDEX('Base de données'!A$4:L$990,MATCH(A311,'Base de données'!A$4:A$990,0),12),"")</f>
        <v/>
      </c>
      <c r="D311" s="444"/>
      <c r="E311" s="444"/>
    </row>
    <row r="312" spans="1:5" x14ac:dyDescent="0.25">
      <c r="A312" s="444"/>
      <c r="B312" s="40" t="str">
        <f>IF(A312&lt;&gt;"",INDEX('Base de données'!A$4:L$990,MATCH(A312,'Base de données'!A$4:A$990,0),2),"")</f>
        <v/>
      </c>
      <c r="C312" s="40" t="str">
        <f>IF(A312&lt;&gt;"",INDEX('Base de données'!A$4:L$990,MATCH(A312,'Base de données'!A$4:A$990,0),12),"")</f>
        <v/>
      </c>
      <c r="D312" s="444"/>
      <c r="E312" s="444"/>
    </row>
    <row r="313" spans="1:5" x14ac:dyDescent="0.25">
      <c r="A313" s="444"/>
      <c r="B313" s="40" t="str">
        <f>IF(A313&lt;&gt;"",INDEX('Base de données'!A$4:L$990,MATCH(A313,'Base de données'!A$4:A$990,0),2),"")</f>
        <v/>
      </c>
      <c r="C313" s="40" t="str">
        <f>IF(A313&lt;&gt;"",INDEX('Base de données'!A$4:L$990,MATCH(A313,'Base de données'!A$4:A$990,0),12),"")</f>
        <v/>
      </c>
      <c r="D313" s="444"/>
      <c r="E313" s="444"/>
    </row>
    <row r="314" spans="1:5" x14ac:dyDescent="0.25">
      <c r="A314" s="444"/>
      <c r="B314" s="40" t="str">
        <f>IF(A314&lt;&gt;"",INDEX('Base de données'!A$4:L$990,MATCH(A314,'Base de données'!A$4:A$990,0),2),"")</f>
        <v/>
      </c>
      <c r="C314" s="40" t="str">
        <f>IF(A314&lt;&gt;"",INDEX('Base de données'!A$4:L$990,MATCH(A314,'Base de données'!A$4:A$990,0),12),"")</f>
        <v/>
      </c>
      <c r="D314" s="444"/>
      <c r="E314" s="444"/>
    </row>
    <row r="315" spans="1:5" x14ac:dyDescent="0.25">
      <c r="A315" s="444"/>
      <c r="B315" s="40" t="str">
        <f>IF(A315&lt;&gt;"",INDEX('Base de données'!A$4:L$990,MATCH(A315,'Base de données'!A$4:A$990,0),2),"")</f>
        <v/>
      </c>
      <c r="C315" s="40" t="str">
        <f>IF(A315&lt;&gt;"",INDEX('Base de données'!A$4:L$990,MATCH(A315,'Base de données'!A$4:A$990,0),12),"")</f>
        <v/>
      </c>
      <c r="D315" s="444"/>
      <c r="E315" s="444"/>
    </row>
    <row r="316" spans="1:5" x14ac:dyDescent="0.25">
      <c r="A316" s="444"/>
      <c r="B316" s="40" t="str">
        <f>IF(A316&lt;&gt;"",INDEX('Base de données'!A$4:L$990,MATCH(A316,'Base de données'!A$4:A$990,0),2),"")</f>
        <v/>
      </c>
      <c r="C316" s="40" t="str">
        <f>IF(A316&lt;&gt;"",INDEX('Base de données'!A$4:L$990,MATCH(A316,'Base de données'!A$4:A$990,0),12),"")</f>
        <v/>
      </c>
      <c r="D316" s="444"/>
      <c r="E316" s="444"/>
    </row>
    <row r="317" spans="1:5" x14ac:dyDescent="0.25">
      <c r="A317" s="444"/>
      <c r="B317" s="40" t="str">
        <f>IF(A317&lt;&gt;"",INDEX('Base de données'!A$4:L$990,MATCH(A317,'Base de données'!A$4:A$990,0),2),"")</f>
        <v/>
      </c>
      <c r="C317" s="40" t="str">
        <f>IF(A317&lt;&gt;"",INDEX('Base de données'!A$4:L$990,MATCH(A317,'Base de données'!A$4:A$990,0),12),"")</f>
        <v/>
      </c>
      <c r="D317" s="444"/>
      <c r="E317" s="444"/>
    </row>
    <row r="318" spans="1:5" x14ac:dyDescent="0.25">
      <c r="A318" s="444"/>
      <c r="B318" s="40" t="str">
        <f>IF(A318&lt;&gt;"",INDEX('Base de données'!A$4:L$990,MATCH(A318,'Base de données'!A$4:A$990,0),2),"")</f>
        <v/>
      </c>
      <c r="C318" s="40" t="str">
        <f>IF(A318&lt;&gt;"",INDEX('Base de données'!A$4:L$990,MATCH(A318,'Base de données'!A$4:A$990,0),12),"")</f>
        <v/>
      </c>
      <c r="D318" s="444"/>
      <c r="E318" s="444"/>
    </row>
  </sheetData>
  <sheetProtection sheet="1" objects="1" scenarios="1" selectLockedCells="1" autoFilter="0"/>
  <autoFilter ref="A5:E318"/>
  <conditionalFormatting sqref="A6:A318">
    <cfRule type="duplicateValues" dxfId="38" priority="3"/>
  </conditionalFormatting>
  <dataValidations count="1">
    <dataValidation type="list" allowBlank="1" showInputMessage="1" sqref="J5">
      <formula1>"KHAMISSA HDIMANE,DAOUD ISSKELA,RACHID NAAIMI ,FATIMA EZZAHRA JAIZI,NAJAT SAOUD,MOHAMED ESSAID,Med EGHIZ,HALIMA OUIJANE,FATIMA EZZAHRA AIT AHMED,ZINEB ELKHOUDARI,"</formula1>
    </dataValidation>
  </dataValidations>
  <pageMargins left="0.7" right="0.7" top="0.75" bottom="0.75" header="0.3" footer="0.3"/>
  <pageSetup orientation="portrait" r:id="rId1"/>
  <ignoredErrors>
    <ignoredError sqref="F3:F5 F7" evalError="1"/>
  </ignoredError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" operator="greaterThan" id="{E24DC1FA-7ED6-4600-9929-4612337C9187}">
            <xm:f>'Calendrier fiscal'!$B$35</xm:f>
            <x14:dxf>
              <fill>
                <patternFill>
                  <bgColor rgb="FFFF0000"/>
                </patternFill>
              </fill>
            </x14:dxf>
          </x14:cfRule>
          <xm:sqref>D6:D28 D30:D318</xm:sqref>
        </x14:conditionalFormatting>
        <x14:conditionalFormatting xmlns:xm="http://schemas.microsoft.com/office/excel/2006/main">
          <x14:cfRule type="cellIs" priority="1" operator="greaterThan" id="{00F892AC-000F-4AD8-96B9-6EC0C0A9422E}">
            <xm:f>'Calendrier fiscal'!$B$35</xm:f>
            <x14:dxf>
              <fill>
                <patternFill>
                  <bgColor rgb="FFFF0000"/>
                </patternFill>
              </fill>
            </x14:dxf>
          </x14:cfRule>
          <xm:sqref>D29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>
    <tabColor theme="6"/>
  </sheetPr>
  <dimension ref="A1:O318"/>
  <sheetViews>
    <sheetView showGridLines="0" showRowColHeaders="0" zoomScale="90" zoomScaleNormal="90" workbookViewId="0">
      <pane xSplit="3" ySplit="5" topLeftCell="D9" activePane="bottomRight" state="frozen"/>
      <selection pane="topRight" activeCell="D1" sqref="D1"/>
      <selection pane="bottomLeft" activeCell="A6" sqref="A6"/>
      <selection pane="bottomRight" activeCell="F21" sqref="F21"/>
    </sheetView>
  </sheetViews>
  <sheetFormatPr baseColWidth="10" defaultColWidth="11.42578125" defaultRowHeight="15" x14ac:dyDescent="0.25"/>
  <cols>
    <col min="1" max="1" width="11.42578125" style="55"/>
    <col min="2" max="2" width="24.140625" style="55" bestFit="1" customWidth="1"/>
    <col min="3" max="3" width="26.28515625" style="55" customWidth="1"/>
    <col min="4" max="4" width="16.28515625" style="55" customWidth="1"/>
    <col min="5" max="5" width="19.28515625" style="55" customWidth="1"/>
    <col min="6" max="6" width="19.7109375" style="55" customWidth="1"/>
    <col min="7" max="7" width="7" style="55" customWidth="1"/>
    <col min="8" max="8" width="14.5703125" style="55" customWidth="1"/>
    <col min="9" max="9" width="15.140625" style="55" customWidth="1"/>
    <col min="10" max="10" width="13.85546875" style="55" customWidth="1"/>
    <col min="11" max="11" width="11" style="55" bestFit="1" customWidth="1"/>
    <col min="12" max="12" width="15.7109375" style="55" customWidth="1"/>
    <col min="13" max="16384" width="11.42578125" style="55"/>
  </cols>
  <sheetData>
    <row r="1" spans="1:15" s="147" customFormat="1" ht="21" customHeight="1" x14ac:dyDescent="0.25">
      <c r="F1" s="54">
        <v>70</v>
      </c>
      <c r="G1" s="54">
        <f>COUNTIF(D6:D318,"="&amp;"P. Morale")</f>
        <v>22</v>
      </c>
      <c r="H1" s="54">
        <f>COUNTIF(D6:D318,"="&amp;"P. Physique")</f>
        <v>3</v>
      </c>
      <c r="I1" s="54">
        <f>COUNTIFS(D6:D318,"="&amp;"P. Morale",E6:E318,"&lt;"&amp;'Calendrier fiscal'!C35)</f>
        <v>20</v>
      </c>
    </row>
    <row r="2" spans="1:15" s="147" customFormat="1" ht="20.25" customHeight="1" x14ac:dyDescent="0.25">
      <c r="F2" s="54">
        <v>20</v>
      </c>
      <c r="G2" s="54">
        <f>COUNTIFS(D6:D318,"="&amp;"P. Morale",E6:E318,"&lt;"&amp;'Calendrier fiscal'!C36)</f>
        <v>20</v>
      </c>
      <c r="H2" s="54">
        <f>COUNTIFS(D6:D318,"="&amp;"P. Physique",E6:E318,"&lt;"&amp;'Calendrier fiscal'!D36)</f>
        <v>2</v>
      </c>
      <c r="I2" s="72">
        <f>I1/G1</f>
        <v>0.90909090909090906</v>
      </c>
    </row>
    <row r="3" spans="1:15" s="147" customFormat="1" ht="21.75" customHeight="1" x14ac:dyDescent="0.25">
      <c r="F3" s="54">
        <v>10</v>
      </c>
      <c r="G3" s="72">
        <f>G2/G1</f>
        <v>0.90909090909090906</v>
      </c>
      <c r="H3" s="72">
        <f>H2/H1</f>
        <v>0.66666666666666663</v>
      </c>
      <c r="I3" s="54">
        <f>COUNTIFS(D6:D318,"="&amp;"P. Physique",E6:E318,"&lt;"&amp;'Calendrier fiscal'!D35)</f>
        <v>3</v>
      </c>
    </row>
    <row r="4" spans="1:15" s="147" customFormat="1" ht="21" customHeight="1" thickBot="1" x14ac:dyDescent="0.3">
      <c r="E4" s="178"/>
      <c r="F4" s="76">
        <f>SUM(F1:F3)</f>
        <v>100</v>
      </c>
      <c r="G4" s="72">
        <f>G3</f>
        <v>0.90909090909090906</v>
      </c>
      <c r="H4" s="72">
        <f>H3</f>
        <v>0.66666666666666663</v>
      </c>
      <c r="I4" s="72">
        <f>I3/H1</f>
        <v>1</v>
      </c>
    </row>
    <row r="5" spans="1:15" ht="30.75" thickBot="1" x14ac:dyDescent="0.3">
      <c r="A5" s="146" t="s">
        <v>478</v>
      </c>
      <c r="B5" s="146" t="s">
        <v>479</v>
      </c>
      <c r="C5" s="146" t="s">
        <v>480</v>
      </c>
      <c r="D5" s="577" t="s">
        <v>476</v>
      </c>
      <c r="E5" s="577" t="s">
        <v>482</v>
      </c>
      <c r="F5" s="146" t="s">
        <v>483</v>
      </c>
      <c r="G5" s="72">
        <v>0.02</v>
      </c>
      <c r="H5" s="72">
        <v>0.02</v>
      </c>
      <c r="I5" s="54"/>
      <c r="L5" s="135" t="s">
        <v>617</v>
      </c>
      <c r="M5" s="134" t="s">
        <v>530</v>
      </c>
    </row>
    <row r="6" spans="1:15" x14ac:dyDescent="0.25">
      <c r="A6" s="538">
        <v>107</v>
      </c>
      <c r="B6" s="143" t="str">
        <f>IF(A6&lt;&gt;"",INDEX('Base de données'!A$4:L$990,MATCH(A6,'Base de données'!A$4:A$990,0),2),"")</f>
        <v xml:space="preserve">R BACK </v>
      </c>
      <c r="C6" s="143" t="str">
        <f>IF(A6&lt;&gt;"",INDEX('Base de données'!A$4:L$990,MATCH(A6,'Base de données'!A$4:A$990,0),12),"")</f>
        <v>NAJAT SAOUD</v>
      </c>
      <c r="D6" s="143" t="str">
        <f>IF(A6&lt;&gt;"",INDEX('Base de données'!A$4:L$990,MATCH(A6,'Base de données'!A$4:A$990,0),3),"")</f>
        <v>P. Morale</v>
      </c>
      <c r="E6" s="539">
        <v>44172</v>
      </c>
      <c r="F6" s="538" t="s">
        <v>1445</v>
      </c>
      <c r="G6" s="72">
        <f>G7-SUM(G4:G5)</f>
        <v>9.0909090909090939E-2</v>
      </c>
      <c r="H6" s="72">
        <f>H7-SUM(H4:H5)</f>
        <v>0.33333333333333337</v>
      </c>
      <c r="I6" s="54"/>
    </row>
    <row r="7" spans="1:15" x14ac:dyDescent="0.25">
      <c r="A7" s="538">
        <v>301</v>
      </c>
      <c r="B7" s="143" t="e">
        <f>IF(A7&lt;&gt;"",INDEX('Base de données'!A$4:L$990,MATCH(A7,'Base de données'!A$4:A$990,0),2),"")</f>
        <v>#N/A</v>
      </c>
      <c r="C7" s="143" t="e">
        <f>IF(A7&lt;&gt;"",INDEX('Base de données'!A$4:L$990,MATCH(A7,'Base de données'!A$4:A$990,0),12),"")</f>
        <v>#N/A</v>
      </c>
      <c r="D7" s="143" t="e">
        <f>IF(A7&lt;&gt;"",INDEX('Base de données'!A$4:L$990,MATCH(A7,'Base de données'!A$4:A$990,0),3),"")</f>
        <v>#N/A</v>
      </c>
      <c r="E7" s="539">
        <v>44141</v>
      </c>
      <c r="F7" s="538" t="s">
        <v>1446</v>
      </c>
      <c r="G7" s="72">
        <f>1.02</f>
        <v>1.02</v>
      </c>
      <c r="H7" s="72">
        <v>1.02</v>
      </c>
      <c r="I7" s="54"/>
      <c r="J7" s="141" t="s">
        <v>605</v>
      </c>
      <c r="K7" s="142" t="s">
        <v>610</v>
      </c>
      <c r="L7" s="141" t="s">
        <v>611</v>
      </c>
      <c r="M7" s="141" t="s">
        <v>609</v>
      </c>
      <c r="N7" s="141" t="s">
        <v>621</v>
      </c>
      <c r="O7" s="141" t="s">
        <v>639</v>
      </c>
    </row>
    <row r="8" spans="1:15" x14ac:dyDescent="0.25">
      <c r="A8" s="538">
        <v>379</v>
      </c>
      <c r="B8" s="143" t="str">
        <f>IF(A8&lt;&gt;"",INDEX('Base de données'!A$4:L$990,MATCH(A8,'Base de données'!A$4:A$990,0),2),"")</f>
        <v>YAPI RENT CAR</v>
      </c>
      <c r="C8" s="143" t="str">
        <f>IF(A8&lt;&gt;"",INDEX('Base de données'!A$4:L$990,MATCH(A8,'Base de données'!A$4:A$990,0),12),"")</f>
        <v>NAJAT SAOUD</v>
      </c>
      <c r="D8" s="143" t="str">
        <f>IF(A8&lt;&gt;"",INDEX('Base de données'!A$4:L$990,MATCH(A8,'Base de données'!A$4:A$990,0),3),"")</f>
        <v>P. Morale</v>
      </c>
      <c r="E8" s="539">
        <v>44219</v>
      </c>
      <c r="F8" s="538" t="s">
        <v>1491</v>
      </c>
      <c r="I8" s="145" t="s">
        <v>619</v>
      </c>
      <c r="J8" s="143">
        <f>COUNTIFS(C6:C318,M5,D6:D318,"="&amp;"P. Morale")</f>
        <v>0</v>
      </c>
      <c r="K8" s="143">
        <f>COUNTIFS(C6:C318,M5,D6:D318,"="&amp;"P. Morale",E6:E318,"&lt;"&amp;'Calendrier fiscal'!C36)</f>
        <v>0</v>
      </c>
      <c r="L8" s="143">
        <f>COUNTIFS(C6:C318,M5,D6:D318,"="&amp;"P. Morale",E6:E318,"&lt;"&amp;'Calendrier fiscal'!C35)</f>
        <v>0</v>
      </c>
      <c r="M8" s="143">
        <f>J8-L8</f>
        <v>0</v>
      </c>
      <c r="N8" s="144" t="str">
        <f>IF(J8&lt;&gt;0,K8/J8,"")</f>
        <v/>
      </c>
      <c r="O8" s="144" t="str">
        <f>IF(J8&lt;&gt;0,L8/J8,"")</f>
        <v/>
      </c>
    </row>
    <row r="9" spans="1:15" x14ac:dyDescent="0.25">
      <c r="A9" s="538">
        <v>342</v>
      </c>
      <c r="B9" s="143" t="str">
        <f>IF(A9&lt;&gt;"",INDEX('Base de données'!A$4:L$990,MATCH(A9,'Base de données'!A$4:A$990,0),2),"")</f>
        <v xml:space="preserve">HIMICHE CAR </v>
      </c>
      <c r="C9" s="143" t="str">
        <f>IF(A9&lt;&gt;"",INDEX('Base de données'!A$4:L$990,MATCH(A9,'Base de données'!A$4:A$990,0),12),"")</f>
        <v>NAJAT SAOUD</v>
      </c>
      <c r="D9" s="143" t="str">
        <f>IF(A9&lt;&gt;"",INDEX('Base de données'!A$4:L$990,MATCH(A9,'Base de données'!A$4:A$990,0),3),"")</f>
        <v>P. Morale</v>
      </c>
      <c r="E9" s="539">
        <v>44207</v>
      </c>
      <c r="F9" s="538" t="s">
        <v>1490</v>
      </c>
      <c r="I9" s="145" t="s">
        <v>618</v>
      </c>
      <c r="J9" s="143">
        <f>COUNTIFS(C6:C318,M5,D6:D318,"="&amp;"P. Physique")</f>
        <v>0</v>
      </c>
      <c r="K9" s="143">
        <f>COUNTIFS(C6:C318,M5,D6:D318,"="&amp;"P. Physique",E6:E318,"&lt;"&amp;'Calendrier fiscal'!D36)</f>
        <v>0</v>
      </c>
      <c r="L9" s="143">
        <f>COUNTIFS(C6:C318,M5,D6:D318,"="&amp;"P. Physique",E6:E318,"&lt;"&amp;'Calendrier fiscal'!D35)</f>
        <v>0</v>
      </c>
      <c r="M9" s="143">
        <f>J9-L9</f>
        <v>0</v>
      </c>
      <c r="N9" s="144" t="str">
        <f t="shared" ref="N9:N10" si="0">IF(J9&lt;&gt;0,K9/J9,"")</f>
        <v/>
      </c>
      <c r="O9" s="144" t="str">
        <f t="shared" ref="O9:O10" si="1">IF(J9&lt;&gt;0,L9/J9,"")</f>
        <v/>
      </c>
    </row>
    <row r="10" spans="1:15" x14ac:dyDescent="0.25">
      <c r="A10" s="538">
        <v>35</v>
      </c>
      <c r="B10" s="143" t="str">
        <f>IF(A10&lt;&gt;"",INDEX('Base de données'!A$4:L$990,MATCH(A10,'Base de données'!A$4:A$990,0),2),"")</f>
        <v xml:space="preserve">ATLAS OUKAIMDEN CONS </v>
      </c>
      <c r="C10" s="143" t="str">
        <f>IF(A10&lt;&gt;"",INDEX('Base de données'!A$4:L$990,MATCH(A10,'Base de données'!A$4:A$990,0),12),"")</f>
        <v>NAJAT SAOUD</v>
      </c>
      <c r="D10" s="143" t="str">
        <f>IF(A10&lt;&gt;"",INDEX('Base de données'!A$4:L$990,MATCH(A10,'Base de données'!A$4:A$990,0),3),"")</f>
        <v>P. Morale</v>
      </c>
      <c r="E10" s="539">
        <v>44209</v>
      </c>
      <c r="F10" s="538" t="s">
        <v>1492</v>
      </c>
      <c r="I10" s="145" t="s">
        <v>620</v>
      </c>
      <c r="J10" s="143">
        <f>COUNTIFS(C6:C318,M5,E6:E318,"&lt;&gt;"&amp;"")</f>
        <v>0</v>
      </c>
      <c r="K10" s="143">
        <f>SUM(K8:K9)</f>
        <v>0</v>
      </c>
      <c r="L10" s="143">
        <f>SUM(L8:L9)</f>
        <v>0</v>
      </c>
      <c r="M10" s="143">
        <f>J10-L10</f>
        <v>0</v>
      </c>
      <c r="N10" s="144" t="str">
        <f t="shared" si="0"/>
        <v/>
      </c>
      <c r="O10" s="144" t="str">
        <f t="shared" si="1"/>
        <v/>
      </c>
    </row>
    <row r="11" spans="1:15" x14ac:dyDescent="0.25">
      <c r="A11" s="538">
        <v>99</v>
      </c>
      <c r="B11" s="143" t="str">
        <f>IF(A11&lt;&gt;"",INDEX('Base de données'!A$4:L$990,MATCH(A11,'Base de données'!A$4:A$990,0),2),"")</f>
        <v>FESTIMA</v>
      </c>
      <c r="C11" s="143" t="str">
        <f>IF(A11&lt;&gt;"",INDEX('Base de données'!A$4:L$990,MATCH(A11,'Base de données'!A$4:A$990,0),12),"")</f>
        <v>NAJAT SAOUD</v>
      </c>
      <c r="D11" s="143" t="str">
        <f>IF(A11&lt;&gt;"",INDEX('Base de données'!A$4:L$990,MATCH(A11,'Base de données'!A$4:A$990,0),3),"")</f>
        <v>P. Morale</v>
      </c>
      <c r="E11" s="539">
        <v>44219</v>
      </c>
      <c r="F11" s="538" t="s">
        <v>1493</v>
      </c>
    </row>
    <row r="12" spans="1:15" x14ac:dyDescent="0.25">
      <c r="A12" s="538">
        <v>410</v>
      </c>
      <c r="B12" s="143" t="str">
        <f>IF(A12&lt;&gt;"",INDEX('Base de données'!A$4:L$990,MATCH(A12,'Base de données'!A$4:A$990,0),2),"")</f>
        <v>MAISON PRIME ROSE</v>
      </c>
      <c r="C12" s="143" t="str">
        <f>IF(A12&lt;&gt;"",INDEX('Base de données'!A$4:L$990,MATCH(A12,'Base de données'!A$4:A$990,0),12),"")</f>
        <v>NAJAT SAOUD</v>
      </c>
      <c r="D12" s="143" t="str">
        <f>IF(A12&lt;&gt;"",INDEX('Base de données'!A$4:L$990,MATCH(A12,'Base de données'!A$4:A$990,0),3),"")</f>
        <v xml:space="preserve">SARL AU </v>
      </c>
      <c r="E12" s="539">
        <v>44240</v>
      </c>
      <c r="F12" s="538" t="s">
        <v>1494</v>
      </c>
    </row>
    <row r="13" spans="1:15" x14ac:dyDescent="0.25">
      <c r="A13" s="538">
        <v>412</v>
      </c>
      <c r="B13" s="143" t="str">
        <f>IF(A13&lt;&gt;"",INDEX('Base de données'!A$4:L$990,MATCH(A13,'Base de données'!A$4:A$990,0),2),"")</f>
        <v>RIAD PREMIUM</v>
      </c>
      <c r="C13" s="143" t="str">
        <f>IF(A13&lt;&gt;"",INDEX('Base de données'!A$4:L$990,MATCH(A13,'Base de données'!A$4:A$990,0),12),"")</f>
        <v>NAJAT SAOUD</v>
      </c>
      <c r="D13" s="143" t="str">
        <f>IF(A13&lt;&gt;"",INDEX('Base de données'!A$4:L$990,MATCH(A13,'Base de données'!A$4:A$990,0),3),"")</f>
        <v xml:space="preserve">SARL AU </v>
      </c>
      <c r="E13" s="539">
        <v>44240</v>
      </c>
      <c r="F13" s="538" t="s">
        <v>1495</v>
      </c>
    </row>
    <row r="14" spans="1:15" x14ac:dyDescent="0.25">
      <c r="A14" s="538">
        <v>400</v>
      </c>
      <c r="B14" s="143" t="str">
        <f>IF(A14&lt;&gt;"",INDEX('Base de données'!A$4:L$990,MATCH(A14,'Base de données'!A$4:A$990,0),2),"")</f>
        <v xml:space="preserve">LAHLIB TOUR </v>
      </c>
      <c r="C14" s="143" t="str">
        <f>IF(A14&lt;&gt;"",INDEX('Base de données'!A$4:L$990,MATCH(A14,'Base de données'!A$4:A$990,0),12),"")</f>
        <v>NAJAT SAOUD</v>
      </c>
      <c r="D14" s="143" t="str">
        <f>IF(A14&lt;&gt;"",INDEX('Base de données'!A$4:L$990,MATCH(A14,'Base de données'!A$4:A$990,0),3),"")</f>
        <v xml:space="preserve">SARL AU </v>
      </c>
      <c r="E14" s="539">
        <v>44240</v>
      </c>
      <c r="F14" s="538" t="s">
        <v>1496</v>
      </c>
    </row>
    <row r="15" spans="1:15" x14ac:dyDescent="0.25">
      <c r="A15" s="538">
        <v>377</v>
      </c>
      <c r="B15" s="143" t="str">
        <f>IF(A15&lt;&gt;"",INDEX('Base de données'!A$4:L$990,MATCH(A15,'Base de données'!A$4:A$990,0),2),"")</f>
        <v>YOUNCE CAR</v>
      </c>
      <c r="C15" s="143" t="str">
        <f>IF(A15&lt;&gt;"",INDEX('Base de données'!A$4:L$990,MATCH(A15,'Base de données'!A$4:A$990,0),12),"")</f>
        <v>NAJAT SAOUD</v>
      </c>
      <c r="D15" s="143" t="str">
        <f>IF(A15&lt;&gt;"",INDEX('Base de données'!A$4:L$990,MATCH(A15,'Base de données'!A$4:A$990,0),3),"")</f>
        <v>P. Morale</v>
      </c>
      <c r="E15" s="539">
        <v>44240</v>
      </c>
      <c r="F15" s="538" t="s">
        <v>1497</v>
      </c>
    </row>
    <row r="16" spans="1:15" x14ac:dyDescent="0.25">
      <c r="A16" s="538">
        <v>328</v>
      </c>
      <c r="B16" s="143" t="str">
        <f>IF(A16&lt;&gt;"",INDEX('Base de données'!A$4:L$990,MATCH(A16,'Base de données'!A$4:A$990,0),2),"")</f>
        <v xml:space="preserve">BLANCHISSERIE YASSIN </v>
      </c>
      <c r="C16" s="143" t="str">
        <f>IF(A16&lt;&gt;"",INDEX('Base de données'!A$4:L$990,MATCH(A16,'Base de données'!A$4:A$990,0),12),"")</f>
        <v>NAJAT SAOUD</v>
      </c>
      <c r="D16" s="143" t="str">
        <f>IF(A16&lt;&gt;"",INDEX('Base de données'!A$4:L$990,MATCH(A16,'Base de données'!A$4:A$990,0),3),"")</f>
        <v>P. Morale</v>
      </c>
      <c r="E16" s="539">
        <v>44256</v>
      </c>
      <c r="F16" s="538" t="s">
        <v>1498</v>
      </c>
    </row>
    <row r="17" spans="1:6" x14ac:dyDescent="0.25">
      <c r="A17" s="538">
        <v>293</v>
      </c>
      <c r="B17" s="143" t="str">
        <f>IF(A17&lt;&gt;"",INDEX('Base de données'!A$4:L$990,MATCH(A17,'Base de données'!A$4:A$990,0),2),"")</f>
        <v xml:space="preserve">TRAM WORK </v>
      </c>
      <c r="C17" s="143" t="str">
        <f>IF(A17&lt;&gt;"",INDEX('Base de données'!A$4:L$990,MATCH(A17,'Base de données'!A$4:A$990,0),12),"")</f>
        <v>NAJAT SAOUD</v>
      </c>
      <c r="D17" s="143" t="str">
        <f>IF(A17&lt;&gt;"",INDEX('Base de données'!A$4:L$990,MATCH(A17,'Base de données'!A$4:A$990,0),3),"")</f>
        <v>P. Morale</v>
      </c>
      <c r="E17" s="539">
        <v>44256</v>
      </c>
      <c r="F17" s="538" t="s">
        <v>1499</v>
      </c>
    </row>
    <row r="18" spans="1:6" x14ac:dyDescent="0.25">
      <c r="A18" s="538">
        <v>13</v>
      </c>
      <c r="B18" s="143" t="str">
        <f>IF(A18&lt;&gt;"",INDEX('Base de données'!A$4:L$990,MATCH(A18,'Base de données'!A$4:A$990,0),2),"")</f>
        <v>EL AABIDI LAHCEN</v>
      </c>
      <c r="C18" s="143" t="str">
        <f>IF(A18&lt;&gt;"",INDEX('Base de données'!A$4:L$990,MATCH(A18,'Base de données'!A$4:A$990,0),12),"")</f>
        <v>NAJAT SAOUD</v>
      </c>
      <c r="D18" s="143" t="str">
        <f>IF(A18&lt;&gt;"",INDEX('Base de données'!A$4:L$990,MATCH(A18,'Base de données'!A$4:A$990,0),3),"")</f>
        <v>P. Physique</v>
      </c>
      <c r="E18" s="539">
        <v>44251</v>
      </c>
      <c r="F18" s="538" t="s">
        <v>1500</v>
      </c>
    </row>
    <row r="19" spans="1:6" x14ac:dyDescent="0.25">
      <c r="A19" s="538">
        <v>208</v>
      </c>
      <c r="B19" s="143" t="str">
        <f>IF(A19&lt;&gt;"",INDEX('Base de données'!A$4:L$990,MATCH(A19,'Base de données'!A$4:A$990,0),2),"")</f>
        <v xml:space="preserve">TOUFITRA </v>
      </c>
      <c r="C19" s="143" t="str">
        <f>IF(A19&lt;&gt;"",INDEX('Base de données'!A$4:L$990,MATCH(A19,'Base de données'!A$4:A$990,0),12),"")</f>
        <v>NAJAT SAOUD</v>
      </c>
      <c r="D19" s="143" t="str">
        <f>IF(A19&lt;&gt;"",INDEX('Base de données'!A$4:L$990,MATCH(A19,'Base de données'!A$4:A$990,0),3),"")</f>
        <v>P. Morale</v>
      </c>
      <c r="E19" s="539">
        <v>44256</v>
      </c>
      <c r="F19" s="538" t="s">
        <v>1501</v>
      </c>
    </row>
    <row r="20" spans="1:6" x14ac:dyDescent="0.25">
      <c r="A20" s="538">
        <v>303</v>
      </c>
      <c r="B20" s="143" t="str">
        <f>IF(A20&lt;&gt;"",INDEX('Base de données'!A$4:L$990,MATCH(A20,'Base de données'!A$4:A$990,0),2),"")</f>
        <v xml:space="preserve">SALIM BRAHIM </v>
      </c>
      <c r="C20" s="143" t="str">
        <f>IF(A20&lt;&gt;"",INDEX('Base de données'!A$4:L$990,MATCH(A20,'Base de données'!A$4:A$990,0),12),"")</f>
        <v>NAJAT SAOUD</v>
      </c>
      <c r="D20" s="143" t="str">
        <f>IF(A20&lt;&gt;"",INDEX('Base de données'!A$4:L$990,MATCH(A20,'Base de données'!A$4:A$990,0),3),"")</f>
        <v>P. Physique</v>
      </c>
      <c r="E20" s="539">
        <v>44252</v>
      </c>
      <c r="F20" s="538" t="s">
        <v>1502</v>
      </c>
    </row>
    <row r="21" spans="1:6" x14ac:dyDescent="0.25">
      <c r="A21" s="538">
        <v>234</v>
      </c>
      <c r="B21" s="143" t="str">
        <f>IF(A21&lt;&gt;"",INDEX('Base de données'!A$4:L$990,MATCH(A21,'Base de données'!A$4:A$990,0),2),"")</f>
        <v>NASSIRA ECHARITI</v>
      </c>
      <c r="C21" s="143" t="str">
        <f>IF(A21&lt;&gt;"",INDEX('Base de données'!A$4:L$990,MATCH(A21,'Base de données'!A$4:A$990,0),12),"")</f>
        <v>NAJAT SAOUD</v>
      </c>
      <c r="D21" s="143" t="str">
        <f>IF(A21&lt;&gt;"",INDEX('Base de données'!A$4:L$990,MATCH(A21,'Base de données'!A$4:A$990,0),3),"")</f>
        <v>P. Physique</v>
      </c>
      <c r="E21" s="539">
        <v>44315</v>
      </c>
      <c r="F21" s="538" t="s">
        <v>1517</v>
      </c>
    </row>
    <row r="22" spans="1:6" x14ac:dyDescent="0.25">
      <c r="A22" s="538">
        <v>292</v>
      </c>
      <c r="B22" s="143" t="str">
        <f>IF(A22&lt;&gt;"",INDEX('Base de données'!A$4:L$990,MATCH(A22,'Base de données'!A$4:A$990,0),2),"")</f>
        <v>ABI LOGISTIC CARS</v>
      </c>
      <c r="C22" s="143" t="str">
        <f>IF(A22&lt;&gt;"",INDEX('Base de données'!A$4:L$990,MATCH(A22,'Base de données'!A$4:A$990,0),12),"")</f>
        <v>NAJAT SAOUD</v>
      </c>
      <c r="D22" s="143" t="str">
        <f>IF(A22&lt;&gt;"",INDEX('Base de données'!A$4:L$990,MATCH(A22,'Base de données'!A$4:A$990,0),3),"")</f>
        <v>P. Morale</v>
      </c>
      <c r="E22" s="539">
        <v>44256</v>
      </c>
      <c r="F22" s="538" t="s">
        <v>1503</v>
      </c>
    </row>
    <row r="23" spans="1:6" x14ac:dyDescent="0.25">
      <c r="A23" s="538">
        <v>353</v>
      </c>
      <c r="B23" s="143" t="str">
        <f>IF(A23&lt;&gt;"",INDEX('Base de données'!A$4:L$990,MATCH(A23,'Base de données'!A$4:A$990,0),2),"")</f>
        <v xml:space="preserve">K.M.N SARL </v>
      </c>
      <c r="C23" s="143" t="str">
        <f>IF(A23&lt;&gt;"",INDEX('Base de données'!A$4:L$990,MATCH(A23,'Base de données'!A$4:A$990,0),12),"")</f>
        <v>NAJAT SAOUD</v>
      </c>
      <c r="D23" s="143" t="str">
        <f>IF(A23&lt;&gt;"",INDEX('Base de données'!A$4:L$990,MATCH(A23,'Base de données'!A$4:A$990,0),3),"")</f>
        <v>P. Morale</v>
      </c>
      <c r="E23" s="539">
        <v>44256</v>
      </c>
      <c r="F23" s="538" t="s">
        <v>1504</v>
      </c>
    </row>
    <row r="24" spans="1:6" x14ac:dyDescent="0.25">
      <c r="A24" s="538">
        <v>307</v>
      </c>
      <c r="B24" s="143" t="str">
        <f>IF(A24&lt;&gt;"",INDEX('Base de données'!A$4:L$990,MATCH(A24,'Base de données'!A$4:A$990,0),2),"")</f>
        <v>MOSAB ALI TRANS</v>
      </c>
      <c r="C24" s="143" t="str">
        <f>IF(A24&lt;&gt;"",INDEX('Base de données'!A$4:L$990,MATCH(A24,'Base de données'!A$4:A$990,0),12),"")</f>
        <v>NAJAT SAOUD</v>
      </c>
      <c r="D24" s="143" t="str">
        <f>IF(A24&lt;&gt;"",INDEX('Base de données'!A$4:L$990,MATCH(A24,'Base de données'!A$4:A$990,0),3),"")</f>
        <v>P. Morale</v>
      </c>
      <c r="E24" s="539">
        <v>44261</v>
      </c>
      <c r="F24" s="538" t="s">
        <v>1505</v>
      </c>
    </row>
    <row r="25" spans="1:6" x14ac:dyDescent="0.25">
      <c r="A25" s="538">
        <v>201</v>
      </c>
      <c r="B25" s="143" t="str">
        <f>IF(A25&lt;&gt;"",INDEX('Base de données'!A$4:L$990,MATCH(A25,'Base de données'!A$4:A$990,0),2),"")</f>
        <v>MEDICALOGIC</v>
      </c>
      <c r="C25" s="143" t="str">
        <f>IF(A25&lt;&gt;"",INDEX('Base de données'!A$4:L$990,MATCH(A25,'Base de données'!A$4:A$990,0),12),"")</f>
        <v>NAJAT SAOUD</v>
      </c>
      <c r="D25" s="143" t="str">
        <f>IF(A25&lt;&gt;"",INDEX('Base de données'!A$4:L$990,MATCH(A25,'Base de données'!A$4:A$990,0),3),"")</f>
        <v>P. Morale</v>
      </c>
      <c r="E25" s="539">
        <v>44256</v>
      </c>
      <c r="F25" s="538" t="s">
        <v>1506</v>
      </c>
    </row>
    <row r="26" spans="1:6" x14ac:dyDescent="0.25">
      <c r="A26" s="538">
        <v>189</v>
      </c>
      <c r="B26" s="143" t="str">
        <f>IF(A26&lt;&gt;"",INDEX('Base de données'!A$4:L$990,MATCH(A26,'Base de données'!A$4:A$990,0),2),"")</f>
        <v xml:space="preserve">BE MARRAKECH </v>
      </c>
      <c r="C26" s="143" t="str">
        <f>IF(A26&lt;&gt;"",INDEX('Base de données'!A$4:L$990,MATCH(A26,'Base de données'!A$4:A$990,0),12),"")</f>
        <v>NAJAT SAOUD</v>
      </c>
      <c r="D26" s="143" t="str">
        <f>IF(A26&lt;&gt;"",INDEX('Base de données'!A$4:L$990,MATCH(A26,'Base de données'!A$4:A$990,0),3),"")</f>
        <v>P. Morale</v>
      </c>
      <c r="E26" s="539">
        <v>44277</v>
      </c>
      <c r="F26" s="538" t="s">
        <v>1514</v>
      </c>
    </row>
    <row r="27" spans="1:6" x14ac:dyDescent="0.25">
      <c r="A27" s="538">
        <v>160</v>
      </c>
      <c r="B27" s="143" t="str">
        <f>IF(A27&lt;&gt;"",INDEX('Base de données'!A$4:L$990,MATCH(A27,'Base de données'!A$4:A$990,0),2),"")</f>
        <v>ECOLE AL ITQANE 2</v>
      </c>
      <c r="C27" s="143" t="str">
        <f>IF(A27&lt;&gt;"",INDEX('Base de données'!A$4:L$990,MATCH(A27,'Base de données'!A$4:A$990,0),12),"")</f>
        <v>NAJAT SAOUD</v>
      </c>
      <c r="D27" s="143" t="str">
        <f>IF(A27&lt;&gt;"",INDEX('Base de données'!A$4:L$990,MATCH(A27,'Base de données'!A$4:A$990,0),3),"")</f>
        <v>P. Morale</v>
      </c>
      <c r="E27" s="539">
        <v>44251</v>
      </c>
      <c r="F27" s="538" t="s">
        <v>1515</v>
      </c>
    </row>
    <row r="28" spans="1:6" x14ac:dyDescent="0.25">
      <c r="A28" s="538">
        <v>175</v>
      </c>
      <c r="B28" s="143" t="str">
        <f>IF(A28&lt;&gt;"",INDEX('Base de données'!A$4:L$990,MATCH(A28,'Base de données'!A$4:A$990,0),2),"")</f>
        <v>TSC D'AMEUBLEMENT</v>
      </c>
      <c r="C28" s="143" t="str">
        <f>IF(A28&lt;&gt;"",INDEX('Base de données'!A$4:L$990,MATCH(A28,'Base de données'!A$4:A$990,0),12),"")</f>
        <v>NAJAT SAOUD</v>
      </c>
      <c r="D28" s="143" t="str">
        <f>IF(A28&lt;&gt;"",INDEX('Base de données'!A$4:L$990,MATCH(A28,'Base de données'!A$4:A$990,0),3),"")</f>
        <v>P. Morale</v>
      </c>
      <c r="E28" s="539">
        <v>44259</v>
      </c>
      <c r="F28" s="538" t="s">
        <v>1507</v>
      </c>
    </row>
    <row r="29" spans="1:6" x14ac:dyDescent="0.25">
      <c r="A29" s="538">
        <v>6</v>
      </c>
      <c r="B29" s="143" t="str">
        <f>IF(A29&lt;&gt;"",INDEX('Base de données'!A$4:L$990,MATCH(A29,'Base de données'!A$4:A$990,0),2),"")</f>
        <v xml:space="preserve">IBTISSAM CAR </v>
      </c>
      <c r="C29" s="143" t="str">
        <f>IF(A29&lt;&gt;"",INDEX('Base de données'!A$4:L$990,MATCH(A29,'Base de données'!A$4:A$990,0),12),"")</f>
        <v>NAJAT SAOUD</v>
      </c>
      <c r="D29" s="143" t="str">
        <f>IF(A29&lt;&gt;"",INDEX('Base de données'!A$4:L$990,MATCH(A29,'Base de données'!A$4:A$990,0),3),"")</f>
        <v>P. Morale</v>
      </c>
      <c r="E29" s="539">
        <v>44264</v>
      </c>
      <c r="F29" s="538" t="s">
        <v>1508</v>
      </c>
    </row>
    <row r="30" spans="1:6" x14ac:dyDescent="0.25">
      <c r="A30" s="538">
        <v>224</v>
      </c>
      <c r="B30" s="143" t="str">
        <f>IF(A30&lt;&gt;"",INDEX('Base de données'!A$4:L$990,MATCH(A30,'Base de données'!A$4:A$990,0),2),"")</f>
        <v>JINANE CARS</v>
      </c>
      <c r="C30" s="143" t="str">
        <f>IF(A30&lt;&gt;"",INDEX('Base de données'!A$4:L$990,MATCH(A30,'Base de données'!A$4:A$990,0),12),"")</f>
        <v>NAJAT SAOUD</v>
      </c>
      <c r="D30" s="143" t="str">
        <f>IF(A30&lt;&gt;"",INDEX('Base de données'!A$4:L$990,MATCH(A30,'Base de données'!A$4:A$990,0),3),"")</f>
        <v>P. Morale</v>
      </c>
      <c r="E30" s="539">
        <v>44286</v>
      </c>
      <c r="F30" s="538" t="s">
        <v>1516</v>
      </c>
    </row>
    <row r="31" spans="1:6" x14ac:dyDescent="0.25">
      <c r="A31" s="538">
        <v>94</v>
      </c>
      <c r="B31" s="143" t="str">
        <f>IF(A31&lt;&gt;"",INDEX('Base de données'!A$4:L$990,MATCH(A31,'Base de données'!A$4:A$990,0),2),"")</f>
        <v>MARIGHA CONSTRUCTION</v>
      </c>
      <c r="C31" s="143" t="str">
        <f>IF(A31&lt;&gt;"",INDEX('Base de données'!A$4:L$990,MATCH(A31,'Base de données'!A$4:A$990,0),12),"")</f>
        <v>NAJAT SAOUD</v>
      </c>
      <c r="D31" s="143" t="str">
        <f>IF(A31&lt;&gt;"",INDEX('Base de données'!A$4:L$990,MATCH(A31,'Base de données'!A$4:A$990,0),3),"")</f>
        <v>P. Morale</v>
      </c>
      <c r="E31" s="539">
        <v>44264</v>
      </c>
      <c r="F31" s="538" t="s">
        <v>1509</v>
      </c>
    </row>
    <row r="32" spans="1:6" x14ac:dyDescent="0.25">
      <c r="A32" s="538">
        <v>14</v>
      </c>
      <c r="B32" s="143" t="str">
        <f>IF(A32&lt;&gt;"",INDEX('Base de données'!A$4:L$990,MATCH(A32,'Base de données'!A$4:A$990,0),2),"")</f>
        <v>MOUZINE CAR</v>
      </c>
      <c r="C32" s="143" t="str">
        <f>IF(A32&lt;&gt;"",INDEX('Base de données'!A$4:L$990,MATCH(A32,'Base de données'!A$4:A$990,0),12),"")</f>
        <v>NAJAT SAOUD</v>
      </c>
      <c r="D32" s="143" t="str">
        <f>IF(A32&lt;&gt;"",INDEX('Base de données'!A$4:L$990,MATCH(A32,'Base de données'!A$4:A$990,0),3),"")</f>
        <v>P. Morale</v>
      </c>
      <c r="E32" s="539">
        <v>44264</v>
      </c>
      <c r="F32" s="538" t="s">
        <v>1510</v>
      </c>
    </row>
    <row r="33" spans="1:6" x14ac:dyDescent="0.25">
      <c r="A33" s="538">
        <v>326</v>
      </c>
      <c r="B33" s="143" t="str">
        <f>IF(A33&lt;&gt;"",INDEX('Base de données'!A$4:L$990,MATCH(A33,'Base de données'!A$4:A$990,0),2),"")</f>
        <v>I.H.B</v>
      </c>
      <c r="C33" s="143" t="str">
        <f>IF(A33&lt;&gt;"",INDEX('Base de données'!A$4:L$990,MATCH(A33,'Base de données'!A$4:A$990,0),12),"")</f>
        <v>NAJAT SAOUD</v>
      </c>
      <c r="D33" s="143" t="str">
        <f>IF(A33&lt;&gt;"",INDEX('Base de données'!A$4:L$990,MATCH(A33,'Base de données'!A$4:A$990,0),3),"")</f>
        <v>P. Morale</v>
      </c>
      <c r="E33" s="539">
        <v>44270</v>
      </c>
      <c r="F33" s="538" t="s">
        <v>1511</v>
      </c>
    </row>
    <row r="34" spans="1:6" x14ac:dyDescent="0.25">
      <c r="A34" s="538">
        <v>388</v>
      </c>
      <c r="B34" s="143" t="str">
        <f>IF(A34&lt;&gt;"",INDEX('Base de données'!A$4:L$990,MATCH(A34,'Base de données'!A$4:A$990,0),2),"")</f>
        <v>CR9 SERVICE</v>
      </c>
      <c r="C34" s="143" t="str">
        <f>IF(A34&lt;&gt;"",INDEX('Base de données'!A$4:L$990,MATCH(A34,'Base de données'!A$4:A$990,0),12),"")</f>
        <v>NAJAT SAOUD</v>
      </c>
      <c r="D34" s="143" t="str">
        <f>IF(A34&lt;&gt;"",INDEX('Base de données'!A$4:L$990,MATCH(A34,'Base de données'!A$4:A$990,0),3),"")</f>
        <v xml:space="preserve">SARL AU </v>
      </c>
      <c r="E34" s="539">
        <v>44271</v>
      </c>
      <c r="F34" s="538" t="s">
        <v>1513</v>
      </c>
    </row>
    <row r="35" spans="1:6" x14ac:dyDescent="0.25">
      <c r="A35" s="538">
        <v>55</v>
      </c>
      <c r="B35" s="143" t="str">
        <f>IF(A35&lt;&gt;"",INDEX('Base de données'!A$4:L$990,MATCH(A35,'Base de données'!A$4:A$990,0),2),"")</f>
        <v>MILANOMAR</v>
      </c>
      <c r="C35" s="143" t="str">
        <f>IF(A35&lt;&gt;"",INDEX('Base de données'!A$4:L$990,MATCH(A35,'Base de données'!A$4:A$990,0),12),"")</f>
        <v>NAJAT SAOUD</v>
      </c>
      <c r="D35" s="143" t="str">
        <f>IF(A35&lt;&gt;"",INDEX('Base de données'!A$4:L$990,MATCH(A35,'Base de données'!A$4:A$990,0),3),"")</f>
        <v>P. Morale</v>
      </c>
      <c r="E35" s="538"/>
      <c r="F35" s="538" t="s">
        <v>1512</v>
      </c>
    </row>
    <row r="36" spans="1:6" x14ac:dyDescent="0.25">
      <c r="A36" s="538"/>
      <c r="B36" s="143" t="str">
        <f>IF(A36&lt;&gt;"",INDEX('Base de données'!A$4:L$990,MATCH(A36,'Base de données'!A$4:A$990,0),2),"")</f>
        <v/>
      </c>
      <c r="C36" s="143" t="str">
        <f>IF(A36&lt;&gt;"",INDEX('Base de données'!A$4:L$990,MATCH(A36,'Base de données'!A$4:A$990,0),12),"")</f>
        <v/>
      </c>
      <c r="D36" s="143" t="str">
        <f>IF(A36&lt;&gt;"",INDEX('Base de données'!A$4:L$990,MATCH(A36,'Base de données'!A$4:A$990,0),3),"")</f>
        <v/>
      </c>
      <c r="E36" s="538"/>
      <c r="F36" s="538"/>
    </row>
    <row r="37" spans="1:6" x14ac:dyDescent="0.25">
      <c r="A37" s="538"/>
      <c r="B37" s="143" t="str">
        <f>IF(A37&lt;&gt;"",INDEX('Base de données'!A$4:L$990,MATCH(A37,'Base de données'!A$4:A$990,0),2),"")</f>
        <v/>
      </c>
      <c r="C37" s="143" t="str">
        <f>IF(A37&lt;&gt;"",INDEX('Base de données'!A$4:L$990,MATCH(A37,'Base de données'!A$4:A$990,0),12),"")</f>
        <v/>
      </c>
      <c r="D37" s="143" t="str">
        <f>IF(A37&lt;&gt;"",INDEX('Base de données'!A$4:L$990,MATCH(A37,'Base de données'!A$4:A$990,0),3),"")</f>
        <v/>
      </c>
      <c r="E37" s="538"/>
      <c r="F37" s="538"/>
    </row>
    <row r="38" spans="1:6" x14ac:dyDescent="0.25">
      <c r="A38" s="538"/>
      <c r="B38" s="143" t="str">
        <f>IF(A38&lt;&gt;"",INDEX('Base de données'!A$4:L$990,MATCH(A38,'Base de données'!A$4:A$990,0),2),"")</f>
        <v/>
      </c>
      <c r="C38" s="143" t="str">
        <f>IF(A38&lt;&gt;"",INDEX('Base de données'!A$4:L$990,MATCH(A38,'Base de données'!A$4:A$990,0),12),"")</f>
        <v/>
      </c>
      <c r="D38" s="143" t="str">
        <f>IF(A38&lt;&gt;"",INDEX('Base de données'!A$4:L$990,MATCH(A38,'Base de données'!A$4:A$990,0),3),"")</f>
        <v/>
      </c>
      <c r="E38" s="538"/>
      <c r="F38" s="538"/>
    </row>
    <row r="39" spans="1:6" x14ac:dyDescent="0.25">
      <c r="A39" s="538"/>
      <c r="B39" s="143" t="str">
        <f>IF(A39&lt;&gt;"",INDEX('Base de données'!A$4:L$990,MATCH(A39,'Base de données'!A$4:A$990,0),2),"")</f>
        <v/>
      </c>
      <c r="C39" s="143" t="str">
        <f>IF(A39&lt;&gt;"",INDEX('Base de données'!A$4:L$990,MATCH(A39,'Base de données'!A$4:A$990,0),12),"")</f>
        <v/>
      </c>
      <c r="D39" s="143" t="str">
        <f>IF(A39&lt;&gt;"",INDEX('Base de données'!A$4:L$990,MATCH(A39,'Base de données'!A$4:A$990,0),3),"")</f>
        <v/>
      </c>
      <c r="E39" s="538"/>
      <c r="F39" s="538"/>
    </row>
    <row r="40" spans="1:6" x14ac:dyDescent="0.25">
      <c r="A40" s="538"/>
      <c r="B40" s="143" t="str">
        <f>IF(A40&lt;&gt;"",INDEX('Base de données'!A$4:L$990,MATCH(A40,'Base de données'!A$4:A$990,0),2),"")</f>
        <v/>
      </c>
      <c r="C40" s="143" t="str">
        <f>IF(A40&lt;&gt;"",INDEX('Base de données'!A$4:L$990,MATCH(A40,'Base de données'!A$4:A$990,0),12),"")</f>
        <v/>
      </c>
      <c r="D40" s="143" t="str">
        <f>IF(A40&lt;&gt;"",INDEX('Base de données'!A$4:L$990,MATCH(A40,'Base de données'!A$4:A$990,0),3),"")</f>
        <v/>
      </c>
      <c r="E40" s="538"/>
      <c r="F40" s="538"/>
    </row>
    <row r="41" spans="1:6" x14ac:dyDescent="0.25">
      <c r="A41" s="538"/>
      <c r="B41" s="143" t="str">
        <f>IF(A41&lt;&gt;"",INDEX('Base de données'!A$4:L$990,MATCH(A41,'Base de données'!A$4:A$990,0),2),"")</f>
        <v/>
      </c>
      <c r="C41" s="143" t="str">
        <f>IF(A41&lt;&gt;"",INDEX('Base de données'!A$4:L$990,MATCH(A41,'Base de données'!A$4:A$990,0),12),"")</f>
        <v/>
      </c>
      <c r="D41" s="143" t="str">
        <f>IF(A41&lt;&gt;"",INDEX('Base de données'!A$4:L$990,MATCH(A41,'Base de données'!A$4:A$990,0),3),"")</f>
        <v/>
      </c>
      <c r="E41" s="538"/>
      <c r="F41" s="538"/>
    </row>
    <row r="42" spans="1:6" x14ac:dyDescent="0.25">
      <c r="A42" s="538"/>
      <c r="B42" s="143" t="str">
        <f>IF(A42&lt;&gt;"",INDEX('Base de données'!A$4:L$990,MATCH(A42,'Base de données'!A$4:A$990,0),2),"")</f>
        <v/>
      </c>
      <c r="C42" s="143" t="str">
        <f>IF(A42&lt;&gt;"",INDEX('Base de données'!A$4:L$990,MATCH(A42,'Base de données'!A$4:A$990,0),12),"")</f>
        <v/>
      </c>
      <c r="D42" s="143" t="str">
        <f>IF(A42&lt;&gt;"",INDEX('Base de données'!A$4:L$990,MATCH(A42,'Base de données'!A$4:A$990,0),3),"")</f>
        <v/>
      </c>
      <c r="E42" s="538"/>
      <c r="F42" s="538"/>
    </row>
    <row r="43" spans="1:6" x14ac:dyDescent="0.25">
      <c r="A43" s="538"/>
      <c r="B43" s="143" t="str">
        <f>IF(A43&lt;&gt;"",INDEX('Base de données'!A$4:L$990,MATCH(A43,'Base de données'!A$4:A$990,0),2),"")</f>
        <v/>
      </c>
      <c r="C43" s="143" t="str">
        <f>IF(A43&lt;&gt;"",INDEX('Base de données'!A$4:L$990,MATCH(A43,'Base de données'!A$4:A$990,0),12),"")</f>
        <v/>
      </c>
      <c r="D43" s="143" t="str">
        <f>IF(A43&lt;&gt;"",INDEX('Base de données'!A$4:L$990,MATCH(A43,'Base de données'!A$4:A$990,0),3),"")</f>
        <v/>
      </c>
      <c r="E43" s="538"/>
      <c r="F43" s="538"/>
    </row>
    <row r="44" spans="1:6" x14ac:dyDescent="0.25">
      <c r="A44" s="538"/>
      <c r="B44" s="143" t="str">
        <f>IF(A44&lt;&gt;"",INDEX('Base de données'!A$4:L$990,MATCH(A44,'Base de données'!A$4:A$990,0),2),"")</f>
        <v/>
      </c>
      <c r="C44" s="143" t="str">
        <f>IF(A44&lt;&gt;"",INDEX('Base de données'!A$4:L$990,MATCH(A44,'Base de données'!A$4:A$990,0),12),"")</f>
        <v/>
      </c>
      <c r="D44" s="143" t="str">
        <f>IF(A44&lt;&gt;"",INDEX('Base de données'!A$4:L$990,MATCH(A44,'Base de données'!A$4:A$990,0),3),"")</f>
        <v/>
      </c>
      <c r="E44" s="538"/>
      <c r="F44" s="538"/>
    </row>
    <row r="45" spans="1:6" x14ac:dyDescent="0.25">
      <c r="A45" s="538"/>
      <c r="B45" s="143" t="str">
        <f>IF(A45&lt;&gt;"",INDEX('Base de données'!A$4:L$990,MATCH(A45,'Base de données'!A$4:A$990,0),2),"")</f>
        <v/>
      </c>
      <c r="C45" s="143" t="str">
        <f>IF(A45&lt;&gt;"",INDEX('Base de données'!A$4:L$990,MATCH(A45,'Base de données'!A$4:A$990,0),12),"")</f>
        <v/>
      </c>
      <c r="D45" s="143" t="str">
        <f>IF(A45&lt;&gt;"",INDEX('Base de données'!A$4:L$990,MATCH(A45,'Base de données'!A$4:A$990,0),3),"")</f>
        <v/>
      </c>
      <c r="E45" s="538"/>
      <c r="F45" s="538"/>
    </row>
    <row r="46" spans="1:6" x14ac:dyDescent="0.25">
      <c r="A46" s="538"/>
      <c r="B46" s="143" t="str">
        <f>IF(A46&lt;&gt;"",INDEX('Base de données'!A$4:L$990,MATCH(A46,'Base de données'!A$4:A$990,0),2),"")</f>
        <v/>
      </c>
      <c r="C46" s="143" t="str">
        <f>IF(A46&lt;&gt;"",INDEX('Base de données'!A$4:L$990,MATCH(A46,'Base de données'!A$4:A$990,0),12),"")</f>
        <v/>
      </c>
      <c r="D46" s="143" t="str">
        <f>IF(A46&lt;&gt;"",INDEX('Base de données'!A$4:L$990,MATCH(A46,'Base de données'!A$4:A$990,0),3),"")</f>
        <v/>
      </c>
      <c r="E46" s="538"/>
      <c r="F46" s="538"/>
    </row>
    <row r="47" spans="1:6" x14ac:dyDescent="0.25">
      <c r="A47" s="538"/>
      <c r="B47" s="143" t="str">
        <f>IF(A47&lt;&gt;"",INDEX('Base de données'!A$4:L$990,MATCH(A47,'Base de données'!A$4:A$990,0),2),"")</f>
        <v/>
      </c>
      <c r="C47" s="143" t="str">
        <f>IF(A47&lt;&gt;"",INDEX('Base de données'!A$4:L$990,MATCH(A47,'Base de données'!A$4:A$990,0),12),"")</f>
        <v/>
      </c>
      <c r="D47" s="143" t="str">
        <f>IF(A47&lt;&gt;"",INDEX('Base de données'!A$4:L$990,MATCH(A47,'Base de données'!A$4:A$990,0),3),"")</f>
        <v/>
      </c>
      <c r="E47" s="538"/>
      <c r="F47" s="538"/>
    </row>
    <row r="48" spans="1:6" x14ac:dyDescent="0.25">
      <c r="A48" s="538"/>
      <c r="B48" s="143" t="str">
        <f>IF(A48&lt;&gt;"",INDEX('Base de données'!A$4:L$990,MATCH(A48,'Base de données'!A$4:A$990,0),2),"")</f>
        <v/>
      </c>
      <c r="C48" s="143" t="str">
        <f>IF(A48&lt;&gt;"",INDEX('Base de données'!A$4:L$990,MATCH(A48,'Base de données'!A$4:A$990,0),12),"")</f>
        <v/>
      </c>
      <c r="D48" s="143" t="str">
        <f>IF(A48&lt;&gt;"",INDEX('Base de données'!A$4:L$990,MATCH(A48,'Base de données'!A$4:A$990,0),3),"")</f>
        <v/>
      </c>
      <c r="E48" s="538"/>
      <c r="F48" s="538"/>
    </row>
    <row r="49" spans="1:6" x14ac:dyDescent="0.25">
      <c r="A49" s="538"/>
      <c r="B49" s="143" t="str">
        <f>IF(A49&lt;&gt;"",INDEX('Base de données'!A$4:L$990,MATCH(A49,'Base de données'!A$4:A$990,0),2),"")</f>
        <v/>
      </c>
      <c r="C49" s="143" t="str">
        <f>IF(A49&lt;&gt;"",INDEX('Base de données'!A$4:L$990,MATCH(A49,'Base de données'!A$4:A$990,0),12),"")</f>
        <v/>
      </c>
      <c r="D49" s="143" t="str">
        <f>IF(A49&lt;&gt;"",INDEX('Base de données'!A$4:L$990,MATCH(A49,'Base de données'!A$4:A$990,0),3),"")</f>
        <v/>
      </c>
      <c r="E49" s="538"/>
      <c r="F49" s="538"/>
    </row>
    <row r="50" spans="1:6" x14ac:dyDescent="0.25">
      <c r="A50" s="538"/>
      <c r="B50" s="143" t="str">
        <f>IF(A50&lt;&gt;"",INDEX('Base de données'!A$4:L$990,MATCH(A50,'Base de données'!A$4:A$990,0),2),"")</f>
        <v/>
      </c>
      <c r="C50" s="143" t="str">
        <f>IF(A50&lt;&gt;"",INDEX('Base de données'!A$4:L$990,MATCH(A50,'Base de données'!A$4:A$990,0),12),"")</f>
        <v/>
      </c>
      <c r="D50" s="143" t="str">
        <f>IF(A50&lt;&gt;"",INDEX('Base de données'!A$4:L$990,MATCH(A50,'Base de données'!A$4:A$990,0),3),"")</f>
        <v/>
      </c>
      <c r="E50" s="538"/>
      <c r="F50" s="538"/>
    </row>
    <row r="51" spans="1:6" x14ac:dyDescent="0.25">
      <c r="A51" s="538"/>
      <c r="B51" s="143" t="str">
        <f>IF(A51&lt;&gt;"",INDEX('Base de données'!A$4:L$990,MATCH(A51,'Base de données'!A$4:A$990,0),2),"")</f>
        <v/>
      </c>
      <c r="C51" s="143" t="str">
        <f>IF(A51&lt;&gt;"",INDEX('Base de données'!A$4:L$990,MATCH(A51,'Base de données'!A$4:A$990,0),12),"")</f>
        <v/>
      </c>
      <c r="D51" s="143" t="str">
        <f>IF(A51&lt;&gt;"",INDEX('Base de données'!A$4:L$990,MATCH(A51,'Base de données'!A$4:A$990,0),3),"")</f>
        <v/>
      </c>
      <c r="E51" s="538"/>
      <c r="F51" s="538"/>
    </row>
    <row r="52" spans="1:6" x14ac:dyDescent="0.25">
      <c r="A52" s="538"/>
      <c r="B52" s="143" t="str">
        <f>IF(A52&lt;&gt;"",INDEX('Base de données'!A$4:L$990,MATCH(A52,'Base de données'!A$4:A$990,0),2),"")</f>
        <v/>
      </c>
      <c r="C52" s="143" t="str">
        <f>IF(A52&lt;&gt;"",INDEX('Base de données'!A$4:L$990,MATCH(A52,'Base de données'!A$4:A$990,0),12),"")</f>
        <v/>
      </c>
      <c r="D52" s="143" t="str">
        <f>IF(A52&lt;&gt;"",INDEX('Base de données'!A$4:L$990,MATCH(A52,'Base de données'!A$4:A$990,0),3),"")</f>
        <v/>
      </c>
      <c r="E52" s="538"/>
      <c r="F52" s="538"/>
    </row>
    <row r="53" spans="1:6" x14ac:dyDescent="0.25">
      <c r="A53" s="538"/>
      <c r="B53" s="143" t="str">
        <f>IF(A53&lt;&gt;"",INDEX('Base de données'!A$4:L$990,MATCH(A53,'Base de données'!A$4:A$990,0),2),"")</f>
        <v/>
      </c>
      <c r="C53" s="143" t="str">
        <f>IF(A53&lt;&gt;"",INDEX('Base de données'!A$4:L$990,MATCH(A53,'Base de données'!A$4:A$990,0),12),"")</f>
        <v/>
      </c>
      <c r="D53" s="143" t="str">
        <f>IF(A53&lt;&gt;"",INDEX('Base de données'!A$4:L$990,MATCH(A53,'Base de données'!A$4:A$990,0),3),"")</f>
        <v/>
      </c>
      <c r="E53" s="538"/>
      <c r="F53" s="538"/>
    </row>
    <row r="54" spans="1:6" x14ac:dyDescent="0.25">
      <c r="A54" s="538"/>
      <c r="B54" s="143" t="str">
        <f>IF(A54&lt;&gt;"",INDEX('Base de données'!A$4:L$990,MATCH(A54,'Base de données'!A$4:A$990,0),2),"")</f>
        <v/>
      </c>
      <c r="C54" s="143" t="str">
        <f>IF(A54&lt;&gt;"",INDEX('Base de données'!A$4:L$990,MATCH(A54,'Base de données'!A$4:A$990,0),12),"")</f>
        <v/>
      </c>
      <c r="D54" s="143" t="str">
        <f>IF(A54&lt;&gt;"",INDEX('Base de données'!A$4:L$990,MATCH(A54,'Base de données'!A$4:A$990,0),3),"")</f>
        <v/>
      </c>
      <c r="E54" s="538"/>
      <c r="F54" s="538"/>
    </row>
    <row r="55" spans="1:6" x14ac:dyDescent="0.25">
      <c r="A55" s="538"/>
      <c r="B55" s="143" t="str">
        <f>IF(A55&lt;&gt;"",INDEX('Base de données'!A$4:L$990,MATCH(A55,'Base de données'!A$4:A$990,0),2),"")</f>
        <v/>
      </c>
      <c r="C55" s="143" t="str">
        <f>IF(A55&lt;&gt;"",INDEX('Base de données'!A$4:L$990,MATCH(A55,'Base de données'!A$4:A$990,0),12),"")</f>
        <v/>
      </c>
      <c r="D55" s="143" t="str">
        <f>IF(A55&lt;&gt;"",INDEX('Base de données'!A$4:L$990,MATCH(A55,'Base de données'!A$4:A$990,0),3),"")</f>
        <v/>
      </c>
      <c r="E55" s="538"/>
      <c r="F55" s="538"/>
    </row>
    <row r="56" spans="1:6" x14ac:dyDescent="0.25">
      <c r="A56" s="538"/>
      <c r="B56" s="143" t="str">
        <f>IF(A56&lt;&gt;"",INDEX('Base de données'!A$4:L$990,MATCH(A56,'Base de données'!A$4:A$990,0),2),"")</f>
        <v/>
      </c>
      <c r="C56" s="143" t="str">
        <f>IF(A56&lt;&gt;"",INDEX('Base de données'!A$4:L$990,MATCH(A56,'Base de données'!A$4:A$990,0),12),"")</f>
        <v/>
      </c>
      <c r="D56" s="143" t="str">
        <f>IF(A56&lt;&gt;"",INDEX('Base de données'!A$4:L$990,MATCH(A56,'Base de données'!A$4:A$990,0),3),"")</f>
        <v/>
      </c>
      <c r="E56" s="538"/>
      <c r="F56" s="538"/>
    </row>
    <row r="57" spans="1:6" x14ac:dyDescent="0.25">
      <c r="A57" s="538"/>
      <c r="B57" s="143" t="str">
        <f>IF(A57&lt;&gt;"",INDEX('Base de données'!A$4:L$990,MATCH(A57,'Base de données'!A$4:A$990,0),2),"")</f>
        <v/>
      </c>
      <c r="C57" s="143" t="str">
        <f>IF(A57&lt;&gt;"",INDEX('Base de données'!A$4:L$990,MATCH(A57,'Base de données'!A$4:A$990,0),12),"")</f>
        <v/>
      </c>
      <c r="D57" s="143" t="str">
        <f>IF(A57&lt;&gt;"",INDEX('Base de données'!A$4:L$990,MATCH(A57,'Base de données'!A$4:A$990,0),3),"")</f>
        <v/>
      </c>
      <c r="E57" s="538"/>
      <c r="F57" s="538"/>
    </row>
    <row r="58" spans="1:6" x14ac:dyDescent="0.25">
      <c r="A58" s="538"/>
      <c r="B58" s="143" t="str">
        <f>IF(A58&lt;&gt;"",INDEX('Base de données'!A$4:L$990,MATCH(A58,'Base de données'!A$4:A$990,0),2),"")</f>
        <v/>
      </c>
      <c r="C58" s="143" t="str">
        <f>IF(A58&lt;&gt;"",INDEX('Base de données'!A$4:L$990,MATCH(A58,'Base de données'!A$4:A$990,0),12),"")</f>
        <v/>
      </c>
      <c r="D58" s="143" t="str">
        <f>IF(A58&lt;&gt;"",INDEX('Base de données'!A$4:L$990,MATCH(A58,'Base de données'!A$4:A$990,0),3),"")</f>
        <v/>
      </c>
      <c r="E58" s="538"/>
      <c r="F58" s="538"/>
    </row>
    <row r="59" spans="1:6" x14ac:dyDescent="0.25">
      <c r="A59" s="538"/>
      <c r="B59" s="143" t="str">
        <f>IF(A59&lt;&gt;"",INDEX('Base de données'!A$4:L$990,MATCH(A59,'Base de données'!A$4:A$990,0),2),"")</f>
        <v/>
      </c>
      <c r="C59" s="143" t="str">
        <f>IF(A59&lt;&gt;"",INDEX('Base de données'!A$4:L$990,MATCH(A59,'Base de données'!A$4:A$990,0),12),"")</f>
        <v/>
      </c>
      <c r="D59" s="143" t="str">
        <f>IF(A59&lt;&gt;"",INDEX('Base de données'!A$4:L$990,MATCH(A59,'Base de données'!A$4:A$990,0),3),"")</f>
        <v/>
      </c>
      <c r="E59" s="538"/>
      <c r="F59" s="538"/>
    </row>
    <row r="60" spans="1:6" x14ac:dyDescent="0.25">
      <c r="A60" s="538"/>
      <c r="B60" s="143" t="str">
        <f>IF(A60&lt;&gt;"",INDEX('Base de données'!A$4:L$990,MATCH(A60,'Base de données'!A$4:A$990,0),2),"")</f>
        <v/>
      </c>
      <c r="C60" s="143" t="str">
        <f>IF(A60&lt;&gt;"",INDEX('Base de données'!A$4:L$990,MATCH(A60,'Base de données'!A$4:A$990,0),12),"")</f>
        <v/>
      </c>
      <c r="D60" s="143" t="str">
        <f>IF(A60&lt;&gt;"",INDEX('Base de données'!A$4:L$990,MATCH(A60,'Base de données'!A$4:A$990,0),3),"")</f>
        <v/>
      </c>
      <c r="E60" s="538"/>
      <c r="F60" s="538"/>
    </row>
    <row r="61" spans="1:6" x14ac:dyDescent="0.25">
      <c r="A61" s="538"/>
      <c r="B61" s="143" t="str">
        <f>IF(A61&lt;&gt;"",INDEX('Base de données'!A$4:L$990,MATCH(A61,'Base de données'!A$4:A$990,0),2),"")</f>
        <v/>
      </c>
      <c r="C61" s="143" t="str">
        <f>IF(A61&lt;&gt;"",INDEX('Base de données'!A$4:L$990,MATCH(A61,'Base de données'!A$4:A$990,0),12),"")</f>
        <v/>
      </c>
      <c r="D61" s="143" t="str">
        <f>IF(A61&lt;&gt;"",INDEX('Base de données'!A$4:L$990,MATCH(A61,'Base de données'!A$4:A$990,0),3),"")</f>
        <v/>
      </c>
      <c r="E61" s="538"/>
      <c r="F61" s="538"/>
    </row>
    <row r="62" spans="1:6" x14ac:dyDescent="0.25">
      <c r="A62" s="538"/>
      <c r="B62" s="143" t="str">
        <f>IF(A62&lt;&gt;"",INDEX('Base de données'!A$4:L$990,MATCH(A62,'Base de données'!A$4:A$990,0),2),"")</f>
        <v/>
      </c>
      <c r="C62" s="143" t="str">
        <f>IF(A62&lt;&gt;"",INDEX('Base de données'!A$4:L$990,MATCH(A62,'Base de données'!A$4:A$990,0),12),"")</f>
        <v/>
      </c>
      <c r="D62" s="143" t="str">
        <f>IF(A62&lt;&gt;"",INDEX('Base de données'!A$4:L$990,MATCH(A62,'Base de données'!A$4:A$990,0),3),"")</f>
        <v/>
      </c>
      <c r="E62" s="538"/>
      <c r="F62" s="538"/>
    </row>
    <row r="63" spans="1:6" x14ac:dyDescent="0.25">
      <c r="A63" s="538"/>
      <c r="B63" s="143" t="str">
        <f>IF(A63&lt;&gt;"",INDEX('Base de données'!A$4:L$990,MATCH(A63,'Base de données'!A$4:A$990,0),2),"")</f>
        <v/>
      </c>
      <c r="C63" s="143" t="str">
        <f>IF(A63&lt;&gt;"",INDEX('Base de données'!A$4:L$990,MATCH(A63,'Base de données'!A$4:A$990,0),12),"")</f>
        <v/>
      </c>
      <c r="D63" s="143" t="str">
        <f>IF(A63&lt;&gt;"",INDEX('Base de données'!A$4:L$990,MATCH(A63,'Base de données'!A$4:A$990,0),3),"")</f>
        <v/>
      </c>
      <c r="E63" s="538"/>
      <c r="F63" s="538"/>
    </row>
    <row r="64" spans="1:6" x14ac:dyDescent="0.25">
      <c r="A64" s="538"/>
      <c r="B64" s="143" t="str">
        <f>IF(A64&lt;&gt;"",INDEX('Base de données'!A$4:L$990,MATCH(A64,'Base de données'!A$4:A$990,0),2),"")</f>
        <v/>
      </c>
      <c r="C64" s="143" t="str">
        <f>IF(A64&lt;&gt;"",INDEX('Base de données'!A$4:L$990,MATCH(A64,'Base de données'!A$4:A$990,0),12),"")</f>
        <v/>
      </c>
      <c r="D64" s="143" t="str">
        <f>IF(A64&lt;&gt;"",INDEX('Base de données'!A$4:L$990,MATCH(A64,'Base de données'!A$4:A$990,0),3),"")</f>
        <v/>
      </c>
      <c r="E64" s="538"/>
      <c r="F64" s="538"/>
    </row>
    <row r="65" spans="1:6" x14ac:dyDescent="0.25">
      <c r="A65" s="538"/>
      <c r="B65" s="143" t="str">
        <f>IF(A65&lt;&gt;"",INDEX('Base de données'!A$4:L$990,MATCH(A65,'Base de données'!A$4:A$990,0),2),"")</f>
        <v/>
      </c>
      <c r="C65" s="143" t="str">
        <f>IF(A65&lt;&gt;"",INDEX('Base de données'!A$4:L$990,MATCH(A65,'Base de données'!A$4:A$990,0),12),"")</f>
        <v/>
      </c>
      <c r="D65" s="143" t="str">
        <f>IF(A65&lt;&gt;"",INDEX('Base de données'!A$4:L$990,MATCH(A65,'Base de données'!A$4:A$990,0),3),"")</f>
        <v/>
      </c>
      <c r="E65" s="538"/>
      <c r="F65" s="538"/>
    </row>
    <row r="66" spans="1:6" x14ac:dyDescent="0.25">
      <c r="A66" s="538"/>
      <c r="B66" s="143" t="str">
        <f>IF(A66&lt;&gt;"",INDEX('Base de données'!A$4:L$990,MATCH(A66,'Base de données'!A$4:A$990,0),2),"")</f>
        <v/>
      </c>
      <c r="C66" s="143" t="str">
        <f>IF(A66&lt;&gt;"",INDEX('Base de données'!A$4:L$990,MATCH(A66,'Base de données'!A$4:A$990,0),12),"")</f>
        <v/>
      </c>
      <c r="D66" s="143" t="str">
        <f>IF(A66&lt;&gt;"",INDEX('Base de données'!A$4:L$990,MATCH(A66,'Base de données'!A$4:A$990,0),3),"")</f>
        <v/>
      </c>
      <c r="E66" s="538"/>
      <c r="F66" s="538"/>
    </row>
    <row r="67" spans="1:6" x14ac:dyDescent="0.25">
      <c r="A67" s="538"/>
      <c r="B67" s="143" t="str">
        <f>IF(A67&lt;&gt;"",INDEX('Base de données'!A$4:L$990,MATCH(A67,'Base de données'!A$4:A$990,0),2),"")</f>
        <v/>
      </c>
      <c r="C67" s="143" t="str">
        <f>IF(A67&lt;&gt;"",INDEX('Base de données'!A$4:L$990,MATCH(A67,'Base de données'!A$4:A$990,0),12),"")</f>
        <v/>
      </c>
      <c r="D67" s="143" t="str">
        <f>IF(A67&lt;&gt;"",INDEX('Base de données'!A$4:L$990,MATCH(A67,'Base de données'!A$4:A$990,0),3),"")</f>
        <v/>
      </c>
      <c r="E67" s="538"/>
      <c r="F67" s="538"/>
    </row>
    <row r="68" spans="1:6" x14ac:dyDescent="0.25">
      <c r="A68" s="538"/>
      <c r="B68" s="143" t="str">
        <f>IF(A68&lt;&gt;"",INDEX('Base de données'!A$4:L$990,MATCH(A68,'Base de données'!A$4:A$990,0),2),"")</f>
        <v/>
      </c>
      <c r="C68" s="143" t="str">
        <f>IF(A68&lt;&gt;"",INDEX('Base de données'!A$4:L$990,MATCH(A68,'Base de données'!A$4:A$990,0),12),"")</f>
        <v/>
      </c>
      <c r="D68" s="143" t="str">
        <f>IF(A68&lt;&gt;"",INDEX('Base de données'!A$4:L$990,MATCH(A68,'Base de données'!A$4:A$990,0),3),"")</f>
        <v/>
      </c>
      <c r="E68" s="538"/>
      <c r="F68" s="538"/>
    </row>
    <row r="69" spans="1:6" x14ac:dyDescent="0.25">
      <c r="A69" s="538"/>
      <c r="B69" s="143" t="str">
        <f>IF(A69&lt;&gt;"",INDEX('Base de données'!A$4:L$990,MATCH(A69,'Base de données'!A$4:A$990,0),2),"")</f>
        <v/>
      </c>
      <c r="C69" s="143" t="str">
        <f>IF(A69&lt;&gt;"",INDEX('Base de données'!A$4:L$990,MATCH(A69,'Base de données'!A$4:A$990,0),12),"")</f>
        <v/>
      </c>
      <c r="D69" s="143" t="str">
        <f>IF(A69&lt;&gt;"",INDEX('Base de données'!A$4:L$990,MATCH(A69,'Base de données'!A$4:A$990,0),3),"")</f>
        <v/>
      </c>
      <c r="E69" s="538"/>
      <c r="F69" s="538"/>
    </row>
    <row r="70" spans="1:6" x14ac:dyDescent="0.25">
      <c r="A70" s="538"/>
      <c r="B70" s="143" t="str">
        <f>IF(A70&lt;&gt;"",INDEX('Base de données'!A$4:L$990,MATCH(A70,'Base de données'!A$4:A$990,0),2),"")</f>
        <v/>
      </c>
      <c r="C70" s="143" t="str">
        <f>IF(A70&lt;&gt;"",INDEX('Base de données'!A$4:L$990,MATCH(A70,'Base de données'!A$4:A$990,0),12),"")</f>
        <v/>
      </c>
      <c r="D70" s="143" t="str">
        <f>IF(A70&lt;&gt;"",INDEX('Base de données'!A$4:L$990,MATCH(A70,'Base de données'!A$4:A$990,0),3),"")</f>
        <v/>
      </c>
      <c r="E70" s="538"/>
      <c r="F70" s="538"/>
    </row>
    <row r="71" spans="1:6" x14ac:dyDescent="0.25">
      <c r="A71" s="538"/>
      <c r="B71" s="143" t="str">
        <f>IF(A71&lt;&gt;"",INDEX('Base de données'!A$4:L$990,MATCH(A71,'Base de données'!A$4:A$990,0),2),"")</f>
        <v/>
      </c>
      <c r="C71" s="143" t="str">
        <f>IF(A71&lt;&gt;"",INDEX('Base de données'!A$4:L$990,MATCH(A71,'Base de données'!A$4:A$990,0),12),"")</f>
        <v/>
      </c>
      <c r="D71" s="143" t="str">
        <f>IF(A71&lt;&gt;"",INDEX('Base de données'!A$4:L$990,MATCH(A71,'Base de données'!A$4:A$990,0),3),"")</f>
        <v/>
      </c>
      <c r="E71" s="538"/>
      <c r="F71" s="538"/>
    </row>
    <row r="72" spans="1:6" x14ac:dyDescent="0.25">
      <c r="A72" s="538"/>
      <c r="B72" s="143" t="str">
        <f>IF(A72&lt;&gt;"",INDEX('Base de données'!A$4:L$990,MATCH(A72,'Base de données'!A$4:A$990,0),2),"")</f>
        <v/>
      </c>
      <c r="C72" s="143" t="str">
        <f>IF(A72&lt;&gt;"",INDEX('Base de données'!A$4:L$990,MATCH(A72,'Base de données'!A$4:A$990,0),12),"")</f>
        <v/>
      </c>
      <c r="D72" s="143" t="str">
        <f>IF(A72&lt;&gt;"",INDEX('Base de données'!A$4:L$990,MATCH(A72,'Base de données'!A$4:A$990,0),3),"")</f>
        <v/>
      </c>
      <c r="E72" s="538"/>
      <c r="F72" s="538"/>
    </row>
    <row r="73" spans="1:6" x14ac:dyDescent="0.25">
      <c r="A73" s="538"/>
      <c r="B73" s="143" t="str">
        <f>IF(A73&lt;&gt;"",INDEX('Base de données'!A$4:L$990,MATCH(A73,'Base de données'!A$4:A$990,0),2),"")</f>
        <v/>
      </c>
      <c r="C73" s="143" t="str">
        <f>IF(A73&lt;&gt;"",INDEX('Base de données'!A$4:L$990,MATCH(A73,'Base de données'!A$4:A$990,0),12),"")</f>
        <v/>
      </c>
      <c r="D73" s="143" t="str">
        <f>IF(A73&lt;&gt;"",INDEX('Base de données'!A$4:L$990,MATCH(A73,'Base de données'!A$4:A$990,0),3),"")</f>
        <v/>
      </c>
      <c r="E73" s="538"/>
      <c r="F73" s="538"/>
    </row>
    <row r="74" spans="1:6" x14ac:dyDescent="0.25">
      <c r="A74" s="538"/>
      <c r="B74" s="143" t="str">
        <f>IF(A74&lt;&gt;"",INDEX('Base de données'!A$4:L$990,MATCH(A74,'Base de données'!A$4:A$990,0),2),"")</f>
        <v/>
      </c>
      <c r="C74" s="143" t="str">
        <f>IF(A74&lt;&gt;"",INDEX('Base de données'!A$4:L$990,MATCH(A74,'Base de données'!A$4:A$990,0),12),"")</f>
        <v/>
      </c>
      <c r="D74" s="143" t="str">
        <f>IF(A74&lt;&gt;"",INDEX('Base de données'!A$4:L$990,MATCH(A74,'Base de données'!A$4:A$990,0),3),"")</f>
        <v/>
      </c>
      <c r="E74" s="538"/>
      <c r="F74" s="538"/>
    </row>
    <row r="75" spans="1:6" x14ac:dyDescent="0.25">
      <c r="A75" s="538"/>
      <c r="B75" s="143" t="str">
        <f>IF(A75&lt;&gt;"",INDEX('Base de données'!A$4:L$990,MATCH(A75,'Base de données'!A$4:A$990,0),2),"")</f>
        <v/>
      </c>
      <c r="C75" s="143" t="str">
        <f>IF(A75&lt;&gt;"",INDEX('Base de données'!A$4:L$990,MATCH(A75,'Base de données'!A$4:A$990,0),12),"")</f>
        <v/>
      </c>
      <c r="D75" s="143" t="str">
        <f>IF(A75&lt;&gt;"",INDEX('Base de données'!A$4:L$990,MATCH(A75,'Base de données'!A$4:A$990,0),3),"")</f>
        <v/>
      </c>
      <c r="E75" s="538"/>
      <c r="F75" s="538"/>
    </row>
    <row r="76" spans="1:6" x14ac:dyDescent="0.25">
      <c r="A76" s="538"/>
      <c r="B76" s="143" t="str">
        <f>IF(A76&lt;&gt;"",INDEX('Base de données'!A$4:L$990,MATCH(A76,'Base de données'!A$4:A$990,0),2),"")</f>
        <v/>
      </c>
      <c r="C76" s="143" t="str">
        <f>IF(A76&lt;&gt;"",INDEX('Base de données'!A$4:L$990,MATCH(A76,'Base de données'!A$4:A$990,0),12),"")</f>
        <v/>
      </c>
      <c r="D76" s="143" t="str">
        <f>IF(A76&lt;&gt;"",INDEX('Base de données'!A$4:L$990,MATCH(A76,'Base de données'!A$4:A$990,0),3),"")</f>
        <v/>
      </c>
      <c r="E76" s="538"/>
      <c r="F76" s="538"/>
    </row>
    <row r="77" spans="1:6" x14ac:dyDescent="0.25">
      <c r="A77" s="538"/>
      <c r="B77" s="143" t="str">
        <f>IF(A77&lt;&gt;"",INDEX('Base de données'!A$4:L$990,MATCH(A77,'Base de données'!A$4:A$990,0),2),"")</f>
        <v/>
      </c>
      <c r="C77" s="143" t="str">
        <f>IF(A77&lt;&gt;"",INDEX('Base de données'!A$4:L$990,MATCH(A77,'Base de données'!A$4:A$990,0),12),"")</f>
        <v/>
      </c>
      <c r="D77" s="143" t="str">
        <f>IF(A77&lt;&gt;"",INDEX('Base de données'!A$4:L$990,MATCH(A77,'Base de données'!A$4:A$990,0),3),"")</f>
        <v/>
      </c>
      <c r="E77" s="538"/>
      <c r="F77" s="538"/>
    </row>
    <row r="78" spans="1:6" x14ac:dyDescent="0.25">
      <c r="A78" s="538"/>
      <c r="B78" s="143" t="str">
        <f>IF(A78&lt;&gt;"",INDEX('Base de données'!A$4:L$990,MATCH(A78,'Base de données'!A$4:A$990,0),2),"")</f>
        <v/>
      </c>
      <c r="C78" s="143" t="str">
        <f>IF(A78&lt;&gt;"",INDEX('Base de données'!A$4:L$990,MATCH(A78,'Base de données'!A$4:A$990,0),12),"")</f>
        <v/>
      </c>
      <c r="D78" s="143" t="str">
        <f>IF(A78&lt;&gt;"",INDEX('Base de données'!A$4:L$990,MATCH(A78,'Base de données'!A$4:A$990,0),3),"")</f>
        <v/>
      </c>
      <c r="E78" s="538"/>
      <c r="F78" s="538"/>
    </row>
    <row r="79" spans="1:6" x14ac:dyDescent="0.25">
      <c r="A79" s="538"/>
      <c r="B79" s="143" t="str">
        <f>IF(A79&lt;&gt;"",INDEX('Base de données'!A$4:L$990,MATCH(A79,'Base de données'!A$4:A$990,0),2),"")</f>
        <v/>
      </c>
      <c r="C79" s="143" t="str">
        <f>IF(A79&lt;&gt;"",INDEX('Base de données'!A$4:L$990,MATCH(A79,'Base de données'!A$4:A$990,0),12),"")</f>
        <v/>
      </c>
      <c r="D79" s="143" t="str">
        <f>IF(A79&lt;&gt;"",INDEX('Base de données'!A$4:L$990,MATCH(A79,'Base de données'!A$4:A$990,0),3),"")</f>
        <v/>
      </c>
      <c r="E79" s="538"/>
      <c r="F79" s="538"/>
    </row>
    <row r="80" spans="1:6" x14ac:dyDescent="0.25">
      <c r="A80" s="538"/>
      <c r="B80" s="143" t="str">
        <f>IF(A80&lt;&gt;"",INDEX('Base de données'!A$4:L$990,MATCH(A80,'Base de données'!A$4:A$990,0),2),"")</f>
        <v/>
      </c>
      <c r="C80" s="143" t="str">
        <f>IF(A80&lt;&gt;"",INDEX('Base de données'!A$4:L$990,MATCH(A80,'Base de données'!A$4:A$990,0),12),"")</f>
        <v/>
      </c>
      <c r="D80" s="143" t="str">
        <f>IF(A80&lt;&gt;"",INDEX('Base de données'!A$4:L$990,MATCH(A80,'Base de données'!A$4:A$990,0),3),"")</f>
        <v/>
      </c>
      <c r="E80" s="538"/>
      <c r="F80" s="538"/>
    </row>
    <row r="81" spans="1:6" x14ac:dyDescent="0.25">
      <c r="A81" s="538"/>
      <c r="B81" s="143" t="str">
        <f>IF(A81&lt;&gt;"",INDEX('Base de données'!A$4:L$990,MATCH(A81,'Base de données'!A$4:A$990,0),2),"")</f>
        <v/>
      </c>
      <c r="C81" s="143" t="str">
        <f>IF(A81&lt;&gt;"",INDEX('Base de données'!A$4:L$990,MATCH(A81,'Base de données'!A$4:A$990,0),12),"")</f>
        <v/>
      </c>
      <c r="D81" s="143" t="str">
        <f>IF(A81&lt;&gt;"",INDEX('Base de données'!A$4:L$990,MATCH(A81,'Base de données'!A$4:A$990,0),3),"")</f>
        <v/>
      </c>
      <c r="E81" s="538"/>
      <c r="F81" s="538"/>
    </row>
    <row r="82" spans="1:6" x14ac:dyDescent="0.25">
      <c r="A82" s="538"/>
      <c r="B82" s="143" t="str">
        <f>IF(A82&lt;&gt;"",INDEX('Base de données'!A$4:L$990,MATCH(A82,'Base de données'!A$4:A$990,0),2),"")</f>
        <v/>
      </c>
      <c r="C82" s="143" t="str">
        <f>IF(A82&lt;&gt;"",INDEX('Base de données'!A$4:L$990,MATCH(A82,'Base de données'!A$4:A$990,0),12),"")</f>
        <v/>
      </c>
      <c r="D82" s="143" t="str">
        <f>IF(A82&lt;&gt;"",INDEX('Base de données'!A$4:L$990,MATCH(A82,'Base de données'!A$4:A$990,0),3),"")</f>
        <v/>
      </c>
      <c r="E82" s="538"/>
      <c r="F82" s="538"/>
    </row>
    <row r="83" spans="1:6" x14ac:dyDescent="0.25">
      <c r="A83" s="538"/>
      <c r="B83" s="143" t="str">
        <f>IF(A83&lt;&gt;"",INDEX('Base de données'!A$4:L$990,MATCH(A83,'Base de données'!A$4:A$990,0),2),"")</f>
        <v/>
      </c>
      <c r="C83" s="143" t="str">
        <f>IF(A83&lt;&gt;"",INDEX('Base de données'!A$4:L$990,MATCH(A83,'Base de données'!A$4:A$990,0),12),"")</f>
        <v/>
      </c>
      <c r="D83" s="143" t="str">
        <f>IF(A83&lt;&gt;"",INDEX('Base de données'!A$4:L$990,MATCH(A83,'Base de données'!A$4:A$990,0),3),"")</f>
        <v/>
      </c>
      <c r="E83" s="538"/>
      <c r="F83" s="538"/>
    </row>
    <row r="84" spans="1:6" x14ac:dyDescent="0.25">
      <c r="A84" s="538"/>
      <c r="B84" s="143" t="str">
        <f>IF(A84&lt;&gt;"",INDEX('Base de données'!A$4:L$990,MATCH(A84,'Base de données'!A$4:A$990,0),2),"")</f>
        <v/>
      </c>
      <c r="C84" s="143" t="str">
        <f>IF(A84&lt;&gt;"",INDEX('Base de données'!A$4:L$990,MATCH(A84,'Base de données'!A$4:A$990,0),12),"")</f>
        <v/>
      </c>
      <c r="D84" s="143" t="str">
        <f>IF(A84&lt;&gt;"",INDEX('Base de données'!A$4:L$990,MATCH(A84,'Base de données'!A$4:A$990,0),3),"")</f>
        <v/>
      </c>
      <c r="E84" s="538"/>
      <c r="F84" s="538"/>
    </row>
    <row r="85" spans="1:6" x14ac:dyDescent="0.25">
      <c r="A85" s="538"/>
      <c r="B85" s="143" t="str">
        <f>IF(A85&lt;&gt;"",INDEX('Base de données'!A$4:L$990,MATCH(A85,'Base de données'!A$4:A$990,0),2),"")</f>
        <v/>
      </c>
      <c r="C85" s="143" t="str">
        <f>IF(A85&lt;&gt;"",INDEX('Base de données'!A$4:L$990,MATCH(A85,'Base de données'!A$4:A$990,0),12),"")</f>
        <v/>
      </c>
      <c r="D85" s="143" t="str">
        <f>IF(A85&lt;&gt;"",INDEX('Base de données'!A$4:L$990,MATCH(A85,'Base de données'!A$4:A$990,0),3),"")</f>
        <v/>
      </c>
      <c r="E85" s="538"/>
      <c r="F85" s="538"/>
    </row>
    <row r="86" spans="1:6" x14ac:dyDescent="0.25">
      <c r="A86" s="538"/>
      <c r="B86" s="143" t="str">
        <f>IF(A86&lt;&gt;"",INDEX('Base de données'!A$4:L$990,MATCH(A86,'Base de données'!A$4:A$990,0),2),"")</f>
        <v/>
      </c>
      <c r="C86" s="143" t="str">
        <f>IF(A86&lt;&gt;"",INDEX('Base de données'!A$4:L$990,MATCH(A86,'Base de données'!A$4:A$990,0),12),"")</f>
        <v/>
      </c>
      <c r="D86" s="143" t="str">
        <f>IF(A86&lt;&gt;"",INDEX('Base de données'!A$4:L$990,MATCH(A86,'Base de données'!A$4:A$990,0),3),"")</f>
        <v/>
      </c>
      <c r="E86" s="538"/>
      <c r="F86" s="538"/>
    </row>
    <row r="87" spans="1:6" x14ac:dyDescent="0.25">
      <c r="A87" s="538"/>
      <c r="B87" s="143" t="str">
        <f>IF(A87&lt;&gt;"",INDEX('Base de données'!A$4:L$990,MATCH(A87,'Base de données'!A$4:A$990,0),2),"")</f>
        <v/>
      </c>
      <c r="C87" s="143" t="str">
        <f>IF(A87&lt;&gt;"",INDEX('Base de données'!A$4:L$990,MATCH(A87,'Base de données'!A$4:A$990,0),12),"")</f>
        <v/>
      </c>
      <c r="D87" s="143" t="str">
        <f>IF(A87&lt;&gt;"",INDEX('Base de données'!A$4:L$990,MATCH(A87,'Base de données'!A$4:A$990,0),3),"")</f>
        <v/>
      </c>
      <c r="E87" s="538"/>
      <c r="F87" s="538"/>
    </row>
    <row r="88" spans="1:6" x14ac:dyDescent="0.25">
      <c r="A88" s="538"/>
      <c r="B88" s="143" t="str">
        <f>IF(A88&lt;&gt;"",INDEX('Base de données'!A$4:L$990,MATCH(A88,'Base de données'!A$4:A$990,0),2),"")</f>
        <v/>
      </c>
      <c r="C88" s="143" t="str">
        <f>IF(A88&lt;&gt;"",INDEX('Base de données'!A$4:L$990,MATCH(A88,'Base de données'!A$4:A$990,0),12),"")</f>
        <v/>
      </c>
      <c r="D88" s="143" t="str">
        <f>IF(A88&lt;&gt;"",INDEX('Base de données'!A$4:L$990,MATCH(A88,'Base de données'!A$4:A$990,0),3),"")</f>
        <v/>
      </c>
      <c r="E88" s="538"/>
      <c r="F88" s="538"/>
    </row>
    <row r="89" spans="1:6" x14ac:dyDescent="0.25">
      <c r="A89" s="538"/>
      <c r="B89" s="143" t="str">
        <f>IF(A89&lt;&gt;"",INDEX('Base de données'!A$4:L$990,MATCH(A89,'Base de données'!A$4:A$990,0),2),"")</f>
        <v/>
      </c>
      <c r="C89" s="143" t="str">
        <f>IF(A89&lt;&gt;"",INDEX('Base de données'!A$4:L$990,MATCH(A89,'Base de données'!A$4:A$990,0),12),"")</f>
        <v/>
      </c>
      <c r="D89" s="143" t="str">
        <f>IF(A89&lt;&gt;"",INDEX('Base de données'!A$4:L$990,MATCH(A89,'Base de données'!A$4:A$990,0),3),"")</f>
        <v/>
      </c>
      <c r="E89" s="538"/>
      <c r="F89" s="538"/>
    </row>
    <row r="90" spans="1:6" x14ac:dyDescent="0.25">
      <c r="A90" s="538"/>
      <c r="B90" s="143" t="str">
        <f>IF(A90&lt;&gt;"",INDEX('Base de données'!A$4:L$990,MATCH(A90,'Base de données'!A$4:A$990,0),2),"")</f>
        <v/>
      </c>
      <c r="C90" s="143" t="str">
        <f>IF(A90&lt;&gt;"",INDEX('Base de données'!A$4:L$990,MATCH(A90,'Base de données'!A$4:A$990,0),12),"")</f>
        <v/>
      </c>
      <c r="D90" s="143" t="str">
        <f>IF(A90&lt;&gt;"",INDEX('Base de données'!A$4:L$990,MATCH(A90,'Base de données'!A$4:A$990,0),3),"")</f>
        <v/>
      </c>
      <c r="E90" s="538"/>
      <c r="F90" s="538"/>
    </row>
    <row r="91" spans="1:6" x14ac:dyDescent="0.25">
      <c r="A91" s="538"/>
      <c r="B91" s="143" t="str">
        <f>IF(A91&lt;&gt;"",INDEX('Base de données'!A$4:L$990,MATCH(A91,'Base de données'!A$4:A$990,0),2),"")</f>
        <v/>
      </c>
      <c r="C91" s="143" t="str">
        <f>IF(A91&lt;&gt;"",INDEX('Base de données'!A$4:L$990,MATCH(A91,'Base de données'!A$4:A$990,0),12),"")</f>
        <v/>
      </c>
      <c r="D91" s="143" t="str">
        <f>IF(A91&lt;&gt;"",INDEX('Base de données'!A$4:L$990,MATCH(A91,'Base de données'!A$4:A$990,0),3),"")</f>
        <v/>
      </c>
      <c r="E91" s="538"/>
      <c r="F91" s="538"/>
    </row>
    <row r="92" spans="1:6" x14ac:dyDescent="0.25">
      <c r="A92" s="538"/>
      <c r="B92" s="143" t="str">
        <f>IF(A92&lt;&gt;"",INDEX('Base de données'!A$4:L$990,MATCH(A92,'Base de données'!A$4:A$990,0),2),"")</f>
        <v/>
      </c>
      <c r="C92" s="143" t="str">
        <f>IF(A92&lt;&gt;"",INDEX('Base de données'!A$4:L$990,MATCH(A92,'Base de données'!A$4:A$990,0),12),"")</f>
        <v/>
      </c>
      <c r="D92" s="143" t="str">
        <f>IF(A92&lt;&gt;"",INDEX('Base de données'!A$4:L$990,MATCH(A92,'Base de données'!A$4:A$990,0),3),"")</f>
        <v/>
      </c>
      <c r="E92" s="538"/>
      <c r="F92" s="538"/>
    </row>
    <row r="93" spans="1:6" x14ac:dyDescent="0.25">
      <c r="A93" s="538"/>
      <c r="B93" s="143" t="str">
        <f>IF(A93&lt;&gt;"",INDEX('Base de données'!A$4:L$990,MATCH(A93,'Base de données'!A$4:A$990,0),2),"")</f>
        <v/>
      </c>
      <c r="C93" s="143" t="str">
        <f>IF(A93&lt;&gt;"",INDEX('Base de données'!A$4:L$990,MATCH(A93,'Base de données'!A$4:A$990,0),12),"")</f>
        <v/>
      </c>
      <c r="D93" s="143" t="str">
        <f>IF(A93&lt;&gt;"",INDEX('Base de données'!A$4:L$990,MATCH(A93,'Base de données'!A$4:A$990,0),3),"")</f>
        <v/>
      </c>
      <c r="E93" s="538"/>
      <c r="F93" s="538"/>
    </row>
    <row r="94" spans="1:6" x14ac:dyDescent="0.25">
      <c r="A94" s="538"/>
      <c r="B94" s="143" t="str">
        <f>IF(A94&lt;&gt;"",INDEX('Base de données'!A$4:L$990,MATCH(A94,'Base de données'!A$4:A$990,0),2),"")</f>
        <v/>
      </c>
      <c r="C94" s="143" t="str">
        <f>IF(A94&lt;&gt;"",INDEX('Base de données'!A$4:L$990,MATCH(A94,'Base de données'!A$4:A$990,0),12),"")</f>
        <v/>
      </c>
      <c r="D94" s="143" t="str">
        <f>IF(A94&lt;&gt;"",INDEX('Base de données'!A$4:L$990,MATCH(A94,'Base de données'!A$4:A$990,0),3),"")</f>
        <v/>
      </c>
      <c r="E94" s="538"/>
      <c r="F94" s="538"/>
    </row>
    <row r="95" spans="1:6" x14ac:dyDescent="0.25">
      <c r="A95" s="538"/>
      <c r="B95" s="143" t="str">
        <f>IF(A95&lt;&gt;"",INDEX('Base de données'!A$4:L$990,MATCH(A95,'Base de données'!A$4:A$990,0),2),"")</f>
        <v/>
      </c>
      <c r="C95" s="143" t="str">
        <f>IF(A95&lt;&gt;"",INDEX('Base de données'!A$4:L$990,MATCH(A95,'Base de données'!A$4:A$990,0),12),"")</f>
        <v/>
      </c>
      <c r="D95" s="143" t="str">
        <f>IF(A95&lt;&gt;"",INDEX('Base de données'!A$4:L$990,MATCH(A95,'Base de données'!A$4:A$990,0),3),"")</f>
        <v/>
      </c>
      <c r="E95" s="538"/>
      <c r="F95" s="538"/>
    </row>
    <row r="96" spans="1:6" x14ac:dyDescent="0.25">
      <c r="A96" s="538"/>
      <c r="B96" s="143" t="str">
        <f>IF(A96&lt;&gt;"",INDEX('Base de données'!A$4:L$990,MATCH(A96,'Base de données'!A$4:A$990,0),2),"")</f>
        <v/>
      </c>
      <c r="C96" s="143" t="str">
        <f>IF(A96&lt;&gt;"",INDEX('Base de données'!A$4:L$990,MATCH(A96,'Base de données'!A$4:A$990,0),12),"")</f>
        <v/>
      </c>
      <c r="D96" s="143" t="str">
        <f>IF(A96&lt;&gt;"",INDEX('Base de données'!A$4:L$990,MATCH(A96,'Base de données'!A$4:A$990,0),3),"")</f>
        <v/>
      </c>
      <c r="E96" s="538"/>
      <c r="F96" s="538"/>
    </row>
    <row r="97" spans="1:6" x14ac:dyDescent="0.25">
      <c r="A97" s="538"/>
      <c r="B97" s="143" t="str">
        <f>IF(A97&lt;&gt;"",INDEX('Base de données'!A$4:L$990,MATCH(A97,'Base de données'!A$4:A$990,0),2),"")</f>
        <v/>
      </c>
      <c r="C97" s="143" t="str">
        <f>IF(A97&lt;&gt;"",INDEX('Base de données'!A$4:L$990,MATCH(A97,'Base de données'!A$4:A$990,0),12),"")</f>
        <v/>
      </c>
      <c r="D97" s="143" t="str">
        <f>IF(A97&lt;&gt;"",INDEX('Base de données'!A$4:L$990,MATCH(A97,'Base de données'!A$4:A$990,0),3),"")</f>
        <v/>
      </c>
      <c r="E97" s="538"/>
      <c r="F97" s="538"/>
    </row>
    <row r="98" spans="1:6" x14ac:dyDescent="0.25">
      <c r="A98" s="538"/>
      <c r="B98" s="143" t="str">
        <f>IF(A98&lt;&gt;"",INDEX('Base de données'!A$4:L$990,MATCH(A98,'Base de données'!A$4:A$990,0),2),"")</f>
        <v/>
      </c>
      <c r="C98" s="143" t="str">
        <f>IF(A98&lt;&gt;"",INDEX('Base de données'!A$4:L$990,MATCH(A98,'Base de données'!A$4:A$990,0),12),"")</f>
        <v/>
      </c>
      <c r="D98" s="143" t="str">
        <f>IF(A98&lt;&gt;"",INDEX('Base de données'!A$4:L$990,MATCH(A98,'Base de données'!A$4:A$990,0),3),"")</f>
        <v/>
      </c>
      <c r="E98" s="538"/>
      <c r="F98" s="538"/>
    </row>
    <row r="99" spans="1:6" x14ac:dyDescent="0.25">
      <c r="A99" s="538"/>
      <c r="B99" s="143" t="str">
        <f>IF(A99&lt;&gt;"",INDEX('Base de données'!A$4:L$990,MATCH(A99,'Base de données'!A$4:A$990,0),2),"")</f>
        <v/>
      </c>
      <c r="C99" s="143" t="str">
        <f>IF(A99&lt;&gt;"",INDEX('Base de données'!A$4:L$990,MATCH(A99,'Base de données'!A$4:A$990,0),12),"")</f>
        <v/>
      </c>
      <c r="D99" s="143" t="str">
        <f>IF(A99&lt;&gt;"",INDEX('Base de données'!A$4:L$990,MATCH(A99,'Base de données'!A$4:A$990,0),3),"")</f>
        <v/>
      </c>
      <c r="E99" s="538"/>
      <c r="F99" s="538"/>
    </row>
    <row r="100" spans="1:6" x14ac:dyDescent="0.25">
      <c r="A100" s="538"/>
      <c r="B100" s="143" t="str">
        <f>IF(A100&lt;&gt;"",INDEX('Base de données'!A$4:L$990,MATCH(A100,'Base de données'!A$4:A$990,0),2),"")</f>
        <v/>
      </c>
      <c r="C100" s="143" t="str">
        <f>IF(A100&lt;&gt;"",INDEX('Base de données'!A$4:L$990,MATCH(A100,'Base de données'!A$4:A$990,0),12),"")</f>
        <v/>
      </c>
      <c r="D100" s="143" t="str">
        <f>IF(A100&lt;&gt;"",INDEX('Base de données'!A$4:L$990,MATCH(A100,'Base de données'!A$4:A$990,0),3),"")</f>
        <v/>
      </c>
      <c r="E100" s="538"/>
      <c r="F100" s="538"/>
    </row>
    <row r="101" spans="1:6" x14ac:dyDescent="0.25">
      <c r="A101" s="538"/>
      <c r="B101" s="143" t="str">
        <f>IF(A101&lt;&gt;"",INDEX('Base de données'!A$4:L$990,MATCH(A101,'Base de données'!A$4:A$990,0),2),"")</f>
        <v/>
      </c>
      <c r="C101" s="143" t="str">
        <f>IF(A101&lt;&gt;"",INDEX('Base de données'!A$4:L$990,MATCH(A101,'Base de données'!A$4:A$990,0),12),"")</f>
        <v/>
      </c>
      <c r="D101" s="143" t="str">
        <f>IF(A101&lt;&gt;"",INDEX('Base de données'!A$4:L$990,MATCH(A101,'Base de données'!A$4:A$990,0),3),"")</f>
        <v/>
      </c>
      <c r="E101" s="538"/>
      <c r="F101" s="538"/>
    </row>
    <row r="102" spans="1:6" x14ac:dyDescent="0.25">
      <c r="A102" s="538"/>
      <c r="B102" s="143" t="str">
        <f>IF(A102&lt;&gt;"",INDEX('Base de données'!A$4:L$990,MATCH(A102,'Base de données'!A$4:A$990,0),2),"")</f>
        <v/>
      </c>
      <c r="C102" s="143" t="str">
        <f>IF(A102&lt;&gt;"",INDEX('Base de données'!A$4:L$990,MATCH(A102,'Base de données'!A$4:A$990,0),12),"")</f>
        <v/>
      </c>
      <c r="D102" s="143" t="str">
        <f>IF(A102&lt;&gt;"",INDEX('Base de données'!A$4:L$990,MATCH(A102,'Base de données'!A$4:A$990,0),3),"")</f>
        <v/>
      </c>
      <c r="E102" s="538"/>
      <c r="F102" s="538"/>
    </row>
    <row r="103" spans="1:6" x14ac:dyDescent="0.25">
      <c r="A103" s="538"/>
      <c r="B103" s="143" t="str">
        <f>IF(A103&lt;&gt;"",INDEX('Base de données'!A$4:L$990,MATCH(A103,'Base de données'!A$4:A$990,0),2),"")</f>
        <v/>
      </c>
      <c r="C103" s="143" t="str">
        <f>IF(A103&lt;&gt;"",INDEX('Base de données'!A$4:L$990,MATCH(A103,'Base de données'!A$4:A$990,0),12),"")</f>
        <v/>
      </c>
      <c r="D103" s="143" t="str">
        <f>IF(A103&lt;&gt;"",INDEX('Base de données'!A$4:L$990,MATCH(A103,'Base de données'!A$4:A$990,0),3),"")</f>
        <v/>
      </c>
      <c r="E103" s="538"/>
      <c r="F103" s="538"/>
    </row>
    <row r="104" spans="1:6" x14ac:dyDescent="0.25">
      <c r="A104" s="538"/>
      <c r="B104" s="143" t="str">
        <f>IF(A104&lt;&gt;"",INDEX('Base de données'!A$4:L$990,MATCH(A104,'Base de données'!A$4:A$990,0),2),"")</f>
        <v/>
      </c>
      <c r="C104" s="143" t="str">
        <f>IF(A104&lt;&gt;"",INDEX('Base de données'!A$4:L$990,MATCH(A104,'Base de données'!A$4:A$990,0),12),"")</f>
        <v/>
      </c>
      <c r="D104" s="143" t="str">
        <f>IF(A104&lt;&gt;"",INDEX('Base de données'!A$4:L$990,MATCH(A104,'Base de données'!A$4:A$990,0),3),"")</f>
        <v/>
      </c>
      <c r="E104" s="538"/>
      <c r="F104" s="538"/>
    </row>
    <row r="105" spans="1:6" x14ac:dyDescent="0.25">
      <c r="A105" s="538"/>
      <c r="B105" s="143" t="str">
        <f>IF(A105&lt;&gt;"",INDEX('Base de données'!A$4:L$990,MATCH(A105,'Base de données'!A$4:A$990,0),2),"")</f>
        <v/>
      </c>
      <c r="C105" s="143" t="str">
        <f>IF(A105&lt;&gt;"",INDEX('Base de données'!A$4:L$990,MATCH(A105,'Base de données'!A$4:A$990,0),12),"")</f>
        <v/>
      </c>
      <c r="D105" s="143" t="str">
        <f>IF(A105&lt;&gt;"",INDEX('Base de données'!A$4:L$990,MATCH(A105,'Base de données'!A$4:A$990,0),3),"")</f>
        <v/>
      </c>
      <c r="E105" s="538"/>
      <c r="F105" s="538"/>
    </row>
    <row r="106" spans="1:6" x14ac:dyDescent="0.25">
      <c r="A106" s="538"/>
      <c r="B106" s="143" t="str">
        <f>IF(A106&lt;&gt;"",INDEX('Base de données'!A$4:L$990,MATCH(A106,'Base de données'!A$4:A$990,0),2),"")</f>
        <v/>
      </c>
      <c r="C106" s="143" t="str">
        <f>IF(A106&lt;&gt;"",INDEX('Base de données'!A$4:L$990,MATCH(A106,'Base de données'!A$4:A$990,0),12),"")</f>
        <v/>
      </c>
      <c r="D106" s="143" t="str">
        <f>IF(A106&lt;&gt;"",INDEX('Base de données'!A$4:L$990,MATCH(A106,'Base de données'!A$4:A$990,0),3),"")</f>
        <v/>
      </c>
      <c r="E106" s="538"/>
      <c r="F106" s="538"/>
    </row>
    <row r="107" spans="1:6" x14ac:dyDescent="0.25">
      <c r="A107" s="538"/>
      <c r="B107" s="143" t="str">
        <f>IF(A107&lt;&gt;"",INDEX('Base de données'!A$4:L$990,MATCH(A107,'Base de données'!A$4:A$990,0),2),"")</f>
        <v/>
      </c>
      <c r="C107" s="143" t="str">
        <f>IF(A107&lt;&gt;"",INDEX('Base de données'!A$4:L$990,MATCH(A107,'Base de données'!A$4:A$990,0),12),"")</f>
        <v/>
      </c>
      <c r="D107" s="143" t="str">
        <f>IF(A107&lt;&gt;"",INDEX('Base de données'!A$4:L$990,MATCH(A107,'Base de données'!A$4:A$990,0),3),"")</f>
        <v/>
      </c>
      <c r="E107" s="538"/>
      <c r="F107" s="538"/>
    </row>
    <row r="108" spans="1:6" x14ac:dyDescent="0.25">
      <c r="A108" s="538"/>
      <c r="B108" s="143" t="str">
        <f>IF(A108&lt;&gt;"",INDEX('Base de données'!A$4:L$990,MATCH(A108,'Base de données'!A$4:A$990,0),2),"")</f>
        <v/>
      </c>
      <c r="C108" s="143" t="str">
        <f>IF(A108&lt;&gt;"",INDEX('Base de données'!A$4:L$990,MATCH(A108,'Base de données'!A$4:A$990,0),12),"")</f>
        <v/>
      </c>
      <c r="D108" s="143" t="str">
        <f>IF(A108&lt;&gt;"",INDEX('Base de données'!A$4:L$990,MATCH(A108,'Base de données'!A$4:A$990,0),3),"")</f>
        <v/>
      </c>
      <c r="E108" s="538"/>
      <c r="F108" s="538"/>
    </row>
    <row r="109" spans="1:6" x14ac:dyDescent="0.25">
      <c r="A109" s="538"/>
      <c r="B109" s="143" t="str">
        <f>IF(A109&lt;&gt;"",INDEX('Base de données'!A$4:L$990,MATCH(A109,'Base de données'!A$4:A$990,0),2),"")</f>
        <v/>
      </c>
      <c r="C109" s="143" t="str">
        <f>IF(A109&lt;&gt;"",INDEX('Base de données'!A$4:L$990,MATCH(A109,'Base de données'!A$4:A$990,0),12),"")</f>
        <v/>
      </c>
      <c r="D109" s="143" t="str">
        <f>IF(A109&lt;&gt;"",INDEX('Base de données'!A$4:L$990,MATCH(A109,'Base de données'!A$4:A$990,0),3),"")</f>
        <v/>
      </c>
      <c r="E109" s="538"/>
      <c r="F109" s="538"/>
    </row>
    <row r="110" spans="1:6" x14ac:dyDescent="0.25">
      <c r="A110" s="538"/>
      <c r="B110" s="143" t="str">
        <f>IF(A110&lt;&gt;"",INDEX('Base de données'!A$4:L$990,MATCH(A110,'Base de données'!A$4:A$990,0),2),"")</f>
        <v/>
      </c>
      <c r="C110" s="143" t="str">
        <f>IF(A110&lt;&gt;"",INDEX('Base de données'!A$4:L$990,MATCH(A110,'Base de données'!A$4:A$990,0),12),"")</f>
        <v/>
      </c>
      <c r="D110" s="143" t="str">
        <f>IF(A110&lt;&gt;"",INDEX('Base de données'!A$4:L$990,MATCH(A110,'Base de données'!A$4:A$990,0),3),"")</f>
        <v/>
      </c>
      <c r="E110" s="538"/>
      <c r="F110" s="538"/>
    </row>
    <row r="111" spans="1:6" x14ac:dyDescent="0.25">
      <c r="A111" s="538"/>
      <c r="B111" s="143" t="str">
        <f>IF(A111&lt;&gt;"",INDEX('Base de données'!A$4:L$990,MATCH(A111,'Base de données'!A$4:A$990,0),2),"")</f>
        <v/>
      </c>
      <c r="C111" s="143" t="str">
        <f>IF(A111&lt;&gt;"",INDEX('Base de données'!A$4:L$990,MATCH(A111,'Base de données'!A$4:A$990,0),12),"")</f>
        <v/>
      </c>
      <c r="D111" s="143" t="str">
        <f>IF(A111&lt;&gt;"",INDEX('Base de données'!A$4:L$990,MATCH(A111,'Base de données'!A$4:A$990,0),3),"")</f>
        <v/>
      </c>
      <c r="E111" s="538"/>
      <c r="F111" s="538"/>
    </row>
    <row r="112" spans="1:6" x14ac:dyDescent="0.25">
      <c r="A112" s="538"/>
      <c r="B112" s="143" t="str">
        <f>IF(A112&lt;&gt;"",INDEX('Base de données'!A$4:L$990,MATCH(A112,'Base de données'!A$4:A$990,0),2),"")</f>
        <v/>
      </c>
      <c r="C112" s="143" t="str">
        <f>IF(A112&lt;&gt;"",INDEX('Base de données'!A$4:L$990,MATCH(A112,'Base de données'!A$4:A$990,0),12),"")</f>
        <v/>
      </c>
      <c r="D112" s="143" t="str">
        <f>IF(A112&lt;&gt;"",INDEX('Base de données'!A$4:L$990,MATCH(A112,'Base de données'!A$4:A$990,0),3),"")</f>
        <v/>
      </c>
      <c r="E112" s="538"/>
      <c r="F112" s="538"/>
    </row>
    <row r="113" spans="1:6" x14ac:dyDescent="0.25">
      <c r="A113" s="538"/>
      <c r="B113" s="143" t="str">
        <f>IF(A113&lt;&gt;"",INDEX('Base de données'!A$4:L$990,MATCH(A113,'Base de données'!A$4:A$990,0),2),"")</f>
        <v/>
      </c>
      <c r="C113" s="143" t="str">
        <f>IF(A113&lt;&gt;"",INDEX('Base de données'!A$4:L$990,MATCH(A113,'Base de données'!A$4:A$990,0),12),"")</f>
        <v/>
      </c>
      <c r="D113" s="143" t="str">
        <f>IF(A113&lt;&gt;"",INDEX('Base de données'!A$4:L$990,MATCH(A113,'Base de données'!A$4:A$990,0),3),"")</f>
        <v/>
      </c>
      <c r="E113" s="538"/>
      <c r="F113" s="538"/>
    </row>
    <row r="114" spans="1:6" x14ac:dyDescent="0.25">
      <c r="A114" s="538"/>
      <c r="B114" s="143" t="str">
        <f>IF(A114&lt;&gt;"",INDEX('Base de données'!A$4:L$990,MATCH(A114,'Base de données'!A$4:A$990,0),2),"")</f>
        <v/>
      </c>
      <c r="C114" s="143" t="str">
        <f>IF(A114&lt;&gt;"",INDEX('Base de données'!A$4:L$990,MATCH(A114,'Base de données'!A$4:A$990,0),12),"")</f>
        <v/>
      </c>
      <c r="D114" s="143" t="str">
        <f>IF(A114&lt;&gt;"",INDEX('Base de données'!A$4:L$990,MATCH(A114,'Base de données'!A$4:A$990,0),3),"")</f>
        <v/>
      </c>
      <c r="E114" s="538"/>
      <c r="F114" s="538"/>
    </row>
    <row r="115" spans="1:6" x14ac:dyDescent="0.25">
      <c r="A115" s="538"/>
      <c r="B115" s="143" t="str">
        <f>IF(A115&lt;&gt;"",INDEX('Base de données'!A$4:L$990,MATCH(A115,'Base de données'!A$4:A$990,0),2),"")</f>
        <v/>
      </c>
      <c r="C115" s="143" t="str">
        <f>IF(A115&lt;&gt;"",INDEX('Base de données'!A$4:L$990,MATCH(A115,'Base de données'!A$4:A$990,0),12),"")</f>
        <v/>
      </c>
      <c r="D115" s="143" t="str">
        <f>IF(A115&lt;&gt;"",INDEX('Base de données'!A$4:L$990,MATCH(A115,'Base de données'!A$4:A$990,0),3),"")</f>
        <v/>
      </c>
      <c r="E115" s="538"/>
      <c r="F115" s="538"/>
    </row>
    <row r="116" spans="1:6" x14ac:dyDescent="0.25">
      <c r="A116" s="538"/>
      <c r="B116" s="143" t="str">
        <f>IF(A116&lt;&gt;"",INDEX('Base de données'!A$4:L$990,MATCH(A116,'Base de données'!A$4:A$990,0),2),"")</f>
        <v/>
      </c>
      <c r="C116" s="143" t="str">
        <f>IF(A116&lt;&gt;"",INDEX('Base de données'!A$4:L$990,MATCH(A116,'Base de données'!A$4:A$990,0),12),"")</f>
        <v/>
      </c>
      <c r="D116" s="143" t="str">
        <f>IF(A116&lt;&gt;"",INDEX('Base de données'!A$4:L$990,MATCH(A116,'Base de données'!A$4:A$990,0),3),"")</f>
        <v/>
      </c>
      <c r="E116" s="538"/>
      <c r="F116" s="538"/>
    </row>
    <row r="117" spans="1:6" x14ac:dyDescent="0.25">
      <c r="A117" s="538"/>
      <c r="B117" s="143" t="str">
        <f>IF(A117&lt;&gt;"",INDEX('Base de données'!A$4:L$990,MATCH(A117,'Base de données'!A$4:A$990,0),2),"")</f>
        <v/>
      </c>
      <c r="C117" s="143" t="str">
        <f>IF(A117&lt;&gt;"",INDEX('Base de données'!A$4:L$990,MATCH(A117,'Base de données'!A$4:A$990,0),12),"")</f>
        <v/>
      </c>
      <c r="D117" s="143" t="str">
        <f>IF(A117&lt;&gt;"",INDEX('Base de données'!A$4:L$990,MATCH(A117,'Base de données'!A$4:A$990,0),3),"")</f>
        <v/>
      </c>
      <c r="E117" s="538"/>
      <c r="F117" s="538"/>
    </row>
    <row r="118" spans="1:6" x14ac:dyDescent="0.25">
      <c r="A118" s="538"/>
      <c r="B118" s="143" t="str">
        <f>IF(A118&lt;&gt;"",INDEX('Base de données'!A$4:L$990,MATCH(A118,'Base de données'!A$4:A$990,0),2),"")</f>
        <v/>
      </c>
      <c r="C118" s="143" t="str">
        <f>IF(A118&lt;&gt;"",INDEX('Base de données'!A$4:L$990,MATCH(A118,'Base de données'!A$4:A$990,0),12),"")</f>
        <v/>
      </c>
      <c r="D118" s="143" t="str">
        <f>IF(A118&lt;&gt;"",INDEX('Base de données'!A$4:L$990,MATCH(A118,'Base de données'!A$4:A$990,0),3),"")</f>
        <v/>
      </c>
      <c r="E118" s="538"/>
      <c r="F118" s="538"/>
    </row>
    <row r="119" spans="1:6" x14ac:dyDescent="0.25">
      <c r="A119" s="538"/>
      <c r="B119" s="143" t="str">
        <f>IF(A119&lt;&gt;"",INDEX('Base de données'!A$4:L$990,MATCH(A119,'Base de données'!A$4:A$990,0),2),"")</f>
        <v/>
      </c>
      <c r="C119" s="143" t="str">
        <f>IF(A119&lt;&gt;"",INDEX('Base de données'!A$4:L$990,MATCH(A119,'Base de données'!A$4:A$990,0),12),"")</f>
        <v/>
      </c>
      <c r="D119" s="143" t="str">
        <f>IF(A119&lt;&gt;"",INDEX('Base de données'!A$4:L$990,MATCH(A119,'Base de données'!A$4:A$990,0),3),"")</f>
        <v/>
      </c>
      <c r="E119" s="538"/>
      <c r="F119" s="538"/>
    </row>
    <row r="120" spans="1:6" x14ac:dyDescent="0.25">
      <c r="A120" s="538"/>
      <c r="B120" s="143" t="str">
        <f>IF(A120&lt;&gt;"",INDEX('Base de données'!A$4:L$990,MATCH(A120,'Base de données'!A$4:A$990,0),2),"")</f>
        <v/>
      </c>
      <c r="C120" s="143" t="str">
        <f>IF(A120&lt;&gt;"",INDEX('Base de données'!A$4:L$990,MATCH(A120,'Base de données'!A$4:A$990,0),12),"")</f>
        <v/>
      </c>
      <c r="D120" s="143" t="str">
        <f>IF(A120&lt;&gt;"",INDEX('Base de données'!A$4:L$990,MATCH(A120,'Base de données'!A$4:A$990,0),3),"")</f>
        <v/>
      </c>
      <c r="E120" s="538"/>
      <c r="F120" s="538"/>
    </row>
    <row r="121" spans="1:6" x14ac:dyDescent="0.25">
      <c r="A121" s="538"/>
      <c r="B121" s="143" t="str">
        <f>IF(A121&lt;&gt;"",INDEX('Base de données'!A$4:L$990,MATCH(A121,'Base de données'!A$4:A$990,0),2),"")</f>
        <v/>
      </c>
      <c r="C121" s="143" t="str">
        <f>IF(A121&lt;&gt;"",INDEX('Base de données'!A$4:L$990,MATCH(A121,'Base de données'!A$4:A$990,0),12),"")</f>
        <v/>
      </c>
      <c r="D121" s="143" t="str">
        <f>IF(A121&lt;&gt;"",INDEX('Base de données'!A$4:L$990,MATCH(A121,'Base de données'!A$4:A$990,0),3),"")</f>
        <v/>
      </c>
      <c r="E121" s="538"/>
      <c r="F121" s="538"/>
    </row>
    <row r="122" spans="1:6" x14ac:dyDescent="0.25">
      <c r="A122" s="538"/>
      <c r="B122" s="143" t="str">
        <f>IF(A122&lt;&gt;"",INDEX('Base de données'!A$4:L$990,MATCH(A122,'Base de données'!A$4:A$990,0),2),"")</f>
        <v/>
      </c>
      <c r="C122" s="143" t="str">
        <f>IF(A122&lt;&gt;"",INDEX('Base de données'!A$4:L$990,MATCH(A122,'Base de données'!A$4:A$990,0),12),"")</f>
        <v/>
      </c>
      <c r="D122" s="143" t="str">
        <f>IF(A122&lt;&gt;"",INDEX('Base de données'!A$4:L$990,MATCH(A122,'Base de données'!A$4:A$990,0),3),"")</f>
        <v/>
      </c>
      <c r="E122" s="538"/>
      <c r="F122" s="538"/>
    </row>
    <row r="123" spans="1:6" x14ac:dyDescent="0.25">
      <c r="A123" s="538"/>
      <c r="B123" s="143" t="str">
        <f>IF(A123&lt;&gt;"",INDEX('Base de données'!A$4:L$990,MATCH(A123,'Base de données'!A$4:A$990,0),2),"")</f>
        <v/>
      </c>
      <c r="C123" s="143" t="str">
        <f>IF(A123&lt;&gt;"",INDEX('Base de données'!A$4:L$990,MATCH(A123,'Base de données'!A$4:A$990,0),12),"")</f>
        <v/>
      </c>
      <c r="D123" s="143" t="str">
        <f>IF(A123&lt;&gt;"",INDEX('Base de données'!A$4:L$990,MATCH(A123,'Base de données'!A$4:A$990,0),3),"")</f>
        <v/>
      </c>
      <c r="E123" s="538"/>
      <c r="F123" s="538"/>
    </row>
    <row r="124" spans="1:6" x14ac:dyDescent="0.25">
      <c r="A124" s="538"/>
      <c r="B124" s="143" t="str">
        <f>IF(A124&lt;&gt;"",INDEX('Base de données'!A$4:L$990,MATCH(A124,'Base de données'!A$4:A$990,0),2),"")</f>
        <v/>
      </c>
      <c r="C124" s="143" t="str">
        <f>IF(A124&lt;&gt;"",INDEX('Base de données'!A$4:L$990,MATCH(A124,'Base de données'!A$4:A$990,0),12),"")</f>
        <v/>
      </c>
      <c r="D124" s="143" t="str">
        <f>IF(A124&lt;&gt;"",INDEX('Base de données'!A$4:L$990,MATCH(A124,'Base de données'!A$4:A$990,0),3),"")</f>
        <v/>
      </c>
      <c r="E124" s="538"/>
      <c r="F124" s="538"/>
    </row>
    <row r="125" spans="1:6" x14ac:dyDescent="0.25">
      <c r="A125" s="538"/>
      <c r="B125" s="143" t="str">
        <f>IF(A125&lt;&gt;"",INDEX('Base de données'!A$4:L$990,MATCH(A125,'Base de données'!A$4:A$990,0),2),"")</f>
        <v/>
      </c>
      <c r="C125" s="143" t="str">
        <f>IF(A125&lt;&gt;"",INDEX('Base de données'!A$4:L$990,MATCH(A125,'Base de données'!A$4:A$990,0),12),"")</f>
        <v/>
      </c>
      <c r="D125" s="143" t="str">
        <f>IF(A125&lt;&gt;"",INDEX('Base de données'!A$4:L$990,MATCH(A125,'Base de données'!A$4:A$990,0),3),"")</f>
        <v/>
      </c>
      <c r="E125" s="538"/>
      <c r="F125" s="538"/>
    </row>
    <row r="126" spans="1:6" x14ac:dyDescent="0.25">
      <c r="A126" s="538"/>
      <c r="B126" s="143" t="str">
        <f>IF(A126&lt;&gt;"",INDEX('Base de données'!A$4:L$990,MATCH(A126,'Base de données'!A$4:A$990,0),2),"")</f>
        <v/>
      </c>
      <c r="C126" s="143" t="str">
        <f>IF(A126&lt;&gt;"",INDEX('Base de données'!A$4:L$990,MATCH(A126,'Base de données'!A$4:A$990,0),12),"")</f>
        <v/>
      </c>
      <c r="D126" s="143" t="str">
        <f>IF(A126&lt;&gt;"",INDEX('Base de données'!A$4:L$990,MATCH(A126,'Base de données'!A$4:A$990,0),3),"")</f>
        <v/>
      </c>
      <c r="E126" s="538"/>
      <c r="F126" s="538"/>
    </row>
    <row r="127" spans="1:6" x14ac:dyDescent="0.25">
      <c r="A127" s="538"/>
      <c r="B127" s="143" t="str">
        <f>IF(A127&lt;&gt;"",INDEX('Base de données'!A$4:L$990,MATCH(A127,'Base de données'!A$4:A$990,0),2),"")</f>
        <v/>
      </c>
      <c r="C127" s="143" t="str">
        <f>IF(A127&lt;&gt;"",INDEX('Base de données'!A$4:L$990,MATCH(A127,'Base de données'!A$4:A$990,0),12),"")</f>
        <v/>
      </c>
      <c r="D127" s="143" t="str">
        <f>IF(A127&lt;&gt;"",INDEX('Base de données'!A$4:L$990,MATCH(A127,'Base de données'!A$4:A$990,0),3),"")</f>
        <v/>
      </c>
      <c r="E127" s="538"/>
      <c r="F127" s="538"/>
    </row>
    <row r="128" spans="1:6" x14ac:dyDescent="0.25">
      <c r="A128" s="538"/>
      <c r="B128" s="143" t="str">
        <f>IF(A128&lt;&gt;"",INDEX('Base de données'!A$4:L$990,MATCH(A128,'Base de données'!A$4:A$990,0),2),"")</f>
        <v/>
      </c>
      <c r="C128" s="143" t="str">
        <f>IF(A128&lt;&gt;"",INDEX('Base de données'!A$4:L$990,MATCH(A128,'Base de données'!A$4:A$990,0),12),"")</f>
        <v/>
      </c>
      <c r="D128" s="143" t="str">
        <f>IF(A128&lt;&gt;"",INDEX('Base de données'!A$4:L$990,MATCH(A128,'Base de données'!A$4:A$990,0),3),"")</f>
        <v/>
      </c>
      <c r="E128" s="538"/>
      <c r="F128" s="538"/>
    </row>
    <row r="129" spans="1:6" x14ac:dyDescent="0.25">
      <c r="A129" s="538"/>
      <c r="B129" s="143" t="str">
        <f>IF(A129&lt;&gt;"",INDEX('Base de données'!A$4:L$990,MATCH(A129,'Base de données'!A$4:A$990,0),2),"")</f>
        <v/>
      </c>
      <c r="C129" s="143" t="str">
        <f>IF(A129&lt;&gt;"",INDEX('Base de données'!A$4:L$990,MATCH(A129,'Base de données'!A$4:A$990,0),12),"")</f>
        <v/>
      </c>
      <c r="D129" s="143" t="str">
        <f>IF(A129&lt;&gt;"",INDEX('Base de données'!A$4:L$990,MATCH(A129,'Base de données'!A$4:A$990,0),3),"")</f>
        <v/>
      </c>
      <c r="E129" s="538"/>
      <c r="F129" s="538"/>
    </row>
    <row r="130" spans="1:6" x14ac:dyDescent="0.25">
      <c r="A130" s="538"/>
      <c r="B130" s="143" t="str">
        <f>IF(A130&lt;&gt;"",INDEX('Base de données'!A$4:L$990,MATCH(A130,'Base de données'!A$4:A$990,0),2),"")</f>
        <v/>
      </c>
      <c r="C130" s="143" t="str">
        <f>IF(A130&lt;&gt;"",INDEX('Base de données'!A$4:L$990,MATCH(A130,'Base de données'!A$4:A$990,0),12),"")</f>
        <v/>
      </c>
      <c r="D130" s="143" t="str">
        <f>IF(A130&lt;&gt;"",INDEX('Base de données'!A$4:L$990,MATCH(A130,'Base de données'!A$4:A$990,0),3),"")</f>
        <v/>
      </c>
      <c r="E130" s="538"/>
      <c r="F130" s="538"/>
    </row>
    <row r="131" spans="1:6" x14ac:dyDescent="0.25">
      <c r="A131" s="538"/>
      <c r="B131" s="143" t="str">
        <f>IF(A131&lt;&gt;"",INDEX('Base de données'!A$4:L$990,MATCH(A131,'Base de données'!A$4:A$990,0),2),"")</f>
        <v/>
      </c>
      <c r="C131" s="143" t="str">
        <f>IF(A131&lt;&gt;"",INDEX('Base de données'!A$4:L$990,MATCH(A131,'Base de données'!A$4:A$990,0),12),"")</f>
        <v/>
      </c>
      <c r="D131" s="143" t="str">
        <f>IF(A131&lt;&gt;"",INDEX('Base de données'!A$4:L$990,MATCH(A131,'Base de données'!A$4:A$990,0),3),"")</f>
        <v/>
      </c>
      <c r="E131" s="538"/>
      <c r="F131" s="538"/>
    </row>
    <row r="132" spans="1:6" x14ac:dyDescent="0.25">
      <c r="A132" s="538"/>
      <c r="B132" s="143" t="str">
        <f>IF(A132&lt;&gt;"",INDEX('Base de données'!A$4:L$990,MATCH(A132,'Base de données'!A$4:A$990,0),2),"")</f>
        <v/>
      </c>
      <c r="C132" s="143" t="str">
        <f>IF(A132&lt;&gt;"",INDEX('Base de données'!A$4:L$990,MATCH(A132,'Base de données'!A$4:A$990,0),12),"")</f>
        <v/>
      </c>
      <c r="D132" s="143" t="str">
        <f>IF(A132&lt;&gt;"",INDEX('Base de données'!A$4:L$990,MATCH(A132,'Base de données'!A$4:A$990,0),3),"")</f>
        <v/>
      </c>
      <c r="E132" s="538"/>
      <c r="F132" s="538"/>
    </row>
    <row r="133" spans="1:6" x14ac:dyDescent="0.25">
      <c r="A133" s="538"/>
      <c r="B133" s="143" t="str">
        <f>IF(A133&lt;&gt;"",INDEX('Base de données'!A$4:L$990,MATCH(A133,'Base de données'!A$4:A$990,0),2),"")</f>
        <v/>
      </c>
      <c r="C133" s="143" t="str">
        <f>IF(A133&lt;&gt;"",INDEX('Base de données'!A$4:L$990,MATCH(A133,'Base de données'!A$4:A$990,0),12),"")</f>
        <v/>
      </c>
      <c r="D133" s="143" t="str">
        <f>IF(A133&lt;&gt;"",INDEX('Base de données'!A$4:L$990,MATCH(A133,'Base de données'!A$4:A$990,0),3),"")</f>
        <v/>
      </c>
      <c r="E133" s="538"/>
      <c r="F133" s="538"/>
    </row>
    <row r="134" spans="1:6" x14ac:dyDescent="0.25">
      <c r="A134" s="538"/>
      <c r="B134" s="143" t="str">
        <f>IF(A134&lt;&gt;"",INDEX('Base de données'!A$4:L$990,MATCH(A134,'Base de données'!A$4:A$990,0),2),"")</f>
        <v/>
      </c>
      <c r="C134" s="143" t="str">
        <f>IF(A134&lt;&gt;"",INDEX('Base de données'!A$4:L$990,MATCH(A134,'Base de données'!A$4:A$990,0),12),"")</f>
        <v/>
      </c>
      <c r="D134" s="143" t="str">
        <f>IF(A134&lt;&gt;"",INDEX('Base de données'!A$4:L$990,MATCH(A134,'Base de données'!A$4:A$990,0),3),"")</f>
        <v/>
      </c>
      <c r="E134" s="538"/>
      <c r="F134" s="538"/>
    </row>
    <row r="135" spans="1:6" x14ac:dyDescent="0.25">
      <c r="A135" s="538"/>
      <c r="B135" s="143" t="str">
        <f>IF(A135&lt;&gt;"",INDEX('Base de données'!A$4:L$990,MATCH(A135,'Base de données'!A$4:A$990,0),2),"")</f>
        <v/>
      </c>
      <c r="C135" s="143" t="str">
        <f>IF(A135&lt;&gt;"",INDEX('Base de données'!A$4:L$990,MATCH(A135,'Base de données'!A$4:A$990,0),12),"")</f>
        <v/>
      </c>
      <c r="D135" s="143" t="str">
        <f>IF(A135&lt;&gt;"",INDEX('Base de données'!A$4:L$990,MATCH(A135,'Base de données'!A$4:A$990,0),3),"")</f>
        <v/>
      </c>
      <c r="E135" s="538"/>
      <c r="F135" s="538"/>
    </row>
    <row r="136" spans="1:6" x14ac:dyDescent="0.25">
      <c r="A136" s="538"/>
      <c r="B136" s="143" t="str">
        <f>IF(A136&lt;&gt;"",INDEX('Base de données'!A$4:L$990,MATCH(A136,'Base de données'!A$4:A$990,0),2),"")</f>
        <v/>
      </c>
      <c r="C136" s="143" t="str">
        <f>IF(A136&lt;&gt;"",INDEX('Base de données'!A$4:L$990,MATCH(A136,'Base de données'!A$4:A$990,0),12),"")</f>
        <v/>
      </c>
      <c r="D136" s="143" t="str">
        <f>IF(A136&lt;&gt;"",INDEX('Base de données'!A$4:L$990,MATCH(A136,'Base de données'!A$4:A$990,0),3),"")</f>
        <v/>
      </c>
      <c r="E136" s="538"/>
      <c r="F136" s="538"/>
    </row>
    <row r="137" spans="1:6" x14ac:dyDescent="0.25">
      <c r="A137" s="538"/>
      <c r="B137" s="143" t="str">
        <f>IF(A137&lt;&gt;"",INDEX('Base de données'!A$4:L$990,MATCH(A137,'Base de données'!A$4:A$990,0),2),"")</f>
        <v/>
      </c>
      <c r="C137" s="143" t="str">
        <f>IF(A137&lt;&gt;"",INDEX('Base de données'!A$4:L$990,MATCH(A137,'Base de données'!A$4:A$990,0),12),"")</f>
        <v/>
      </c>
      <c r="D137" s="143" t="str">
        <f>IF(A137&lt;&gt;"",INDEX('Base de données'!A$4:L$990,MATCH(A137,'Base de données'!A$4:A$990,0),3),"")</f>
        <v/>
      </c>
      <c r="E137" s="538"/>
      <c r="F137" s="538"/>
    </row>
    <row r="138" spans="1:6" x14ac:dyDescent="0.25">
      <c r="A138" s="538"/>
      <c r="B138" s="143" t="str">
        <f>IF(A138&lt;&gt;"",INDEX('Base de données'!A$4:L$990,MATCH(A138,'Base de données'!A$4:A$990,0),2),"")</f>
        <v/>
      </c>
      <c r="C138" s="143" t="str">
        <f>IF(A138&lt;&gt;"",INDEX('Base de données'!A$4:L$990,MATCH(A138,'Base de données'!A$4:A$990,0),12),"")</f>
        <v/>
      </c>
      <c r="D138" s="143" t="str">
        <f>IF(A138&lt;&gt;"",INDEX('Base de données'!A$4:L$990,MATCH(A138,'Base de données'!A$4:A$990,0),3),"")</f>
        <v/>
      </c>
      <c r="E138" s="538"/>
      <c r="F138" s="538"/>
    </row>
    <row r="139" spans="1:6" x14ac:dyDescent="0.25">
      <c r="A139" s="538"/>
      <c r="B139" s="143" t="str">
        <f>IF(A139&lt;&gt;"",INDEX('Base de données'!A$4:L$990,MATCH(A139,'Base de données'!A$4:A$990,0),2),"")</f>
        <v/>
      </c>
      <c r="C139" s="143" t="str">
        <f>IF(A139&lt;&gt;"",INDEX('Base de données'!A$4:L$990,MATCH(A139,'Base de données'!A$4:A$990,0),12),"")</f>
        <v/>
      </c>
      <c r="D139" s="143" t="str">
        <f>IF(A139&lt;&gt;"",INDEX('Base de données'!A$4:L$990,MATCH(A139,'Base de données'!A$4:A$990,0),3),"")</f>
        <v/>
      </c>
      <c r="E139" s="538"/>
      <c r="F139" s="538"/>
    </row>
    <row r="140" spans="1:6" x14ac:dyDescent="0.25">
      <c r="A140" s="538"/>
      <c r="B140" s="143" t="str">
        <f>IF(A140&lt;&gt;"",INDEX('Base de données'!A$4:L$990,MATCH(A140,'Base de données'!A$4:A$990,0),2),"")</f>
        <v/>
      </c>
      <c r="C140" s="143" t="str">
        <f>IF(A140&lt;&gt;"",INDEX('Base de données'!A$4:L$990,MATCH(A140,'Base de données'!A$4:A$990,0),12),"")</f>
        <v/>
      </c>
      <c r="D140" s="143" t="str">
        <f>IF(A140&lt;&gt;"",INDEX('Base de données'!A$4:L$990,MATCH(A140,'Base de données'!A$4:A$990,0),3),"")</f>
        <v/>
      </c>
      <c r="E140" s="538"/>
      <c r="F140" s="538"/>
    </row>
    <row r="141" spans="1:6" x14ac:dyDescent="0.25">
      <c r="A141" s="538"/>
      <c r="B141" s="143" t="str">
        <f>IF(A141&lt;&gt;"",INDEX('Base de données'!A$4:L$990,MATCH(A141,'Base de données'!A$4:A$990,0),2),"")</f>
        <v/>
      </c>
      <c r="C141" s="143" t="str">
        <f>IF(A141&lt;&gt;"",INDEX('Base de données'!A$4:L$990,MATCH(A141,'Base de données'!A$4:A$990,0),12),"")</f>
        <v/>
      </c>
      <c r="D141" s="143" t="str">
        <f>IF(A141&lt;&gt;"",INDEX('Base de données'!A$4:L$990,MATCH(A141,'Base de données'!A$4:A$990,0),3),"")</f>
        <v/>
      </c>
      <c r="E141" s="538"/>
      <c r="F141" s="538"/>
    </row>
    <row r="142" spans="1:6" x14ac:dyDescent="0.25">
      <c r="A142" s="538"/>
      <c r="B142" s="143" t="str">
        <f>IF(A142&lt;&gt;"",INDEX('Base de données'!A$4:L$990,MATCH(A142,'Base de données'!A$4:A$990,0),2),"")</f>
        <v/>
      </c>
      <c r="C142" s="143" t="str">
        <f>IF(A142&lt;&gt;"",INDEX('Base de données'!A$4:L$990,MATCH(A142,'Base de données'!A$4:A$990,0),12),"")</f>
        <v/>
      </c>
      <c r="D142" s="143" t="str">
        <f>IF(A142&lt;&gt;"",INDEX('Base de données'!A$4:L$990,MATCH(A142,'Base de données'!A$4:A$990,0),3),"")</f>
        <v/>
      </c>
      <c r="E142" s="538"/>
      <c r="F142" s="538"/>
    </row>
    <row r="143" spans="1:6" x14ac:dyDescent="0.25">
      <c r="A143" s="538"/>
      <c r="B143" s="143" t="str">
        <f>IF(A143&lt;&gt;"",INDEX('Base de données'!A$4:L$990,MATCH(A143,'Base de données'!A$4:A$990,0),2),"")</f>
        <v/>
      </c>
      <c r="C143" s="143" t="str">
        <f>IF(A143&lt;&gt;"",INDEX('Base de données'!A$4:L$990,MATCH(A143,'Base de données'!A$4:A$990,0),12),"")</f>
        <v/>
      </c>
      <c r="D143" s="143" t="str">
        <f>IF(A143&lt;&gt;"",INDEX('Base de données'!A$4:L$990,MATCH(A143,'Base de données'!A$4:A$990,0),3),"")</f>
        <v/>
      </c>
      <c r="E143" s="538"/>
      <c r="F143" s="538"/>
    </row>
    <row r="144" spans="1:6" x14ac:dyDescent="0.25">
      <c r="A144" s="538"/>
      <c r="B144" s="143" t="str">
        <f>IF(A144&lt;&gt;"",INDEX('Base de données'!A$4:L$990,MATCH(A144,'Base de données'!A$4:A$990,0),2),"")</f>
        <v/>
      </c>
      <c r="C144" s="143" t="str">
        <f>IF(A144&lt;&gt;"",INDEX('Base de données'!A$4:L$990,MATCH(A144,'Base de données'!A$4:A$990,0),12),"")</f>
        <v/>
      </c>
      <c r="D144" s="143" t="str">
        <f>IF(A144&lt;&gt;"",INDEX('Base de données'!A$4:L$990,MATCH(A144,'Base de données'!A$4:A$990,0),3),"")</f>
        <v/>
      </c>
      <c r="E144" s="538"/>
      <c r="F144" s="538"/>
    </row>
    <row r="145" spans="1:6" x14ac:dyDescent="0.25">
      <c r="A145" s="538"/>
      <c r="B145" s="143" t="str">
        <f>IF(A145&lt;&gt;"",INDEX('Base de données'!A$4:L$990,MATCH(A145,'Base de données'!A$4:A$990,0),2),"")</f>
        <v/>
      </c>
      <c r="C145" s="143" t="str">
        <f>IF(A145&lt;&gt;"",INDEX('Base de données'!A$4:L$990,MATCH(A145,'Base de données'!A$4:A$990,0),12),"")</f>
        <v/>
      </c>
      <c r="D145" s="143" t="str">
        <f>IF(A145&lt;&gt;"",INDEX('Base de données'!A$4:L$990,MATCH(A145,'Base de données'!A$4:A$990,0),3),"")</f>
        <v/>
      </c>
      <c r="E145" s="538"/>
      <c r="F145" s="538"/>
    </row>
    <row r="146" spans="1:6" x14ac:dyDescent="0.25">
      <c r="A146" s="538"/>
      <c r="B146" s="143" t="str">
        <f>IF(A146&lt;&gt;"",INDEX('Base de données'!A$4:L$990,MATCH(A146,'Base de données'!A$4:A$990,0),2),"")</f>
        <v/>
      </c>
      <c r="C146" s="143" t="str">
        <f>IF(A146&lt;&gt;"",INDEX('Base de données'!A$4:L$990,MATCH(A146,'Base de données'!A$4:A$990,0),12),"")</f>
        <v/>
      </c>
      <c r="D146" s="143" t="str">
        <f>IF(A146&lt;&gt;"",INDEX('Base de données'!A$4:L$990,MATCH(A146,'Base de données'!A$4:A$990,0),3),"")</f>
        <v/>
      </c>
      <c r="E146" s="538"/>
      <c r="F146" s="538"/>
    </row>
    <row r="147" spans="1:6" x14ac:dyDescent="0.25">
      <c r="A147" s="538"/>
      <c r="B147" s="143" t="str">
        <f>IF(A147&lt;&gt;"",INDEX('Base de données'!A$4:L$990,MATCH(A147,'Base de données'!A$4:A$990,0),2),"")</f>
        <v/>
      </c>
      <c r="C147" s="143" t="str">
        <f>IF(A147&lt;&gt;"",INDEX('Base de données'!A$4:L$990,MATCH(A147,'Base de données'!A$4:A$990,0),12),"")</f>
        <v/>
      </c>
      <c r="D147" s="143" t="str">
        <f>IF(A147&lt;&gt;"",INDEX('Base de données'!A$4:L$990,MATCH(A147,'Base de données'!A$4:A$990,0),3),"")</f>
        <v/>
      </c>
      <c r="E147" s="538"/>
      <c r="F147" s="538"/>
    </row>
    <row r="148" spans="1:6" x14ac:dyDescent="0.25">
      <c r="A148" s="538"/>
      <c r="B148" s="143" t="str">
        <f>IF(A148&lt;&gt;"",INDEX('Base de données'!A$4:L$990,MATCH(A148,'Base de données'!A$4:A$990,0),2),"")</f>
        <v/>
      </c>
      <c r="C148" s="143" t="str">
        <f>IF(A148&lt;&gt;"",INDEX('Base de données'!A$4:L$990,MATCH(A148,'Base de données'!A$4:A$990,0),12),"")</f>
        <v/>
      </c>
      <c r="D148" s="143" t="str">
        <f>IF(A148&lt;&gt;"",INDEX('Base de données'!A$4:L$990,MATCH(A148,'Base de données'!A$4:A$990,0),3),"")</f>
        <v/>
      </c>
      <c r="E148" s="538"/>
      <c r="F148" s="538"/>
    </row>
    <row r="149" spans="1:6" x14ac:dyDescent="0.25">
      <c r="A149" s="538"/>
      <c r="B149" s="143" t="str">
        <f>IF(A149&lt;&gt;"",INDEX('Base de données'!A$4:L$990,MATCH(A149,'Base de données'!A$4:A$990,0),2),"")</f>
        <v/>
      </c>
      <c r="C149" s="143" t="str">
        <f>IF(A149&lt;&gt;"",INDEX('Base de données'!A$4:L$990,MATCH(A149,'Base de données'!A$4:A$990,0),12),"")</f>
        <v/>
      </c>
      <c r="D149" s="143" t="str">
        <f>IF(A149&lt;&gt;"",INDEX('Base de données'!A$4:L$990,MATCH(A149,'Base de données'!A$4:A$990,0),3),"")</f>
        <v/>
      </c>
      <c r="E149" s="538"/>
      <c r="F149" s="538"/>
    </row>
    <row r="150" spans="1:6" x14ac:dyDescent="0.25">
      <c r="A150" s="538"/>
      <c r="B150" s="143" t="str">
        <f>IF(A150&lt;&gt;"",INDEX('Base de données'!A$4:L$990,MATCH(A150,'Base de données'!A$4:A$990,0),2),"")</f>
        <v/>
      </c>
      <c r="C150" s="143" t="str">
        <f>IF(A150&lt;&gt;"",INDEX('Base de données'!A$4:L$990,MATCH(A150,'Base de données'!A$4:A$990,0),12),"")</f>
        <v/>
      </c>
      <c r="D150" s="143" t="str">
        <f>IF(A150&lt;&gt;"",INDEX('Base de données'!A$4:L$990,MATCH(A150,'Base de données'!A$4:A$990,0),3),"")</f>
        <v/>
      </c>
      <c r="E150" s="538"/>
      <c r="F150" s="538"/>
    </row>
    <row r="151" spans="1:6" x14ac:dyDescent="0.25">
      <c r="A151" s="538"/>
      <c r="B151" s="143" t="str">
        <f>IF(A151&lt;&gt;"",INDEX('Base de données'!A$4:L$990,MATCH(A151,'Base de données'!A$4:A$990,0),2),"")</f>
        <v/>
      </c>
      <c r="C151" s="143" t="str">
        <f>IF(A151&lt;&gt;"",INDEX('Base de données'!A$4:L$990,MATCH(A151,'Base de données'!A$4:A$990,0),12),"")</f>
        <v/>
      </c>
      <c r="D151" s="143" t="str">
        <f>IF(A151&lt;&gt;"",INDEX('Base de données'!A$4:L$990,MATCH(A151,'Base de données'!A$4:A$990,0),3),"")</f>
        <v/>
      </c>
      <c r="E151" s="538"/>
      <c r="F151" s="538"/>
    </row>
    <row r="152" spans="1:6" x14ac:dyDescent="0.25">
      <c r="A152" s="538"/>
      <c r="B152" s="143" t="str">
        <f>IF(A152&lt;&gt;"",INDEX('Base de données'!A$4:L$990,MATCH(A152,'Base de données'!A$4:A$990,0),2),"")</f>
        <v/>
      </c>
      <c r="C152" s="143" t="str">
        <f>IF(A152&lt;&gt;"",INDEX('Base de données'!A$4:L$990,MATCH(A152,'Base de données'!A$4:A$990,0),12),"")</f>
        <v/>
      </c>
      <c r="D152" s="143" t="str">
        <f>IF(A152&lt;&gt;"",INDEX('Base de données'!A$4:L$990,MATCH(A152,'Base de données'!A$4:A$990,0),3),"")</f>
        <v/>
      </c>
      <c r="E152" s="538"/>
      <c r="F152" s="538"/>
    </row>
    <row r="153" spans="1:6" x14ac:dyDescent="0.25">
      <c r="A153" s="538"/>
      <c r="B153" s="143" t="str">
        <f>IF(A153&lt;&gt;"",INDEX('Base de données'!A$4:L$990,MATCH(A153,'Base de données'!A$4:A$990,0),2),"")</f>
        <v/>
      </c>
      <c r="C153" s="143" t="str">
        <f>IF(A153&lt;&gt;"",INDEX('Base de données'!A$4:L$990,MATCH(A153,'Base de données'!A$4:A$990,0),12),"")</f>
        <v/>
      </c>
      <c r="D153" s="143" t="str">
        <f>IF(A153&lt;&gt;"",INDEX('Base de données'!A$4:L$990,MATCH(A153,'Base de données'!A$4:A$990,0),3),"")</f>
        <v/>
      </c>
      <c r="E153" s="538"/>
      <c r="F153" s="538"/>
    </row>
    <row r="154" spans="1:6" x14ac:dyDescent="0.25">
      <c r="A154" s="538"/>
      <c r="B154" s="143" t="str">
        <f>IF(A154&lt;&gt;"",INDEX('Base de données'!A$4:L$990,MATCH(A154,'Base de données'!A$4:A$990,0),2),"")</f>
        <v/>
      </c>
      <c r="C154" s="143" t="str">
        <f>IF(A154&lt;&gt;"",INDEX('Base de données'!A$4:L$990,MATCH(A154,'Base de données'!A$4:A$990,0),12),"")</f>
        <v/>
      </c>
      <c r="D154" s="143" t="str">
        <f>IF(A154&lt;&gt;"",INDEX('Base de données'!A$4:L$990,MATCH(A154,'Base de données'!A$4:A$990,0),3),"")</f>
        <v/>
      </c>
      <c r="E154" s="538"/>
      <c r="F154" s="538"/>
    </row>
    <row r="155" spans="1:6" x14ac:dyDescent="0.25">
      <c r="A155" s="538"/>
      <c r="B155" s="143" t="str">
        <f>IF(A155&lt;&gt;"",INDEX('Base de données'!A$4:L$990,MATCH(A155,'Base de données'!A$4:A$990,0),2),"")</f>
        <v/>
      </c>
      <c r="C155" s="143" t="str">
        <f>IF(A155&lt;&gt;"",INDEX('Base de données'!A$4:L$990,MATCH(A155,'Base de données'!A$4:A$990,0),12),"")</f>
        <v/>
      </c>
      <c r="D155" s="143" t="str">
        <f>IF(A155&lt;&gt;"",INDEX('Base de données'!A$4:L$990,MATCH(A155,'Base de données'!A$4:A$990,0),3),"")</f>
        <v/>
      </c>
      <c r="E155" s="538"/>
      <c r="F155" s="538"/>
    </row>
    <row r="156" spans="1:6" x14ac:dyDescent="0.25">
      <c r="A156" s="538"/>
      <c r="B156" s="143" t="str">
        <f>IF(A156&lt;&gt;"",INDEX('Base de données'!A$4:L$990,MATCH(A156,'Base de données'!A$4:A$990,0),2),"")</f>
        <v/>
      </c>
      <c r="C156" s="143" t="str">
        <f>IF(A156&lt;&gt;"",INDEX('Base de données'!A$4:L$990,MATCH(A156,'Base de données'!A$4:A$990,0),12),"")</f>
        <v/>
      </c>
      <c r="D156" s="143" t="str">
        <f>IF(A156&lt;&gt;"",INDEX('Base de données'!A$4:L$990,MATCH(A156,'Base de données'!A$4:A$990,0),3),"")</f>
        <v/>
      </c>
      <c r="E156" s="538"/>
      <c r="F156" s="538"/>
    </row>
    <row r="157" spans="1:6" x14ac:dyDescent="0.25">
      <c r="A157" s="538"/>
      <c r="B157" s="143" t="str">
        <f>IF(A157&lt;&gt;"",INDEX('Base de données'!A$4:L$990,MATCH(A157,'Base de données'!A$4:A$990,0),2),"")</f>
        <v/>
      </c>
      <c r="C157" s="143" t="str">
        <f>IF(A157&lt;&gt;"",INDEX('Base de données'!A$4:L$990,MATCH(A157,'Base de données'!A$4:A$990,0),12),"")</f>
        <v/>
      </c>
      <c r="D157" s="143" t="str">
        <f>IF(A157&lt;&gt;"",INDEX('Base de données'!A$4:L$990,MATCH(A157,'Base de données'!A$4:A$990,0),3),"")</f>
        <v/>
      </c>
      <c r="E157" s="538"/>
      <c r="F157" s="538"/>
    </row>
    <row r="158" spans="1:6" x14ac:dyDescent="0.25">
      <c r="A158" s="538"/>
      <c r="B158" s="143" t="str">
        <f>IF(A158&lt;&gt;"",INDEX('Base de données'!A$4:L$990,MATCH(A158,'Base de données'!A$4:A$990,0),2),"")</f>
        <v/>
      </c>
      <c r="C158" s="143" t="str">
        <f>IF(A158&lt;&gt;"",INDEX('Base de données'!A$4:L$990,MATCH(A158,'Base de données'!A$4:A$990,0),12),"")</f>
        <v/>
      </c>
      <c r="D158" s="143" t="str">
        <f>IF(A158&lt;&gt;"",INDEX('Base de données'!A$4:L$990,MATCH(A158,'Base de données'!A$4:A$990,0),3),"")</f>
        <v/>
      </c>
      <c r="E158" s="538"/>
      <c r="F158" s="538"/>
    </row>
    <row r="159" spans="1:6" x14ac:dyDescent="0.25">
      <c r="A159" s="538"/>
      <c r="B159" s="143" t="str">
        <f>IF(A159&lt;&gt;"",INDEX('Base de données'!A$4:L$990,MATCH(A159,'Base de données'!A$4:A$990,0),2),"")</f>
        <v/>
      </c>
      <c r="C159" s="143" t="str">
        <f>IF(A159&lt;&gt;"",INDEX('Base de données'!A$4:L$990,MATCH(A159,'Base de données'!A$4:A$990,0),12),"")</f>
        <v/>
      </c>
      <c r="D159" s="143" t="str">
        <f>IF(A159&lt;&gt;"",INDEX('Base de données'!A$4:L$990,MATCH(A159,'Base de données'!A$4:A$990,0),3),"")</f>
        <v/>
      </c>
      <c r="E159" s="538"/>
      <c r="F159" s="538"/>
    </row>
    <row r="160" spans="1:6" x14ac:dyDescent="0.25">
      <c r="A160" s="538"/>
      <c r="B160" s="143" t="str">
        <f>IF(A160&lt;&gt;"",INDEX('Base de données'!A$4:L$990,MATCH(A160,'Base de données'!A$4:A$990,0),2),"")</f>
        <v/>
      </c>
      <c r="C160" s="143" t="str">
        <f>IF(A160&lt;&gt;"",INDEX('Base de données'!A$4:L$990,MATCH(A160,'Base de données'!A$4:A$990,0),12),"")</f>
        <v/>
      </c>
      <c r="D160" s="143" t="str">
        <f>IF(A160&lt;&gt;"",INDEX('Base de données'!A$4:L$990,MATCH(A160,'Base de données'!A$4:A$990,0),3),"")</f>
        <v/>
      </c>
      <c r="E160" s="538"/>
      <c r="F160" s="538"/>
    </row>
    <row r="161" spans="1:6" x14ac:dyDescent="0.25">
      <c r="A161" s="538"/>
      <c r="B161" s="143" t="str">
        <f>IF(A161&lt;&gt;"",INDEX('Base de données'!A$4:L$990,MATCH(A161,'Base de données'!A$4:A$990,0),2),"")</f>
        <v/>
      </c>
      <c r="C161" s="143" t="str">
        <f>IF(A161&lt;&gt;"",INDEX('Base de données'!A$4:L$990,MATCH(A161,'Base de données'!A$4:A$990,0),12),"")</f>
        <v/>
      </c>
      <c r="D161" s="143" t="str">
        <f>IF(A161&lt;&gt;"",INDEX('Base de données'!A$4:L$990,MATCH(A161,'Base de données'!A$4:A$990,0),3),"")</f>
        <v/>
      </c>
      <c r="E161" s="538"/>
      <c r="F161" s="538"/>
    </row>
    <row r="162" spans="1:6" x14ac:dyDescent="0.25">
      <c r="A162" s="538"/>
      <c r="B162" s="143" t="str">
        <f>IF(A162&lt;&gt;"",INDEX('Base de données'!A$4:L$990,MATCH(A162,'Base de données'!A$4:A$990,0),2),"")</f>
        <v/>
      </c>
      <c r="C162" s="143" t="str">
        <f>IF(A162&lt;&gt;"",INDEX('Base de données'!A$4:L$990,MATCH(A162,'Base de données'!A$4:A$990,0),12),"")</f>
        <v/>
      </c>
      <c r="D162" s="143" t="str">
        <f>IF(A162&lt;&gt;"",INDEX('Base de données'!A$4:L$990,MATCH(A162,'Base de données'!A$4:A$990,0),3),"")</f>
        <v/>
      </c>
      <c r="E162" s="538"/>
      <c r="F162" s="538"/>
    </row>
    <row r="163" spans="1:6" x14ac:dyDescent="0.25">
      <c r="A163" s="538"/>
      <c r="B163" s="143" t="str">
        <f>IF(A163&lt;&gt;"",INDEX('Base de données'!A$4:L$990,MATCH(A163,'Base de données'!A$4:A$990,0),2),"")</f>
        <v/>
      </c>
      <c r="C163" s="143" t="str">
        <f>IF(A163&lt;&gt;"",INDEX('Base de données'!A$4:L$990,MATCH(A163,'Base de données'!A$4:A$990,0),12),"")</f>
        <v/>
      </c>
      <c r="D163" s="143" t="str">
        <f>IF(A163&lt;&gt;"",INDEX('Base de données'!A$4:L$990,MATCH(A163,'Base de données'!A$4:A$990,0),3),"")</f>
        <v/>
      </c>
      <c r="E163" s="538"/>
      <c r="F163" s="538"/>
    </row>
    <row r="164" spans="1:6" x14ac:dyDescent="0.25">
      <c r="A164" s="538"/>
      <c r="B164" s="143" t="str">
        <f>IF(A164&lt;&gt;"",INDEX('Base de données'!A$4:L$990,MATCH(A164,'Base de données'!A$4:A$990,0),2),"")</f>
        <v/>
      </c>
      <c r="C164" s="143" t="str">
        <f>IF(A164&lt;&gt;"",INDEX('Base de données'!A$4:L$990,MATCH(A164,'Base de données'!A$4:A$990,0),12),"")</f>
        <v/>
      </c>
      <c r="D164" s="143" t="str">
        <f>IF(A164&lt;&gt;"",INDEX('Base de données'!A$4:L$990,MATCH(A164,'Base de données'!A$4:A$990,0),3),"")</f>
        <v/>
      </c>
      <c r="E164" s="538"/>
      <c r="F164" s="538"/>
    </row>
    <row r="165" spans="1:6" x14ac:dyDescent="0.25">
      <c r="A165" s="538"/>
      <c r="B165" s="143" t="str">
        <f>IF(A165&lt;&gt;"",INDEX('Base de données'!A$4:L$990,MATCH(A165,'Base de données'!A$4:A$990,0),2),"")</f>
        <v/>
      </c>
      <c r="C165" s="143" t="str">
        <f>IF(A165&lt;&gt;"",INDEX('Base de données'!A$4:L$990,MATCH(A165,'Base de données'!A$4:A$990,0),12),"")</f>
        <v/>
      </c>
      <c r="D165" s="143" t="str">
        <f>IF(A165&lt;&gt;"",INDEX('Base de données'!A$4:L$990,MATCH(A165,'Base de données'!A$4:A$990,0),3),"")</f>
        <v/>
      </c>
      <c r="E165" s="538"/>
      <c r="F165" s="538"/>
    </row>
    <row r="166" spans="1:6" x14ac:dyDescent="0.25">
      <c r="A166" s="538"/>
      <c r="B166" s="143" t="str">
        <f>IF(A166&lt;&gt;"",INDEX('Base de données'!A$4:L$990,MATCH(A166,'Base de données'!A$4:A$990,0),2),"")</f>
        <v/>
      </c>
      <c r="C166" s="143" t="str">
        <f>IF(A166&lt;&gt;"",INDEX('Base de données'!A$4:L$990,MATCH(A166,'Base de données'!A$4:A$990,0),12),"")</f>
        <v/>
      </c>
      <c r="D166" s="143" t="str">
        <f>IF(A166&lt;&gt;"",INDEX('Base de données'!A$4:L$990,MATCH(A166,'Base de données'!A$4:A$990,0),3),"")</f>
        <v/>
      </c>
      <c r="E166" s="538"/>
      <c r="F166" s="538"/>
    </row>
    <row r="167" spans="1:6" x14ac:dyDescent="0.25">
      <c r="A167" s="538"/>
      <c r="B167" s="143" t="str">
        <f>IF(A167&lt;&gt;"",INDEX('Base de données'!A$4:L$990,MATCH(A167,'Base de données'!A$4:A$990,0),2),"")</f>
        <v/>
      </c>
      <c r="C167" s="143" t="str">
        <f>IF(A167&lt;&gt;"",INDEX('Base de données'!A$4:L$990,MATCH(A167,'Base de données'!A$4:A$990,0),12),"")</f>
        <v/>
      </c>
      <c r="D167" s="143" t="str">
        <f>IF(A167&lt;&gt;"",INDEX('Base de données'!A$4:L$990,MATCH(A167,'Base de données'!A$4:A$990,0),3),"")</f>
        <v/>
      </c>
      <c r="E167" s="538"/>
      <c r="F167" s="538"/>
    </row>
    <row r="168" spans="1:6" x14ac:dyDescent="0.25">
      <c r="A168" s="538"/>
      <c r="B168" s="143" t="str">
        <f>IF(A168&lt;&gt;"",INDEX('Base de données'!A$4:L$990,MATCH(A168,'Base de données'!A$4:A$990,0),2),"")</f>
        <v/>
      </c>
      <c r="C168" s="143" t="str">
        <f>IF(A168&lt;&gt;"",INDEX('Base de données'!A$4:L$990,MATCH(A168,'Base de données'!A$4:A$990,0),12),"")</f>
        <v/>
      </c>
      <c r="D168" s="143" t="str">
        <f>IF(A168&lt;&gt;"",INDEX('Base de données'!A$4:L$990,MATCH(A168,'Base de données'!A$4:A$990,0),3),"")</f>
        <v/>
      </c>
      <c r="E168" s="538"/>
      <c r="F168" s="538"/>
    </row>
    <row r="169" spans="1:6" x14ac:dyDescent="0.25">
      <c r="A169" s="538"/>
      <c r="B169" s="143" t="str">
        <f>IF(A169&lt;&gt;"",INDEX('Base de données'!A$4:L$990,MATCH(A169,'Base de données'!A$4:A$990,0),2),"")</f>
        <v/>
      </c>
      <c r="C169" s="143" t="str">
        <f>IF(A169&lt;&gt;"",INDEX('Base de données'!A$4:L$990,MATCH(A169,'Base de données'!A$4:A$990,0),12),"")</f>
        <v/>
      </c>
      <c r="D169" s="143" t="str">
        <f>IF(A169&lt;&gt;"",INDEX('Base de données'!A$4:L$990,MATCH(A169,'Base de données'!A$4:A$990,0),3),"")</f>
        <v/>
      </c>
      <c r="E169" s="538"/>
      <c r="F169" s="538"/>
    </row>
    <row r="170" spans="1:6" x14ac:dyDescent="0.25">
      <c r="A170" s="538"/>
      <c r="B170" s="143" t="str">
        <f>IF(A170&lt;&gt;"",INDEX('Base de données'!A$4:L$990,MATCH(A170,'Base de données'!A$4:A$990,0),2),"")</f>
        <v/>
      </c>
      <c r="C170" s="143" t="str">
        <f>IF(A170&lt;&gt;"",INDEX('Base de données'!A$4:L$990,MATCH(A170,'Base de données'!A$4:A$990,0),12),"")</f>
        <v/>
      </c>
      <c r="D170" s="143" t="str">
        <f>IF(A170&lt;&gt;"",INDEX('Base de données'!A$4:L$990,MATCH(A170,'Base de données'!A$4:A$990,0),3),"")</f>
        <v/>
      </c>
      <c r="E170" s="538"/>
      <c r="F170" s="538"/>
    </row>
    <row r="171" spans="1:6" x14ac:dyDescent="0.25">
      <c r="A171" s="538"/>
      <c r="B171" s="143" t="str">
        <f>IF(A171&lt;&gt;"",INDEX('Base de données'!A$4:L$990,MATCH(A171,'Base de données'!A$4:A$990,0),2),"")</f>
        <v/>
      </c>
      <c r="C171" s="143" t="str">
        <f>IF(A171&lt;&gt;"",INDEX('Base de données'!A$4:L$990,MATCH(A171,'Base de données'!A$4:A$990,0),12),"")</f>
        <v/>
      </c>
      <c r="D171" s="143" t="str">
        <f>IF(A171&lt;&gt;"",INDEX('Base de données'!A$4:L$990,MATCH(A171,'Base de données'!A$4:A$990,0),3),"")</f>
        <v/>
      </c>
      <c r="E171" s="538"/>
      <c r="F171" s="538"/>
    </row>
    <row r="172" spans="1:6" x14ac:dyDescent="0.25">
      <c r="A172" s="538"/>
      <c r="B172" s="143" t="str">
        <f>IF(A172&lt;&gt;"",INDEX('Base de données'!A$4:L$990,MATCH(A172,'Base de données'!A$4:A$990,0),2),"")</f>
        <v/>
      </c>
      <c r="C172" s="143" t="str">
        <f>IF(A172&lt;&gt;"",INDEX('Base de données'!A$4:L$990,MATCH(A172,'Base de données'!A$4:A$990,0),12),"")</f>
        <v/>
      </c>
      <c r="D172" s="143" t="str">
        <f>IF(A172&lt;&gt;"",INDEX('Base de données'!A$4:L$990,MATCH(A172,'Base de données'!A$4:A$990,0),3),"")</f>
        <v/>
      </c>
      <c r="E172" s="538"/>
      <c r="F172" s="538"/>
    </row>
    <row r="173" spans="1:6" x14ac:dyDescent="0.25">
      <c r="A173" s="538"/>
      <c r="B173" s="143" t="str">
        <f>IF(A173&lt;&gt;"",INDEX('Base de données'!A$4:L$990,MATCH(A173,'Base de données'!A$4:A$990,0),2),"")</f>
        <v/>
      </c>
      <c r="C173" s="143" t="str">
        <f>IF(A173&lt;&gt;"",INDEX('Base de données'!A$4:L$990,MATCH(A173,'Base de données'!A$4:A$990,0),12),"")</f>
        <v/>
      </c>
      <c r="D173" s="143" t="str">
        <f>IF(A173&lt;&gt;"",INDEX('Base de données'!A$4:L$990,MATCH(A173,'Base de données'!A$4:A$990,0),3),"")</f>
        <v/>
      </c>
      <c r="E173" s="538"/>
      <c r="F173" s="538"/>
    </row>
    <row r="174" spans="1:6" x14ac:dyDescent="0.25">
      <c r="A174" s="538"/>
      <c r="B174" s="143" t="str">
        <f>IF(A174&lt;&gt;"",INDEX('Base de données'!A$4:L$990,MATCH(A174,'Base de données'!A$4:A$990,0),2),"")</f>
        <v/>
      </c>
      <c r="C174" s="143" t="str">
        <f>IF(A174&lt;&gt;"",INDEX('Base de données'!A$4:L$990,MATCH(A174,'Base de données'!A$4:A$990,0),12),"")</f>
        <v/>
      </c>
      <c r="D174" s="143" t="str">
        <f>IF(A174&lt;&gt;"",INDEX('Base de données'!A$4:L$990,MATCH(A174,'Base de données'!A$4:A$990,0),3),"")</f>
        <v/>
      </c>
      <c r="E174" s="538"/>
      <c r="F174" s="538"/>
    </row>
    <row r="175" spans="1:6" x14ac:dyDescent="0.25">
      <c r="A175" s="538"/>
      <c r="B175" s="143" t="str">
        <f>IF(A175&lt;&gt;"",INDEX('Base de données'!A$4:L$990,MATCH(A175,'Base de données'!A$4:A$990,0),2),"")</f>
        <v/>
      </c>
      <c r="C175" s="143" t="str">
        <f>IF(A175&lt;&gt;"",INDEX('Base de données'!A$4:L$990,MATCH(A175,'Base de données'!A$4:A$990,0),12),"")</f>
        <v/>
      </c>
      <c r="D175" s="143" t="str">
        <f>IF(A175&lt;&gt;"",INDEX('Base de données'!A$4:L$990,MATCH(A175,'Base de données'!A$4:A$990,0),3),"")</f>
        <v/>
      </c>
      <c r="E175" s="538"/>
      <c r="F175" s="538"/>
    </row>
    <row r="176" spans="1:6" x14ac:dyDescent="0.25">
      <c r="A176" s="538"/>
      <c r="B176" s="143" t="str">
        <f>IF(A176&lt;&gt;"",INDEX('Base de données'!A$4:L$990,MATCH(A176,'Base de données'!A$4:A$990,0),2),"")</f>
        <v/>
      </c>
      <c r="C176" s="143" t="str">
        <f>IF(A176&lt;&gt;"",INDEX('Base de données'!A$4:L$990,MATCH(A176,'Base de données'!A$4:A$990,0),12),"")</f>
        <v/>
      </c>
      <c r="D176" s="143" t="str">
        <f>IF(A176&lt;&gt;"",INDEX('Base de données'!A$4:L$990,MATCH(A176,'Base de données'!A$4:A$990,0),3),"")</f>
        <v/>
      </c>
      <c r="E176" s="538"/>
      <c r="F176" s="538"/>
    </row>
    <row r="177" spans="1:6" x14ac:dyDescent="0.25">
      <c r="A177" s="538"/>
      <c r="B177" s="143" t="str">
        <f>IF(A177&lt;&gt;"",INDEX('Base de données'!A$4:L$990,MATCH(A177,'Base de données'!A$4:A$990,0),2),"")</f>
        <v/>
      </c>
      <c r="C177" s="143" t="str">
        <f>IF(A177&lt;&gt;"",INDEX('Base de données'!A$4:L$990,MATCH(A177,'Base de données'!A$4:A$990,0),12),"")</f>
        <v/>
      </c>
      <c r="D177" s="143" t="str">
        <f>IF(A177&lt;&gt;"",INDEX('Base de données'!A$4:L$990,MATCH(A177,'Base de données'!A$4:A$990,0),3),"")</f>
        <v/>
      </c>
      <c r="E177" s="538"/>
      <c r="F177" s="538"/>
    </row>
    <row r="178" spans="1:6" x14ac:dyDescent="0.25">
      <c r="A178" s="538"/>
      <c r="B178" s="143" t="str">
        <f>IF(A178&lt;&gt;"",INDEX('Base de données'!A$4:L$990,MATCH(A178,'Base de données'!A$4:A$990,0),2),"")</f>
        <v/>
      </c>
      <c r="C178" s="143" t="str">
        <f>IF(A178&lt;&gt;"",INDEX('Base de données'!A$4:L$990,MATCH(A178,'Base de données'!A$4:A$990,0),12),"")</f>
        <v/>
      </c>
      <c r="D178" s="143" t="str">
        <f>IF(A178&lt;&gt;"",INDEX('Base de données'!A$4:L$990,MATCH(A178,'Base de données'!A$4:A$990,0),3),"")</f>
        <v/>
      </c>
      <c r="E178" s="538"/>
      <c r="F178" s="538"/>
    </row>
    <row r="179" spans="1:6" x14ac:dyDescent="0.25">
      <c r="A179" s="538"/>
      <c r="B179" s="143" t="str">
        <f>IF(A179&lt;&gt;"",INDEX('Base de données'!A$4:L$990,MATCH(A179,'Base de données'!A$4:A$990,0),2),"")</f>
        <v/>
      </c>
      <c r="C179" s="143" t="str">
        <f>IF(A179&lt;&gt;"",INDEX('Base de données'!A$4:L$990,MATCH(A179,'Base de données'!A$4:A$990,0),12),"")</f>
        <v/>
      </c>
      <c r="D179" s="143" t="str">
        <f>IF(A179&lt;&gt;"",INDEX('Base de données'!A$4:L$990,MATCH(A179,'Base de données'!A$4:A$990,0),3),"")</f>
        <v/>
      </c>
      <c r="E179" s="538"/>
      <c r="F179" s="538"/>
    </row>
    <row r="180" spans="1:6" x14ac:dyDescent="0.25">
      <c r="A180" s="538"/>
      <c r="B180" s="143" t="str">
        <f>IF(A180&lt;&gt;"",INDEX('Base de données'!A$4:L$990,MATCH(A180,'Base de données'!A$4:A$990,0),2),"")</f>
        <v/>
      </c>
      <c r="C180" s="143" t="str">
        <f>IF(A180&lt;&gt;"",INDEX('Base de données'!A$4:L$990,MATCH(A180,'Base de données'!A$4:A$990,0),12),"")</f>
        <v/>
      </c>
      <c r="D180" s="143" t="str">
        <f>IF(A180&lt;&gt;"",INDEX('Base de données'!A$4:L$990,MATCH(A180,'Base de données'!A$4:A$990,0),3),"")</f>
        <v/>
      </c>
      <c r="E180" s="538"/>
      <c r="F180" s="538"/>
    </row>
    <row r="181" spans="1:6" x14ac:dyDescent="0.25">
      <c r="A181" s="538"/>
      <c r="B181" s="143" t="str">
        <f>IF(A181&lt;&gt;"",INDEX('Base de données'!A$4:L$990,MATCH(A181,'Base de données'!A$4:A$990,0),2),"")</f>
        <v/>
      </c>
      <c r="C181" s="143" t="str">
        <f>IF(A181&lt;&gt;"",INDEX('Base de données'!A$4:L$990,MATCH(A181,'Base de données'!A$4:A$990,0),12),"")</f>
        <v/>
      </c>
      <c r="D181" s="143" t="str">
        <f>IF(A181&lt;&gt;"",INDEX('Base de données'!A$4:L$990,MATCH(A181,'Base de données'!A$4:A$990,0),3),"")</f>
        <v/>
      </c>
      <c r="E181" s="538"/>
      <c r="F181" s="538"/>
    </row>
    <row r="182" spans="1:6" x14ac:dyDescent="0.25">
      <c r="A182" s="538"/>
      <c r="B182" s="143" t="str">
        <f>IF(A182&lt;&gt;"",INDEX('Base de données'!A$4:L$990,MATCH(A182,'Base de données'!A$4:A$990,0),2),"")</f>
        <v/>
      </c>
      <c r="C182" s="143" t="str">
        <f>IF(A182&lt;&gt;"",INDEX('Base de données'!A$4:L$990,MATCH(A182,'Base de données'!A$4:A$990,0),12),"")</f>
        <v/>
      </c>
      <c r="D182" s="143" t="str">
        <f>IF(A182&lt;&gt;"",INDEX('Base de données'!A$4:L$990,MATCH(A182,'Base de données'!A$4:A$990,0),3),"")</f>
        <v/>
      </c>
      <c r="E182" s="538"/>
      <c r="F182" s="538"/>
    </row>
    <row r="183" spans="1:6" x14ac:dyDescent="0.25">
      <c r="A183" s="538"/>
      <c r="B183" s="143" t="str">
        <f>IF(A183&lt;&gt;"",INDEX('Base de données'!A$4:L$990,MATCH(A183,'Base de données'!A$4:A$990,0),2),"")</f>
        <v/>
      </c>
      <c r="C183" s="143" t="str">
        <f>IF(A183&lt;&gt;"",INDEX('Base de données'!A$4:L$990,MATCH(A183,'Base de données'!A$4:A$990,0),12),"")</f>
        <v/>
      </c>
      <c r="D183" s="143" t="str">
        <f>IF(A183&lt;&gt;"",INDEX('Base de données'!A$4:L$990,MATCH(A183,'Base de données'!A$4:A$990,0),3),"")</f>
        <v/>
      </c>
      <c r="E183" s="538"/>
      <c r="F183" s="538"/>
    </row>
    <row r="184" spans="1:6" x14ac:dyDescent="0.25">
      <c r="A184" s="538"/>
      <c r="B184" s="143" t="str">
        <f>IF(A184&lt;&gt;"",INDEX('Base de données'!A$4:L$990,MATCH(A184,'Base de données'!A$4:A$990,0),2),"")</f>
        <v/>
      </c>
      <c r="C184" s="143" t="str">
        <f>IF(A184&lt;&gt;"",INDEX('Base de données'!A$4:L$990,MATCH(A184,'Base de données'!A$4:A$990,0),12),"")</f>
        <v/>
      </c>
      <c r="D184" s="143" t="str">
        <f>IF(A184&lt;&gt;"",INDEX('Base de données'!A$4:L$990,MATCH(A184,'Base de données'!A$4:A$990,0),3),"")</f>
        <v/>
      </c>
      <c r="E184" s="538"/>
      <c r="F184" s="538"/>
    </row>
    <row r="185" spans="1:6" x14ac:dyDescent="0.25">
      <c r="A185" s="538"/>
      <c r="B185" s="143" t="str">
        <f>IF(A185&lt;&gt;"",INDEX('Base de données'!A$4:L$990,MATCH(A185,'Base de données'!A$4:A$990,0),2),"")</f>
        <v/>
      </c>
      <c r="C185" s="143" t="str">
        <f>IF(A185&lt;&gt;"",INDEX('Base de données'!A$4:L$990,MATCH(A185,'Base de données'!A$4:A$990,0),12),"")</f>
        <v/>
      </c>
      <c r="D185" s="143" t="str">
        <f>IF(A185&lt;&gt;"",INDEX('Base de données'!A$4:L$990,MATCH(A185,'Base de données'!A$4:A$990,0),3),"")</f>
        <v/>
      </c>
      <c r="E185" s="538"/>
      <c r="F185" s="538"/>
    </row>
    <row r="186" spans="1:6" x14ac:dyDescent="0.25">
      <c r="A186" s="538"/>
      <c r="B186" s="143" t="str">
        <f>IF(A186&lt;&gt;"",INDEX('Base de données'!A$4:L$990,MATCH(A186,'Base de données'!A$4:A$990,0),2),"")</f>
        <v/>
      </c>
      <c r="C186" s="143" t="str">
        <f>IF(A186&lt;&gt;"",INDEX('Base de données'!A$4:L$990,MATCH(A186,'Base de données'!A$4:A$990,0),12),"")</f>
        <v/>
      </c>
      <c r="D186" s="143" t="str">
        <f>IF(A186&lt;&gt;"",INDEX('Base de données'!A$4:L$990,MATCH(A186,'Base de données'!A$4:A$990,0),3),"")</f>
        <v/>
      </c>
      <c r="E186" s="538"/>
      <c r="F186" s="538"/>
    </row>
    <row r="187" spans="1:6" x14ac:dyDescent="0.25">
      <c r="A187" s="538"/>
      <c r="B187" s="143" t="str">
        <f>IF(A187&lt;&gt;"",INDEX('Base de données'!A$4:L$990,MATCH(A187,'Base de données'!A$4:A$990,0),2),"")</f>
        <v/>
      </c>
      <c r="C187" s="143" t="str">
        <f>IF(A187&lt;&gt;"",INDEX('Base de données'!A$4:L$990,MATCH(A187,'Base de données'!A$4:A$990,0),12),"")</f>
        <v/>
      </c>
      <c r="D187" s="143" t="str">
        <f>IF(A187&lt;&gt;"",INDEX('Base de données'!A$4:L$990,MATCH(A187,'Base de données'!A$4:A$990,0),3),"")</f>
        <v/>
      </c>
      <c r="E187" s="538"/>
      <c r="F187" s="538"/>
    </row>
    <row r="188" spans="1:6" x14ac:dyDescent="0.25">
      <c r="A188" s="538"/>
      <c r="B188" s="143" t="str">
        <f>IF(A188&lt;&gt;"",INDEX('Base de données'!A$4:L$990,MATCH(A188,'Base de données'!A$4:A$990,0),2),"")</f>
        <v/>
      </c>
      <c r="C188" s="143" t="str">
        <f>IF(A188&lt;&gt;"",INDEX('Base de données'!A$4:L$990,MATCH(A188,'Base de données'!A$4:A$990,0),12),"")</f>
        <v/>
      </c>
      <c r="D188" s="143" t="str">
        <f>IF(A188&lt;&gt;"",INDEX('Base de données'!A$4:L$990,MATCH(A188,'Base de données'!A$4:A$990,0),3),"")</f>
        <v/>
      </c>
      <c r="E188" s="538"/>
      <c r="F188" s="538"/>
    </row>
    <row r="189" spans="1:6" x14ac:dyDescent="0.25">
      <c r="A189" s="538"/>
      <c r="B189" s="143" t="str">
        <f>IF(A189&lt;&gt;"",INDEX('Base de données'!A$4:L$990,MATCH(A189,'Base de données'!A$4:A$990,0),2),"")</f>
        <v/>
      </c>
      <c r="C189" s="143" t="str">
        <f>IF(A189&lt;&gt;"",INDEX('Base de données'!A$4:L$990,MATCH(A189,'Base de données'!A$4:A$990,0),12),"")</f>
        <v/>
      </c>
      <c r="D189" s="143" t="str">
        <f>IF(A189&lt;&gt;"",INDEX('Base de données'!A$4:L$990,MATCH(A189,'Base de données'!A$4:A$990,0),3),"")</f>
        <v/>
      </c>
      <c r="E189" s="538"/>
      <c r="F189" s="538"/>
    </row>
    <row r="190" spans="1:6" x14ac:dyDescent="0.25">
      <c r="A190" s="538"/>
      <c r="B190" s="143" t="str">
        <f>IF(A190&lt;&gt;"",INDEX('Base de données'!A$4:L$990,MATCH(A190,'Base de données'!A$4:A$990,0),2),"")</f>
        <v/>
      </c>
      <c r="C190" s="143" t="str">
        <f>IF(A190&lt;&gt;"",INDEX('Base de données'!A$4:L$990,MATCH(A190,'Base de données'!A$4:A$990,0),12),"")</f>
        <v/>
      </c>
      <c r="D190" s="143" t="str">
        <f>IF(A190&lt;&gt;"",INDEX('Base de données'!A$4:L$990,MATCH(A190,'Base de données'!A$4:A$990,0),3),"")</f>
        <v/>
      </c>
      <c r="E190" s="538"/>
      <c r="F190" s="538"/>
    </row>
    <row r="191" spans="1:6" x14ac:dyDescent="0.25">
      <c r="A191" s="538"/>
      <c r="B191" s="143" t="str">
        <f>IF(A191&lt;&gt;"",INDEX('Base de données'!A$4:L$990,MATCH(A191,'Base de données'!A$4:A$990,0),2),"")</f>
        <v/>
      </c>
      <c r="C191" s="143" t="str">
        <f>IF(A191&lt;&gt;"",INDEX('Base de données'!A$4:L$990,MATCH(A191,'Base de données'!A$4:A$990,0),12),"")</f>
        <v/>
      </c>
      <c r="D191" s="143" t="str">
        <f>IF(A191&lt;&gt;"",INDEX('Base de données'!A$4:L$990,MATCH(A191,'Base de données'!A$4:A$990,0),3),"")</f>
        <v/>
      </c>
      <c r="E191" s="538"/>
      <c r="F191" s="538"/>
    </row>
    <row r="192" spans="1:6" x14ac:dyDescent="0.25">
      <c r="A192" s="538"/>
      <c r="B192" s="143" t="str">
        <f>IF(A192&lt;&gt;"",INDEX('Base de données'!A$4:L$990,MATCH(A192,'Base de données'!A$4:A$990,0),2),"")</f>
        <v/>
      </c>
      <c r="C192" s="143" t="str">
        <f>IF(A192&lt;&gt;"",INDEX('Base de données'!A$4:L$990,MATCH(A192,'Base de données'!A$4:A$990,0),12),"")</f>
        <v/>
      </c>
      <c r="D192" s="143" t="str">
        <f>IF(A192&lt;&gt;"",INDEX('Base de données'!A$4:L$990,MATCH(A192,'Base de données'!A$4:A$990,0),3),"")</f>
        <v/>
      </c>
      <c r="E192" s="538"/>
      <c r="F192" s="538"/>
    </row>
    <row r="193" spans="1:6" x14ac:dyDescent="0.25">
      <c r="A193" s="538"/>
      <c r="B193" s="143" t="str">
        <f>IF(A193&lt;&gt;"",INDEX('Base de données'!A$4:L$990,MATCH(A193,'Base de données'!A$4:A$990,0),2),"")</f>
        <v/>
      </c>
      <c r="C193" s="143" t="str">
        <f>IF(A193&lt;&gt;"",INDEX('Base de données'!A$4:L$990,MATCH(A193,'Base de données'!A$4:A$990,0),12),"")</f>
        <v/>
      </c>
      <c r="D193" s="143" t="str">
        <f>IF(A193&lt;&gt;"",INDEX('Base de données'!A$4:L$990,MATCH(A193,'Base de données'!A$4:A$990,0),3),"")</f>
        <v/>
      </c>
      <c r="E193" s="538"/>
      <c r="F193" s="538"/>
    </row>
    <row r="194" spans="1:6" x14ac:dyDescent="0.25">
      <c r="A194" s="538"/>
      <c r="B194" s="143" t="str">
        <f>IF(A194&lt;&gt;"",INDEX('Base de données'!A$4:L$990,MATCH(A194,'Base de données'!A$4:A$990,0),2),"")</f>
        <v/>
      </c>
      <c r="C194" s="143" t="str">
        <f>IF(A194&lt;&gt;"",INDEX('Base de données'!A$4:L$990,MATCH(A194,'Base de données'!A$4:A$990,0),12),"")</f>
        <v/>
      </c>
      <c r="D194" s="143" t="str">
        <f>IF(A194&lt;&gt;"",INDEX('Base de données'!A$4:L$990,MATCH(A194,'Base de données'!A$4:A$990,0),3),"")</f>
        <v/>
      </c>
      <c r="E194" s="538"/>
      <c r="F194" s="538"/>
    </row>
    <row r="195" spans="1:6" x14ac:dyDescent="0.25">
      <c r="A195" s="538"/>
      <c r="B195" s="143" t="str">
        <f>IF(A195&lt;&gt;"",INDEX('Base de données'!A$4:L$990,MATCH(A195,'Base de données'!A$4:A$990,0),2),"")</f>
        <v/>
      </c>
      <c r="C195" s="143" t="str">
        <f>IF(A195&lt;&gt;"",INDEX('Base de données'!A$4:L$990,MATCH(A195,'Base de données'!A$4:A$990,0),12),"")</f>
        <v/>
      </c>
      <c r="D195" s="143" t="str">
        <f>IF(A195&lt;&gt;"",INDEX('Base de données'!A$4:L$990,MATCH(A195,'Base de données'!A$4:A$990,0),3),"")</f>
        <v/>
      </c>
      <c r="E195" s="538"/>
      <c r="F195" s="538"/>
    </row>
    <row r="196" spans="1:6" x14ac:dyDescent="0.25">
      <c r="A196" s="538"/>
      <c r="B196" s="143" t="str">
        <f>IF(A196&lt;&gt;"",INDEX('Base de données'!A$4:L$990,MATCH(A196,'Base de données'!A$4:A$990,0),2),"")</f>
        <v/>
      </c>
      <c r="C196" s="143" t="str">
        <f>IF(A196&lt;&gt;"",INDEX('Base de données'!A$4:L$990,MATCH(A196,'Base de données'!A$4:A$990,0),12),"")</f>
        <v/>
      </c>
      <c r="D196" s="143" t="str">
        <f>IF(A196&lt;&gt;"",INDEX('Base de données'!A$4:L$990,MATCH(A196,'Base de données'!A$4:A$990,0),3),"")</f>
        <v/>
      </c>
      <c r="E196" s="538"/>
      <c r="F196" s="538"/>
    </row>
    <row r="197" spans="1:6" x14ac:dyDescent="0.25">
      <c r="A197" s="538"/>
      <c r="B197" s="143" t="str">
        <f>IF(A197&lt;&gt;"",INDEX('Base de données'!A$4:L$990,MATCH(A197,'Base de données'!A$4:A$990,0),2),"")</f>
        <v/>
      </c>
      <c r="C197" s="143" t="str">
        <f>IF(A197&lt;&gt;"",INDEX('Base de données'!A$4:L$990,MATCH(A197,'Base de données'!A$4:A$990,0),12),"")</f>
        <v/>
      </c>
      <c r="D197" s="143" t="str">
        <f>IF(A197&lt;&gt;"",INDEX('Base de données'!A$4:L$990,MATCH(A197,'Base de données'!A$4:A$990,0),3),"")</f>
        <v/>
      </c>
      <c r="E197" s="538"/>
      <c r="F197" s="538"/>
    </row>
    <row r="198" spans="1:6" x14ac:dyDescent="0.25">
      <c r="A198" s="538"/>
      <c r="B198" s="143" t="str">
        <f>IF(A198&lt;&gt;"",INDEX('Base de données'!A$4:L$990,MATCH(A198,'Base de données'!A$4:A$990,0),2),"")</f>
        <v/>
      </c>
      <c r="C198" s="143" t="str">
        <f>IF(A198&lt;&gt;"",INDEX('Base de données'!A$4:L$990,MATCH(A198,'Base de données'!A$4:A$990,0),12),"")</f>
        <v/>
      </c>
      <c r="D198" s="143" t="str">
        <f>IF(A198&lt;&gt;"",INDEX('Base de données'!A$4:L$990,MATCH(A198,'Base de données'!A$4:A$990,0),3),"")</f>
        <v/>
      </c>
      <c r="E198" s="538"/>
      <c r="F198" s="538"/>
    </row>
    <row r="199" spans="1:6" x14ac:dyDescent="0.25">
      <c r="A199" s="538"/>
      <c r="B199" s="143" t="str">
        <f>IF(A199&lt;&gt;"",INDEX('Base de données'!A$4:L$990,MATCH(A199,'Base de données'!A$4:A$990,0),2),"")</f>
        <v/>
      </c>
      <c r="C199" s="143" t="str">
        <f>IF(A199&lt;&gt;"",INDEX('Base de données'!A$4:L$990,MATCH(A199,'Base de données'!A$4:A$990,0),12),"")</f>
        <v/>
      </c>
      <c r="D199" s="143" t="str">
        <f>IF(A199&lt;&gt;"",INDEX('Base de données'!A$4:L$990,MATCH(A199,'Base de données'!A$4:A$990,0),3),"")</f>
        <v/>
      </c>
      <c r="E199" s="538"/>
      <c r="F199" s="538"/>
    </row>
    <row r="200" spans="1:6" x14ac:dyDescent="0.25">
      <c r="A200" s="538"/>
      <c r="B200" s="143" t="str">
        <f>IF(A200&lt;&gt;"",INDEX('Base de données'!A$4:L$990,MATCH(A200,'Base de données'!A$4:A$990,0),2),"")</f>
        <v/>
      </c>
      <c r="C200" s="143" t="str">
        <f>IF(A200&lt;&gt;"",INDEX('Base de données'!A$4:L$990,MATCH(A200,'Base de données'!A$4:A$990,0),12),"")</f>
        <v/>
      </c>
      <c r="D200" s="143" t="str">
        <f>IF(A200&lt;&gt;"",INDEX('Base de données'!A$4:L$990,MATCH(A200,'Base de données'!A$4:A$990,0),3),"")</f>
        <v/>
      </c>
      <c r="E200" s="538"/>
      <c r="F200" s="538"/>
    </row>
    <row r="201" spans="1:6" x14ac:dyDescent="0.25">
      <c r="A201" s="538"/>
      <c r="B201" s="143" t="str">
        <f>IF(A201&lt;&gt;"",INDEX('Base de données'!A$4:L$990,MATCH(A201,'Base de données'!A$4:A$990,0),2),"")</f>
        <v/>
      </c>
      <c r="C201" s="143" t="str">
        <f>IF(A201&lt;&gt;"",INDEX('Base de données'!A$4:L$990,MATCH(A201,'Base de données'!A$4:A$990,0),12),"")</f>
        <v/>
      </c>
      <c r="D201" s="143" t="str">
        <f>IF(A201&lt;&gt;"",INDEX('Base de données'!A$4:L$990,MATCH(A201,'Base de données'!A$4:A$990,0),3),"")</f>
        <v/>
      </c>
      <c r="E201" s="538"/>
      <c r="F201" s="538"/>
    </row>
    <row r="202" spans="1:6" x14ac:dyDescent="0.25">
      <c r="A202" s="538"/>
      <c r="B202" s="143" t="str">
        <f>IF(A202&lt;&gt;"",INDEX('Base de données'!A$4:L$990,MATCH(A202,'Base de données'!A$4:A$990,0),2),"")</f>
        <v/>
      </c>
      <c r="C202" s="143" t="str">
        <f>IF(A202&lt;&gt;"",INDEX('Base de données'!A$4:L$990,MATCH(A202,'Base de données'!A$4:A$990,0),12),"")</f>
        <v/>
      </c>
      <c r="D202" s="143" t="str">
        <f>IF(A202&lt;&gt;"",INDEX('Base de données'!A$4:L$990,MATCH(A202,'Base de données'!A$4:A$990,0),3),"")</f>
        <v/>
      </c>
      <c r="E202" s="538"/>
      <c r="F202" s="538"/>
    </row>
    <row r="203" spans="1:6" x14ac:dyDescent="0.25">
      <c r="A203" s="538"/>
      <c r="B203" s="143" t="str">
        <f>IF(A203&lt;&gt;"",INDEX('Base de données'!A$4:L$990,MATCH(A203,'Base de données'!A$4:A$990,0),2),"")</f>
        <v/>
      </c>
      <c r="C203" s="143" t="str">
        <f>IF(A203&lt;&gt;"",INDEX('Base de données'!A$4:L$990,MATCH(A203,'Base de données'!A$4:A$990,0),12),"")</f>
        <v/>
      </c>
      <c r="D203" s="143" t="str">
        <f>IF(A203&lt;&gt;"",INDEX('Base de données'!A$4:L$990,MATCH(A203,'Base de données'!A$4:A$990,0),3),"")</f>
        <v/>
      </c>
      <c r="E203" s="538"/>
      <c r="F203" s="538"/>
    </row>
    <row r="204" spans="1:6" x14ac:dyDescent="0.25">
      <c r="A204" s="538"/>
      <c r="B204" s="143" t="str">
        <f>IF(A204&lt;&gt;"",INDEX('Base de données'!A$4:L$990,MATCH(A204,'Base de données'!A$4:A$990,0),2),"")</f>
        <v/>
      </c>
      <c r="C204" s="143" t="str">
        <f>IF(A204&lt;&gt;"",INDEX('Base de données'!A$4:L$990,MATCH(A204,'Base de données'!A$4:A$990,0),12),"")</f>
        <v/>
      </c>
      <c r="D204" s="143" t="str">
        <f>IF(A204&lt;&gt;"",INDEX('Base de données'!A$4:L$990,MATCH(A204,'Base de données'!A$4:A$990,0),3),"")</f>
        <v/>
      </c>
      <c r="E204" s="538"/>
      <c r="F204" s="538"/>
    </row>
    <row r="205" spans="1:6" x14ac:dyDescent="0.25">
      <c r="A205" s="538"/>
      <c r="B205" s="143" t="str">
        <f>IF(A205&lt;&gt;"",INDEX('Base de données'!A$4:L$990,MATCH(A205,'Base de données'!A$4:A$990,0),2),"")</f>
        <v/>
      </c>
      <c r="C205" s="143" t="str">
        <f>IF(A205&lt;&gt;"",INDEX('Base de données'!A$4:L$990,MATCH(A205,'Base de données'!A$4:A$990,0),12),"")</f>
        <v/>
      </c>
      <c r="D205" s="143" t="str">
        <f>IF(A205&lt;&gt;"",INDEX('Base de données'!A$4:L$990,MATCH(A205,'Base de données'!A$4:A$990,0),3),"")</f>
        <v/>
      </c>
      <c r="E205" s="538"/>
      <c r="F205" s="538"/>
    </row>
    <row r="206" spans="1:6" x14ac:dyDescent="0.25">
      <c r="A206" s="538"/>
      <c r="B206" s="143" t="str">
        <f>IF(A206&lt;&gt;"",INDEX('Base de données'!A$4:L$990,MATCH(A206,'Base de données'!A$4:A$990,0),2),"")</f>
        <v/>
      </c>
      <c r="C206" s="143" t="str">
        <f>IF(A206&lt;&gt;"",INDEX('Base de données'!A$4:L$990,MATCH(A206,'Base de données'!A$4:A$990,0),12),"")</f>
        <v/>
      </c>
      <c r="D206" s="143" t="str">
        <f>IF(A206&lt;&gt;"",INDEX('Base de données'!A$4:L$990,MATCH(A206,'Base de données'!A$4:A$990,0),3),"")</f>
        <v/>
      </c>
      <c r="E206" s="538"/>
      <c r="F206" s="538"/>
    </row>
    <row r="207" spans="1:6" x14ac:dyDescent="0.25">
      <c r="A207" s="538"/>
      <c r="B207" s="143" t="str">
        <f>IF(A207&lt;&gt;"",INDEX('Base de données'!A$4:L$990,MATCH(A207,'Base de données'!A$4:A$990,0),2),"")</f>
        <v/>
      </c>
      <c r="C207" s="143" t="str">
        <f>IF(A207&lt;&gt;"",INDEX('Base de données'!A$4:L$990,MATCH(A207,'Base de données'!A$4:A$990,0),12),"")</f>
        <v/>
      </c>
      <c r="D207" s="143" t="str">
        <f>IF(A207&lt;&gt;"",INDEX('Base de données'!A$4:L$990,MATCH(A207,'Base de données'!A$4:A$990,0),3),"")</f>
        <v/>
      </c>
      <c r="E207" s="538"/>
      <c r="F207" s="538"/>
    </row>
    <row r="208" spans="1:6" x14ac:dyDescent="0.25">
      <c r="A208" s="538"/>
      <c r="B208" s="143" t="str">
        <f>IF(A208&lt;&gt;"",INDEX('Base de données'!A$4:L$990,MATCH(A208,'Base de données'!A$4:A$990,0),2),"")</f>
        <v/>
      </c>
      <c r="C208" s="143" t="str">
        <f>IF(A208&lt;&gt;"",INDEX('Base de données'!A$4:L$990,MATCH(A208,'Base de données'!A$4:A$990,0),12),"")</f>
        <v/>
      </c>
      <c r="D208" s="143" t="str">
        <f>IF(A208&lt;&gt;"",INDEX('Base de données'!A$4:L$990,MATCH(A208,'Base de données'!A$4:A$990,0),3),"")</f>
        <v/>
      </c>
      <c r="E208" s="538"/>
      <c r="F208" s="538"/>
    </row>
    <row r="209" spans="1:6" x14ac:dyDescent="0.25">
      <c r="A209" s="538"/>
      <c r="B209" s="143" t="str">
        <f>IF(A209&lt;&gt;"",INDEX('Base de données'!A$4:L$990,MATCH(A209,'Base de données'!A$4:A$990,0),2),"")</f>
        <v/>
      </c>
      <c r="C209" s="143" t="str">
        <f>IF(A209&lt;&gt;"",INDEX('Base de données'!A$4:L$990,MATCH(A209,'Base de données'!A$4:A$990,0),12),"")</f>
        <v/>
      </c>
      <c r="D209" s="143" t="str">
        <f>IF(A209&lt;&gt;"",INDEX('Base de données'!A$4:L$990,MATCH(A209,'Base de données'!A$4:A$990,0),3),"")</f>
        <v/>
      </c>
      <c r="E209" s="538"/>
      <c r="F209" s="538"/>
    </row>
    <row r="210" spans="1:6" x14ac:dyDescent="0.25">
      <c r="A210" s="538"/>
      <c r="B210" s="143" t="str">
        <f>IF(A210&lt;&gt;"",INDEX('Base de données'!A$4:L$990,MATCH(A210,'Base de données'!A$4:A$990,0),2),"")</f>
        <v/>
      </c>
      <c r="C210" s="143" t="str">
        <f>IF(A210&lt;&gt;"",INDEX('Base de données'!A$4:L$990,MATCH(A210,'Base de données'!A$4:A$990,0),12),"")</f>
        <v/>
      </c>
      <c r="D210" s="143" t="str">
        <f>IF(A210&lt;&gt;"",INDEX('Base de données'!A$4:L$990,MATCH(A210,'Base de données'!A$4:A$990,0),3),"")</f>
        <v/>
      </c>
      <c r="E210" s="538"/>
      <c r="F210" s="538"/>
    </row>
    <row r="211" spans="1:6" x14ac:dyDescent="0.25">
      <c r="A211" s="538"/>
      <c r="B211" s="143" t="str">
        <f>IF(A211&lt;&gt;"",INDEX('Base de données'!A$4:L$990,MATCH(A211,'Base de données'!A$4:A$990,0),2),"")</f>
        <v/>
      </c>
      <c r="C211" s="143" t="str">
        <f>IF(A211&lt;&gt;"",INDEX('Base de données'!A$4:L$990,MATCH(A211,'Base de données'!A$4:A$990,0),12),"")</f>
        <v/>
      </c>
      <c r="D211" s="143" t="str">
        <f>IF(A211&lt;&gt;"",INDEX('Base de données'!A$4:L$990,MATCH(A211,'Base de données'!A$4:A$990,0),3),"")</f>
        <v/>
      </c>
      <c r="E211" s="538"/>
      <c r="F211" s="538"/>
    </row>
    <row r="212" spans="1:6" x14ac:dyDescent="0.25">
      <c r="A212" s="538"/>
      <c r="B212" s="143" t="str">
        <f>IF(A212&lt;&gt;"",INDEX('Base de données'!A$4:L$990,MATCH(A212,'Base de données'!A$4:A$990,0),2),"")</f>
        <v/>
      </c>
      <c r="C212" s="143" t="str">
        <f>IF(A212&lt;&gt;"",INDEX('Base de données'!A$4:L$990,MATCH(A212,'Base de données'!A$4:A$990,0),12),"")</f>
        <v/>
      </c>
      <c r="D212" s="143" t="str">
        <f>IF(A212&lt;&gt;"",INDEX('Base de données'!A$4:L$990,MATCH(A212,'Base de données'!A$4:A$990,0),3),"")</f>
        <v/>
      </c>
      <c r="E212" s="538"/>
      <c r="F212" s="538"/>
    </row>
    <row r="213" spans="1:6" x14ac:dyDescent="0.25">
      <c r="A213" s="538"/>
      <c r="B213" s="143" t="str">
        <f>IF(A213&lt;&gt;"",INDEX('Base de données'!A$4:L$990,MATCH(A213,'Base de données'!A$4:A$990,0),2),"")</f>
        <v/>
      </c>
      <c r="C213" s="143" t="str">
        <f>IF(A213&lt;&gt;"",INDEX('Base de données'!A$4:L$990,MATCH(A213,'Base de données'!A$4:A$990,0),12),"")</f>
        <v/>
      </c>
      <c r="D213" s="143" t="str">
        <f>IF(A213&lt;&gt;"",INDEX('Base de données'!A$4:L$990,MATCH(A213,'Base de données'!A$4:A$990,0),3),"")</f>
        <v/>
      </c>
      <c r="E213" s="538"/>
      <c r="F213" s="538"/>
    </row>
    <row r="214" spans="1:6" x14ac:dyDescent="0.25">
      <c r="A214" s="538"/>
      <c r="B214" s="143" t="str">
        <f>IF(A214&lt;&gt;"",INDEX('Base de données'!A$4:L$990,MATCH(A214,'Base de données'!A$4:A$990,0),2),"")</f>
        <v/>
      </c>
      <c r="C214" s="143" t="str">
        <f>IF(A214&lt;&gt;"",INDEX('Base de données'!A$4:L$990,MATCH(A214,'Base de données'!A$4:A$990,0),12),"")</f>
        <v/>
      </c>
      <c r="D214" s="143" t="str">
        <f>IF(A214&lt;&gt;"",INDEX('Base de données'!A$4:L$990,MATCH(A214,'Base de données'!A$4:A$990,0),3),"")</f>
        <v/>
      </c>
      <c r="E214" s="538"/>
      <c r="F214" s="538"/>
    </row>
    <row r="215" spans="1:6" x14ac:dyDescent="0.25">
      <c r="A215" s="538"/>
      <c r="B215" s="143" t="str">
        <f>IF(A215&lt;&gt;"",INDEX('Base de données'!A$4:L$990,MATCH(A215,'Base de données'!A$4:A$990,0),2),"")</f>
        <v/>
      </c>
      <c r="C215" s="143" t="str">
        <f>IF(A215&lt;&gt;"",INDEX('Base de données'!A$4:L$990,MATCH(A215,'Base de données'!A$4:A$990,0),12),"")</f>
        <v/>
      </c>
      <c r="D215" s="143" t="str">
        <f>IF(A215&lt;&gt;"",INDEX('Base de données'!A$4:L$990,MATCH(A215,'Base de données'!A$4:A$990,0),3),"")</f>
        <v/>
      </c>
      <c r="E215" s="538"/>
      <c r="F215" s="538"/>
    </row>
    <row r="216" spans="1:6" x14ac:dyDescent="0.25">
      <c r="A216" s="538"/>
      <c r="B216" s="143" t="str">
        <f>IF(A216&lt;&gt;"",INDEX('Base de données'!A$4:L$990,MATCH(A216,'Base de données'!A$4:A$990,0),2),"")</f>
        <v/>
      </c>
      <c r="C216" s="143" t="str">
        <f>IF(A216&lt;&gt;"",INDEX('Base de données'!A$4:L$990,MATCH(A216,'Base de données'!A$4:A$990,0),12),"")</f>
        <v/>
      </c>
      <c r="D216" s="143" t="str">
        <f>IF(A216&lt;&gt;"",INDEX('Base de données'!A$4:L$990,MATCH(A216,'Base de données'!A$4:A$990,0),3),"")</f>
        <v/>
      </c>
      <c r="E216" s="538"/>
      <c r="F216" s="538"/>
    </row>
    <row r="217" spans="1:6" x14ac:dyDescent="0.25">
      <c r="A217" s="538"/>
      <c r="B217" s="143" t="str">
        <f>IF(A217&lt;&gt;"",INDEX('Base de données'!A$4:L$990,MATCH(A217,'Base de données'!A$4:A$990,0),2),"")</f>
        <v/>
      </c>
      <c r="C217" s="143" t="str">
        <f>IF(A217&lt;&gt;"",INDEX('Base de données'!A$4:L$990,MATCH(A217,'Base de données'!A$4:A$990,0),12),"")</f>
        <v/>
      </c>
      <c r="D217" s="143" t="str">
        <f>IF(A217&lt;&gt;"",INDEX('Base de données'!A$4:L$990,MATCH(A217,'Base de données'!A$4:A$990,0),3),"")</f>
        <v/>
      </c>
      <c r="E217" s="538"/>
      <c r="F217" s="538"/>
    </row>
    <row r="218" spans="1:6" x14ac:dyDescent="0.25">
      <c r="A218" s="538"/>
      <c r="B218" s="143" t="str">
        <f>IF(A218&lt;&gt;"",INDEX('Base de données'!A$4:L$990,MATCH(A218,'Base de données'!A$4:A$990,0),2),"")</f>
        <v/>
      </c>
      <c r="C218" s="143" t="str">
        <f>IF(A218&lt;&gt;"",INDEX('Base de données'!A$4:L$990,MATCH(A218,'Base de données'!A$4:A$990,0),12),"")</f>
        <v/>
      </c>
      <c r="D218" s="143" t="str">
        <f>IF(A218&lt;&gt;"",INDEX('Base de données'!A$4:L$990,MATCH(A218,'Base de données'!A$4:A$990,0),3),"")</f>
        <v/>
      </c>
      <c r="E218" s="538"/>
      <c r="F218" s="538"/>
    </row>
    <row r="219" spans="1:6" x14ac:dyDescent="0.25">
      <c r="A219" s="538"/>
      <c r="B219" s="143" t="str">
        <f>IF(A219&lt;&gt;"",INDEX('Base de données'!A$4:L$990,MATCH(A219,'Base de données'!A$4:A$990,0),2),"")</f>
        <v/>
      </c>
      <c r="C219" s="143" t="str">
        <f>IF(A219&lt;&gt;"",INDEX('Base de données'!A$4:L$990,MATCH(A219,'Base de données'!A$4:A$990,0),12),"")</f>
        <v/>
      </c>
      <c r="D219" s="143" t="str">
        <f>IF(A219&lt;&gt;"",INDEX('Base de données'!A$4:L$990,MATCH(A219,'Base de données'!A$4:A$990,0),3),"")</f>
        <v/>
      </c>
      <c r="E219" s="538"/>
      <c r="F219" s="538"/>
    </row>
    <row r="220" spans="1:6" x14ac:dyDescent="0.25">
      <c r="A220" s="538"/>
      <c r="B220" s="143" t="str">
        <f>IF(A220&lt;&gt;"",INDEX('Base de données'!A$4:L$990,MATCH(A220,'Base de données'!A$4:A$990,0),2),"")</f>
        <v/>
      </c>
      <c r="C220" s="143" t="str">
        <f>IF(A220&lt;&gt;"",INDEX('Base de données'!A$4:L$990,MATCH(A220,'Base de données'!A$4:A$990,0),12),"")</f>
        <v/>
      </c>
      <c r="D220" s="143" t="str">
        <f>IF(A220&lt;&gt;"",INDEX('Base de données'!A$4:L$990,MATCH(A220,'Base de données'!A$4:A$990,0),3),"")</f>
        <v/>
      </c>
      <c r="E220" s="538"/>
      <c r="F220" s="538"/>
    </row>
    <row r="221" spans="1:6" x14ac:dyDescent="0.25">
      <c r="A221" s="538"/>
      <c r="B221" s="143" t="str">
        <f>IF(A221&lt;&gt;"",INDEX('Base de données'!A$4:L$990,MATCH(A221,'Base de données'!A$4:A$990,0),2),"")</f>
        <v/>
      </c>
      <c r="C221" s="143" t="str">
        <f>IF(A221&lt;&gt;"",INDEX('Base de données'!A$4:L$990,MATCH(A221,'Base de données'!A$4:A$990,0),12),"")</f>
        <v/>
      </c>
      <c r="D221" s="143" t="str">
        <f>IF(A221&lt;&gt;"",INDEX('Base de données'!A$4:L$990,MATCH(A221,'Base de données'!A$4:A$990,0),3),"")</f>
        <v/>
      </c>
      <c r="E221" s="538"/>
      <c r="F221" s="538"/>
    </row>
    <row r="222" spans="1:6" x14ac:dyDescent="0.25">
      <c r="A222" s="538"/>
      <c r="B222" s="143" t="str">
        <f>IF(A222&lt;&gt;"",INDEX('Base de données'!A$4:L$990,MATCH(A222,'Base de données'!A$4:A$990,0),2),"")</f>
        <v/>
      </c>
      <c r="C222" s="143" t="str">
        <f>IF(A222&lt;&gt;"",INDEX('Base de données'!A$4:L$990,MATCH(A222,'Base de données'!A$4:A$990,0),12),"")</f>
        <v/>
      </c>
      <c r="D222" s="143" t="str">
        <f>IF(A222&lt;&gt;"",INDEX('Base de données'!A$4:L$990,MATCH(A222,'Base de données'!A$4:A$990,0),3),"")</f>
        <v/>
      </c>
      <c r="E222" s="538"/>
      <c r="F222" s="538"/>
    </row>
    <row r="223" spans="1:6" x14ac:dyDescent="0.25">
      <c r="A223" s="538"/>
      <c r="B223" s="143" t="str">
        <f>IF(A223&lt;&gt;"",INDEX('Base de données'!A$4:L$990,MATCH(A223,'Base de données'!A$4:A$990,0),2),"")</f>
        <v/>
      </c>
      <c r="C223" s="143" t="str">
        <f>IF(A223&lt;&gt;"",INDEX('Base de données'!A$4:L$990,MATCH(A223,'Base de données'!A$4:A$990,0),12),"")</f>
        <v/>
      </c>
      <c r="D223" s="143" t="str">
        <f>IF(A223&lt;&gt;"",INDEX('Base de données'!A$4:L$990,MATCH(A223,'Base de données'!A$4:A$990,0),3),"")</f>
        <v/>
      </c>
      <c r="E223" s="538"/>
      <c r="F223" s="538"/>
    </row>
    <row r="224" spans="1:6" x14ac:dyDescent="0.25">
      <c r="A224" s="538"/>
      <c r="B224" s="143" t="str">
        <f>IF(A224&lt;&gt;"",INDEX('Base de données'!A$4:L$990,MATCH(A224,'Base de données'!A$4:A$990,0),2),"")</f>
        <v/>
      </c>
      <c r="C224" s="143" t="str">
        <f>IF(A224&lt;&gt;"",INDEX('Base de données'!A$4:L$990,MATCH(A224,'Base de données'!A$4:A$990,0),12),"")</f>
        <v/>
      </c>
      <c r="D224" s="143" t="str">
        <f>IF(A224&lt;&gt;"",INDEX('Base de données'!A$4:L$990,MATCH(A224,'Base de données'!A$4:A$990,0),3),"")</f>
        <v/>
      </c>
      <c r="E224" s="538"/>
      <c r="F224" s="538"/>
    </row>
    <row r="225" spans="1:6" x14ac:dyDescent="0.25">
      <c r="A225" s="538"/>
      <c r="B225" s="143" t="str">
        <f>IF(A225&lt;&gt;"",INDEX('Base de données'!A$4:L$990,MATCH(A225,'Base de données'!A$4:A$990,0),2),"")</f>
        <v/>
      </c>
      <c r="C225" s="143" t="str">
        <f>IF(A225&lt;&gt;"",INDEX('Base de données'!A$4:L$990,MATCH(A225,'Base de données'!A$4:A$990,0),12),"")</f>
        <v/>
      </c>
      <c r="D225" s="143" t="str">
        <f>IF(A225&lt;&gt;"",INDEX('Base de données'!A$4:L$990,MATCH(A225,'Base de données'!A$4:A$990,0),3),"")</f>
        <v/>
      </c>
      <c r="E225" s="538"/>
      <c r="F225" s="538"/>
    </row>
    <row r="226" spans="1:6" x14ac:dyDescent="0.25">
      <c r="A226" s="538"/>
      <c r="B226" s="143" t="str">
        <f>IF(A226&lt;&gt;"",INDEX('Base de données'!A$4:L$990,MATCH(A226,'Base de données'!A$4:A$990,0),2),"")</f>
        <v/>
      </c>
      <c r="C226" s="143" t="str">
        <f>IF(A226&lt;&gt;"",INDEX('Base de données'!A$4:L$990,MATCH(A226,'Base de données'!A$4:A$990,0),12),"")</f>
        <v/>
      </c>
      <c r="D226" s="143" t="str">
        <f>IF(A226&lt;&gt;"",INDEX('Base de données'!A$4:L$990,MATCH(A226,'Base de données'!A$4:A$990,0),3),"")</f>
        <v/>
      </c>
      <c r="E226" s="538"/>
      <c r="F226" s="538"/>
    </row>
    <row r="227" spans="1:6" x14ac:dyDescent="0.25">
      <c r="A227" s="538"/>
      <c r="B227" s="143" t="str">
        <f>IF(A227&lt;&gt;"",INDEX('Base de données'!A$4:L$990,MATCH(A227,'Base de données'!A$4:A$990,0),2),"")</f>
        <v/>
      </c>
      <c r="C227" s="143" t="str">
        <f>IF(A227&lt;&gt;"",INDEX('Base de données'!A$4:L$990,MATCH(A227,'Base de données'!A$4:A$990,0),12),"")</f>
        <v/>
      </c>
      <c r="D227" s="143" t="str">
        <f>IF(A227&lt;&gt;"",INDEX('Base de données'!A$4:L$990,MATCH(A227,'Base de données'!A$4:A$990,0),3),"")</f>
        <v/>
      </c>
      <c r="E227" s="538"/>
      <c r="F227" s="538"/>
    </row>
    <row r="228" spans="1:6" x14ac:dyDescent="0.25">
      <c r="A228" s="538"/>
      <c r="B228" s="143" t="str">
        <f>IF(A228&lt;&gt;"",INDEX('Base de données'!A$4:L$990,MATCH(A228,'Base de données'!A$4:A$990,0),2),"")</f>
        <v/>
      </c>
      <c r="C228" s="143" t="str">
        <f>IF(A228&lt;&gt;"",INDEX('Base de données'!A$4:L$990,MATCH(A228,'Base de données'!A$4:A$990,0),12),"")</f>
        <v/>
      </c>
      <c r="D228" s="143" t="str">
        <f>IF(A228&lt;&gt;"",INDEX('Base de données'!A$4:L$990,MATCH(A228,'Base de données'!A$4:A$990,0),3),"")</f>
        <v/>
      </c>
      <c r="E228" s="538"/>
      <c r="F228" s="538"/>
    </row>
    <row r="229" spans="1:6" x14ac:dyDescent="0.25">
      <c r="A229" s="538"/>
      <c r="B229" s="143" t="str">
        <f>IF(A229&lt;&gt;"",INDEX('Base de données'!A$4:L$990,MATCH(A229,'Base de données'!A$4:A$990,0),2),"")</f>
        <v/>
      </c>
      <c r="C229" s="143" t="str">
        <f>IF(A229&lt;&gt;"",INDEX('Base de données'!A$4:L$990,MATCH(A229,'Base de données'!A$4:A$990,0),12),"")</f>
        <v/>
      </c>
      <c r="D229" s="143" t="str">
        <f>IF(A229&lt;&gt;"",INDEX('Base de données'!A$4:L$990,MATCH(A229,'Base de données'!A$4:A$990,0),3),"")</f>
        <v/>
      </c>
      <c r="E229" s="538"/>
      <c r="F229" s="538"/>
    </row>
    <row r="230" spans="1:6" x14ac:dyDescent="0.25">
      <c r="A230" s="538"/>
      <c r="B230" s="143" t="str">
        <f>IF(A230&lt;&gt;"",INDEX('Base de données'!A$4:L$990,MATCH(A230,'Base de données'!A$4:A$990,0),2),"")</f>
        <v/>
      </c>
      <c r="C230" s="143" t="str">
        <f>IF(A230&lt;&gt;"",INDEX('Base de données'!A$4:L$990,MATCH(A230,'Base de données'!A$4:A$990,0),12),"")</f>
        <v/>
      </c>
      <c r="D230" s="143" t="str">
        <f>IF(A230&lt;&gt;"",INDEX('Base de données'!A$4:L$990,MATCH(A230,'Base de données'!A$4:A$990,0),3),"")</f>
        <v/>
      </c>
      <c r="E230" s="538"/>
      <c r="F230" s="538"/>
    </row>
    <row r="231" spans="1:6" x14ac:dyDescent="0.25">
      <c r="A231" s="538"/>
      <c r="B231" s="143" t="str">
        <f>IF(A231&lt;&gt;"",INDEX('Base de données'!A$4:L$990,MATCH(A231,'Base de données'!A$4:A$990,0),2),"")</f>
        <v/>
      </c>
      <c r="C231" s="143" t="str">
        <f>IF(A231&lt;&gt;"",INDEX('Base de données'!A$4:L$990,MATCH(A231,'Base de données'!A$4:A$990,0),12),"")</f>
        <v/>
      </c>
      <c r="D231" s="143" t="str">
        <f>IF(A231&lt;&gt;"",INDEX('Base de données'!A$4:L$990,MATCH(A231,'Base de données'!A$4:A$990,0),3),"")</f>
        <v/>
      </c>
      <c r="E231" s="538"/>
      <c r="F231" s="538"/>
    </row>
    <row r="232" spans="1:6" x14ac:dyDescent="0.25">
      <c r="A232" s="538"/>
      <c r="B232" s="143" t="str">
        <f>IF(A232&lt;&gt;"",INDEX('Base de données'!A$4:L$990,MATCH(A232,'Base de données'!A$4:A$990,0),2),"")</f>
        <v/>
      </c>
      <c r="C232" s="143" t="str">
        <f>IF(A232&lt;&gt;"",INDEX('Base de données'!A$4:L$990,MATCH(A232,'Base de données'!A$4:A$990,0),12),"")</f>
        <v/>
      </c>
      <c r="D232" s="143" t="str">
        <f>IF(A232&lt;&gt;"",INDEX('Base de données'!A$4:L$990,MATCH(A232,'Base de données'!A$4:A$990,0),3),"")</f>
        <v/>
      </c>
      <c r="E232" s="538"/>
      <c r="F232" s="538"/>
    </row>
    <row r="233" spans="1:6" x14ac:dyDescent="0.25">
      <c r="A233" s="538"/>
      <c r="B233" s="143" t="str">
        <f>IF(A233&lt;&gt;"",INDEX('Base de données'!A$4:L$990,MATCH(A233,'Base de données'!A$4:A$990,0),2),"")</f>
        <v/>
      </c>
      <c r="C233" s="143" t="str">
        <f>IF(A233&lt;&gt;"",INDEX('Base de données'!A$4:L$990,MATCH(A233,'Base de données'!A$4:A$990,0),12),"")</f>
        <v/>
      </c>
      <c r="D233" s="143" t="str">
        <f>IF(A233&lt;&gt;"",INDEX('Base de données'!A$4:L$990,MATCH(A233,'Base de données'!A$4:A$990,0),3),"")</f>
        <v/>
      </c>
      <c r="E233" s="538"/>
      <c r="F233" s="538"/>
    </row>
    <row r="234" spans="1:6" x14ac:dyDescent="0.25">
      <c r="A234" s="538"/>
      <c r="B234" s="143" t="str">
        <f>IF(A234&lt;&gt;"",INDEX('Base de données'!A$4:L$990,MATCH(A234,'Base de données'!A$4:A$990,0),2),"")</f>
        <v/>
      </c>
      <c r="C234" s="143" t="str">
        <f>IF(A234&lt;&gt;"",INDEX('Base de données'!A$4:L$990,MATCH(A234,'Base de données'!A$4:A$990,0),12),"")</f>
        <v/>
      </c>
      <c r="D234" s="143" t="str">
        <f>IF(A234&lt;&gt;"",INDEX('Base de données'!A$4:L$990,MATCH(A234,'Base de données'!A$4:A$990,0),3),"")</f>
        <v/>
      </c>
      <c r="E234" s="538"/>
      <c r="F234" s="538"/>
    </row>
    <row r="235" spans="1:6" x14ac:dyDescent="0.25">
      <c r="A235" s="538"/>
      <c r="B235" s="143" t="str">
        <f>IF(A235&lt;&gt;"",INDEX('Base de données'!A$4:L$990,MATCH(A235,'Base de données'!A$4:A$990,0),2),"")</f>
        <v/>
      </c>
      <c r="C235" s="143" t="str">
        <f>IF(A235&lt;&gt;"",INDEX('Base de données'!A$4:L$990,MATCH(A235,'Base de données'!A$4:A$990,0),12),"")</f>
        <v/>
      </c>
      <c r="D235" s="143" t="str">
        <f>IF(A235&lt;&gt;"",INDEX('Base de données'!A$4:L$990,MATCH(A235,'Base de données'!A$4:A$990,0),3),"")</f>
        <v/>
      </c>
      <c r="E235" s="538"/>
      <c r="F235" s="538"/>
    </row>
    <row r="236" spans="1:6" x14ac:dyDescent="0.25">
      <c r="A236" s="538"/>
      <c r="B236" s="143" t="str">
        <f>IF(A236&lt;&gt;"",INDEX('Base de données'!A$4:L$990,MATCH(A236,'Base de données'!A$4:A$990,0),2),"")</f>
        <v/>
      </c>
      <c r="C236" s="143" t="str">
        <f>IF(A236&lt;&gt;"",INDEX('Base de données'!A$4:L$990,MATCH(A236,'Base de données'!A$4:A$990,0),12),"")</f>
        <v/>
      </c>
      <c r="D236" s="143" t="str">
        <f>IF(A236&lt;&gt;"",INDEX('Base de données'!A$4:L$990,MATCH(A236,'Base de données'!A$4:A$990,0),3),"")</f>
        <v/>
      </c>
      <c r="E236" s="538"/>
      <c r="F236" s="538"/>
    </row>
    <row r="237" spans="1:6" x14ac:dyDescent="0.25">
      <c r="A237" s="538"/>
      <c r="B237" s="143" t="str">
        <f>IF(A237&lt;&gt;"",INDEX('Base de données'!A$4:L$990,MATCH(A237,'Base de données'!A$4:A$990,0),2),"")</f>
        <v/>
      </c>
      <c r="C237" s="143" t="str">
        <f>IF(A237&lt;&gt;"",INDEX('Base de données'!A$4:L$990,MATCH(A237,'Base de données'!A$4:A$990,0),12),"")</f>
        <v/>
      </c>
      <c r="D237" s="143" t="str">
        <f>IF(A237&lt;&gt;"",INDEX('Base de données'!A$4:L$990,MATCH(A237,'Base de données'!A$4:A$990,0),3),"")</f>
        <v/>
      </c>
      <c r="E237" s="538"/>
      <c r="F237" s="538"/>
    </row>
    <row r="238" spans="1:6" x14ac:dyDescent="0.25">
      <c r="A238" s="538"/>
      <c r="B238" s="143" t="str">
        <f>IF(A238&lt;&gt;"",INDEX('Base de données'!A$4:L$990,MATCH(A238,'Base de données'!A$4:A$990,0),2),"")</f>
        <v/>
      </c>
      <c r="C238" s="143" t="str">
        <f>IF(A238&lt;&gt;"",INDEX('Base de données'!A$4:L$990,MATCH(A238,'Base de données'!A$4:A$990,0),12),"")</f>
        <v/>
      </c>
      <c r="D238" s="143" t="str">
        <f>IF(A238&lt;&gt;"",INDEX('Base de données'!A$4:L$990,MATCH(A238,'Base de données'!A$4:A$990,0),3),"")</f>
        <v/>
      </c>
      <c r="E238" s="538"/>
      <c r="F238" s="538"/>
    </row>
    <row r="239" spans="1:6" x14ac:dyDescent="0.25">
      <c r="A239" s="538"/>
      <c r="B239" s="143" t="str">
        <f>IF(A239&lt;&gt;"",INDEX('Base de données'!A$4:L$990,MATCH(A239,'Base de données'!A$4:A$990,0),2),"")</f>
        <v/>
      </c>
      <c r="C239" s="143" t="str">
        <f>IF(A239&lt;&gt;"",INDEX('Base de données'!A$4:L$990,MATCH(A239,'Base de données'!A$4:A$990,0),12),"")</f>
        <v/>
      </c>
      <c r="D239" s="143" t="str">
        <f>IF(A239&lt;&gt;"",INDEX('Base de données'!A$4:L$990,MATCH(A239,'Base de données'!A$4:A$990,0),3),"")</f>
        <v/>
      </c>
      <c r="E239" s="538"/>
      <c r="F239" s="538"/>
    </row>
    <row r="240" spans="1:6" x14ac:dyDescent="0.25">
      <c r="A240" s="538"/>
      <c r="B240" s="143" t="str">
        <f>IF(A240&lt;&gt;"",INDEX('Base de données'!A$4:L$990,MATCH(A240,'Base de données'!A$4:A$990,0),2),"")</f>
        <v/>
      </c>
      <c r="C240" s="143" t="str">
        <f>IF(A240&lt;&gt;"",INDEX('Base de données'!A$4:L$990,MATCH(A240,'Base de données'!A$4:A$990,0),12),"")</f>
        <v/>
      </c>
      <c r="D240" s="143" t="str">
        <f>IF(A240&lt;&gt;"",INDEX('Base de données'!A$4:L$990,MATCH(A240,'Base de données'!A$4:A$990,0),3),"")</f>
        <v/>
      </c>
      <c r="E240" s="538"/>
      <c r="F240" s="538"/>
    </row>
    <row r="241" spans="1:6" x14ac:dyDescent="0.25">
      <c r="A241" s="538"/>
      <c r="B241" s="143" t="str">
        <f>IF(A241&lt;&gt;"",INDEX('Base de données'!A$4:L$990,MATCH(A241,'Base de données'!A$4:A$990,0),2),"")</f>
        <v/>
      </c>
      <c r="C241" s="143" t="str">
        <f>IF(A241&lt;&gt;"",INDEX('Base de données'!A$4:L$990,MATCH(A241,'Base de données'!A$4:A$990,0),12),"")</f>
        <v/>
      </c>
      <c r="D241" s="143" t="str">
        <f>IF(A241&lt;&gt;"",INDEX('Base de données'!A$4:L$990,MATCH(A241,'Base de données'!A$4:A$990,0),3),"")</f>
        <v/>
      </c>
      <c r="E241" s="538"/>
      <c r="F241" s="538"/>
    </row>
    <row r="242" spans="1:6" x14ac:dyDescent="0.25">
      <c r="A242" s="538"/>
      <c r="B242" s="143" t="str">
        <f>IF(A242&lt;&gt;"",INDEX('Base de données'!A$4:L$990,MATCH(A242,'Base de données'!A$4:A$990,0),2),"")</f>
        <v/>
      </c>
      <c r="C242" s="143" t="str">
        <f>IF(A242&lt;&gt;"",INDEX('Base de données'!A$4:L$990,MATCH(A242,'Base de données'!A$4:A$990,0),12),"")</f>
        <v/>
      </c>
      <c r="D242" s="143" t="str">
        <f>IF(A242&lt;&gt;"",INDEX('Base de données'!A$4:L$990,MATCH(A242,'Base de données'!A$4:A$990,0),3),"")</f>
        <v/>
      </c>
      <c r="E242" s="538"/>
      <c r="F242" s="538"/>
    </row>
    <row r="243" spans="1:6" x14ac:dyDescent="0.25">
      <c r="A243" s="538"/>
      <c r="B243" s="143" t="str">
        <f>IF(A243&lt;&gt;"",INDEX('Base de données'!A$4:L$990,MATCH(A243,'Base de données'!A$4:A$990,0),2),"")</f>
        <v/>
      </c>
      <c r="C243" s="143" t="str">
        <f>IF(A243&lt;&gt;"",INDEX('Base de données'!A$4:L$990,MATCH(A243,'Base de données'!A$4:A$990,0),12),"")</f>
        <v/>
      </c>
      <c r="D243" s="143" t="str">
        <f>IF(A243&lt;&gt;"",INDEX('Base de données'!A$4:L$990,MATCH(A243,'Base de données'!A$4:A$990,0),3),"")</f>
        <v/>
      </c>
      <c r="E243" s="538"/>
      <c r="F243" s="538"/>
    </row>
    <row r="244" spans="1:6" x14ac:dyDescent="0.25">
      <c r="A244" s="538"/>
      <c r="B244" s="143" t="str">
        <f>IF(A244&lt;&gt;"",INDEX('Base de données'!A$4:L$990,MATCH(A244,'Base de données'!A$4:A$990,0),2),"")</f>
        <v/>
      </c>
      <c r="C244" s="143" t="str">
        <f>IF(A244&lt;&gt;"",INDEX('Base de données'!A$4:L$990,MATCH(A244,'Base de données'!A$4:A$990,0),12),"")</f>
        <v/>
      </c>
      <c r="D244" s="143" t="str">
        <f>IF(A244&lt;&gt;"",INDEX('Base de données'!A$4:L$990,MATCH(A244,'Base de données'!A$4:A$990,0),3),"")</f>
        <v/>
      </c>
      <c r="E244" s="538"/>
      <c r="F244" s="538"/>
    </row>
    <row r="245" spans="1:6" x14ac:dyDescent="0.25">
      <c r="A245" s="538"/>
      <c r="B245" s="143" t="str">
        <f>IF(A245&lt;&gt;"",INDEX('Base de données'!A$4:L$990,MATCH(A245,'Base de données'!A$4:A$990,0),2),"")</f>
        <v/>
      </c>
      <c r="C245" s="143" t="str">
        <f>IF(A245&lt;&gt;"",INDEX('Base de données'!A$4:L$990,MATCH(A245,'Base de données'!A$4:A$990,0),12),"")</f>
        <v/>
      </c>
      <c r="D245" s="143" t="str">
        <f>IF(A245&lt;&gt;"",INDEX('Base de données'!A$4:L$990,MATCH(A245,'Base de données'!A$4:A$990,0),3),"")</f>
        <v/>
      </c>
      <c r="E245" s="538"/>
      <c r="F245" s="538"/>
    </row>
    <row r="246" spans="1:6" x14ac:dyDescent="0.25">
      <c r="A246" s="538"/>
      <c r="B246" s="143" t="str">
        <f>IF(A246&lt;&gt;"",INDEX('Base de données'!A$4:L$990,MATCH(A246,'Base de données'!A$4:A$990,0),2),"")</f>
        <v/>
      </c>
      <c r="C246" s="143" t="str">
        <f>IF(A246&lt;&gt;"",INDEX('Base de données'!A$4:L$990,MATCH(A246,'Base de données'!A$4:A$990,0),12),"")</f>
        <v/>
      </c>
      <c r="D246" s="143" t="str">
        <f>IF(A246&lt;&gt;"",INDEX('Base de données'!A$4:L$990,MATCH(A246,'Base de données'!A$4:A$990,0),3),"")</f>
        <v/>
      </c>
      <c r="E246" s="538"/>
      <c r="F246" s="538"/>
    </row>
    <row r="247" spans="1:6" x14ac:dyDescent="0.25">
      <c r="A247" s="538"/>
      <c r="B247" s="143" t="str">
        <f>IF(A247&lt;&gt;"",INDEX('Base de données'!A$4:L$990,MATCH(A247,'Base de données'!A$4:A$990,0),2),"")</f>
        <v/>
      </c>
      <c r="C247" s="143" t="str">
        <f>IF(A247&lt;&gt;"",INDEX('Base de données'!A$4:L$990,MATCH(A247,'Base de données'!A$4:A$990,0),12),"")</f>
        <v/>
      </c>
      <c r="D247" s="143" t="str">
        <f>IF(A247&lt;&gt;"",INDEX('Base de données'!A$4:L$990,MATCH(A247,'Base de données'!A$4:A$990,0),3),"")</f>
        <v/>
      </c>
      <c r="E247" s="538"/>
      <c r="F247" s="538"/>
    </row>
    <row r="248" spans="1:6" x14ac:dyDescent="0.25">
      <c r="A248" s="538"/>
      <c r="B248" s="143" t="str">
        <f>IF(A248&lt;&gt;"",INDEX('Base de données'!A$4:L$990,MATCH(A248,'Base de données'!A$4:A$990,0),2),"")</f>
        <v/>
      </c>
      <c r="C248" s="143" t="str">
        <f>IF(A248&lt;&gt;"",INDEX('Base de données'!A$4:L$990,MATCH(A248,'Base de données'!A$4:A$990,0),12),"")</f>
        <v/>
      </c>
      <c r="D248" s="143" t="str">
        <f>IF(A248&lt;&gt;"",INDEX('Base de données'!A$4:L$990,MATCH(A248,'Base de données'!A$4:A$990,0),3),"")</f>
        <v/>
      </c>
      <c r="E248" s="538"/>
      <c r="F248" s="538"/>
    </row>
    <row r="249" spans="1:6" x14ac:dyDescent="0.25">
      <c r="A249" s="538"/>
      <c r="B249" s="143" t="str">
        <f>IF(A249&lt;&gt;"",INDEX('Base de données'!A$4:L$990,MATCH(A249,'Base de données'!A$4:A$990,0),2),"")</f>
        <v/>
      </c>
      <c r="C249" s="143" t="str">
        <f>IF(A249&lt;&gt;"",INDEX('Base de données'!A$4:L$990,MATCH(A249,'Base de données'!A$4:A$990,0),12),"")</f>
        <v/>
      </c>
      <c r="D249" s="143" t="str">
        <f>IF(A249&lt;&gt;"",INDEX('Base de données'!A$4:L$990,MATCH(A249,'Base de données'!A$4:A$990,0),3),"")</f>
        <v/>
      </c>
      <c r="E249" s="538"/>
      <c r="F249" s="538"/>
    </row>
    <row r="250" spans="1:6" x14ac:dyDescent="0.25">
      <c r="A250" s="538"/>
      <c r="B250" s="143" t="str">
        <f>IF(A250&lt;&gt;"",INDEX('Base de données'!A$4:L$990,MATCH(A250,'Base de données'!A$4:A$990,0),2),"")</f>
        <v/>
      </c>
      <c r="C250" s="143" t="str">
        <f>IF(A250&lt;&gt;"",INDEX('Base de données'!A$4:L$990,MATCH(A250,'Base de données'!A$4:A$990,0),12),"")</f>
        <v/>
      </c>
      <c r="D250" s="143" t="str">
        <f>IF(A250&lt;&gt;"",INDEX('Base de données'!A$4:L$990,MATCH(A250,'Base de données'!A$4:A$990,0),3),"")</f>
        <v/>
      </c>
      <c r="E250" s="538"/>
      <c r="F250" s="538"/>
    </row>
    <row r="251" spans="1:6" x14ac:dyDescent="0.25">
      <c r="A251" s="538"/>
      <c r="B251" s="143" t="str">
        <f>IF(A251&lt;&gt;"",INDEX('Base de données'!A$4:L$990,MATCH(A251,'Base de données'!A$4:A$990,0),2),"")</f>
        <v/>
      </c>
      <c r="C251" s="143" t="str">
        <f>IF(A251&lt;&gt;"",INDEX('Base de données'!A$4:L$990,MATCH(A251,'Base de données'!A$4:A$990,0),12),"")</f>
        <v/>
      </c>
      <c r="D251" s="143" t="str">
        <f>IF(A251&lt;&gt;"",INDEX('Base de données'!A$4:L$990,MATCH(A251,'Base de données'!A$4:A$990,0),3),"")</f>
        <v/>
      </c>
      <c r="E251" s="538"/>
      <c r="F251" s="538"/>
    </row>
    <row r="252" spans="1:6" x14ac:dyDescent="0.25">
      <c r="A252" s="538"/>
      <c r="B252" s="143" t="str">
        <f>IF(A252&lt;&gt;"",INDEX('Base de données'!A$4:L$990,MATCH(A252,'Base de données'!A$4:A$990,0),2),"")</f>
        <v/>
      </c>
      <c r="C252" s="143" t="str">
        <f>IF(A252&lt;&gt;"",INDEX('Base de données'!A$4:L$990,MATCH(A252,'Base de données'!A$4:A$990,0),12),"")</f>
        <v/>
      </c>
      <c r="D252" s="143" t="str">
        <f>IF(A252&lt;&gt;"",INDEX('Base de données'!A$4:L$990,MATCH(A252,'Base de données'!A$4:A$990,0),3),"")</f>
        <v/>
      </c>
      <c r="E252" s="538"/>
      <c r="F252" s="538"/>
    </row>
    <row r="253" spans="1:6" x14ac:dyDescent="0.25">
      <c r="A253" s="538"/>
      <c r="B253" s="143" t="str">
        <f>IF(A253&lt;&gt;"",INDEX('Base de données'!A$4:L$990,MATCH(A253,'Base de données'!A$4:A$990,0),2),"")</f>
        <v/>
      </c>
      <c r="C253" s="143" t="str">
        <f>IF(A253&lt;&gt;"",INDEX('Base de données'!A$4:L$990,MATCH(A253,'Base de données'!A$4:A$990,0),12),"")</f>
        <v/>
      </c>
      <c r="D253" s="143" t="str">
        <f>IF(A253&lt;&gt;"",INDEX('Base de données'!A$4:L$990,MATCH(A253,'Base de données'!A$4:A$990,0),3),"")</f>
        <v/>
      </c>
      <c r="E253" s="538"/>
      <c r="F253" s="538"/>
    </row>
    <row r="254" spans="1:6" x14ac:dyDescent="0.25">
      <c r="A254" s="538"/>
      <c r="B254" s="143" t="str">
        <f>IF(A254&lt;&gt;"",INDEX('Base de données'!A$4:L$990,MATCH(A254,'Base de données'!A$4:A$990,0),2),"")</f>
        <v/>
      </c>
      <c r="C254" s="143" t="str">
        <f>IF(A254&lt;&gt;"",INDEX('Base de données'!A$4:L$990,MATCH(A254,'Base de données'!A$4:A$990,0),12),"")</f>
        <v/>
      </c>
      <c r="D254" s="143" t="str">
        <f>IF(A254&lt;&gt;"",INDEX('Base de données'!A$4:L$990,MATCH(A254,'Base de données'!A$4:A$990,0),3),"")</f>
        <v/>
      </c>
      <c r="E254" s="538"/>
      <c r="F254" s="538"/>
    </row>
    <row r="255" spans="1:6" x14ac:dyDescent="0.25">
      <c r="A255" s="538"/>
      <c r="B255" s="143" t="str">
        <f>IF(A255&lt;&gt;"",INDEX('Base de données'!A$4:L$990,MATCH(A255,'Base de données'!A$4:A$990,0),2),"")</f>
        <v/>
      </c>
      <c r="C255" s="143" t="str">
        <f>IF(A255&lt;&gt;"",INDEX('Base de données'!A$4:L$990,MATCH(A255,'Base de données'!A$4:A$990,0),12),"")</f>
        <v/>
      </c>
      <c r="D255" s="143" t="str">
        <f>IF(A255&lt;&gt;"",INDEX('Base de données'!A$4:L$990,MATCH(A255,'Base de données'!A$4:A$990,0),3),"")</f>
        <v/>
      </c>
      <c r="E255" s="538"/>
      <c r="F255" s="538"/>
    </row>
    <row r="256" spans="1:6" x14ac:dyDescent="0.25">
      <c r="A256" s="538"/>
      <c r="B256" s="143" t="str">
        <f>IF(A256&lt;&gt;"",INDEX('Base de données'!A$4:L$990,MATCH(A256,'Base de données'!A$4:A$990,0),2),"")</f>
        <v/>
      </c>
      <c r="C256" s="143" t="str">
        <f>IF(A256&lt;&gt;"",INDEX('Base de données'!A$4:L$990,MATCH(A256,'Base de données'!A$4:A$990,0),12),"")</f>
        <v/>
      </c>
      <c r="D256" s="143" t="str">
        <f>IF(A256&lt;&gt;"",INDEX('Base de données'!A$4:L$990,MATCH(A256,'Base de données'!A$4:A$990,0),3),"")</f>
        <v/>
      </c>
      <c r="E256" s="538"/>
      <c r="F256" s="538"/>
    </row>
    <row r="257" spans="1:6" x14ac:dyDescent="0.25">
      <c r="A257" s="538"/>
      <c r="B257" s="143" t="str">
        <f>IF(A257&lt;&gt;"",INDEX('Base de données'!A$4:L$990,MATCH(A257,'Base de données'!A$4:A$990,0),2),"")</f>
        <v/>
      </c>
      <c r="C257" s="143" t="str">
        <f>IF(A257&lt;&gt;"",INDEX('Base de données'!A$4:L$990,MATCH(A257,'Base de données'!A$4:A$990,0),12),"")</f>
        <v/>
      </c>
      <c r="D257" s="143" t="str">
        <f>IF(A257&lt;&gt;"",INDEX('Base de données'!A$4:L$990,MATCH(A257,'Base de données'!A$4:A$990,0),3),"")</f>
        <v/>
      </c>
      <c r="E257" s="538"/>
      <c r="F257" s="538"/>
    </row>
    <row r="258" spans="1:6" x14ac:dyDescent="0.25">
      <c r="A258" s="538"/>
      <c r="B258" s="143" t="str">
        <f>IF(A258&lt;&gt;"",INDEX('Base de données'!A$4:L$990,MATCH(A258,'Base de données'!A$4:A$990,0),2),"")</f>
        <v/>
      </c>
      <c r="C258" s="143" t="str">
        <f>IF(A258&lt;&gt;"",INDEX('Base de données'!A$4:L$990,MATCH(A258,'Base de données'!A$4:A$990,0),12),"")</f>
        <v/>
      </c>
      <c r="D258" s="143" t="str">
        <f>IF(A258&lt;&gt;"",INDEX('Base de données'!A$4:L$990,MATCH(A258,'Base de données'!A$4:A$990,0),3),"")</f>
        <v/>
      </c>
      <c r="E258" s="538"/>
      <c r="F258" s="538"/>
    </row>
    <row r="259" spans="1:6" x14ac:dyDescent="0.25">
      <c r="A259" s="538"/>
      <c r="B259" s="143" t="str">
        <f>IF(A259&lt;&gt;"",INDEX('Base de données'!A$4:L$990,MATCH(A259,'Base de données'!A$4:A$990,0),2),"")</f>
        <v/>
      </c>
      <c r="C259" s="143" t="str">
        <f>IF(A259&lt;&gt;"",INDEX('Base de données'!A$4:L$990,MATCH(A259,'Base de données'!A$4:A$990,0),12),"")</f>
        <v/>
      </c>
      <c r="D259" s="143" t="str">
        <f>IF(A259&lt;&gt;"",INDEX('Base de données'!A$4:L$990,MATCH(A259,'Base de données'!A$4:A$990,0),3),"")</f>
        <v/>
      </c>
      <c r="E259" s="538"/>
      <c r="F259" s="538"/>
    </row>
    <row r="260" spans="1:6" x14ac:dyDescent="0.25">
      <c r="A260" s="538"/>
      <c r="B260" s="143" t="str">
        <f>IF(A260&lt;&gt;"",INDEX('Base de données'!A$4:L$990,MATCH(A260,'Base de données'!A$4:A$990,0),2),"")</f>
        <v/>
      </c>
      <c r="C260" s="143" t="str">
        <f>IF(A260&lt;&gt;"",INDEX('Base de données'!A$4:L$990,MATCH(A260,'Base de données'!A$4:A$990,0),12),"")</f>
        <v/>
      </c>
      <c r="D260" s="143" t="str">
        <f>IF(A260&lt;&gt;"",INDEX('Base de données'!A$4:L$990,MATCH(A260,'Base de données'!A$4:A$990,0),3),"")</f>
        <v/>
      </c>
      <c r="E260" s="538"/>
      <c r="F260" s="538"/>
    </row>
    <row r="261" spans="1:6" x14ac:dyDescent="0.25">
      <c r="A261" s="538"/>
      <c r="B261" s="143" t="str">
        <f>IF(A261&lt;&gt;"",INDEX('Base de données'!A$4:L$990,MATCH(A261,'Base de données'!A$4:A$990,0),2),"")</f>
        <v/>
      </c>
      <c r="C261" s="143" t="str">
        <f>IF(A261&lt;&gt;"",INDEX('Base de données'!A$4:L$990,MATCH(A261,'Base de données'!A$4:A$990,0),12),"")</f>
        <v/>
      </c>
      <c r="D261" s="143" t="str">
        <f>IF(A261&lt;&gt;"",INDEX('Base de données'!A$4:L$990,MATCH(A261,'Base de données'!A$4:A$990,0),3),"")</f>
        <v/>
      </c>
      <c r="E261" s="538"/>
      <c r="F261" s="538"/>
    </row>
    <row r="262" spans="1:6" x14ac:dyDescent="0.25">
      <c r="A262" s="538"/>
      <c r="B262" s="143" t="str">
        <f>IF(A262&lt;&gt;"",INDEX('Base de données'!A$4:L$990,MATCH(A262,'Base de données'!A$4:A$990,0),2),"")</f>
        <v/>
      </c>
      <c r="C262" s="143" t="str">
        <f>IF(A262&lt;&gt;"",INDEX('Base de données'!A$4:L$990,MATCH(A262,'Base de données'!A$4:A$990,0),12),"")</f>
        <v/>
      </c>
      <c r="D262" s="143" t="str">
        <f>IF(A262&lt;&gt;"",INDEX('Base de données'!A$4:L$990,MATCH(A262,'Base de données'!A$4:A$990,0),3),"")</f>
        <v/>
      </c>
      <c r="E262" s="538"/>
      <c r="F262" s="538"/>
    </row>
    <row r="263" spans="1:6" x14ac:dyDescent="0.25">
      <c r="A263" s="538"/>
      <c r="B263" s="143" t="str">
        <f>IF(A263&lt;&gt;"",INDEX('Base de données'!A$4:L$990,MATCH(A263,'Base de données'!A$4:A$990,0),2),"")</f>
        <v/>
      </c>
      <c r="C263" s="143" t="str">
        <f>IF(A263&lt;&gt;"",INDEX('Base de données'!A$4:L$990,MATCH(A263,'Base de données'!A$4:A$990,0),12),"")</f>
        <v/>
      </c>
      <c r="D263" s="143" t="str">
        <f>IF(A263&lt;&gt;"",INDEX('Base de données'!A$4:L$990,MATCH(A263,'Base de données'!A$4:A$990,0),3),"")</f>
        <v/>
      </c>
      <c r="E263" s="538"/>
      <c r="F263" s="538"/>
    </row>
    <row r="264" spans="1:6" x14ac:dyDescent="0.25">
      <c r="A264" s="538"/>
      <c r="B264" s="143" t="str">
        <f>IF(A264&lt;&gt;"",INDEX('Base de données'!A$4:L$990,MATCH(A264,'Base de données'!A$4:A$990,0),2),"")</f>
        <v/>
      </c>
      <c r="C264" s="143" t="str">
        <f>IF(A264&lt;&gt;"",INDEX('Base de données'!A$4:L$990,MATCH(A264,'Base de données'!A$4:A$990,0),12),"")</f>
        <v/>
      </c>
      <c r="D264" s="143" t="str">
        <f>IF(A264&lt;&gt;"",INDEX('Base de données'!A$4:L$990,MATCH(A264,'Base de données'!A$4:A$990,0),3),"")</f>
        <v/>
      </c>
      <c r="E264" s="538"/>
      <c r="F264" s="538"/>
    </row>
    <row r="265" spans="1:6" x14ac:dyDescent="0.25">
      <c r="A265" s="538"/>
      <c r="B265" s="143" t="str">
        <f>IF(A265&lt;&gt;"",INDEX('Base de données'!A$4:L$990,MATCH(A265,'Base de données'!A$4:A$990,0),2),"")</f>
        <v/>
      </c>
      <c r="C265" s="143" t="str">
        <f>IF(A265&lt;&gt;"",INDEX('Base de données'!A$4:L$990,MATCH(A265,'Base de données'!A$4:A$990,0),12),"")</f>
        <v/>
      </c>
      <c r="D265" s="143" t="str">
        <f>IF(A265&lt;&gt;"",INDEX('Base de données'!A$4:L$990,MATCH(A265,'Base de données'!A$4:A$990,0),3),"")</f>
        <v/>
      </c>
      <c r="E265" s="538"/>
      <c r="F265" s="538"/>
    </row>
    <row r="266" spans="1:6" x14ac:dyDescent="0.25">
      <c r="A266" s="538"/>
      <c r="B266" s="143" t="str">
        <f>IF(A266&lt;&gt;"",INDEX('Base de données'!A$4:L$990,MATCH(A266,'Base de données'!A$4:A$990,0),2),"")</f>
        <v/>
      </c>
      <c r="C266" s="143" t="str">
        <f>IF(A266&lt;&gt;"",INDEX('Base de données'!A$4:L$990,MATCH(A266,'Base de données'!A$4:A$990,0),12),"")</f>
        <v/>
      </c>
      <c r="D266" s="143" t="str">
        <f>IF(A266&lt;&gt;"",INDEX('Base de données'!A$4:L$990,MATCH(A266,'Base de données'!A$4:A$990,0),3),"")</f>
        <v/>
      </c>
      <c r="E266" s="538"/>
      <c r="F266" s="538"/>
    </row>
    <row r="267" spans="1:6" x14ac:dyDescent="0.25">
      <c r="A267" s="538"/>
      <c r="B267" s="143" t="str">
        <f>IF(A267&lt;&gt;"",INDEX('Base de données'!A$4:L$990,MATCH(A267,'Base de données'!A$4:A$990,0),2),"")</f>
        <v/>
      </c>
      <c r="C267" s="143" t="str">
        <f>IF(A267&lt;&gt;"",INDEX('Base de données'!A$4:L$990,MATCH(A267,'Base de données'!A$4:A$990,0),12),"")</f>
        <v/>
      </c>
      <c r="D267" s="143" t="str">
        <f>IF(A267&lt;&gt;"",INDEX('Base de données'!A$4:L$990,MATCH(A267,'Base de données'!A$4:A$990,0),3),"")</f>
        <v/>
      </c>
      <c r="E267" s="538"/>
      <c r="F267" s="538"/>
    </row>
    <row r="268" spans="1:6" x14ac:dyDescent="0.25">
      <c r="A268" s="538"/>
      <c r="B268" s="143" t="str">
        <f>IF(A268&lt;&gt;"",INDEX('Base de données'!A$4:L$990,MATCH(A268,'Base de données'!A$4:A$990,0),2),"")</f>
        <v/>
      </c>
      <c r="C268" s="143" t="str">
        <f>IF(A268&lt;&gt;"",INDEX('Base de données'!A$4:L$990,MATCH(A268,'Base de données'!A$4:A$990,0),12),"")</f>
        <v/>
      </c>
      <c r="D268" s="143" t="str">
        <f>IF(A268&lt;&gt;"",INDEX('Base de données'!A$4:L$990,MATCH(A268,'Base de données'!A$4:A$990,0),3),"")</f>
        <v/>
      </c>
      <c r="E268" s="538"/>
      <c r="F268" s="538"/>
    </row>
    <row r="269" spans="1:6" x14ac:dyDescent="0.25">
      <c r="A269" s="538"/>
      <c r="B269" s="143" t="str">
        <f>IF(A269&lt;&gt;"",INDEX('Base de données'!A$4:L$990,MATCH(A269,'Base de données'!A$4:A$990,0),2),"")</f>
        <v/>
      </c>
      <c r="C269" s="143" t="str">
        <f>IF(A269&lt;&gt;"",INDEX('Base de données'!A$4:L$990,MATCH(A269,'Base de données'!A$4:A$990,0),12),"")</f>
        <v/>
      </c>
      <c r="D269" s="143" t="str">
        <f>IF(A269&lt;&gt;"",INDEX('Base de données'!A$4:L$990,MATCH(A269,'Base de données'!A$4:A$990,0),3),"")</f>
        <v/>
      </c>
      <c r="E269" s="538"/>
      <c r="F269" s="538"/>
    </row>
    <row r="270" spans="1:6" x14ac:dyDescent="0.25">
      <c r="A270" s="538"/>
      <c r="B270" s="143" t="str">
        <f>IF(A270&lt;&gt;"",INDEX('Base de données'!A$4:L$990,MATCH(A270,'Base de données'!A$4:A$990,0),2),"")</f>
        <v/>
      </c>
      <c r="C270" s="143" t="str">
        <f>IF(A270&lt;&gt;"",INDEX('Base de données'!A$4:L$990,MATCH(A270,'Base de données'!A$4:A$990,0),12),"")</f>
        <v/>
      </c>
      <c r="D270" s="143" t="str">
        <f>IF(A270&lt;&gt;"",INDEX('Base de données'!A$4:L$990,MATCH(A270,'Base de données'!A$4:A$990,0),3),"")</f>
        <v/>
      </c>
      <c r="E270" s="538"/>
      <c r="F270" s="538"/>
    </row>
    <row r="271" spans="1:6" x14ac:dyDescent="0.25">
      <c r="A271" s="538"/>
      <c r="B271" s="143" t="str">
        <f>IF(A271&lt;&gt;"",INDEX('Base de données'!A$4:L$990,MATCH(A271,'Base de données'!A$4:A$990,0),2),"")</f>
        <v/>
      </c>
      <c r="C271" s="143" t="str">
        <f>IF(A271&lt;&gt;"",INDEX('Base de données'!A$4:L$990,MATCH(A271,'Base de données'!A$4:A$990,0),12),"")</f>
        <v/>
      </c>
      <c r="D271" s="143" t="str">
        <f>IF(A271&lt;&gt;"",INDEX('Base de données'!A$4:L$990,MATCH(A271,'Base de données'!A$4:A$990,0),3),"")</f>
        <v/>
      </c>
      <c r="E271" s="538"/>
      <c r="F271" s="538"/>
    </row>
    <row r="272" spans="1:6" x14ac:dyDescent="0.25">
      <c r="A272" s="538"/>
      <c r="B272" s="143" t="str">
        <f>IF(A272&lt;&gt;"",INDEX('Base de données'!A$4:L$990,MATCH(A272,'Base de données'!A$4:A$990,0),2),"")</f>
        <v/>
      </c>
      <c r="C272" s="143" t="str">
        <f>IF(A272&lt;&gt;"",INDEX('Base de données'!A$4:L$990,MATCH(A272,'Base de données'!A$4:A$990,0),12),"")</f>
        <v/>
      </c>
      <c r="D272" s="143" t="str">
        <f>IF(A272&lt;&gt;"",INDEX('Base de données'!A$4:L$990,MATCH(A272,'Base de données'!A$4:A$990,0),3),"")</f>
        <v/>
      </c>
      <c r="E272" s="538"/>
      <c r="F272" s="538"/>
    </row>
    <row r="273" spans="1:6" x14ac:dyDescent="0.25">
      <c r="A273" s="538"/>
      <c r="B273" s="143" t="str">
        <f>IF(A273&lt;&gt;"",INDEX('Base de données'!A$4:L$990,MATCH(A273,'Base de données'!A$4:A$990,0),2),"")</f>
        <v/>
      </c>
      <c r="C273" s="143" t="str">
        <f>IF(A273&lt;&gt;"",INDEX('Base de données'!A$4:L$990,MATCH(A273,'Base de données'!A$4:A$990,0),12),"")</f>
        <v/>
      </c>
      <c r="D273" s="143" t="str">
        <f>IF(A273&lt;&gt;"",INDEX('Base de données'!A$4:L$990,MATCH(A273,'Base de données'!A$4:A$990,0),3),"")</f>
        <v/>
      </c>
      <c r="E273" s="538"/>
      <c r="F273" s="538"/>
    </row>
    <row r="274" spans="1:6" x14ac:dyDescent="0.25">
      <c r="A274" s="538"/>
      <c r="B274" s="143" t="str">
        <f>IF(A274&lt;&gt;"",INDEX('Base de données'!A$4:L$990,MATCH(A274,'Base de données'!A$4:A$990,0),2),"")</f>
        <v/>
      </c>
      <c r="C274" s="143" t="str">
        <f>IF(A274&lt;&gt;"",INDEX('Base de données'!A$4:L$990,MATCH(A274,'Base de données'!A$4:A$990,0),12),"")</f>
        <v/>
      </c>
      <c r="D274" s="143" t="str">
        <f>IF(A274&lt;&gt;"",INDEX('Base de données'!A$4:L$990,MATCH(A274,'Base de données'!A$4:A$990,0),3),"")</f>
        <v/>
      </c>
      <c r="E274" s="538"/>
      <c r="F274" s="538"/>
    </row>
    <row r="275" spans="1:6" x14ac:dyDescent="0.25">
      <c r="A275" s="538"/>
      <c r="B275" s="143" t="str">
        <f>IF(A275&lt;&gt;"",INDEX('Base de données'!A$4:L$990,MATCH(A275,'Base de données'!A$4:A$990,0),2),"")</f>
        <v/>
      </c>
      <c r="C275" s="143" t="str">
        <f>IF(A275&lt;&gt;"",INDEX('Base de données'!A$4:L$990,MATCH(A275,'Base de données'!A$4:A$990,0),12),"")</f>
        <v/>
      </c>
      <c r="D275" s="143" t="str">
        <f>IF(A275&lt;&gt;"",INDEX('Base de données'!A$4:L$990,MATCH(A275,'Base de données'!A$4:A$990,0),3),"")</f>
        <v/>
      </c>
      <c r="E275" s="538"/>
      <c r="F275" s="538"/>
    </row>
    <row r="276" spans="1:6" x14ac:dyDescent="0.25">
      <c r="A276" s="538"/>
      <c r="B276" s="143" t="str">
        <f>IF(A276&lt;&gt;"",INDEX('Base de données'!A$4:L$990,MATCH(A276,'Base de données'!A$4:A$990,0),2),"")</f>
        <v/>
      </c>
      <c r="C276" s="143" t="str">
        <f>IF(A276&lt;&gt;"",INDEX('Base de données'!A$4:L$990,MATCH(A276,'Base de données'!A$4:A$990,0),12),"")</f>
        <v/>
      </c>
      <c r="D276" s="143" t="str">
        <f>IF(A276&lt;&gt;"",INDEX('Base de données'!A$4:L$990,MATCH(A276,'Base de données'!A$4:A$990,0),3),"")</f>
        <v/>
      </c>
      <c r="E276" s="538"/>
      <c r="F276" s="538"/>
    </row>
    <row r="277" spans="1:6" x14ac:dyDescent="0.25">
      <c r="A277" s="538"/>
      <c r="B277" s="143" t="str">
        <f>IF(A277&lt;&gt;"",INDEX('Base de données'!A$4:L$990,MATCH(A277,'Base de données'!A$4:A$990,0),2),"")</f>
        <v/>
      </c>
      <c r="C277" s="143" t="str">
        <f>IF(A277&lt;&gt;"",INDEX('Base de données'!A$4:L$990,MATCH(A277,'Base de données'!A$4:A$990,0),12),"")</f>
        <v/>
      </c>
      <c r="D277" s="143" t="str">
        <f>IF(A277&lt;&gt;"",INDEX('Base de données'!A$4:L$990,MATCH(A277,'Base de données'!A$4:A$990,0),3),"")</f>
        <v/>
      </c>
      <c r="E277" s="538"/>
      <c r="F277" s="538"/>
    </row>
    <row r="278" spans="1:6" x14ac:dyDescent="0.25">
      <c r="A278" s="538"/>
      <c r="B278" s="143" t="str">
        <f>IF(A278&lt;&gt;"",INDEX('Base de données'!A$4:L$990,MATCH(A278,'Base de données'!A$4:A$990,0),2),"")</f>
        <v/>
      </c>
      <c r="C278" s="143" t="str">
        <f>IF(A278&lt;&gt;"",INDEX('Base de données'!A$4:L$990,MATCH(A278,'Base de données'!A$4:A$990,0),12),"")</f>
        <v/>
      </c>
      <c r="D278" s="143" t="str">
        <f>IF(A278&lt;&gt;"",INDEX('Base de données'!A$4:L$990,MATCH(A278,'Base de données'!A$4:A$990,0),3),"")</f>
        <v/>
      </c>
      <c r="E278" s="538"/>
      <c r="F278" s="538"/>
    </row>
    <row r="279" spans="1:6" x14ac:dyDescent="0.25">
      <c r="A279" s="538"/>
      <c r="B279" s="143" t="str">
        <f>IF(A279&lt;&gt;"",INDEX('Base de données'!A$4:L$990,MATCH(A279,'Base de données'!A$4:A$990,0),2),"")</f>
        <v/>
      </c>
      <c r="C279" s="143" t="str">
        <f>IF(A279&lt;&gt;"",INDEX('Base de données'!A$4:L$990,MATCH(A279,'Base de données'!A$4:A$990,0),12),"")</f>
        <v/>
      </c>
      <c r="D279" s="143" t="str">
        <f>IF(A279&lt;&gt;"",INDEX('Base de données'!A$4:L$990,MATCH(A279,'Base de données'!A$4:A$990,0),3),"")</f>
        <v/>
      </c>
      <c r="E279" s="538"/>
      <c r="F279" s="538"/>
    </row>
    <row r="280" spans="1:6" x14ac:dyDescent="0.25">
      <c r="A280" s="538"/>
      <c r="B280" s="143" t="str">
        <f>IF(A280&lt;&gt;"",INDEX('Base de données'!A$4:L$990,MATCH(A280,'Base de données'!A$4:A$990,0),2),"")</f>
        <v/>
      </c>
      <c r="C280" s="143" t="str">
        <f>IF(A280&lt;&gt;"",INDEX('Base de données'!A$4:L$990,MATCH(A280,'Base de données'!A$4:A$990,0),12),"")</f>
        <v/>
      </c>
      <c r="D280" s="143" t="str">
        <f>IF(A280&lt;&gt;"",INDEX('Base de données'!A$4:L$990,MATCH(A280,'Base de données'!A$4:A$990,0),3),"")</f>
        <v/>
      </c>
      <c r="E280" s="538"/>
      <c r="F280" s="538"/>
    </row>
    <row r="281" spans="1:6" x14ac:dyDescent="0.25">
      <c r="A281" s="538"/>
      <c r="B281" s="143" t="str">
        <f>IF(A281&lt;&gt;"",INDEX('Base de données'!A$4:L$990,MATCH(A281,'Base de données'!A$4:A$990,0),2),"")</f>
        <v/>
      </c>
      <c r="C281" s="143" t="str">
        <f>IF(A281&lt;&gt;"",INDEX('Base de données'!A$4:L$990,MATCH(A281,'Base de données'!A$4:A$990,0),12),"")</f>
        <v/>
      </c>
      <c r="D281" s="143" t="str">
        <f>IF(A281&lt;&gt;"",INDEX('Base de données'!A$4:L$990,MATCH(A281,'Base de données'!A$4:A$990,0),3),"")</f>
        <v/>
      </c>
      <c r="E281" s="538"/>
      <c r="F281" s="538"/>
    </row>
    <row r="282" spans="1:6" x14ac:dyDescent="0.25">
      <c r="A282" s="538"/>
      <c r="B282" s="143" t="str">
        <f>IF(A282&lt;&gt;"",INDEX('Base de données'!A$4:L$990,MATCH(A282,'Base de données'!A$4:A$990,0),2),"")</f>
        <v/>
      </c>
      <c r="C282" s="143" t="str">
        <f>IF(A282&lt;&gt;"",INDEX('Base de données'!A$4:L$990,MATCH(A282,'Base de données'!A$4:A$990,0),12),"")</f>
        <v/>
      </c>
      <c r="D282" s="143" t="str">
        <f>IF(A282&lt;&gt;"",INDEX('Base de données'!A$4:L$990,MATCH(A282,'Base de données'!A$4:A$990,0),3),"")</f>
        <v/>
      </c>
      <c r="E282" s="538"/>
      <c r="F282" s="538"/>
    </row>
    <row r="283" spans="1:6" x14ac:dyDescent="0.25">
      <c r="A283" s="538"/>
      <c r="B283" s="143" t="str">
        <f>IF(A283&lt;&gt;"",INDEX('Base de données'!A$4:L$990,MATCH(A283,'Base de données'!A$4:A$990,0),2),"")</f>
        <v/>
      </c>
      <c r="C283" s="143" t="str">
        <f>IF(A283&lt;&gt;"",INDEX('Base de données'!A$4:L$990,MATCH(A283,'Base de données'!A$4:A$990,0),12),"")</f>
        <v/>
      </c>
      <c r="D283" s="143" t="str">
        <f>IF(A283&lt;&gt;"",INDEX('Base de données'!A$4:L$990,MATCH(A283,'Base de données'!A$4:A$990,0),3),"")</f>
        <v/>
      </c>
      <c r="E283" s="538"/>
      <c r="F283" s="538"/>
    </row>
    <row r="284" spans="1:6" x14ac:dyDescent="0.25">
      <c r="A284" s="538"/>
      <c r="B284" s="143" t="str">
        <f>IF(A284&lt;&gt;"",INDEX('Base de données'!A$4:L$990,MATCH(A284,'Base de données'!A$4:A$990,0),2),"")</f>
        <v/>
      </c>
      <c r="C284" s="143" t="str">
        <f>IF(A284&lt;&gt;"",INDEX('Base de données'!A$4:L$990,MATCH(A284,'Base de données'!A$4:A$990,0),12),"")</f>
        <v/>
      </c>
      <c r="D284" s="143" t="str">
        <f>IF(A284&lt;&gt;"",INDEX('Base de données'!A$4:L$990,MATCH(A284,'Base de données'!A$4:A$990,0),3),"")</f>
        <v/>
      </c>
      <c r="E284" s="538"/>
      <c r="F284" s="538"/>
    </row>
    <row r="285" spans="1:6" x14ac:dyDescent="0.25">
      <c r="A285" s="538"/>
      <c r="B285" s="143" t="str">
        <f>IF(A285&lt;&gt;"",INDEX('Base de données'!A$4:L$990,MATCH(A285,'Base de données'!A$4:A$990,0),2),"")</f>
        <v/>
      </c>
      <c r="C285" s="143" t="str">
        <f>IF(A285&lt;&gt;"",INDEX('Base de données'!A$4:L$990,MATCH(A285,'Base de données'!A$4:A$990,0),12),"")</f>
        <v/>
      </c>
      <c r="D285" s="143" t="str">
        <f>IF(A285&lt;&gt;"",INDEX('Base de données'!A$4:L$990,MATCH(A285,'Base de données'!A$4:A$990,0),3),"")</f>
        <v/>
      </c>
      <c r="E285" s="538"/>
      <c r="F285" s="538"/>
    </row>
    <row r="286" spans="1:6" x14ac:dyDescent="0.25">
      <c r="A286" s="538"/>
      <c r="B286" s="143" t="str">
        <f>IF(A286&lt;&gt;"",INDEX('Base de données'!A$4:L$990,MATCH(A286,'Base de données'!A$4:A$990,0),2),"")</f>
        <v/>
      </c>
      <c r="C286" s="143" t="str">
        <f>IF(A286&lt;&gt;"",INDEX('Base de données'!A$4:L$990,MATCH(A286,'Base de données'!A$4:A$990,0),12),"")</f>
        <v/>
      </c>
      <c r="D286" s="143" t="str">
        <f>IF(A286&lt;&gt;"",INDEX('Base de données'!A$4:L$990,MATCH(A286,'Base de données'!A$4:A$990,0),3),"")</f>
        <v/>
      </c>
      <c r="E286" s="538"/>
      <c r="F286" s="538"/>
    </row>
    <row r="287" spans="1:6" x14ac:dyDescent="0.25">
      <c r="A287" s="538"/>
      <c r="B287" s="143" t="str">
        <f>IF(A287&lt;&gt;"",INDEX('Base de données'!A$4:L$990,MATCH(A287,'Base de données'!A$4:A$990,0),2),"")</f>
        <v/>
      </c>
      <c r="C287" s="143" t="str">
        <f>IF(A287&lt;&gt;"",INDEX('Base de données'!A$4:L$990,MATCH(A287,'Base de données'!A$4:A$990,0),12),"")</f>
        <v/>
      </c>
      <c r="D287" s="143" t="str">
        <f>IF(A287&lt;&gt;"",INDEX('Base de données'!A$4:L$990,MATCH(A287,'Base de données'!A$4:A$990,0),3),"")</f>
        <v/>
      </c>
      <c r="E287" s="538"/>
      <c r="F287" s="538"/>
    </row>
    <row r="288" spans="1:6" x14ac:dyDescent="0.25">
      <c r="A288" s="538"/>
      <c r="B288" s="143" t="str">
        <f>IF(A288&lt;&gt;"",INDEX('Base de données'!A$4:L$990,MATCH(A288,'Base de données'!A$4:A$990,0),2),"")</f>
        <v/>
      </c>
      <c r="C288" s="143" t="str">
        <f>IF(A288&lt;&gt;"",INDEX('Base de données'!A$4:L$990,MATCH(A288,'Base de données'!A$4:A$990,0),12),"")</f>
        <v/>
      </c>
      <c r="D288" s="143" t="str">
        <f>IF(A288&lt;&gt;"",INDEX('Base de données'!A$4:L$990,MATCH(A288,'Base de données'!A$4:A$990,0),3),"")</f>
        <v/>
      </c>
      <c r="E288" s="538"/>
      <c r="F288" s="538"/>
    </row>
    <row r="289" spans="1:6" x14ac:dyDescent="0.25">
      <c r="A289" s="538"/>
      <c r="B289" s="143" t="str">
        <f>IF(A289&lt;&gt;"",INDEX('Base de données'!A$4:L$990,MATCH(A289,'Base de données'!A$4:A$990,0),2),"")</f>
        <v/>
      </c>
      <c r="C289" s="143" t="str">
        <f>IF(A289&lt;&gt;"",INDEX('Base de données'!A$4:L$990,MATCH(A289,'Base de données'!A$4:A$990,0),12),"")</f>
        <v/>
      </c>
      <c r="D289" s="143" t="str">
        <f>IF(A289&lt;&gt;"",INDEX('Base de données'!A$4:L$990,MATCH(A289,'Base de données'!A$4:A$990,0),3),"")</f>
        <v/>
      </c>
      <c r="E289" s="538"/>
      <c r="F289" s="538"/>
    </row>
    <row r="290" spans="1:6" x14ac:dyDescent="0.25">
      <c r="A290" s="538"/>
      <c r="B290" s="143" t="str">
        <f>IF(A290&lt;&gt;"",INDEX('Base de données'!A$4:L$990,MATCH(A290,'Base de données'!A$4:A$990,0),2),"")</f>
        <v/>
      </c>
      <c r="C290" s="143" t="str">
        <f>IF(A290&lt;&gt;"",INDEX('Base de données'!A$4:L$990,MATCH(A290,'Base de données'!A$4:A$990,0),12),"")</f>
        <v/>
      </c>
      <c r="D290" s="143" t="str">
        <f>IF(A290&lt;&gt;"",INDEX('Base de données'!A$4:L$990,MATCH(A290,'Base de données'!A$4:A$990,0),3),"")</f>
        <v/>
      </c>
      <c r="E290" s="538"/>
      <c r="F290" s="538"/>
    </row>
    <row r="291" spans="1:6" x14ac:dyDescent="0.25">
      <c r="A291" s="538"/>
      <c r="B291" s="143" t="str">
        <f>IF(A291&lt;&gt;"",INDEX('Base de données'!A$4:L$990,MATCH(A291,'Base de données'!A$4:A$990,0),2),"")</f>
        <v/>
      </c>
      <c r="C291" s="143" t="str">
        <f>IF(A291&lt;&gt;"",INDEX('Base de données'!A$4:L$990,MATCH(A291,'Base de données'!A$4:A$990,0),12),"")</f>
        <v/>
      </c>
      <c r="D291" s="143" t="str">
        <f>IF(A291&lt;&gt;"",INDEX('Base de données'!A$4:L$990,MATCH(A291,'Base de données'!A$4:A$990,0),3),"")</f>
        <v/>
      </c>
      <c r="E291" s="538"/>
      <c r="F291" s="538"/>
    </row>
    <row r="292" spans="1:6" x14ac:dyDescent="0.25">
      <c r="A292" s="538"/>
      <c r="B292" s="143" t="str">
        <f>IF(A292&lt;&gt;"",INDEX('Base de données'!A$4:L$990,MATCH(A292,'Base de données'!A$4:A$990,0),2),"")</f>
        <v/>
      </c>
      <c r="C292" s="143" t="str">
        <f>IF(A292&lt;&gt;"",INDEX('Base de données'!A$4:L$990,MATCH(A292,'Base de données'!A$4:A$990,0),12),"")</f>
        <v/>
      </c>
      <c r="D292" s="143" t="str">
        <f>IF(A292&lt;&gt;"",INDEX('Base de données'!A$4:L$990,MATCH(A292,'Base de données'!A$4:A$990,0),3),"")</f>
        <v/>
      </c>
      <c r="E292" s="538"/>
      <c r="F292" s="538"/>
    </row>
    <row r="293" spans="1:6" x14ac:dyDescent="0.25">
      <c r="A293" s="538"/>
      <c r="B293" s="143" t="str">
        <f>IF(A293&lt;&gt;"",INDEX('Base de données'!A$4:L$990,MATCH(A293,'Base de données'!A$4:A$990,0),2),"")</f>
        <v/>
      </c>
      <c r="C293" s="143" t="str">
        <f>IF(A293&lt;&gt;"",INDEX('Base de données'!A$4:L$990,MATCH(A293,'Base de données'!A$4:A$990,0),12),"")</f>
        <v/>
      </c>
      <c r="D293" s="143" t="str">
        <f>IF(A293&lt;&gt;"",INDEX('Base de données'!A$4:L$990,MATCH(A293,'Base de données'!A$4:A$990,0),3),"")</f>
        <v/>
      </c>
      <c r="E293" s="538"/>
      <c r="F293" s="538"/>
    </row>
    <row r="294" spans="1:6" x14ac:dyDescent="0.25">
      <c r="A294" s="538"/>
      <c r="B294" s="143" t="str">
        <f>IF(A294&lt;&gt;"",INDEX('Base de données'!A$4:L$990,MATCH(A294,'Base de données'!A$4:A$990,0),2),"")</f>
        <v/>
      </c>
      <c r="C294" s="143" t="str">
        <f>IF(A294&lt;&gt;"",INDEX('Base de données'!A$4:L$990,MATCH(A294,'Base de données'!A$4:A$990,0),12),"")</f>
        <v/>
      </c>
      <c r="D294" s="143" t="str">
        <f>IF(A294&lt;&gt;"",INDEX('Base de données'!A$4:L$990,MATCH(A294,'Base de données'!A$4:A$990,0),3),"")</f>
        <v/>
      </c>
      <c r="E294" s="538"/>
      <c r="F294" s="538"/>
    </row>
    <row r="295" spans="1:6" x14ac:dyDescent="0.25">
      <c r="A295" s="538"/>
      <c r="B295" s="143" t="str">
        <f>IF(A295&lt;&gt;"",INDEX('Base de données'!A$4:L$990,MATCH(A295,'Base de données'!A$4:A$990,0),2),"")</f>
        <v/>
      </c>
      <c r="C295" s="143" t="str">
        <f>IF(A295&lt;&gt;"",INDEX('Base de données'!A$4:L$990,MATCH(A295,'Base de données'!A$4:A$990,0),12),"")</f>
        <v/>
      </c>
      <c r="D295" s="143" t="str">
        <f>IF(A295&lt;&gt;"",INDEX('Base de données'!A$4:L$990,MATCH(A295,'Base de données'!A$4:A$990,0),3),"")</f>
        <v/>
      </c>
      <c r="E295" s="538"/>
      <c r="F295" s="538"/>
    </row>
    <row r="296" spans="1:6" x14ac:dyDescent="0.25">
      <c r="A296" s="538"/>
      <c r="B296" s="143" t="str">
        <f>IF(A296&lt;&gt;"",INDEX('Base de données'!A$4:L$990,MATCH(A296,'Base de données'!A$4:A$990,0),2),"")</f>
        <v/>
      </c>
      <c r="C296" s="143" t="str">
        <f>IF(A296&lt;&gt;"",INDEX('Base de données'!A$4:L$990,MATCH(A296,'Base de données'!A$4:A$990,0),12),"")</f>
        <v/>
      </c>
      <c r="D296" s="143" t="str">
        <f>IF(A296&lt;&gt;"",INDEX('Base de données'!A$4:L$990,MATCH(A296,'Base de données'!A$4:A$990,0),3),"")</f>
        <v/>
      </c>
      <c r="E296" s="538"/>
      <c r="F296" s="538"/>
    </row>
    <row r="297" spans="1:6" x14ac:dyDescent="0.25">
      <c r="A297" s="538"/>
      <c r="B297" s="143" t="str">
        <f>IF(A297&lt;&gt;"",INDEX('Base de données'!A$4:L$990,MATCH(A297,'Base de données'!A$4:A$990,0),2),"")</f>
        <v/>
      </c>
      <c r="C297" s="143" t="str">
        <f>IF(A297&lt;&gt;"",INDEX('Base de données'!A$4:L$990,MATCH(A297,'Base de données'!A$4:A$990,0),12),"")</f>
        <v/>
      </c>
      <c r="D297" s="143" t="str">
        <f>IF(A297&lt;&gt;"",INDEX('Base de données'!A$4:L$990,MATCH(A297,'Base de données'!A$4:A$990,0),3),"")</f>
        <v/>
      </c>
      <c r="E297" s="538"/>
      <c r="F297" s="538"/>
    </row>
    <row r="298" spans="1:6" x14ac:dyDescent="0.25">
      <c r="A298" s="538"/>
      <c r="B298" s="143" t="str">
        <f>IF(A298&lt;&gt;"",INDEX('Base de données'!A$4:L$990,MATCH(A298,'Base de données'!A$4:A$990,0),2),"")</f>
        <v/>
      </c>
      <c r="C298" s="143" t="str">
        <f>IF(A298&lt;&gt;"",INDEX('Base de données'!A$4:L$990,MATCH(A298,'Base de données'!A$4:A$990,0),12),"")</f>
        <v/>
      </c>
      <c r="D298" s="143" t="str">
        <f>IF(A298&lt;&gt;"",INDEX('Base de données'!A$4:L$990,MATCH(A298,'Base de données'!A$4:A$990,0),3),"")</f>
        <v/>
      </c>
      <c r="E298" s="538"/>
      <c r="F298" s="538"/>
    </row>
    <row r="299" spans="1:6" x14ac:dyDescent="0.25">
      <c r="A299" s="538"/>
      <c r="B299" s="143" t="str">
        <f>IF(A299&lt;&gt;"",INDEX('Base de données'!A$4:L$990,MATCH(A299,'Base de données'!A$4:A$990,0),2),"")</f>
        <v/>
      </c>
      <c r="C299" s="143" t="str">
        <f>IF(A299&lt;&gt;"",INDEX('Base de données'!A$4:L$990,MATCH(A299,'Base de données'!A$4:A$990,0),12),"")</f>
        <v/>
      </c>
      <c r="D299" s="143" t="str">
        <f>IF(A299&lt;&gt;"",INDEX('Base de données'!A$4:L$990,MATCH(A299,'Base de données'!A$4:A$990,0),3),"")</f>
        <v/>
      </c>
      <c r="E299" s="538"/>
      <c r="F299" s="538"/>
    </row>
    <row r="300" spans="1:6" x14ac:dyDescent="0.25">
      <c r="A300" s="538"/>
      <c r="B300" s="143" t="str">
        <f>IF(A300&lt;&gt;"",INDEX('Base de données'!A$4:L$990,MATCH(A300,'Base de données'!A$4:A$990,0),2),"")</f>
        <v/>
      </c>
      <c r="C300" s="143" t="str">
        <f>IF(A300&lt;&gt;"",INDEX('Base de données'!A$4:L$990,MATCH(A300,'Base de données'!A$4:A$990,0),12),"")</f>
        <v/>
      </c>
      <c r="D300" s="143" t="str">
        <f>IF(A300&lt;&gt;"",INDEX('Base de données'!A$4:L$990,MATCH(A300,'Base de données'!A$4:A$990,0),3),"")</f>
        <v/>
      </c>
      <c r="E300" s="538"/>
      <c r="F300" s="538"/>
    </row>
    <row r="301" spans="1:6" x14ac:dyDescent="0.25">
      <c r="A301" s="538"/>
      <c r="B301" s="143" t="str">
        <f>IF(A301&lt;&gt;"",INDEX('Base de données'!A$4:L$990,MATCH(A301,'Base de données'!A$4:A$990,0),2),"")</f>
        <v/>
      </c>
      <c r="C301" s="143" t="str">
        <f>IF(A301&lt;&gt;"",INDEX('Base de données'!A$4:L$990,MATCH(A301,'Base de données'!A$4:A$990,0),12),"")</f>
        <v/>
      </c>
      <c r="D301" s="143" t="str">
        <f>IF(A301&lt;&gt;"",INDEX('Base de données'!A$4:L$990,MATCH(A301,'Base de données'!A$4:A$990,0),3),"")</f>
        <v/>
      </c>
      <c r="E301" s="538"/>
      <c r="F301" s="538"/>
    </row>
    <row r="302" spans="1:6" x14ac:dyDescent="0.25">
      <c r="A302" s="538"/>
      <c r="B302" s="143" t="str">
        <f>IF(A302&lt;&gt;"",INDEX('Base de données'!A$4:L$990,MATCH(A302,'Base de données'!A$4:A$990,0),2),"")</f>
        <v/>
      </c>
      <c r="C302" s="143" t="str">
        <f>IF(A302&lt;&gt;"",INDEX('Base de données'!A$4:L$990,MATCH(A302,'Base de données'!A$4:A$990,0),12),"")</f>
        <v/>
      </c>
      <c r="D302" s="143" t="str">
        <f>IF(A302&lt;&gt;"",INDEX('Base de données'!A$4:L$990,MATCH(A302,'Base de données'!A$4:A$990,0),3),"")</f>
        <v/>
      </c>
      <c r="E302" s="538"/>
      <c r="F302" s="538"/>
    </row>
    <row r="303" spans="1:6" x14ac:dyDescent="0.25">
      <c r="A303" s="538"/>
      <c r="B303" s="143" t="str">
        <f>IF(A303&lt;&gt;"",INDEX('Base de données'!A$4:L$990,MATCH(A303,'Base de données'!A$4:A$990,0),2),"")</f>
        <v/>
      </c>
      <c r="C303" s="143" t="str">
        <f>IF(A303&lt;&gt;"",INDEX('Base de données'!A$4:L$990,MATCH(A303,'Base de données'!A$4:A$990,0),12),"")</f>
        <v/>
      </c>
      <c r="D303" s="143" t="str">
        <f>IF(A303&lt;&gt;"",INDEX('Base de données'!A$4:L$990,MATCH(A303,'Base de données'!A$4:A$990,0),3),"")</f>
        <v/>
      </c>
      <c r="E303" s="538"/>
      <c r="F303" s="538"/>
    </row>
    <row r="304" spans="1:6" x14ac:dyDescent="0.25">
      <c r="A304" s="538"/>
      <c r="B304" s="143" t="str">
        <f>IF(A304&lt;&gt;"",INDEX('Base de données'!A$4:L$990,MATCH(A304,'Base de données'!A$4:A$990,0),2),"")</f>
        <v/>
      </c>
      <c r="C304" s="143" t="str">
        <f>IF(A304&lt;&gt;"",INDEX('Base de données'!A$4:L$990,MATCH(A304,'Base de données'!A$4:A$990,0),12),"")</f>
        <v/>
      </c>
      <c r="D304" s="143" t="str">
        <f>IF(A304&lt;&gt;"",INDEX('Base de données'!A$4:L$990,MATCH(A304,'Base de données'!A$4:A$990,0),3),"")</f>
        <v/>
      </c>
      <c r="E304" s="538"/>
      <c r="F304" s="538"/>
    </row>
    <row r="305" spans="1:6" x14ac:dyDescent="0.25">
      <c r="A305" s="538"/>
      <c r="B305" s="143" t="str">
        <f>IF(A305&lt;&gt;"",INDEX('Base de données'!A$4:L$990,MATCH(A305,'Base de données'!A$4:A$990,0),2),"")</f>
        <v/>
      </c>
      <c r="C305" s="143" t="str">
        <f>IF(A305&lt;&gt;"",INDEX('Base de données'!A$4:L$990,MATCH(A305,'Base de données'!A$4:A$990,0),12),"")</f>
        <v/>
      </c>
      <c r="D305" s="143" t="str">
        <f>IF(A305&lt;&gt;"",INDEX('Base de données'!A$4:L$990,MATCH(A305,'Base de données'!A$4:A$990,0),3),"")</f>
        <v/>
      </c>
      <c r="E305" s="538"/>
      <c r="F305" s="538"/>
    </row>
    <row r="306" spans="1:6" x14ac:dyDescent="0.25">
      <c r="A306" s="538"/>
      <c r="B306" s="143" t="str">
        <f>IF(A306&lt;&gt;"",INDEX('Base de données'!A$4:L$990,MATCH(A306,'Base de données'!A$4:A$990,0),2),"")</f>
        <v/>
      </c>
      <c r="C306" s="143" t="str">
        <f>IF(A306&lt;&gt;"",INDEX('Base de données'!A$4:L$990,MATCH(A306,'Base de données'!A$4:A$990,0),12),"")</f>
        <v/>
      </c>
      <c r="D306" s="143" t="str">
        <f>IF(A306&lt;&gt;"",INDEX('Base de données'!A$4:L$990,MATCH(A306,'Base de données'!A$4:A$990,0),3),"")</f>
        <v/>
      </c>
      <c r="E306" s="538"/>
      <c r="F306" s="538"/>
    </row>
    <row r="307" spans="1:6" x14ac:dyDescent="0.25">
      <c r="A307" s="538"/>
      <c r="B307" s="143" t="str">
        <f>IF(A307&lt;&gt;"",INDEX('Base de données'!A$4:L$990,MATCH(A307,'Base de données'!A$4:A$990,0),2),"")</f>
        <v/>
      </c>
      <c r="C307" s="143" t="str">
        <f>IF(A307&lt;&gt;"",INDEX('Base de données'!A$4:L$990,MATCH(A307,'Base de données'!A$4:A$990,0),12),"")</f>
        <v/>
      </c>
      <c r="D307" s="143" t="str">
        <f>IF(A307&lt;&gt;"",INDEX('Base de données'!A$4:L$990,MATCH(A307,'Base de données'!A$4:A$990,0),3),"")</f>
        <v/>
      </c>
      <c r="E307" s="538"/>
      <c r="F307" s="538"/>
    </row>
    <row r="308" spans="1:6" x14ac:dyDescent="0.25">
      <c r="A308" s="538"/>
      <c r="B308" s="143" t="str">
        <f>IF(A308&lt;&gt;"",INDEX('Base de données'!A$4:L$990,MATCH(A308,'Base de données'!A$4:A$990,0),2),"")</f>
        <v/>
      </c>
      <c r="C308" s="143" t="str">
        <f>IF(A308&lt;&gt;"",INDEX('Base de données'!A$4:L$990,MATCH(A308,'Base de données'!A$4:A$990,0),12),"")</f>
        <v/>
      </c>
      <c r="D308" s="143" t="str">
        <f>IF(A308&lt;&gt;"",INDEX('Base de données'!A$4:L$990,MATCH(A308,'Base de données'!A$4:A$990,0),3),"")</f>
        <v/>
      </c>
      <c r="E308" s="538"/>
      <c r="F308" s="538"/>
    </row>
    <row r="309" spans="1:6" x14ac:dyDescent="0.25">
      <c r="A309" s="538"/>
      <c r="B309" s="143" t="str">
        <f>IF(A309&lt;&gt;"",INDEX('Base de données'!A$4:L$990,MATCH(A309,'Base de données'!A$4:A$990,0),2),"")</f>
        <v/>
      </c>
      <c r="C309" s="143" t="str">
        <f>IF(A309&lt;&gt;"",INDEX('Base de données'!A$4:L$990,MATCH(A309,'Base de données'!A$4:A$990,0),12),"")</f>
        <v/>
      </c>
      <c r="D309" s="143" t="str">
        <f>IF(A309&lt;&gt;"",INDEX('Base de données'!A$4:L$990,MATCH(A309,'Base de données'!A$4:A$990,0),3),"")</f>
        <v/>
      </c>
      <c r="E309" s="538"/>
      <c r="F309" s="538"/>
    </row>
    <row r="310" spans="1:6" x14ac:dyDescent="0.25">
      <c r="A310" s="538"/>
      <c r="B310" s="143" t="str">
        <f>IF(A310&lt;&gt;"",INDEX('Base de données'!A$4:L$990,MATCH(A310,'Base de données'!A$4:A$990,0),2),"")</f>
        <v/>
      </c>
      <c r="C310" s="143" t="str">
        <f>IF(A310&lt;&gt;"",INDEX('Base de données'!A$4:L$990,MATCH(A310,'Base de données'!A$4:A$990,0),12),"")</f>
        <v/>
      </c>
      <c r="D310" s="143" t="str">
        <f>IF(A310&lt;&gt;"",INDEX('Base de données'!A$4:L$990,MATCH(A310,'Base de données'!A$4:A$990,0),3),"")</f>
        <v/>
      </c>
      <c r="E310" s="538"/>
      <c r="F310" s="538"/>
    </row>
    <row r="311" spans="1:6" x14ac:dyDescent="0.25">
      <c r="A311" s="538"/>
      <c r="B311" s="143" t="str">
        <f>IF(A311&lt;&gt;"",INDEX('Base de données'!A$4:L$990,MATCH(A311,'Base de données'!A$4:A$990,0),2),"")</f>
        <v/>
      </c>
      <c r="C311" s="143" t="str">
        <f>IF(A311&lt;&gt;"",INDEX('Base de données'!A$4:L$990,MATCH(A311,'Base de données'!A$4:A$990,0),12),"")</f>
        <v/>
      </c>
      <c r="D311" s="143" t="str">
        <f>IF(A311&lt;&gt;"",INDEX('Base de données'!A$4:L$990,MATCH(A311,'Base de données'!A$4:A$990,0),3),"")</f>
        <v/>
      </c>
      <c r="E311" s="538"/>
      <c r="F311" s="538"/>
    </row>
    <row r="312" spans="1:6" x14ac:dyDescent="0.25">
      <c r="A312" s="538"/>
      <c r="B312" s="143" t="str">
        <f>IF(A312&lt;&gt;"",INDEX('Base de données'!A$4:L$990,MATCH(A312,'Base de données'!A$4:A$990,0),2),"")</f>
        <v/>
      </c>
      <c r="C312" s="143" t="str">
        <f>IF(A312&lt;&gt;"",INDEX('Base de données'!A$4:L$990,MATCH(A312,'Base de données'!A$4:A$990,0),12),"")</f>
        <v/>
      </c>
      <c r="D312" s="143" t="str">
        <f>IF(A312&lt;&gt;"",INDEX('Base de données'!A$4:L$990,MATCH(A312,'Base de données'!A$4:A$990,0),3),"")</f>
        <v/>
      </c>
      <c r="E312" s="538"/>
      <c r="F312" s="538"/>
    </row>
    <row r="313" spans="1:6" x14ac:dyDescent="0.25">
      <c r="A313" s="538"/>
      <c r="B313" s="143" t="str">
        <f>IF(A313&lt;&gt;"",INDEX('Base de données'!A$4:L$990,MATCH(A313,'Base de données'!A$4:A$990,0),2),"")</f>
        <v/>
      </c>
      <c r="C313" s="143" t="str">
        <f>IF(A313&lt;&gt;"",INDEX('Base de données'!A$4:L$990,MATCH(A313,'Base de données'!A$4:A$990,0),12),"")</f>
        <v/>
      </c>
      <c r="D313" s="143" t="str">
        <f>IF(A313&lt;&gt;"",INDEX('Base de données'!A$4:L$990,MATCH(A313,'Base de données'!A$4:A$990,0),3),"")</f>
        <v/>
      </c>
      <c r="E313" s="538"/>
      <c r="F313" s="538"/>
    </row>
    <row r="314" spans="1:6" x14ac:dyDescent="0.25">
      <c r="A314" s="538"/>
      <c r="B314" s="143" t="str">
        <f>IF(A314&lt;&gt;"",INDEX('Base de données'!A$4:L$990,MATCH(A314,'Base de données'!A$4:A$990,0),2),"")</f>
        <v/>
      </c>
      <c r="C314" s="143" t="str">
        <f>IF(A314&lt;&gt;"",INDEX('Base de données'!A$4:L$990,MATCH(A314,'Base de données'!A$4:A$990,0),12),"")</f>
        <v/>
      </c>
      <c r="D314" s="143" t="str">
        <f>IF(A314&lt;&gt;"",INDEX('Base de données'!A$4:L$990,MATCH(A314,'Base de données'!A$4:A$990,0),3),"")</f>
        <v/>
      </c>
      <c r="E314" s="538"/>
      <c r="F314" s="538"/>
    </row>
    <row r="315" spans="1:6" x14ac:dyDescent="0.25">
      <c r="A315" s="538"/>
      <c r="B315" s="143" t="str">
        <f>IF(A315&lt;&gt;"",INDEX('Base de données'!A$4:L$990,MATCH(A315,'Base de données'!A$4:A$990,0),2),"")</f>
        <v/>
      </c>
      <c r="C315" s="143" t="str">
        <f>IF(A315&lt;&gt;"",INDEX('Base de données'!A$4:L$990,MATCH(A315,'Base de données'!A$4:A$990,0),12),"")</f>
        <v/>
      </c>
      <c r="D315" s="143" t="str">
        <f>IF(A315&lt;&gt;"",INDEX('Base de données'!A$4:L$990,MATCH(A315,'Base de données'!A$4:A$990,0),3),"")</f>
        <v/>
      </c>
      <c r="E315" s="538"/>
      <c r="F315" s="538"/>
    </row>
    <row r="316" spans="1:6" x14ac:dyDescent="0.25">
      <c r="A316" s="538"/>
      <c r="B316" s="143" t="str">
        <f>IF(A316&lt;&gt;"",INDEX('Base de données'!A$4:L$990,MATCH(A316,'Base de données'!A$4:A$990,0),2),"")</f>
        <v/>
      </c>
      <c r="C316" s="143" t="str">
        <f>IF(A316&lt;&gt;"",INDEX('Base de données'!A$4:L$990,MATCH(A316,'Base de données'!A$4:A$990,0),12),"")</f>
        <v/>
      </c>
      <c r="D316" s="143" t="str">
        <f>IF(A316&lt;&gt;"",INDEX('Base de données'!A$4:L$990,MATCH(A316,'Base de données'!A$4:A$990,0),3),"")</f>
        <v/>
      </c>
      <c r="E316" s="538"/>
      <c r="F316" s="538"/>
    </row>
    <row r="317" spans="1:6" x14ac:dyDescent="0.25">
      <c r="A317" s="538"/>
      <c r="B317" s="143" t="str">
        <f>IF(A317&lt;&gt;"",INDEX('Base de données'!A$4:L$990,MATCH(A317,'Base de données'!A$4:A$990,0),2),"")</f>
        <v/>
      </c>
      <c r="C317" s="143" t="str">
        <f>IF(A317&lt;&gt;"",INDEX('Base de données'!A$4:L$990,MATCH(A317,'Base de données'!A$4:A$990,0),12),"")</f>
        <v/>
      </c>
      <c r="D317" s="143" t="str">
        <f>IF(A317&lt;&gt;"",INDEX('Base de données'!A$4:L$990,MATCH(A317,'Base de données'!A$4:A$990,0),3),"")</f>
        <v/>
      </c>
      <c r="E317" s="538"/>
      <c r="F317" s="538"/>
    </row>
    <row r="318" spans="1:6" x14ac:dyDescent="0.25">
      <c r="A318" s="538"/>
      <c r="B318" s="143" t="str">
        <f>IF(A318&lt;&gt;"",INDEX('Base de données'!A$4:L$990,MATCH(A318,'Base de données'!A$4:A$990,0),2),"")</f>
        <v/>
      </c>
      <c r="C318" s="143" t="str">
        <f>IF(A318&lt;&gt;"",INDEX('Base de données'!A$4:L$990,MATCH(A318,'Base de données'!A$4:A$990,0),12),"")</f>
        <v/>
      </c>
      <c r="D318" s="143" t="str">
        <f>IF(A318&lt;&gt;"",INDEX('Base de données'!A$4:L$990,MATCH(A318,'Base de données'!A$4:A$990,0),3),"")</f>
        <v/>
      </c>
      <c r="E318" s="538"/>
      <c r="F318" s="538"/>
    </row>
  </sheetData>
  <sheetProtection sheet="1" objects="1" scenarios="1" selectLockedCells="1" autoFilter="0"/>
  <autoFilter ref="A5:F5"/>
  <conditionalFormatting sqref="A6:A318">
    <cfRule type="duplicateValues" dxfId="35" priority="4"/>
  </conditionalFormatting>
  <dataValidations count="1">
    <dataValidation type="list" allowBlank="1" showInputMessage="1" sqref="M5">
      <formula1>"KHAMISSA HDIMANE,DAOUD ISSKELA,RACHID NAAIMI ,FATIMA EZZAHRA JAIZI,NAJAT SAOUD,MOHAMED ESSAID,Med EGHIZ,HALIMA OUIJANE,FATIMA EZZAHRA AIT AHMED,ZINEB ELKHOUDARI,"</formula1>
    </dataValidation>
  </dataValidation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5BB638B4-0C11-4C23-8594-7DD7D0AA4B86}">
            <xm:f>AND($D6="P. Physique",$E6&gt;'Calendrier fiscal'!$D$35)</xm:f>
            <x14:dxf>
              <fill>
                <patternFill>
                  <bgColor theme="9"/>
                </patternFill>
              </fill>
            </x14:dxf>
          </x14:cfRule>
          <x14:cfRule type="expression" priority="3" id="{4EB6EDCF-721B-4089-888D-2B667F068316}">
            <xm:f>AND($D6="P. Morale",$E6&gt;'Calendrier fiscal'!$C$35 )</xm:f>
            <x14:dxf>
              <fill>
                <patternFill>
                  <bgColor rgb="FFFF0000"/>
                </patternFill>
              </fill>
            </x14:dxf>
          </x14:cfRule>
          <xm:sqref>E6:E318</xm:sqref>
        </x14:conditionalFormatting>
        <x14:conditionalFormatting xmlns:xm="http://schemas.microsoft.com/office/excel/2006/main">
          <x14:cfRule type="expression" priority="2" id="{CAA95C91-C2FE-43CA-BE54-61544BBB535F}">
            <xm:f>AND($D6="P. Physique",E6&gt;'Calendrier fiscal'!$D$35)</xm:f>
            <x14:dxf>
              <fill>
                <patternFill>
                  <bgColor theme="9"/>
                </patternFill>
              </fill>
            </x14:dxf>
          </x14:cfRule>
          <xm:sqref>E13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>
    <tabColor rgb="FFFFC000"/>
  </sheetPr>
  <dimension ref="A1:U300"/>
  <sheetViews>
    <sheetView showGridLines="0" showRowColHeaders="0" workbookViewId="0">
      <pane xSplit="3" ySplit="9" topLeftCell="F28" activePane="bottomRight" state="frozen"/>
      <selection pane="topRight" activeCell="D1" sqref="D1"/>
      <selection pane="bottomLeft" activeCell="A10" sqref="A10"/>
      <selection pane="bottomRight" activeCell="L10" sqref="L10"/>
    </sheetView>
  </sheetViews>
  <sheetFormatPr baseColWidth="10" defaultColWidth="11.42578125" defaultRowHeight="15" x14ac:dyDescent="0.25"/>
  <cols>
    <col min="1" max="1" width="12" style="55" customWidth="1"/>
    <col min="2" max="2" width="24.5703125" style="55" customWidth="1"/>
    <col min="3" max="3" width="21.140625" style="55" customWidth="1"/>
    <col min="4" max="4" width="15.5703125" style="55" customWidth="1"/>
    <col min="5" max="5" width="19" style="55" customWidth="1"/>
    <col min="6" max="6" width="15" style="55" customWidth="1"/>
    <col min="7" max="7" width="18.42578125" style="55" customWidth="1"/>
    <col min="8" max="8" width="15.85546875" style="55" customWidth="1"/>
    <col min="9" max="9" width="16.5703125" style="55" customWidth="1"/>
    <col min="10" max="10" width="14.7109375" style="55" customWidth="1"/>
    <col min="11" max="11" width="19.85546875" style="55" customWidth="1"/>
    <col min="12" max="12" width="14.7109375" style="55" customWidth="1"/>
    <col min="13" max="13" width="20.28515625" style="55" customWidth="1"/>
    <col min="14" max="14" width="6" style="55" customWidth="1"/>
    <col min="15" max="15" width="14.7109375" style="55" customWidth="1"/>
    <col min="16" max="16" width="14.85546875" style="55" customWidth="1"/>
    <col min="17" max="17" width="12.85546875" style="55" customWidth="1"/>
    <col min="18" max="16384" width="11.42578125" style="55"/>
  </cols>
  <sheetData>
    <row r="1" spans="1:21" s="147" customFormat="1" x14ac:dyDescent="0.25">
      <c r="D1" s="54">
        <f>COUNTA(D10:D300)</f>
        <v>45</v>
      </c>
      <c r="E1" s="72">
        <f>D2/D1</f>
        <v>1</v>
      </c>
      <c r="F1" s="73">
        <f>COUNTA(F10:F300)</f>
        <v>21</v>
      </c>
      <c r="G1" s="74">
        <f>F2/F1</f>
        <v>0.33333333333333331</v>
      </c>
      <c r="H1" s="54">
        <f>COUNTA(H10:H300)</f>
        <v>22</v>
      </c>
      <c r="I1" s="72">
        <f>H2/H1</f>
        <v>0.59090909090909094</v>
      </c>
      <c r="J1" s="54">
        <f>COUNTA(J10:J200)</f>
        <v>9</v>
      </c>
      <c r="K1" s="72">
        <f>J2/J1</f>
        <v>0.44444444444444442</v>
      </c>
      <c r="L1" s="54">
        <f>COUNTA(L10:L300)</f>
        <v>1</v>
      </c>
      <c r="M1" s="72">
        <f>L2/L1</f>
        <v>1</v>
      </c>
    </row>
    <row r="2" spans="1:21" s="147" customFormat="1" x14ac:dyDescent="0.25">
      <c r="D2" s="54">
        <f>COUNTIF(D10:D300,"&lt;="&amp;'Calendrier fiscal'!E30)</f>
        <v>45</v>
      </c>
      <c r="E2" s="72">
        <f>D3/D1</f>
        <v>1</v>
      </c>
      <c r="F2" s="73">
        <f>COUNTIF(F10:F300,"&lt;="&amp;'Calendrier fiscal'!E26)</f>
        <v>7</v>
      </c>
      <c r="G2" s="74">
        <f>F3/F1</f>
        <v>0.33333333333333331</v>
      </c>
      <c r="H2" s="54">
        <f>COUNTIF(H10:H300,"&lt;="&amp;'Calendrier fiscal'!E27)</f>
        <v>13</v>
      </c>
      <c r="I2" s="72">
        <f>H3/H1</f>
        <v>1</v>
      </c>
      <c r="J2" s="54">
        <f>COUNTIF(J10:J300,"&lt;="&amp;'Calendrier fiscal'!E28)</f>
        <v>4</v>
      </c>
      <c r="K2" s="72">
        <f>J3/J1</f>
        <v>0.88888888888888884</v>
      </c>
      <c r="L2" s="54">
        <f>COUNTIF(L10:L300,"&lt;="&amp;'Calendrier fiscal'!E29)</f>
        <v>1</v>
      </c>
      <c r="M2" s="72">
        <f>L3/L1</f>
        <v>1</v>
      </c>
    </row>
    <row r="3" spans="1:21" s="147" customFormat="1" x14ac:dyDescent="0.25">
      <c r="A3" s="54">
        <v>70</v>
      </c>
      <c r="D3" s="54">
        <f>COUNTIF(D10:D300,"&lt;="&amp;'Calendrier fiscal'!D30)</f>
        <v>45</v>
      </c>
      <c r="E3" s="72">
        <f>E1</f>
        <v>1</v>
      </c>
      <c r="F3" s="73">
        <f>COUNTIF(F10:F300,"&lt;="&amp;'Calendrier fiscal'!D26)</f>
        <v>7</v>
      </c>
      <c r="G3" s="74">
        <f>G1</f>
        <v>0.33333333333333331</v>
      </c>
      <c r="H3" s="54">
        <f>COUNTIF(H10:H300,"&lt;="&amp;'Calendrier fiscal'!D27)</f>
        <v>22</v>
      </c>
      <c r="I3" s="72">
        <f>I1</f>
        <v>0.59090909090909094</v>
      </c>
      <c r="J3" s="54">
        <f>COUNTIF(J10:J300,"&lt;="&amp;'Calendrier fiscal'!D28)</f>
        <v>8</v>
      </c>
      <c r="K3" s="72">
        <f>K1</f>
        <v>0.44444444444444442</v>
      </c>
      <c r="L3" s="54">
        <f>COUNTIF(L10:L300,"&lt;="&amp;'Calendrier fiscal'!D29)</f>
        <v>1</v>
      </c>
      <c r="M3" s="72">
        <f>M1</f>
        <v>1</v>
      </c>
    </row>
    <row r="4" spans="1:21" s="147" customFormat="1" x14ac:dyDescent="0.25">
      <c r="A4" s="54">
        <v>20</v>
      </c>
      <c r="D4" s="54"/>
      <c r="E4" s="72">
        <v>0.01</v>
      </c>
      <c r="F4" s="73"/>
      <c r="G4" s="74">
        <v>0.01</v>
      </c>
      <c r="H4" s="54"/>
      <c r="I4" s="72">
        <v>0.01</v>
      </c>
      <c r="J4" s="54"/>
      <c r="K4" s="72">
        <v>0.01</v>
      </c>
      <c r="L4" s="54"/>
      <c r="M4" s="72">
        <v>0.01</v>
      </c>
    </row>
    <row r="5" spans="1:21" s="147" customFormat="1" x14ac:dyDescent="0.25">
      <c r="A5" s="54">
        <v>10</v>
      </c>
      <c r="D5" s="54"/>
      <c r="E5" s="72">
        <f>E6-SUM(E3:E4)</f>
        <v>1.0000000000000009E-2</v>
      </c>
      <c r="F5" s="73"/>
      <c r="G5" s="74">
        <f>G6-SUM(G3:G4)</f>
        <v>0.67666666666666675</v>
      </c>
      <c r="H5" s="54"/>
      <c r="I5" s="54">
        <f>I6-SUM(I3:I4)</f>
        <v>0.41909090909090907</v>
      </c>
      <c r="J5" s="54"/>
      <c r="K5" s="54">
        <f>K6-SUM(K3:K4)</f>
        <v>0.56555555555555559</v>
      </c>
      <c r="L5" s="54"/>
      <c r="M5" s="72">
        <f>M6-SUM(M3:M4)</f>
        <v>1.0000000000000009E-2</v>
      </c>
    </row>
    <row r="6" spans="1:21" s="147" customFormat="1" x14ac:dyDescent="0.25">
      <c r="A6" s="54">
        <f>SUM(A3:A5)</f>
        <v>100</v>
      </c>
      <c r="D6" s="54"/>
      <c r="E6" s="72">
        <v>1.02</v>
      </c>
      <c r="F6" s="73"/>
      <c r="G6" s="74">
        <v>1.02</v>
      </c>
      <c r="H6" s="54"/>
      <c r="I6" s="72">
        <v>1.02</v>
      </c>
      <c r="J6" s="54"/>
      <c r="K6" s="72">
        <v>1.02</v>
      </c>
      <c r="L6" s="54"/>
      <c r="M6" s="72">
        <v>1.02</v>
      </c>
    </row>
    <row r="7" spans="1:21" s="147" customFormat="1" ht="15.75" thickBot="1" x14ac:dyDescent="0.3">
      <c r="A7" s="54"/>
      <c r="D7" s="54"/>
      <c r="E7" s="54"/>
      <c r="F7" s="73"/>
      <c r="G7" s="74"/>
      <c r="H7" s="54"/>
      <c r="I7" s="54"/>
      <c r="J7" s="54"/>
      <c r="K7" s="54"/>
      <c r="L7" s="54"/>
      <c r="M7" s="54"/>
    </row>
    <row r="8" spans="1:21" ht="30.75" thickTop="1" x14ac:dyDescent="0.25">
      <c r="D8" s="155" t="s">
        <v>622</v>
      </c>
      <c r="E8" s="156"/>
      <c r="F8" s="159" t="s">
        <v>496</v>
      </c>
      <c r="G8" s="160"/>
      <c r="H8" s="163" t="s">
        <v>498</v>
      </c>
      <c r="I8" s="164"/>
      <c r="J8" s="167" t="s">
        <v>497</v>
      </c>
      <c r="K8" s="168"/>
      <c r="L8" s="171" t="s">
        <v>499</v>
      </c>
      <c r="M8" s="172"/>
      <c r="N8" s="5"/>
      <c r="P8" s="86" t="s">
        <v>617</v>
      </c>
      <c r="Q8" s="457" t="s">
        <v>530</v>
      </c>
    </row>
    <row r="9" spans="1:21" x14ac:dyDescent="0.25">
      <c r="A9" s="150" t="s">
        <v>478</v>
      </c>
      <c r="B9" s="151" t="s">
        <v>500</v>
      </c>
      <c r="C9" s="153" t="s">
        <v>480</v>
      </c>
      <c r="D9" s="157" t="s">
        <v>482</v>
      </c>
      <c r="E9" s="158" t="s">
        <v>483</v>
      </c>
      <c r="F9" s="161" t="s">
        <v>482</v>
      </c>
      <c r="G9" s="162" t="s">
        <v>483</v>
      </c>
      <c r="H9" s="165" t="s">
        <v>482</v>
      </c>
      <c r="I9" s="166" t="s">
        <v>483</v>
      </c>
      <c r="J9" s="169" t="s">
        <v>482</v>
      </c>
      <c r="K9" s="170" t="s">
        <v>483</v>
      </c>
      <c r="L9" s="173" t="s">
        <v>482</v>
      </c>
      <c r="M9" s="174" t="s">
        <v>483</v>
      </c>
    </row>
    <row r="10" spans="1:21" x14ac:dyDescent="0.25">
      <c r="A10" s="540">
        <v>189</v>
      </c>
      <c r="B10" s="152" t="str">
        <f>IF(A10&lt;&gt;"",INDEX('Base de données'!A$4:L$990,MATCH(A10,'Base de données'!A$4:A$990,0),2),"")</f>
        <v xml:space="preserve">BE MARRAKECH </v>
      </c>
      <c r="C10" s="154" t="str">
        <f>IF(A10&lt;&gt;"",INDEX('Base de données'!A$4:L$990,MATCH(A10,'Base de données'!A$4:A$990,0),12),"")</f>
        <v>NAJAT SAOUD</v>
      </c>
      <c r="D10" s="541">
        <v>43910</v>
      </c>
      <c r="E10" s="542" t="s">
        <v>1251</v>
      </c>
      <c r="F10" s="541">
        <v>43910</v>
      </c>
      <c r="G10" s="542" t="s">
        <v>1252</v>
      </c>
      <c r="H10" s="541">
        <v>43999</v>
      </c>
      <c r="I10" s="542" t="s">
        <v>1296</v>
      </c>
      <c r="J10" s="541">
        <v>44103</v>
      </c>
      <c r="K10" s="542" t="s">
        <v>1401</v>
      </c>
      <c r="L10" s="541"/>
      <c r="M10" s="542"/>
    </row>
    <row r="11" spans="1:21" x14ac:dyDescent="0.25">
      <c r="A11" s="540">
        <v>160</v>
      </c>
      <c r="B11" s="152" t="str">
        <f>IF(A11&lt;&gt;"",INDEX('Base de données'!A$4:L$990,MATCH(A11,'Base de données'!A$4:A$990,0),2),"")</f>
        <v>ECOLE AL ITQANE 2</v>
      </c>
      <c r="C11" s="154" t="str">
        <f>IF(A11&lt;&gt;"",INDEX('Base de données'!A$4:L$990,MATCH(A11,'Base de données'!A$4:A$990,0),12),"")</f>
        <v>NAJAT SAOUD</v>
      </c>
      <c r="D11" s="541">
        <v>43997</v>
      </c>
      <c r="E11" s="542" t="s">
        <v>1294</v>
      </c>
      <c r="F11" s="541">
        <v>43997</v>
      </c>
      <c r="G11" s="542" t="s">
        <v>1295</v>
      </c>
      <c r="H11" s="541"/>
      <c r="I11" s="542"/>
      <c r="J11" s="541"/>
      <c r="K11" s="542"/>
      <c r="L11" s="541"/>
      <c r="M11" s="542"/>
      <c r="O11" s="318" t="s">
        <v>612</v>
      </c>
      <c r="P11" s="322" t="s">
        <v>605</v>
      </c>
      <c r="Q11" s="323" t="s">
        <v>610</v>
      </c>
      <c r="R11" s="322" t="s">
        <v>611</v>
      </c>
      <c r="S11" s="322" t="s">
        <v>609</v>
      </c>
      <c r="T11" s="324" t="s">
        <v>621</v>
      </c>
      <c r="U11" s="325" t="s">
        <v>639</v>
      </c>
    </row>
    <row r="12" spans="1:21" x14ac:dyDescent="0.25">
      <c r="A12" s="540">
        <v>293</v>
      </c>
      <c r="B12" s="152" t="str">
        <f>IF(A12&lt;&gt;"",INDEX('Base de données'!A$4:L$990,MATCH(A12,'Base de données'!A$4:A$990,0),2),"")</f>
        <v xml:space="preserve">TRAM WORK </v>
      </c>
      <c r="C12" s="154" t="str">
        <f>IF(A12&lt;&gt;"",INDEX('Base de données'!A$4:L$990,MATCH(A12,'Base de données'!A$4:A$990,0),12),"")</f>
        <v>NAJAT SAOUD</v>
      </c>
      <c r="D12" s="541">
        <v>44007</v>
      </c>
      <c r="E12" s="542" t="s">
        <v>1297</v>
      </c>
      <c r="F12" s="541"/>
      <c r="G12" s="542"/>
      <c r="H12" s="541"/>
      <c r="I12" s="542"/>
      <c r="J12" s="541"/>
      <c r="K12" s="542"/>
      <c r="L12" s="541"/>
      <c r="M12" s="542"/>
      <c r="O12" s="175" t="s">
        <v>613</v>
      </c>
      <c r="P12" s="175">
        <f>COUNTIFS(C10:C300,Q8,F10:F300,"&lt;&gt;"&amp;"")</f>
        <v>7</v>
      </c>
      <c r="Q12" s="175">
        <f>COUNTIFS(C10:C300,Q8,F10:F300,"&lt;="&amp;'Calendrier fiscal'!E26)</f>
        <v>1</v>
      </c>
      <c r="R12" s="175">
        <f>COUNTIFS(C10:C200,Q8,F10:F200,"&lt;="&amp;'Calendrier fiscal'!B26)</f>
        <v>1</v>
      </c>
      <c r="S12" s="175">
        <f>P12-R12</f>
        <v>6</v>
      </c>
      <c r="T12" s="320">
        <f>IF(P12&lt;&gt;0,Q12/P12,"")</f>
        <v>0.14285714285714285</v>
      </c>
      <c r="U12" s="321">
        <f>IF(P12&lt;&gt;0,R12/P12,"")</f>
        <v>0.14285714285714285</v>
      </c>
    </row>
    <row r="13" spans="1:21" x14ac:dyDescent="0.25">
      <c r="A13" s="540">
        <v>94</v>
      </c>
      <c r="B13" s="152" t="str">
        <f>IF(A13&lt;&gt;"",INDEX('Base de données'!A$4:L$990,MATCH(A13,'Base de données'!A$4:A$990,0),2),"")</f>
        <v>MARIGHA CONSTRUCTION</v>
      </c>
      <c r="C13" s="154" t="str">
        <f>IF(A13&lt;&gt;"",INDEX('Base de données'!A$4:L$990,MATCH(A13,'Base de données'!A$4:A$990,0),12),"")</f>
        <v>NAJAT SAOUD</v>
      </c>
      <c r="D13" s="541">
        <v>44012</v>
      </c>
      <c r="E13" s="542" t="s">
        <v>1299</v>
      </c>
      <c r="F13" s="541">
        <v>44012</v>
      </c>
      <c r="G13" s="542" t="s">
        <v>1300</v>
      </c>
      <c r="H13" s="541">
        <v>44012</v>
      </c>
      <c r="I13" s="542" t="s">
        <v>1301</v>
      </c>
      <c r="J13" s="541">
        <v>44186</v>
      </c>
      <c r="K13" s="542" t="s">
        <v>1448</v>
      </c>
      <c r="L13" s="541">
        <v>44186</v>
      </c>
      <c r="M13" s="542" t="s">
        <v>1449</v>
      </c>
      <c r="O13" s="175" t="s">
        <v>614</v>
      </c>
      <c r="P13" s="175">
        <f>COUNTIFS(C10:C300,Q8,H10:H300,"&lt;&gt;"&amp;"")</f>
        <v>7</v>
      </c>
      <c r="Q13" s="175">
        <f>COUNTIFS(C10:C300,Q8,H10:H300,"&lt;="&amp;'Calendrier fiscal'!E27)</f>
        <v>2</v>
      </c>
      <c r="R13" s="175">
        <f>COUNTIFS(C10:C200,Q8,H10:H200,"&lt;="&amp;'Calendrier fiscal'!B27)</f>
        <v>7</v>
      </c>
      <c r="S13" s="175">
        <f>P13-R13</f>
        <v>0</v>
      </c>
      <c r="T13" s="320">
        <f t="shared" ref="T13:T16" si="0">IF(P13&lt;&gt;0,Q13/P13,"")</f>
        <v>0.2857142857142857</v>
      </c>
      <c r="U13" s="321">
        <f t="shared" ref="U13:U16" si="1">IF(P13&lt;&gt;0,R13/P13,"")</f>
        <v>1</v>
      </c>
    </row>
    <row r="14" spans="1:21" x14ac:dyDescent="0.25">
      <c r="A14" s="540">
        <v>14</v>
      </c>
      <c r="B14" s="152" t="str">
        <f>IF(A14&lt;&gt;"",INDEX('Base de données'!A$4:L$990,MATCH(A14,'Base de données'!A$4:A$990,0),2),"")</f>
        <v>MOUZINE CAR</v>
      </c>
      <c r="C14" s="154" t="str">
        <f>IF(A14&lt;&gt;"",INDEX('Base de données'!A$4:L$990,MATCH(A14,'Base de données'!A$4:A$990,0),12),"")</f>
        <v>NAJAT SAOUD</v>
      </c>
      <c r="D14" s="541">
        <v>44012</v>
      </c>
      <c r="E14" s="542" t="s">
        <v>1303</v>
      </c>
      <c r="F14" s="541"/>
      <c r="G14" s="542"/>
      <c r="H14" s="541"/>
      <c r="I14" s="542"/>
      <c r="J14" s="541"/>
      <c r="K14" s="542"/>
      <c r="L14" s="541"/>
      <c r="M14" s="542"/>
      <c r="O14" s="175" t="s">
        <v>615</v>
      </c>
      <c r="P14" s="175">
        <f>COUNTIFS(C10:C300,Q8,J10:J300,"&lt;&gt;"&amp;"")</f>
        <v>1</v>
      </c>
      <c r="Q14" s="175">
        <f>COUNTIFS(C10:C300,Q8,J10:J300,"&lt;="&amp;'Calendrier fiscal'!E28)</f>
        <v>1</v>
      </c>
      <c r="R14" s="175">
        <f>COUNTIFS(C10:C200,Q8,J10:J200,"&lt;="&amp;'Calendrier fiscal'!B28)</f>
        <v>1</v>
      </c>
      <c r="S14" s="175">
        <f>P14-R14</f>
        <v>0</v>
      </c>
      <c r="T14" s="320">
        <f t="shared" si="0"/>
        <v>1</v>
      </c>
      <c r="U14" s="321">
        <f t="shared" si="1"/>
        <v>1</v>
      </c>
    </row>
    <row r="15" spans="1:21" x14ac:dyDescent="0.25">
      <c r="A15" s="540">
        <v>279</v>
      </c>
      <c r="B15" s="152" t="str">
        <f>IF(A15&lt;&gt;"",INDEX('Base de données'!A$4:L$990,MATCH(A15,'Base de données'!A$4:A$990,0),2),"")</f>
        <v>SANICLAIR</v>
      </c>
      <c r="C15" s="154" t="str">
        <f>IF(A15&lt;&gt;"",INDEX('Base de données'!A$4:L$990,MATCH(A15,'Base de données'!A$4:A$990,0),12),"")</f>
        <v>FATIMA EZZAHRA JAIZI</v>
      </c>
      <c r="D15" s="541">
        <v>43902</v>
      </c>
      <c r="E15" s="610" t="s">
        <v>1283</v>
      </c>
      <c r="F15" s="541">
        <v>43902</v>
      </c>
      <c r="G15" s="610" t="s">
        <v>1284</v>
      </c>
      <c r="H15" s="541">
        <v>44007</v>
      </c>
      <c r="I15" s="542" t="s">
        <v>1315</v>
      </c>
      <c r="J15" s="541">
        <v>44098</v>
      </c>
      <c r="K15" s="542" t="s">
        <v>1392</v>
      </c>
      <c r="L15" s="541"/>
      <c r="M15" s="542"/>
      <c r="O15" s="175" t="s">
        <v>616</v>
      </c>
      <c r="P15" s="175">
        <f>COUNTIFS(C10:C300,Q8,L10:L300,"&lt;&gt;"&amp;"")</f>
        <v>0</v>
      </c>
      <c r="Q15" s="175">
        <f>COUNTIFS(C10:C300,Q8,L10:L300,"&lt;="&amp;'Calendrier fiscal'!E29)</f>
        <v>0</v>
      </c>
      <c r="R15" s="175">
        <f>COUNTIFS(C10:C200,Q8,L10:L200,"&lt;="&amp;'Calendrier fiscal'!B29)</f>
        <v>0</v>
      </c>
      <c r="S15" s="175">
        <f>P15-R15</f>
        <v>0</v>
      </c>
      <c r="T15" s="320" t="str">
        <f t="shared" si="0"/>
        <v/>
      </c>
      <c r="U15" s="321" t="str">
        <f t="shared" si="1"/>
        <v/>
      </c>
    </row>
    <row r="16" spans="1:21" x14ac:dyDescent="0.25">
      <c r="A16" s="540">
        <v>29</v>
      </c>
      <c r="B16" s="152" t="str">
        <f>IF(A16&lt;&gt;"",INDEX('Base de données'!A$4:L$990,MATCH(A16,'Base de données'!A$4:A$990,0),2),"")</f>
        <v>HYDROLEADER</v>
      </c>
      <c r="C16" s="154" t="str">
        <f>IF(A16&lt;&gt;"",INDEX('Base de données'!A$4:L$990,MATCH(A16,'Base de données'!A$4:A$990,0),12),"")</f>
        <v>FATIMA EZZAHRA JAIZI</v>
      </c>
      <c r="D16" s="541">
        <v>43902</v>
      </c>
      <c r="E16" s="610" t="s">
        <v>1285</v>
      </c>
      <c r="F16" s="541">
        <v>43902</v>
      </c>
      <c r="G16" s="610" t="s">
        <v>1318</v>
      </c>
      <c r="H16" s="541">
        <v>44009</v>
      </c>
      <c r="I16" s="610" t="s">
        <v>1309</v>
      </c>
      <c r="J16" s="541">
        <v>44099</v>
      </c>
      <c r="K16" s="610" t="s">
        <v>1393</v>
      </c>
      <c r="L16" s="541"/>
      <c r="M16" s="542"/>
      <c r="O16" s="319" t="s">
        <v>523</v>
      </c>
      <c r="P16" s="175">
        <f>COUNTIFS(C10:C300,Q8,D10:D300,"&lt;&gt;"&amp;"")</f>
        <v>6</v>
      </c>
      <c r="Q16" s="175">
        <f>COUNTIFS(C10:C300,Q8,D10:D300,"&lt;="&amp;'Calendrier fiscal'!E30)</f>
        <v>6</v>
      </c>
      <c r="R16" s="175">
        <f>COUNTIFS(C10:C300,Q8,D10:D300,"&lt;="&amp;'Calendrier fiscal'!D30)</f>
        <v>6</v>
      </c>
      <c r="S16" s="175">
        <f>P16-R16</f>
        <v>0</v>
      </c>
      <c r="T16" s="320">
        <f t="shared" si="0"/>
        <v>1</v>
      </c>
      <c r="U16" s="321">
        <f t="shared" si="1"/>
        <v>1</v>
      </c>
    </row>
    <row r="17" spans="1:13" x14ac:dyDescent="0.25">
      <c r="A17" s="540">
        <v>112</v>
      </c>
      <c r="B17" s="152" t="str">
        <f>IF(A17&lt;&gt;"",INDEX('Base de données'!A$4:L$990,MATCH(A17,'Base de données'!A$4:A$990,0),2),"")</f>
        <v>STE GOUNDA PROPRE</v>
      </c>
      <c r="C17" s="154" t="str">
        <f>IF(A17&lt;&gt;"",INDEX('Base de données'!A$4:L$990,MATCH(A17,'Base de données'!A$4:A$990,0),12),"")</f>
        <v>FATIMA EZZAHRA JAIZI</v>
      </c>
      <c r="D17" s="541">
        <v>43903</v>
      </c>
      <c r="E17" s="610" t="s">
        <v>1287</v>
      </c>
      <c r="F17" s="541">
        <v>43903</v>
      </c>
      <c r="G17" s="610" t="s">
        <v>1288</v>
      </c>
      <c r="H17" s="541">
        <v>44011</v>
      </c>
      <c r="I17" s="542" t="s">
        <v>1313</v>
      </c>
      <c r="J17" s="541">
        <v>44103</v>
      </c>
      <c r="K17" s="542" t="s">
        <v>1400</v>
      </c>
      <c r="L17" s="541"/>
      <c r="M17" s="542"/>
    </row>
    <row r="18" spans="1:13" x14ac:dyDescent="0.25">
      <c r="A18" s="540">
        <v>244</v>
      </c>
      <c r="B18" s="152" t="str">
        <f>IF(A18&lt;&gt;"",INDEX('Base de données'!A$4:L$990,MATCH(A18,'Base de données'!A$4:A$990,0),2),"")</f>
        <v xml:space="preserve">AKB </v>
      </c>
      <c r="C18" s="154" t="str">
        <f>IF(A18&lt;&gt;"",INDEX('Base de données'!A$4:L$990,MATCH(A18,'Base de données'!A$4:A$990,0),12),"")</f>
        <v>FATIMA EZZAHRA JAIZI</v>
      </c>
      <c r="D18" s="541">
        <v>43910</v>
      </c>
      <c r="E18" s="610" t="s">
        <v>1292</v>
      </c>
      <c r="F18" s="541">
        <v>43910</v>
      </c>
      <c r="G18" s="610" t="s">
        <v>1293</v>
      </c>
      <c r="H18" s="541">
        <v>44007</v>
      </c>
      <c r="I18" s="542" t="s">
        <v>1319</v>
      </c>
      <c r="J18" s="541"/>
      <c r="K18" s="610"/>
      <c r="L18" s="541"/>
      <c r="M18" s="542"/>
    </row>
    <row r="19" spans="1:13" x14ac:dyDescent="0.25">
      <c r="A19" s="540">
        <v>278</v>
      </c>
      <c r="B19" s="152" t="str">
        <f>IF(A19&lt;&gt;"",INDEX('Base de données'!A$4:L$990,MATCH(A19,'Base de données'!A$4:A$990,0),2),"")</f>
        <v>GMARK GROUPE</v>
      </c>
      <c r="C19" s="154" t="str">
        <f>IF(A19&lt;&gt;"",INDEX('Base de données'!A$4:L$990,MATCH(A19,'Base de données'!A$4:A$990,0),12),"")</f>
        <v>FATIMA EZZAHRA JAIZI</v>
      </c>
      <c r="D19" s="541">
        <v>44012</v>
      </c>
      <c r="E19" s="610" t="s">
        <v>1305</v>
      </c>
      <c r="F19" s="541">
        <v>44012</v>
      </c>
      <c r="G19" s="542" t="s">
        <v>1306</v>
      </c>
      <c r="H19" s="541">
        <v>44012</v>
      </c>
      <c r="I19" s="542" t="s">
        <v>1307</v>
      </c>
      <c r="J19" s="541">
        <v>44104</v>
      </c>
      <c r="K19" s="542" t="s">
        <v>1432</v>
      </c>
      <c r="L19" s="541"/>
      <c r="M19" s="542"/>
    </row>
    <row r="20" spans="1:13" x14ac:dyDescent="0.25">
      <c r="A20" s="540">
        <v>222</v>
      </c>
      <c r="B20" s="152" t="str">
        <f>IF(A20&lt;&gt;"",INDEX('Base de données'!A$4:L$990,MATCH(A20,'Base de données'!A$4:A$990,0),2),"")</f>
        <v>PRO-NATURA</v>
      </c>
      <c r="C20" s="154" t="str">
        <f>IF(A20&lt;&gt;"",INDEX('Base de données'!A$4:L$990,MATCH(A20,'Base de données'!A$4:A$990,0),12),"")</f>
        <v>FATIMA EZZAHRA JAIZI</v>
      </c>
      <c r="D20" s="541"/>
      <c r="E20" s="610"/>
      <c r="F20" s="541"/>
      <c r="G20" s="610"/>
      <c r="H20" s="541">
        <v>44007</v>
      </c>
      <c r="I20" s="542" t="s">
        <v>1308</v>
      </c>
      <c r="J20" s="541">
        <v>44099</v>
      </c>
      <c r="K20" s="542" t="s">
        <v>1394</v>
      </c>
      <c r="L20" s="541"/>
      <c r="M20" s="542"/>
    </row>
    <row r="21" spans="1:13" x14ac:dyDescent="0.25">
      <c r="A21" s="540">
        <v>102</v>
      </c>
      <c r="B21" s="152" t="str">
        <f>IF(A21&lt;&gt;"",INDEX('Base de données'!A$4:L$990,MATCH(A21,'Base de données'!A$4:A$990,0),2),"")</f>
        <v>DIMAG</v>
      </c>
      <c r="C21" s="154" t="str">
        <f>IF(A21&lt;&gt;"",INDEX('Base de données'!A$4:L$990,MATCH(A21,'Base de données'!A$4:A$990,0),12),"")</f>
        <v>FATIMA EZZAHRA JAIZI</v>
      </c>
      <c r="D21" s="541">
        <v>44007</v>
      </c>
      <c r="E21" s="542" t="s">
        <v>1314</v>
      </c>
      <c r="F21" s="541">
        <v>44007</v>
      </c>
      <c r="G21" s="610" t="s">
        <v>1316</v>
      </c>
      <c r="H21" s="541">
        <v>44007</v>
      </c>
      <c r="I21" s="542" t="s">
        <v>1317</v>
      </c>
      <c r="J21" s="541">
        <v>44104</v>
      </c>
      <c r="K21" s="542" t="s">
        <v>1434</v>
      </c>
      <c r="L21" s="541"/>
      <c r="M21" s="542"/>
    </row>
    <row r="22" spans="1:13" x14ac:dyDescent="0.25">
      <c r="A22" s="540">
        <v>62</v>
      </c>
      <c r="B22" s="152" t="str">
        <f>IF(A22&lt;&gt;"",INDEX('Base de données'!A$4:L$990,MATCH(A22,'Base de données'!A$4:A$990,0),2),"")</f>
        <v>CIB INVEST</v>
      </c>
      <c r="C22" s="154" t="str">
        <f>IF(A22&lt;&gt;"",INDEX('Base de données'!A$4:L$990,MATCH(A22,'Base de données'!A$4:A$990,0),12),"")</f>
        <v>FATIMA EZZAHRA AIT AHMED</v>
      </c>
      <c r="D22" s="541">
        <v>44009</v>
      </c>
      <c r="E22" s="542" t="s">
        <v>1344</v>
      </c>
      <c r="F22" s="541">
        <v>44009</v>
      </c>
      <c r="G22" s="610" t="s">
        <v>1343</v>
      </c>
      <c r="H22" s="541">
        <v>44009</v>
      </c>
      <c r="I22" s="542" t="s">
        <v>1342</v>
      </c>
      <c r="J22" s="541"/>
      <c r="K22" s="542"/>
      <c r="L22" s="541"/>
      <c r="M22" s="542"/>
    </row>
    <row r="23" spans="1:13" x14ac:dyDescent="0.25">
      <c r="A23" s="540">
        <v>331</v>
      </c>
      <c r="B23" s="152" t="str">
        <f>IF(A23&lt;&gt;"",INDEX('Base de données'!A$4:L$990,MATCH(A23,'Base de données'!A$4:A$990,0),2),"")</f>
        <v xml:space="preserve">SINDY CONFECTION </v>
      </c>
      <c r="C23" s="154" t="str">
        <f>IF(A23&lt;&gt;"",INDEX('Base de données'!A$4:L$990,MATCH(A23,'Base de données'!A$4:A$990,0),12),"")</f>
        <v>FATIMA EZZAHRA AIT AHMED</v>
      </c>
      <c r="D23" s="541">
        <v>44012</v>
      </c>
      <c r="E23" s="542" t="s">
        <v>1345</v>
      </c>
      <c r="F23" s="541">
        <v>44012</v>
      </c>
      <c r="G23" s="542" t="s">
        <v>1346</v>
      </c>
      <c r="H23" s="541">
        <v>44012</v>
      </c>
      <c r="I23" s="542" t="s">
        <v>1347</v>
      </c>
      <c r="J23" s="541"/>
      <c r="K23" s="542"/>
      <c r="L23" s="541"/>
      <c r="M23" s="542"/>
    </row>
    <row r="24" spans="1:13" x14ac:dyDescent="0.25">
      <c r="A24" s="540">
        <v>315</v>
      </c>
      <c r="B24" s="152" t="str">
        <f>IF(A24&lt;&gt;"",INDEX('Base de données'!A$4:L$990,MATCH(A24,'Base de données'!A$4:A$990,0),2),"")</f>
        <v>ZA TECHNOLOGY</v>
      </c>
      <c r="C24" s="154" t="str">
        <f>IF(A24&lt;&gt;"",INDEX('Base de données'!A$4:L$990,MATCH(A24,'Base de données'!A$4:A$990,0),12),"")</f>
        <v>FATIMA EZZAHRA AIT AHMED</v>
      </c>
      <c r="D24" s="541">
        <v>43992</v>
      </c>
      <c r="E24" s="542" t="s">
        <v>1348</v>
      </c>
      <c r="F24" s="541">
        <v>43992</v>
      </c>
      <c r="G24" s="542" t="s">
        <v>1349</v>
      </c>
      <c r="H24" s="541">
        <v>43992</v>
      </c>
      <c r="I24" s="542" t="s">
        <v>1350</v>
      </c>
      <c r="J24" s="541"/>
      <c r="K24" s="542"/>
      <c r="L24" s="541"/>
      <c r="M24" s="542"/>
    </row>
    <row r="25" spans="1:13" x14ac:dyDescent="0.25">
      <c r="A25" s="540">
        <v>306</v>
      </c>
      <c r="B25" s="152" t="str">
        <f>IF(A25&lt;&gt;"",INDEX('Base de données'!A$4:L$990,MATCH(A25,'Base de données'!A$4:A$990,0),2),"")</f>
        <v xml:space="preserve">IN STYLE TRAVEL &amp; EVENTS </v>
      </c>
      <c r="C25" s="154" t="str">
        <f>IF(A25&lt;&gt;"",INDEX('Base de données'!A$4:L$990,MATCH(A25,'Base de données'!A$4:A$990,0),12),"")</f>
        <v>FATIMA EZZAHRA AIT AHMED</v>
      </c>
      <c r="D25" s="541"/>
      <c r="E25" s="542"/>
      <c r="F25" s="541"/>
      <c r="G25" s="542"/>
      <c r="H25" s="541">
        <v>44009</v>
      </c>
      <c r="I25" s="542" t="s">
        <v>1358</v>
      </c>
      <c r="J25" s="541"/>
      <c r="K25" s="542"/>
      <c r="L25" s="541"/>
      <c r="M25" s="542"/>
    </row>
    <row r="26" spans="1:13" x14ac:dyDescent="0.25">
      <c r="A26" s="540">
        <v>192</v>
      </c>
      <c r="B26" s="152" t="str">
        <f>IF(A26&lt;&gt;"",INDEX('Base de données'!A$4:L$990,MATCH(A26,'Base de données'!A$4:A$990,0),2),"")</f>
        <v>JACARANDA CAR</v>
      </c>
      <c r="C26" s="154" t="str">
        <f>IF(A26&lt;&gt;"",INDEX('Base de données'!A$4:L$990,MATCH(A26,'Base de données'!A$4:A$990,0),12),"")</f>
        <v>FATIMA EZZAHRA AIT AHMED</v>
      </c>
      <c r="D26" s="541">
        <v>44007</v>
      </c>
      <c r="E26" s="542" t="s">
        <v>1360</v>
      </c>
      <c r="F26" s="541">
        <v>44007</v>
      </c>
      <c r="G26" s="542" t="s">
        <v>1361</v>
      </c>
      <c r="H26" s="541">
        <v>44007</v>
      </c>
      <c r="I26" s="542" t="s">
        <v>1362</v>
      </c>
      <c r="J26" s="541"/>
      <c r="K26" s="542"/>
      <c r="L26" s="541"/>
      <c r="M26" s="542"/>
    </row>
    <row r="27" spans="1:13" x14ac:dyDescent="0.25">
      <c r="A27" s="540">
        <v>283</v>
      </c>
      <c r="B27" s="152" t="str">
        <f>IF(A27&lt;&gt;"",INDEX('Base de données'!A$4:L$990,MATCH(A27,'Base de données'!A$4:A$990,0),2),"")</f>
        <v xml:space="preserve">AZTAT TREX </v>
      </c>
      <c r="C27" s="154" t="str">
        <f>IF(A27&lt;&gt;"",INDEX('Base de données'!A$4:L$990,MATCH(A27,'Base de données'!A$4:A$990,0),12),"")</f>
        <v>FATIMA EZZAHRA AIT AHMED</v>
      </c>
      <c r="D27" s="541">
        <v>43904</v>
      </c>
      <c r="E27" t="s">
        <v>1366</v>
      </c>
      <c r="F27" s="541">
        <v>43904</v>
      </c>
      <c r="G27" t="s">
        <v>1367</v>
      </c>
      <c r="H27" s="541">
        <v>44009</v>
      </c>
      <c r="I27" s="542" t="s">
        <v>1365</v>
      </c>
      <c r="J27" s="541"/>
      <c r="K27" s="542"/>
      <c r="L27" s="541"/>
      <c r="M27" s="542"/>
    </row>
    <row r="28" spans="1:13" x14ac:dyDescent="0.25">
      <c r="A28" s="540">
        <v>1</v>
      </c>
      <c r="B28" s="152" t="str">
        <f>IF(A28&lt;&gt;"",INDEX('Base de données'!A$4:L$990,MATCH(A28,'Base de données'!A$4:A$990,0),2),"")</f>
        <v>STE WAY CONSEIL</v>
      </c>
      <c r="C28" s="154" t="str">
        <f>IF(A28&lt;&gt;"",INDEX('Base de données'!A$4:L$990,MATCH(A28,'Base de données'!A$4:A$990,0),12),"")</f>
        <v>KHAMISSA HDIMANE</v>
      </c>
      <c r="D28" s="541"/>
      <c r="E28" s="542"/>
      <c r="F28" s="541">
        <v>43906</v>
      </c>
      <c r="G28" s="542" t="s">
        <v>1370</v>
      </c>
      <c r="H28" s="541">
        <v>44012</v>
      </c>
      <c r="I28" s="542" t="s">
        <v>1371</v>
      </c>
      <c r="J28" s="541"/>
      <c r="K28" s="542"/>
      <c r="L28" s="541"/>
      <c r="M28" s="542"/>
    </row>
    <row r="29" spans="1:13" x14ac:dyDescent="0.25">
      <c r="A29" s="540">
        <v>78</v>
      </c>
      <c r="B29" s="152" t="str">
        <f>IF(A29&lt;&gt;"",INDEX('Base de données'!A$4:L$990,MATCH(A29,'Base de données'!A$4:A$990,0),2),"")</f>
        <v>DECOUSTA</v>
      </c>
      <c r="C29" s="154" t="str">
        <f>IF(A29&lt;&gt;"",INDEX('Base de données'!A$4:L$990,MATCH(A29,'Base de données'!A$4:A$990,0),12),"")</f>
        <v>KHAMISSA HDIMANE</v>
      </c>
      <c r="D29" s="541">
        <v>44011</v>
      </c>
      <c r="E29" s="542" t="s">
        <v>1376</v>
      </c>
      <c r="F29" s="541">
        <v>44011</v>
      </c>
      <c r="G29" s="542" t="s">
        <v>1375</v>
      </c>
      <c r="H29" s="541">
        <v>44011</v>
      </c>
      <c r="I29" s="542" t="s">
        <v>1374</v>
      </c>
      <c r="J29" s="541"/>
      <c r="K29" s="542"/>
      <c r="L29" s="541"/>
      <c r="M29" s="542"/>
    </row>
    <row r="30" spans="1:13" x14ac:dyDescent="0.25">
      <c r="A30" s="540">
        <v>89</v>
      </c>
      <c r="B30" s="152" t="str">
        <f>IF(A30&lt;&gt;"",INDEX('Base de données'!A$4:L$990,MATCH(A30,'Base de données'!A$4:A$990,0),2),"")</f>
        <v>STE DE SUD POUR
 L'INGENIERIE 
TOPOGRAPHIQUE</v>
      </c>
      <c r="C30" s="154" t="str">
        <f>IF(A30&lt;&gt;"",INDEX('Base de données'!A$4:L$990,MATCH(A30,'Base de données'!A$4:A$990,0),12),"")</f>
        <v>KHAMISSA HDIMANE</v>
      </c>
      <c r="D30" s="541">
        <v>43964</v>
      </c>
      <c r="E30" s="542" t="s">
        <v>1389</v>
      </c>
      <c r="F30" s="541">
        <v>43964</v>
      </c>
      <c r="G30" s="542" t="s">
        <v>1390</v>
      </c>
      <c r="H30" s="541">
        <v>43990</v>
      </c>
      <c r="I30" s="542" t="s">
        <v>1372</v>
      </c>
      <c r="J30" s="541"/>
      <c r="K30" s="542"/>
      <c r="L30" s="541"/>
      <c r="M30" s="542"/>
    </row>
    <row r="31" spans="1:13" x14ac:dyDescent="0.25">
      <c r="A31" s="540">
        <v>155</v>
      </c>
      <c r="B31" s="152" t="str">
        <f>IF(A31&lt;&gt;"",INDEX('Base de données'!A$4:L$990,MATCH(A31,'Base de données'!A$4:A$990,0),2),"")</f>
        <v>DIROSA</v>
      </c>
      <c r="C31" s="154" t="str">
        <f>IF(A31&lt;&gt;"",INDEX('Base de données'!A$4:L$990,MATCH(A31,'Base de données'!A$4:A$990,0),12),"")</f>
        <v>KHAMISSA HDIMANE</v>
      </c>
      <c r="D31" s="541"/>
      <c r="E31" s="542"/>
      <c r="F31" s="541"/>
      <c r="G31" s="542"/>
      <c r="H31" s="541"/>
      <c r="I31" s="542"/>
      <c r="J31" s="541"/>
      <c r="K31" s="542"/>
      <c r="L31" s="541"/>
      <c r="M31" s="542"/>
    </row>
    <row r="32" spans="1:13" x14ac:dyDescent="0.25">
      <c r="A32" s="540">
        <v>135</v>
      </c>
      <c r="B32" s="152" t="str">
        <f>IF(A32&lt;&gt;"",INDEX('Base de données'!A$4:L$990,MATCH(A32,'Base de données'!A$4:A$990,0),2),"")</f>
        <v>STE R2N CARS SARL</v>
      </c>
      <c r="C32" s="154" t="str">
        <f>IF(A32&lt;&gt;"",INDEX('Base de données'!A$4:L$990,MATCH(A32,'Base de données'!A$4:A$990,0),12),"")</f>
        <v>KHAMISSA HDIMANE</v>
      </c>
      <c r="D32" s="541"/>
      <c r="E32" s="542"/>
      <c r="F32" s="541"/>
      <c r="G32" s="542"/>
      <c r="H32" s="541"/>
      <c r="I32" s="542"/>
      <c r="J32" s="541"/>
      <c r="K32" s="542"/>
      <c r="L32" s="541"/>
      <c r="M32" s="542"/>
    </row>
    <row r="33" spans="1:13" x14ac:dyDescent="0.25">
      <c r="A33" s="540">
        <v>291</v>
      </c>
      <c r="B33" s="152" t="str">
        <f>IF(A33&lt;&gt;"",INDEX('Base de données'!A$4:L$990,MATCH(A33,'Base de données'!A$4:A$990,0),2),"")</f>
        <v>ECOLE WAHAT AL ATFAL
 PRIVEE</v>
      </c>
      <c r="C33" s="154" t="str">
        <f>IF(A33&lt;&gt;"",INDEX('Base de données'!A$4:L$990,MATCH(A33,'Base de données'!A$4:A$990,0),12),"")</f>
        <v>KHAMISSA HDIMANE</v>
      </c>
      <c r="D33" s="541">
        <v>43984</v>
      </c>
      <c r="E33" s="542" t="s">
        <v>1377</v>
      </c>
      <c r="F33" s="541">
        <v>43984</v>
      </c>
      <c r="G33" s="542" t="s">
        <v>1378</v>
      </c>
      <c r="H33" s="541">
        <v>43995</v>
      </c>
      <c r="I33" s="542" t="s">
        <v>1373</v>
      </c>
      <c r="J33" s="541"/>
      <c r="K33" s="542"/>
      <c r="L33" s="541"/>
      <c r="M33" s="542"/>
    </row>
    <row r="34" spans="1:13" x14ac:dyDescent="0.25">
      <c r="A34" s="540">
        <v>267</v>
      </c>
      <c r="B34" s="152" t="str">
        <f>IF(A34&lt;&gt;"",INDEX('Base de données'!A$4:L$990,MATCH(A34,'Base de données'!A$4:A$990,0),2),"")</f>
        <v>ECOLE AL ITQUANE PRIVE</v>
      </c>
      <c r="C34" s="154" t="str">
        <f>IF(A34&lt;&gt;"",INDEX('Base de données'!A$4:L$990,MATCH(A34,'Base de données'!A$4:A$990,0),12),"")</f>
        <v>KHAMISSA HDIMANE</v>
      </c>
      <c r="D34" s="541">
        <v>44012</v>
      </c>
      <c r="E34" s="542" t="s">
        <v>1379</v>
      </c>
      <c r="F34" s="541"/>
      <c r="G34" s="542"/>
      <c r="H34" s="541"/>
      <c r="I34" s="542"/>
      <c r="J34" s="541"/>
      <c r="K34" s="542"/>
      <c r="L34" s="541"/>
      <c r="M34" s="542"/>
    </row>
    <row r="35" spans="1:13" x14ac:dyDescent="0.25">
      <c r="A35" s="540">
        <v>17</v>
      </c>
      <c r="B35" s="152" t="str">
        <f>IF(A35&lt;&gt;"",INDEX('Base de données'!A$4:L$990,MATCH(A35,'Base de données'!A$4:A$990,0),2),"")</f>
        <v>STE BUREAU D ETUDE
 MANAGEMENT ET
 COMMUNICATION</v>
      </c>
      <c r="C35" s="154" t="str">
        <f>IF(A35&lt;&gt;"",INDEX('Base de données'!A$4:L$990,MATCH(A35,'Base de données'!A$4:A$990,0),12),"")</f>
        <v>KHAMISSA HDIMANE</v>
      </c>
      <c r="D35" s="541">
        <v>44011</v>
      </c>
      <c r="E35" s="542" t="s">
        <v>1380</v>
      </c>
      <c r="F35" s="541">
        <v>44011</v>
      </c>
      <c r="G35" s="542" t="s">
        <v>1381</v>
      </c>
      <c r="H35" s="541">
        <v>44011</v>
      </c>
      <c r="I35" s="542" t="s">
        <v>1382</v>
      </c>
      <c r="J35" s="541"/>
      <c r="K35" s="542"/>
      <c r="L35" s="541"/>
      <c r="M35" s="542"/>
    </row>
    <row r="36" spans="1:13" x14ac:dyDescent="0.25">
      <c r="A36" s="540">
        <v>142</v>
      </c>
      <c r="B36" s="152" t="str">
        <f>IF(A36&lt;&gt;"",INDEX('Base de données'!A$4:L$990,MATCH(A36,'Base de données'!A$4:A$990,0),2),"")</f>
        <v>BATIMAY</v>
      </c>
      <c r="C36" s="154" t="str">
        <f>IF(A36&lt;&gt;"",INDEX('Base de données'!A$4:L$990,MATCH(A36,'Base de données'!A$4:A$990,0),12),"")</f>
        <v>KHAMISSA HDIMANE</v>
      </c>
      <c r="D36" s="541"/>
      <c r="E36" s="542"/>
      <c r="F36" s="541">
        <v>44011</v>
      </c>
      <c r="G36" s="542" t="s">
        <v>1386</v>
      </c>
      <c r="H36" s="541">
        <v>44011</v>
      </c>
      <c r="I36" s="542" t="s">
        <v>1387</v>
      </c>
      <c r="J36" s="541">
        <v>44092</v>
      </c>
      <c r="K36" s="542" t="s">
        <v>1388</v>
      </c>
      <c r="L36" s="541"/>
      <c r="M36" s="542"/>
    </row>
    <row r="37" spans="1:13" x14ac:dyDescent="0.25">
      <c r="A37" s="540">
        <v>194</v>
      </c>
      <c r="B37" s="152" t="str">
        <f>IF(A37&lt;&gt;"",INDEX('Base de données'!A$4:L$990,MATCH(A37,'Base de données'!A$4:A$990,0),2),"")</f>
        <v>PHARMACIE MENDELEEV</v>
      </c>
      <c r="C37" s="154" t="str">
        <f>IF(A37&lt;&gt;"",INDEX('Base de données'!A$4:L$990,MATCH(A37,'Base de données'!A$4:A$990,0),12),"")</f>
        <v>KHAMISSA HDIMANE</v>
      </c>
      <c r="D37" s="541">
        <v>44011</v>
      </c>
      <c r="E37" s="542" t="s">
        <v>1383</v>
      </c>
      <c r="F37" s="541">
        <v>44011</v>
      </c>
      <c r="G37" s="542" t="s">
        <v>1385</v>
      </c>
      <c r="H37" s="541">
        <v>44011</v>
      </c>
      <c r="I37" s="542" t="s">
        <v>1384</v>
      </c>
      <c r="J37" s="541"/>
      <c r="K37" s="542"/>
      <c r="L37" s="541"/>
      <c r="M37" s="542"/>
    </row>
    <row r="38" spans="1:13" x14ac:dyDescent="0.25">
      <c r="A38" s="540"/>
      <c r="B38" s="152" t="str">
        <f>IF(A38&lt;&gt;"",INDEX('Base de données'!A$4:L$990,MATCH(A38,'Base de données'!A$4:A$990,0),2),"")</f>
        <v/>
      </c>
      <c r="C38" s="154" t="str">
        <f>IF(A38&lt;&gt;"",INDEX('Base de données'!A$4:L$990,MATCH(A38,'Base de données'!A$4:A$990,0),12),"")</f>
        <v/>
      </c>
      <c r="D38" s="541"/>
      <c r="E38" s="542"/>
      <c r="F38" s="541"/>
      <c r="G38" s="542"/>
      <c r="H38" s="541"/>
      <c r="I38" s="542"/>
      <c r="J38" s="541"/>
      <c r="K38" s="542"/>
      <c r="L38" s="541"/>
      <c r="M38" s="542"/>
    </row>
    <row r="39" spans="1:13" x14ac:dyDescent="0.25">
      <c r="A39" s="540"/>
      <c r="B39" s="152" t="str">
        <f>IF(A39&lt;&gt;"",INDEX('Base de données'!A$4:L$990,MATCH(A39,'Base de données'!A$4:A$990,0),2),"")</f>
        <v/>
      </c>
      <c r="C39" s="154" t="str">
        <f>IF(A39&lt;&gt;"",INDEX('Base de données'!A$4:L$990,MATCH(A39,'Base de données'!A$4:A$990,0),12),"")</f>
        <v/>
      </c>
      <c r="D39" s="541"/>
      <c r="E39" s="542"/>
      <c r="F39" s="541"/>
      <c r="G39" s="542"/>
      <c r="H39" s="541"/>
      <c r="I39" s="542"/>
      <c r="J39" s="541"/>
      <c r="K39" s="542"/>
      <c r="L39" s="541"/>
      <c r="M39" s="542"/>
    </row>
    <row r="40" spans="1:13" x14ac:dyDescent="0.25">
      <c r="A40" s="540"/>
      <c r="B40" s="152" t="str">
        <f>IF(A40&lt;&gt;"",INDEX('Base de données'!A$4:L$990,MATCH(A40,'Base de données'!A$4:A$990,0),2),"")</f>
        <v/>
      </c>
      <c r="C40" s="154" t="str">
        <f>IF(A40&lt;&gt;"",INDEX('Base de données'!A$4:L$990,MATCH(A40,'Base de données'!A$4:A$990,0),12),"")</f>
        <v/>
      </c>
      <c r="D40" s="541"/>
      <c r="E40" s="542"/>
      <c r="F40" s="541"/>
      <c r="G40" s="542"/>
      <c r="H40" s="541"/>
      <c r="I40" s="542"/>
      <c r="J40" s="541"/>
      <c r="K40" s="542"/>
      <c r="L40" s="541"/>
      <c r="M40" s="542"/>
    </row>
    <row r="41" spans="1:13" x14ac:dyDescent="0.25">
      <c r="A41" s="540"/>
      <c r="B41" s="152" t="str">
        <f>IF(A41&lt;&gt;"",INDEX('Base de données'!A$4:L$990,MATCH(A41,'Base de données'!A$4:A$990,0),2),"")</f>
        <v/>
      </c>
      <c r="C41" s="154" t="str">
        <f>IF(A41&lt;&gt;"",INDEX('Base de données'!A$4:L$990,MATCH(A41,'Base de données'!A$4:A$990,0),12),"")</f>
        <v/>
      </c>
      <c r="D41" s="541"/>
      <c r="E41" s="542"/>
      <c r="F41" s="541"/>
      <c r="G41" s="542"/>
      <c r="H41" s="541"/>
      <c r="I41" s="542"/>
      <c r="J41" s="541"/>
      <c r="K41" s="542"/>
      <c r="L41" s="541"/>
      <c r="M41" s="542"/>
    </row>
    <row r="42" spans="1:13" x14ac:dyDescent="0.25">
      <c r="A42" s="540"/>
      <c r="B42" s="152" t="str">
        <f>IF(A42&lt;&gt;"",INDEX('Base de données'!A$4:L$990,MATCH(A42,'Base de données'!A$4:A$990,0),2),"")</f>
        <v/>
      </c>
      <c r="C42" s="154" t="str">
        <f>IF(A42&lt;&gt;"",INDEX('Base de données'!A$4:L$990,MATCH(A42,'Base de données'!A$4:A$990,0),12),"")</f>
        <v/>
      </c>
      <c r="D42" s="541"/>
      <c r="E42" s="542"/>
      <c r="F42" s="541"/>
      <c r="G42" s="542"/>
      <c r="H42" s="541"/>
      <c r="I42" s="542"/>
      <c r="J42" s="541"/>
      <c r="K42" s="542"/>
      <c r="L42" s="541"/>
      <c r="M42" s="542"/>
    </row>
    <row r="43" spans="1:13" x14ac:dyDescent="0.25">
      <c r="A43" s="540"/>
      <c r="B43" s="152" t="str">
        <f>IF(A43&lt;&gt;"",INDEX('Base de données'!A$4:L$990,MATCH(A43,'Base de données'!A$4:A$990,0),2),"")</f>
        <v/>
      </c>
      <c r="C43" s="154" t="str">
        <f>IF(A43&lt;&gt;"",INDEX('Base de données'!A$4:L$990,MATCH(A43,'Base de données'!A$4:A$990,0),12),"")</f>
        <v/>
      </c>
      <c r="D43" s="541"/>
      <c r="E43" s="542"/>
      <c r="F43" s="541"/>
      <c r="G43" s="542"/>
      <c r="H43" s="541"/>
      <c r="I43" s="542"/>
      <c r="J43" s="541"/>
      <c r="K43" s="542"/>
      <c r="L43" s="541"/>
      <c r="M43" s="542"/>
    </row>
    <row r="44" spans="1:13" x14ac:dyDescent="0.25">
      <c r="A44" s="540"/>
      <c r="B44" s="152" t="str">
        <f>IF(A44&lt;&gt;"",INDEX('Base de données'!A$4:L$990,MATCH(A44,'Base de données'!A$4:A$990,0),2),"")</f>
        <v/>
      </c>
      <c r="C44" s="154" t="str">
        <f>IF(A44&lt;&gt;"",INDEX('Base de données'!A$4:L$990,MATCH(A44,'Base de données'!A$4:A$990,0),12),"")</f>
        <v/>
      </c>
      <c r="D44" s="541"/>
      <c r="E44" s="542"/>
      <c r="F44" s="541"/>
      <c r="G44" s="542"/>
      <c r="H44" s="541"/>
      <c r="I44" s="542"/>
      <c r="J44" s="541"/>
      <c r="K44" s="542"/>
      <c r="L44" s="541"/>
      <c r="M44" s="542"/>
    </row>
    <row r="45" spans="1:13" x14ac:dyDescent="0.25">
      <c r="A45" s="540"/>
      <c r="B45" s="152" t="str">
        <f>IF(A45&lt;&gt;"",INDEX('Base de données'!A$4:L$990,MATCH(A45,'Base de données'!A$4:A$990,0),2),"")</f>
        <v/>
      </c>
      <c r="C45" s="154" t="str">
        <f>IF(A45&lt;&gt;"",INDEX('Base de données'!A$4:L$990,MATCH(A45,'Base de données'!A$4:A$990,0),12),"")</f>
        <v/>
      </c>
      <c r="D45" s="541"/>
      <c r="E45" s="542"/>
      <c r="F45" s="541"/>
      <c r="G45" s="542"/>
      <c r="H45" s="541"/>
      <c r="I45" s="542"/>
      <c r="J45" s="541"/>
      <c r="K45" s="542"/>
      <c r="L45" s="541"/>
      <c r="M45" s="542"/>
    </row>
    <row r="46" spans="1:13" x14ac:dyDescent="0.25">
      <c r="A46" s="540"/>
      <c r="B46" s="152" t="str">
        <f>IF(A46&lt;&gt;"",INDEX('Base de données'!A$4:L$990,MATCH(A46,'Base de données'!A$4:A$990,0),2),"")</f>
        <v/>
      </c>
      <c r="C46" s="154" t="str">
        <f>IF(A46&lt;&gt;"",INDEX('Base de données'!A$4:L$990,MATCH(A46,'Base de données'!A$4:A$990,0),12),"")</f>
        <v/>
      </c>
      <c r="D46" s="541"/>
      <c r="E46" s="542"/>
      <c r="F46" s="541"/>
      <c r="G46" s="542"/>
      <c r="H46" s="541"/>
      <c r="I46" s="542"/>
      <c r="J46" s="541"/>
      <c r="K46" s="542"/>
      <c r="L46" s="541"/>
      <c r="M46" s="542"/>
    </row>
    <row r="47" spans="1:13" x14ac:dyDescent="0.25">
      <c r="A47" s="540"/>
      <c r="B47" s="152" t="str">
        <f>IF(A47&lt;&gt;"",INDEX('Base de données'!A$4:L$990,MATCH(A47,'Base de données'!A$4:A$990,0),2),"")</f>
        <v/>
      </c>
      <c r="C47" s="154" t="str">
        <f>IF(A47&lt;&gt;"",INDEX('Base de données'!A$4:L$990,MATCH(A47,'Base de données'!A$4:A$990,0),12),"")</f>
        <v/>
      </c>
      <c r="D47" s="541"/>
      <c r="E47" s="542"/>
      <c r="F47" s="541"/>
      <c r="G47" s="542"/>
      <c r="H47" s="543"/>
      <c r="I47" s="542"/>
      <c r="J47" s="541"/>
      <c r="K47" s="542"/>
      <c r="L47" s="541"/>
      <c r="M47" s="542"/>
    </row>
    <row r="48" spans="1:13" x14ac:dyDescent="0.25">
      <c r="A48" s="540"/>
      <c r="B48" s="152" t="str">
        <f>IF(A48&lt;&gt;"",INDEX('Base de données'!A$4:L$990,MATCH(A48,'Base de données'!A$4:A$990,0),2),"")</f>
        <v/>
      </c>
      <c r="C48" s="154" t="str">
        <f>IF(A48&lt;&gt;"",INDEX('Base de données'!A$4:L$990,MATCH(A48,'Base de données'!A$4:A$990,0),12),"")</f>
        <v/>
      </c>
      <c r="D48" s="543"/>
      <c r="E48" s="542"/>
      <c r="F48" s="541"/>
      <c r="G48" s="542"/>
      <c r="H48" s="541"/>
      <c r="I48" s="542"/>
      <c r="J48" s="541"/>
      <c r="K48" s="542"/>
      <c r="L48" s="541"/>
      <c r="M48" s="542"/>
    </row>
    <row r="49" spans="1:13" x14ac:dyDescent="0.25">
      <c r="A49" s="540"/>
      <c r="B49" s="152" t="str">
        <f>IF(A49&lt;&gt;"",INDEX('Base de données'!A$4:L$990,MATCH(A49,'Base de données'!A$4:A$990,0),2),"")</f>
        <v/>
      </c>
      <c r="C49" s="154" t="str">
        <f>IF(A49&lt;&gt;"",INDEX('Base de données'!A$4:L$990,MATCH(A49,'Base de données'!A$4:A$990,0),12),"")</f>
        <v/>
      </c>
      <c r="D49" s="541"/>
      <c r="E49" s="542"/>
      <c r="F49" s="541"/>
      <c r="G49" s="542"/>
      <c r="H49" s="541"/>
      <c r="I49" s="542"/>
      <c r="J49" s="541"/>
      <c r="K49" s="542"/>
      <c r="L49" s="541"/>
      <c r="M49" s="542"/>
    </row>
    <row r="50" spans="1:13" x14ac:dyDescent="0.25">
      <c r="A50" s="540"/>
      <c r="B50" s="152" t="str">
        <f>IF(A50&lt;&gt;"",INDEX('Base de données'!A$4:L$990,MATCH(A50,'Base de données'!A$4:A$990,0),2),"")</f>
        <v/>
      </c>
      <c r="C50" s="154" t="str">
        <f>IF(A50&lt;&gt;"",INDEX('Base de données'!A$4:L$990,MATCH(A50,'Base de données'!A$4:A$990,0),12),"")</f>
        <v/>
      </c>
      <c r="D50" s="541"/>
      <c r="E50" s="542"/>
      <c r="F50" s="541"/>
      <c r="G50" s="542"/>
      <c r="H50" s="541"/>
      <c r="I50" s="542"/>
      <c r="J50" s="541"/>
      <c r="K50" s="542"/>
      <c r="L50" s="541"/>
      <c r="M50" s="542"/>
    </row>
    <row r="51" spans="1:13" x14ac:dyDescent="0.25">
      <c r="A51" s="540"/>
      <c r="B51" s="152" t="str">
        <f>IF(A51&lt;&gt;"",INDEX('Base de données'!A$4:L$990,MATCH(A51,'Base de données'!A$4:A$990,0),2),"")</f>
        <v/>
      </c>
      <c r="C51" s="154" t="str">
        <f>IF(A51&lt;&gt;"",INDEX('Base de données'!A$4:L$990,MATCH(A51,'Base de données'!A$4:A$990,0),12),"")</f>
        <v/>
      </c>
      <c r="D51" s="541"/>
      <c r="E51" s="542"/>
      <c r="F51" s="541"/>
      <c r="G51" s="542"/>
      <c r="H51" s="541"/>
      <c r="I51" s="542"/>
      <c r="J51" s="541"/>
      <c r="K51" s="542"/>
      <c r="L51" s="541"/>
      <c r="M51" s="542"/>
    </row>
    <row r="52" spans="1:13" x14ac:dyDescent="0.25">
      <c r="A52" s="540"/>
      <c r="B52" s="152" t="str">
        <f>IF(A52&lt;&gt;"",INDEX('Base de données'!A$4:L$990,MATCH(A52,'Base de données'!A$4:A$990,0),2),"")</f>
        <v/>
      </c>
      <c r="C52" s="154" t="str">
        <f>IF(A52&lt;&gt;"",INDEX('Base de données'!A$4:L$990,MATCH(A52,'Base de données'!A$4:A$990,0),12),"")</f>
        <v/>
      </c>
      <c r="D52" s="541"/>
      <c r="E52" s="542"/>
      <c r="F52" s="541"/>
      <c r="G52" s="542"/>
      <c r="H52" s="541"/>
      <c r="I52" s="542"/>
      <c r="J52" s="541"/>
      <c r="K52" s="542"/>
      <c r="L52" s="541"/>
      <c r="M52" s="542"/>
    </row>
    <row r="53" spans="1:13" x14ac:dyDescent="0.25">
      <c r="A53" s="540"/>
      <c r="B53" s="152" t="str">
        <f>IF(A53&lt;&gt;"",INDEX('Base de données'!A$4:L$990,MATCH(A53,'Base de données'!A$4:A$990,0),2),"")</f>
        <v/>
      </c>
      <c r="C53" s="154" t="str">
        <f>IF(A53&lt;&gt;"",INDEX('Base de données'!A$4:L$990,MATCH(A53,'Base de données'!A$4:A$990,0),12),"")</f>
        <v/>
      </c>
      <c r="D53" s="541"/>
      <c r="E53" s="542"/>
      <c r="F53" s="541"/>
      <c r="G53" s="542"/>
      <c r="H53" s="541"/>
      <c r="I53" s="542"/>
      <c r="J53" s="541"/>
      <c r="K53" s="542"/>
      <c r="L53" s="541"/>
      <c r="M53" s="542"/>
    </row>
    <row r="54" spans="1:13" x14ac:dyDescent="0.25">
      <c r="A54" s="540"/>
      <c r="B54" s="152" t="str">
        <f>IF(A54&lt;&gt;"",INDEX('Base de données'!A$4:L$990,MATCH(A54,'Base de données'!A$4:A$990,0),2),"")</f>
        <v/>
      </c>
      <c r="C54" s="154" t="str">
        <f>IF(A54&lt;&gt;"",INDEX('Base de données'!A$4:L$990,MATCH(A54,'Base de données'!A$4:A$990,0),12),"")</f>
        <v/>
      </c>
      <c r="D54" s="541"/>
      <c r="E54" s="542"/>
      <c r="F54" s="541"/>
      <c r="G54" s="542"/>
      <c r="H54" s="541"/>
      <c r="I54" s="542"/>
      <c r="J54" s="541"/>
      <c r="K54" s="542"/>
      <c r="L54" s="541"/>
      <c r="M54" s="542"/>
    </row>
    <row r="55" spans="1:13" x14ac:dyDescent="0.25">
      <c r="A55" s="540"/>
      <c r="B55" s="152" t="str">
        <f>IF(A55&lt;&gt;"",INDEX('Base de données'!A$4:L$990,MATCH(A55,'Base de données'!A$4:A$990,0),2),"")</f>
        <v/>
      </c>
      <c r="C55" s="154" t="str">
        <f>IF(A55&lt;&gt;"",INDEX('Base de données'!A$4:L$990,MATCH(A55,'Base de données'!A$4:A$990,0),12),"")</f>
        <v/>
      </c>
      <c r="D55" s="541"/>
      <c r="E55" s="542"/>
      <c r="F55" s="541"/>
      <c r="G55" s="542"/>
      <c r="H55" s="541"/>
      <c r="I55" s="542"/>
      <c r="J55" s="541"/>
      <c r="K55" s="542"/>
      <c r="L55" s="541"/>
      <c r="M55" s="542"/>
    </row>
    <row r="56" spans="1:13" x14ac:dyDescent="0.25">
      <c r="A56" s="540"/>
      <c r="B56" s="152" t="str">
        <f>IF(A56&lt;&gt;"",INDEX('Base de données'!A$4:L$990,MATCH(A56,'Base de données'!A$4:A$990,0),2),"")</f>
        <v/>
      </c>
      <c r="C56" s="154" t="str">
        <f>IF(A56&lt;&gt;"",INDEX('Base de données'!A$4:L$990,MATCH(A56,'Base de données'!A$4:A$990,0),12),"")</f>
        <v/>
      </c>
      <c r="D56" s="541">
        <v>43549</v>
      </c>
      <c r="E56" s="542"/>
      <c r="F56" s="541"/>
      <c r="G56" s="542"/>
      <c r="H56" s="541"/>
      <c r="I56" s="542"/>
      <c r="J56" s="541"/>
      <c r="K56" s="542"/>
      <c r="L56" s="541"/>
      <c r="M56" s="542"/>
    </row>
    <row r="57" spans="1:13" x14ac:dyDescent="0.25">
      <c r="A57" s="540"/>
      <c r="B57" s="152" t="str">
        <f>IF(A57&lt;&gt;"",INDEX('Base de données'!A$4:L$990,MATCH(A57,'Base de données'!A$4:A$990,0),2),"")</f>
        <v/>
      </c>
      <c r="C57" s="154" t="str">
        <f>IF(A57&lt;&gt;"",INDEX('Base de données'!A$4:L$990,MATCH(A57,'Base de données'!A$4:A$990,0),12),"")</f>
        <v/>
      </c>
      <c r="D57" s="541">
        <v>43549</v>
      </c>
      <c r="E57" s="542"/>
      <c r="F57" s="541"/>
      <c r="G57" s="542"/>
      <c r="H57" s="541"/>
      <c r="I57" s="542"/>
      <c r="J57" s="541"/>
      <c r="K57" s="542"/>
      <c r="L57" s="541"/>
      <c r="M57" s="542"/>
    </row>
    <row r="58" spans="1:13" x14ac:dyDescent="0.25">
      <c r="A58" s="540"/>
      <c r="B58" s="152" t="str">
        <f>IF(A58&lt;&gt;"",INDEX('Base de données'!A$4:L$990,MATCH(A58,'Base de données'!A$4:A$990,0),2),"")</f>
        <v/>
      </c>
      <c r="C58" s="154" t="str">
        <f>IF(A58&lt;&gt;"",INDEX('Base de données'!A$4:L$990,MATCH(A58,'Base de données'!A$4:A$990,0),12),"")</f>
        <v/>
      </c>
      <c r="D58" s="541">
        <v>43549</v>
      </c>
      <c r="E58" s="542"/>
      <c r="F58" s="541"/>
      <c r="G58" s="542"/>
      <c r="H58" s="541"/>
      <c r="I58" s="542"/>
      <c r="J58" s="541"/>
      <c r="K58" s="542"/>
      <c r="L58" s="541"/>
      <c r="M58" s="542"/>
    </row>
    <row r="59" spans="1:13" x14ac:dyDescent="0.25">
      <c r="A59" s="540"/>
      <c r="B59" s="152" t="str">
        <f>IF(A59&lt;&gt;"",INDEX('Base de données'!A$4:L$990,MATCH(A59,'Base de données'!A$4:A$990,0),2),"")</f>
        <v/>
      </c>
      <c r="C59" s="154" t="str">
        <f>IF(A59&lt;&gt;"",INDEX('Base de données'!A$4:L$990,MATCH(A59,'Base de données'!A$4:A$990,0),12),"")</f>
        <v/>
      </c>
      <c r="D59" s="541">
        <v>43545</v>
      </c>
      <c r="E59" s="542"/>
      <c r="F59" s="541"/>
      <c r="G59" s="542"/>
      <c r="H59" s="541"/>
      <c r="I59" s="542"/>
      <c r="J59" s="541"/>
      <c r="K59" s="542"/>
      <c r="L59" s="541"/>
      <c r="M59" s="542"/>
    </row>
    <row r="60" spans="1:13" x14ac:dyDescent="0.25">
      <c r="A60" s="540"/>
      <c r="B60" s="152" t="str">
        <f>IF(A60&lt;&gt;"",INDEX('Base de données'!A$4:L$990,MATCH(A60,'Base de données'!A$4:A$990,0),2),"")</f>
        <v/>
      </c>
      <c r="C60" s="154" t="str">
        <f>IF(A60&lt;&gt;"",INDEX('Base de données'!A$4:L$990,MATCH(A60,'Base de données'!A$4:A$990,0),12),"")</f>
        <v/>
      </c>
      <c r="D60" s="541">
        <v>43549</v>
      </c>
      <c r="E60" s="542"/>
      <c r="F60" s="541"/>
      <c r="G60" s="542"/>
      <c r="H60" s="541"/>
      <c r="I60" s="542"/>
      <c r="J60" s="541"/>
      <c r="K60" s="542"/>
      <c r="L60" s="541"/>
      <c r="M60" s="542"/>
    </row>
    <row r="61" spans="1:13" x14ac:dyDescent="0.25">
      <c r="A61" s="540"/>
      <c r="B61" s="152" t="str">
        <f>IF(A61&lt;&gt;"",INDEX('Base de données'!A$4:L$990,MATCH(A61,'Base de données'!A$4:A$990,0),2),"")</f>
        <v/>
      </c>
      <c r="C61" s="154" t="str">
        <f>IF(A61&lt;&gt;"",INDEX('Base de données'!A$4:L$990,MATCH(A61,'Base de données'!A$4:A$990,0),12),"")</f>
        <v/>
      </c>
      <c r="D61" s="541">
        <v>43543</v>
      </c>
      <c r="E61" s="542"/>
      <c r="F61" s="541"/>
      <c r="G61" s="542"/>
      <c r="H61" s="541"/>
      <c r="I61" s="542"/>
      <c r="J61" s="541"/>
      <c r="K61" s="542"/>
      <c r="L61" s="541"/>
      <c r="M61" s="542"/>
    </row>
    <row r="62" spans="1:13" x14ac:dyDescent="0.25">
      <c r="A62" s="540"/>
      <c r="B62" s="152" t="str">
        <f>IF(A62&lt;&gt;"",INDEX('Base de données'!A$4:L$990,MATCH(A62,'Base de données'!A$4:A$990,0),2),"")</f>
        <v/>
      </c>
      <c r="C62" s="154" t="str">
        <f>IF(A62&lt;&gt;"",INDEX('Base de données'!A$4:L$990,MATCH(A62,'Base de données'!A$4:A$990,0),12),"")</f>
        <v/>
      </c>
      <c r="D62" s="541">
        <v>43549</v>
      </c>
      <c r="E62" s="542"/>
      <c r="F62" s="541"/>
      <c r="G62" s="542"/>
      <c r="H62" s="541"/>
      <c r="I62" s="542"/>
      <c r="J62" s="541"/>
      <c r="K62" s="542"/>
      <c r="L62" s="541"/>
      <c r="M62" s="542"/>
    </row>
    <row r="63" spans="1:13" x14ac:dyDescent="0.25">
      <c r="A63" s="540"/>
      <c r="B63" s="152" t="str">
        <f>IF(A63&lt;&gt;"",INDEX('Base de données'!A$4:L$990,MATCH(A63,'Base de données'!A$4:A$990,0),2),"")</f>
        <v/>
      </c>
      <c r="C63" s="154" t="str">
        <f>IF(A63&lt;&gt;"",INDEX('Base de données'!A$4:L$990,MATCH(A63,'Base de données'!A$4:A$990,0),12),"")</f>
        <v/>
      </c>
      <c r="D63" s="541">
        <v>43552</v>
      </c>
      <c r="E63" s="542"/>
      <c r="F63" s="541"/>
      <c r="G63" s="542"/>
      <c r="H63" s="541"/>
      <c r="I63" s="542"/>
      <c r="J63" s="541"/>
      <c r="K63" s="542"/>
      <c r="L63" s="541"/>
      <c r="M63" s="542"/>
    </row>
    <row r="64" spans="1:13" x14ac:dyDescent="0.25">
      <c r="A64" s="540"/>
      <c r="B64" s="152" t="str">
        <f>IF(A64&lt;&gt;"",INDEX('Base de données'!A$4:L$990,MATCH(A64,'Base de données'!A$4:A$990,0),2),"")</f>
        <v/>
      </c>
      <c r="C64" s="154" t="str">
        <f>IF(A64&lt;&gt;"",INDEX('Base de données'!A$4:L$990,MATCH(A64,'Base de données'!A$4:A$990,0),12),"")</f>
        <v/>
      </c>
      <c r="D64" s="541">
        <v>43553</v>
      </c>
      <c r="E64" s="542"/>
      <c r="F64" s="541"/>
      <c r="G64" s="542"/>
      <c r="H64" s="541"/>
      <c r="I64" s="542"/>
      <c r="J64" s="541"/>
      <c r="K64" s="542"/>
      <c r="L64" s="541"/>
      <c r="M64" s="542"/>
    </row>
    <row r="65" spans="1:13" x14ac:dyDescent="0.25">
      <c r="A65" s="540"/>
      <c r="B65" s="152" t="str">
        <f>IF(A65&lt;&gt;"",INDEX('Base de données'!A$4:L$990,MATCH(A65,'Base de données'!A$4:A$990,0),2),"")</f>
        <v/>
      </c>
      <c r="C65" s="154" t="str">
        <f>IF(A65&lt;&gt;"",INDEX('Base de données'!A$4:L$990,MATCH(A65,'Base de données'!A$4:A$990,0),12),"")</f>
        <v/>
      </c>
      <c r="D65" s="541">
        <v>43554</v>
      </c>
      <c r="E65" s="542"/>
      <c r="F65" s="541"/>
      <c r="G65" s="542"/>
      <c r="H65" s="541"/>
      <c r="I65" s="542"/>
      <c r="J65" s="541"/>
      <c r="K65" s="542"/>
      <c r="L65" s="541"/>
      <c r="M65" s="542"/>
    </row>
    <row r="66" spans="1:13" x14ac:dyDescent="0.25">
      <c r="A66" s="540"/>
      <c r="B66" s="152" t="str">
        <f>IF(A66&lt;&gt;"",INDEX('Base de données'!A$4:L$990,MATCH(A66,'Base de données'!A$4:A$990,0),2),"")</f>
        <v/>
      </c>
      <c r="C66" s="154" t="str">
        <f>IF(A66&lt;&gt;"",INDEX('Base de données'!A$4:L$990,MATCH(A66,'Base de données'!A$4:A$990,0),12),"")</f>
        <v/>
      </c>
      <c r="D66" s="543"/>
      <c r="E66" s="542"/>
      <c r="F66" s="543"/>
      <c r="G66" s="542"/>
      <c r="H66" s="543"/>
      <c r="I66" s="542"/>
      <c r="J66" s="541"/>
      <c r="K66" s="542"/>
      <c r="L66" s="541"/>
      <c r="M66" s="542"/>
    </row>
    <row r="67" spans="1:13" x14ac:dyDescent="0.25">
      <c r="A67" s="540"/>
      <c r="B67" s="152" t="str">
        <f>IF(A67&lt;&gt;"",INDEX('Base de données'!A$4:L$990,MATCH(A67,'Base de données'!A$4:A$990,0),2),"")</f>
        <v/>
      </c>
      <c r="C67" s="154" t="str">
        <f>IF(A67&lt;&gt;"",INDEX('Base de données'!A$4:L$990,MATCH(A67,'Base de données'!A$4:A$990,0),12),"")</f>
        <v/>
      </c>
      <c r="D67" s="543"/>
      <c r="E67" s="542"/>
      <c r="F67" s="541"/>
      <c r="G67" s="542"/>
      <c r="H67" s="541"/>
      <c r="I67" s="542"/>
      <c r="J67" s="541"/>
      <c r="K67" s="542"/>
      <c r="L67" s="541"/>
      <c r="M67" s="542"/>
    </row>
    <row r="68" spans="1:13" x14ac:dyDescent="0.25">
      <c r="A68" s="540"/>
      <c r="B68" s="152" t="str">
        <f>IF(A68&lt;&gt;"",INDEX('Base de données'!A$4:L$990,MATCH(A68,'Base de données'!A$4:A$990,0),2),"")</f>
        <v/>
      </c>
      <c r="C68" s="154" t="str">
        <f>IF(A68&lt;&gt;"",INDEX('Base de données'!A$4:L$990,MATCH(A68,'Base de données'!A$4:A$990,0),12),"")</f>
        <v/>
      </c>
      <c r="D68" s="543"/>
      <c r="E68" s="542"/>
      <c r="F68" s="541"/>
      <c r="G68" s="542"/>
      <c r="H68" s="541"/>
      <c r="I68" s="542"/>
      <c r="J68" s="541"/>
      <c r="K68" s="542"/>
      <c r="L68" s="541"/>
      <c r="M68" s="542"/>
    </row>
    <row r="69" spans="1:13" x14ac:dyDescent="0.25">
      <c r="A69" s="540"/>
      <c r="B69" s="152" t="str">
        <f>IF(A69&lt;&gt;"",INDEX('Base de données'!A$4:L$990,MATCH(A69,'Base de données'!A$4:A$990,0),2),"")</f>
        <v/>
      </c>
      <c r="C69" s="154" t="str">
        <f>IF(A69&lt;&gt;"",INDEX('Base de données'!A$4:L$990,MATCH(A69,'Base de données'!A$4:A$990,0),12),"")</f>
        <v/>
      </c>
      <c r="D69" s="543"/>
      <c r="E69" s="542"/>
      <c r="F69" s="541"/>
      <c r="G69" s="542"/>
      <c r="H69" s="541"/>
      <c r="I69" s="542"/>
      <c r="J69" s="541"/>
      <c r="K69" s="542"/>
      <c r="L69" s="541"/>
      <c r="M69" s="542"/>
    </row>
    <row r="70" spans="1:13" x14ac:dyDescent="0.25">
      <c r="A70" s="540"/>
      <c r="B70" s="152" t="str">
        <f>IF(A70&lt;&gt;"",INDEX('Base de données'!A$4:L$990,MATCH(A70,'Base de données'!A$4:A$990,0),2),"")</f>
        <v/>
      </c>
      <c r="C70" s="154" t="str">
        <f>IF(A70&lt;&gt;"",INDEX('Base de données'!A$4:L$990,MATCH(A70,'Base de données'!A$4:A$990,0),12),"")</f>
        <v/>
      </c>
      <c r="D70" s="543"/>
      <c r="E70" s="542"/>
      <c r="F70" s="541"/>
      <c r="G70" s="542"/>
      <c r="H70" s="541"/>
      <c r="I70" s="542"/>
      <c r="J70" s="541"/>
      <c r="K70" s="542"/>
      <c r="L70" s="541"/>
      <c r="M70" s="542"/>
    </row>
    <row r="71" spans="1:13" x14ac:dyDescent="0.25">
      <c r="A71" s="540"/>
      <c r="B71" s="152" t="str">
        <f>IF(A71&lt;&gt;"",INDEX('Base de données'!A$4:L$990,MATCH(A71,'Base de données'!A$4:A$990,0),2),"")</f>
        <v/>
      </c>
      <c r="C71" s="154" t="str">
        <f>IF(A71&lt;&gt;"",INDEX('Base de données'!A$4:L$990,MATCH(A71,'Base de données'!A$4:A$990,0),12),"")</f>
        <v/>
      </c>
      <c r="D71" s="541">
        <v>43553</v>
      </c>
      <c r="E71" s="542"/>
      <c r="F71" s="541"/>
      <c r="G71" s="542"/>
      <c r="H71" s="541"/>
      <c r="I71" s="542"/>
      <c r="J71" s="541"/>
      <c r="K71" s="542"/>
      <c r="L71" s="541"/>
      <c r="M71" s="542"/>
    </row>
    <row r="72" spans="1:13" x14ac:dyDescent="0.25">
      <c r="A72" s="540"/>
      <c r="B72" s="152" t="str">
        <f>IF(A72&lt;&gt;"",INDEX('Base de données'!A$4:L$990,MATCH(A72,'Base de données'!A$4:A$990,0),2),"")</f>
        <v/>
      </c>
      <c r="C72" s="154" t="str">
        <f>IF(A72&lt;&gt;"",INDEX('Base de données'!A$4:L$990,MATCH(A72,'Base de données'!A$4:A$990,0),12),"")</f>
        <v/>
      </c>
      <c r="D72" s="541">
        <v>43552</v>
      </c>
      <c r="E72" s="542"/>
      <c r="F72" s="541"/>
      <c r="G72" s="542"/>
      <c r="H72" s="541"/>
      <c r="I72" s="542"/>
      <c r="J72" s="541"/>
      <c r="K72" s="542"/>
      <c r="L72" s="541"/>
      <c r="M72" s="542"/>
    </row>
    <row r="73" spans="1:13" x14ac:dyDescent="0.25">
      <c r="A73" s="540"/>
      <c r="B73" s="152" t="str">
        <f>IF(A73&lt;&gt;"",INDEX('Base de données'!A$4:L$990,MATCH(A73,'Base de données'!A$4:A$990,0),2),"")</f>
        <v/>
      </c>
      <c r="C73" s="154" t="str">
        <f>IF(A73&lt;&gt;"",INDEX('Base de données'!A$4:L$990,MATCH(A73,'Base de données'!A$4:A$990,0),12),"")</f>
        <v/>
      </c>
      <c r="D73" s="541">
        <v>43551</v>
      </c>
      <c r="E73" s="542"/>
      <c r="F73" s="541"/>
      <c r="G73" s="542"/>
      <c r="H73" s="541"/>
      <c r="I73" s="542"/>
      <c r="J73" s="541"/>
      <c r="K73" s="542"/>
      <c r="L73" s="541"/>
      <c r="M73" s="542"/>
    </row>
    <row r="74" spans="1:13" x14ac:dyDescent="0.25">
      <c r="A74" s="540"/>
      <c r="B74" s="152" t="str">
        <f>IF(A74&lt;&gt;"",INDEX('Base de données'!A$4:L$990,MATCH(A74,'Base de données'!A$4:A$990,0),2),"")</f>
        <v/>
      </c>
      <c r="C74" s="154" t="str">
        <f>IF(A74&lt;&gt;"",INDEX('Base de données'!A$4:L$990,MATCH(A74,'Base de données'!A$4:A$990,0),12),"")</f>
        <v/>
      </c>
      <c r="D74" s="541">
        <v>43554</v>
      </c>
      <c r="E74" s="542"/>
      <c r="F74" s="541"/>
      <c r="G74" s="542"/>
      <c r="H74" s="541"/>
      <c r="I74" s="542"/>
      <c r="J74" s="541"/>
      <c r="K74" s="542"/>
      <c r="L74" s="541"/>
      <c r="M74" s="542"/>
    </row>
    <row r="75" spans="1:13" x14ac:dyDescent="0.25">
      <c r="A75" s="540"/>
      <c r="B75" s="152" t="str">
        <f>IF(A75&lt;&gt;"",INDEX('Base de données'!A$4:L$990,MATCH(A75,'Base de données'!A$4:A$990,0),2),"")</f>
        <v/>
      </c>
      <c r="C75" s="154" t="str">
        <f>IF(A75&lt;&gt;"",INDEX('Base de données'!A$4:L$990,MATCH(A75,'Base de données'!A$4:A$990,0),12),"")</f>
        <v/>
      </c>
      <c r="D75" s="543"/>
      <c r="E75" s="542"/>
      <c r="F75" s="541"/>
      <c r="G75" s="542"/>
      <c r="H75" s="541"/>
      <c r="I75" s="542"/>
      <c r="J75" s="541"/>
      <c r="K75" s="542"/>
      <c r="L75" s="541"/>
      <c r="M75" s="542"/>
    </row>
    <row r="76" spans="1:13" x14ac:dyDescent="0.25">
      <c r="A76" s="540"/>
      <c r="B76" s="152" t="str">
        <f>IF(A76&lt;&gt;"",INDEX('Base de données'!A$4:L$990,MATCH(A76,'Base de données'!A$4:A$990,0),2),"")</f>
        <v/>
      </c>
      <c r="C76" s="154" t="str">
        <f>IF(A76&lt;&gt;"",INDEX('Base de données'!A$4:L$990,MATCH(A76,'Base de données'!A$4:A$990,0),12),"")</f>
        <v/>
      </c>
      <c r="D76" s="541">
        <v>43555</v>
      </c>
      <c r="E76" s="542"/>
      <c r="F76" s="541"/>
      <c r="G76" s="542"/>
      <c r="H76" s="541"/>
      <c r="I76" s="542"/>
      <c r="J76" s="541"/>
      <c r="K76" s="542"/>
      <c r="L76" s="541"/>
      <c r="M76" s="542"/>
    </row>
    <row r="77" spans="1:13" x14ac:dyDescent="0.25">
      <c r="A77" s="540"/>
      <c r="B77" s="152" t="str">
        <f>IF(A77&lt;&gt;"",INDEX('Base de données'!A$4:L$990,MATCH(A77,'Base de données'!A$4:A$990,0),2),"")</f>
        <v/>
      </c>
      <c r="C77" s="154" t="str">
        <f>IF(A77&lt;&gt;"",INDEX('Base de données'!A$4:L$990,MATCH(A77,'Base de données'!A$4:A$990,0),12),"")</f>
        <v/>
      </c>
      <c r="D77" s="541">
        <v>43542</v>
      </c>
      <c r="E77" s="542"/>
      <c r="F77" s="541"/>
      <c r="G77" s="542"/>
      <c r="H77" s="541"/>
      <c r="I77" s="542"/>
      <c r="J77" s="541"/>
      <c r="K77" s="542"/>
      <c r="L77" s="541"/>
      <c r="M77" s="542"/>
    </row>
    <row r="78" spans="1:13" x14ac:dyDescent="0.25">
      <c r="A78" s="540"/>
      <c r="B78" s="152" t="str">
        <f>IF(A78&lt;&gt;"",INDEX('Base de données'!A$4:L$990,MATCH(A78,'Base de données'!A$4:A$990,0),2),"")</f>
        <v/>
      </c>
      <c r="C78" s="154" t="str">
        <f>IF(A78&lt;&gt;"",INDEX('Base de données'!A$4:L$990,MATCH(A78,'Base de données'!A$4:A$990,0),12),"")</f>
        <v/>
      </c>
      <c r="D78" s="541">
        <v>43553</v>
      </c>
      <c r="E78" s="542"/>
      <c r="F78" s="541"/>
      <c r="G78" s="542"/>
      <c r="H78" s="541"/>
      <c r="I78" s="542"/>
      <c r="J78" s="541"/>
      <c r="K78" s="542"/>
      <c r="L78" s="541"/>
      <c r="M78" s="542"/>
    </row>
    <row r="79" spans="1:13" x14ac:dyDescent="0.25">
      <c r="A79" s="540"/>
      <c r="B79" s="152" t="str">
        <f>IF(A79&lt;&gt;"",INDEX('Base de données'!A$4:L$990,MATCH(A79,'Base de données'!A$4:A$990,0),2),"")</f>
        <v/>
      </c>
      <c r="C79" s="154" t="str">
        <f>IF(A79&lt;&gt;"",INDEX('Base de données'!A$4:L$990,MATCH(A79,'Base de données'!A$4:A$990,0),12),"")</f>
        <v/>
      </c>
      <c r="D79" s="541">
        <v>43547</v>
      </c>
      <c r="E79" s="542"/>
      <c r="F79" s="541"/>
      <c r="G79" s="542"/>
      <c r="H79" s="541"/>
      <c r="I79" s="542"/>
      <c r="J79" s="541"/>
      <c r="K79" s="542"/>
      <c r="L79" s="541"/>
      <c r="M79" s="542"/>
    </row>
    <row r="80" spans="1:13" x14ac:dyDescent="0.25">
      <c r="A80" s="540"/>
      <c r="B80" s="152" t="str">
        <f>IF(A80&lt;&gt;"",INDEX('Base de données'!A$4:L$990,MATCH(A80,'Base de données'!A$4:A$990,0),2),"")</f>
        <v/>
      </c>
      <c r="C80" s="154" t="str">
        <f>IF(A80&lt;&gt;"",INDEX('Base de données'!A$4:L$990,MATCH(A80,'Base de données'!A$4:A$990,0),12),"")</f>
        <v/>
      </c>
      <c r="D80" s="541">
        <v>43547</v>
      </c>
      <c r="E80" s="542"/>
      <c r="F80" s="541"/>
      <c r="G80" s="542"/>
      <c r="H80" s="541"/>
      <c r="I80" s="542"/>
      <c r="J80" s="541"/>
      <c r="K80" s="542"/>
      <c r="L80" s="541"/>
      <c r="M80" s="542"/>
    </row>
    <row r="81" spans="1:13" x14ac:dyDescent="0.25">
      <c r="A81" s="540"/>
      <c r="B81" s="152" t="str">
        <f>IF(A81&lt;&gt;"",INDEX('Base de données'!A$4:L$990,MATCH(A81,'Base de données'!A$4:A$990,0),2),"")</f>
        <v/>
      </c>
      <c r="C81" s="154" t="str">
        <f>IF(A81&lt;&gt;"",INDEX('Base de données'!A$4:L$990,MATCH(A81,'Base de données'!A$4:A$990,0),12),"")</f>
        <v/>
      </c>
      <c r="D81" s="541">
        <v>43550</v>
      </c>
      <c r="E81" s="542"/>
      <c r="F81" s="541"/>
      <c r="G81" s="542"/>
      <c r="H81" s="541"/>
      <c r="I81" s="542"/>
      <c r="J81" s="541"/>
      <c r="K81" s="542"/>
      <c r="L81" s="541"/>
      <c r="M81" s="542"/>
    </row>
    <row r="82" spans="1:13" x14ac:dyDescent="0.25">
      <c r="A82" s="540"/>
      <c r="B82" s="152" t="str">
        <f>IF(A82&lt;&gt;"",INDEX('Base de données'!A$4:L$990,MATCH(A82,'Base de données'!A$4:A$990,0),2),"")</f>
        <v/>
      </c>
      <c r="C82" s="154" t="str">
        <f>IF(A82&lt;&gt;"",INDEX('Base de données'!A$4:L$990,MATCH(A82,'Base de données'!A$4:A$990,0),12),"")</f>
        <v/>
      </c>
      <c r="D82" s="541">
        <v>43554</v>
      </c>
      <c r="E82" s="542"/>
      <c r="F82" s="541"/>
      <c r="G82" s="542"/>
      <c r="H82" s="541"/>
      <c r="I82" s="542"/>
      <c r="J82" s="541"/>
      <c r="K82" s="542"/>
      <c r="L82" s="541"/>
      <c r="M82" s="542"/>
    </row>
    <row r="83" spans="1:13" x14ac:dyDescent="0.25">
      <c r="A83" s="540"/>
      <c r="B83" s="152" t="str">
        <f>IF(A83&lt;&gt;"",INDEX('Base de données'!A$4:L$990,MATCH(A83,'Base de données'!A$4:A$990,0),2),"")</f>
        <v/>
      </c>
      <c r="C83" s="154" t="str">
        <f>IF(A83&lt;&gt;"",INDEX('Base de données'!A$4:L$990,MATCH(A83,'Base de données'!A$4:A$990,0),12),"")</f>
        <v/>
      </c>
      <c r="D83" s="541">
        <v>43551</v>
      </c>
      <c r="E83" s="542"/>
      <c r="F83" s="541"/>
      <c r="G83" s="542"/>
      <c r="H83" s="543"/>
      <c r="I83" s="542"/>
      <c r="J83" s="543"/>
      <c r="K83" s="542"/>
      <c r="L83" s="541"/>
      <c r="M83" s="542"/>
    </row>
    <row r="84" spans="1:13" x14ac:dyDescent="0.25">
      <c r="A84" s="540"/>
      <c r="B84" s="152" t="str">
        <f>IF(A84&lt;&gt;"",INDEX('Base de données'!A$4:L$990,MATCH(A84,'Base de données'!A$4:A$990,0),2),"")</f>
        <v/>
      </c>
      <c r="C84" s="154" t="str">
        <f>IF(A84&lt;&gt;"",INDEX('Base de données'!A$4:L$990,MATCH(A84,'Base de données'!A$4:A$990,0),12),"")</f>
        <v/>
      </c>
      <c r="D84" s="541">
        <v>43552</v>
      </c>
      <c r="E84" s="542"/>
      <c r="F84" s="541"/>
      <c r="G84" s="542"/>
      <c r="H84" s="541"/>
      <c r="I84" s="542"/>
      <c r="J84" s="541"/>
      <c r="K84" s="542"/>
      <c r="L84" s="541"/>
      <c r="M84" s="542"/>
    </row>
    <row r="85" spans="1:13" x14ac:dyDescent="0.25">
      <c r="A85" s="540"/>
      <c r="B85" s="152" t="str">
        <f>IF(A85&lt;&gt;"",INDEX('Base de données'!A$4:L$990,MATCH(A85,'Base de données'!A$4:A$990,0),2),"")</f>
        <v/>
      </c>
      <c r="C85" s="154" t="str">
        <f>IF(A85&lt;&gt;"",INDEX('Base de données'!A$4:L$990,MATCH(A85,'Base de données'!A$4:A$990,0),12),"")</f>
        <v/>
      </c>
      <c r="D85" s="541"/>
      <c r="E85" s="542"/>
      <c r="F85" s="541"/>
      <c r="G85" s="542"/>
      <c r="H85" s="541"/>
      <c r="I85" s="542"/>
      <c r="J85" s="541"/>
      <c r="K85" s="542"/>
      <c r="L85" s="541"/>
      <c r="M85" s="542"/>
    </row>
    <row r="86" spans="1:13" x14ac:dyDescent="0.25">
      <c r="A86" s="540"/>
      <c r="B86" s="152" t="str">
        <f>IF(A86&lt;&gt;"",INDEX('Base de données'!A$4:L$990,MATCH(A86,'Base de données'!A$4:A$990,0),2),"")</f>
        <v/>
      </c>
      <c r="C86" s="154" t="str">
        <f>IF(A86&lt;&gt;"",INDEX('Base de données'!A$4:L$990,MATCH(A86,'Base de données'!A$4:A$990,0),12),"")</f>
        <v/>
      </c>
      <c r="D86" s="543"/>
      <c r="E86" s="542"/>
      <c r="F86" s="541"/>
      <c r="G86" s="542"/>
      <c r="H86" s="543"/>
      <c r="I86" s="542"/>
      <c r="J86" s="541"/>
      <c r="K86" s="542"/>
      <c r="L86" s="541"/>
      <c r="M86" s="542"/>
    </row>
    <row r="87" spans="1:13" x14ac:dyDescent="0.25">
      <c r="A87" s="540"/>
      <c r="B87" s="152" t="str">
        <f>IF(A87&lt;&gt;"",INDEX('Base de données'!A$4:L$990,MATCH(A87,'Base de données'!A$4:A$990,0),2),"")</f>
        <v/>
      </c>
      <c r="C87" s="154" t="str">
        <f>IF(A87&lt;&gt;"",INDEX('Base de données'!A$4:L$990,MATCH(A87,'Base de données'!A$4:A$990,0),12),"")</f>
        <v/>
      </c>
      <c r="D87" s="543"/>
      <c r="E87" s="542"/>
      <c r="F87" s="541"/>
      <c r="G87" s="542"/>
      <c r="H87" s="543"/>
      <c r="I87" s="542"/>
      <c r="J87" s="543"/>
      <c r="K87" s="542"/>
      <c r="L87" s="543"/>
      <c r="M87" s="542"/>
    </row>
    <row r="88" spans="1:13" x14ac:dyDescent="0.25">
      <c r="A88" s="540"/>
      <c r="B88" s="152" t="str">
        <f>IF(A88&lt;&gt;"",INDEX('Base de données'!A$4:L$990,MATCH(A88,'Base de données'!A$4:A$990,0),2),"")</f>
        <v/>
      </c>
      <c r="C88" s="154" t="str">
        <f>IF(A88&lt;&gt;"",INDEX('Base de données'!A$4:L$990,MATCH(A88,'Base de données'!A$4:A$990,0),12),"")</f>
        <v/>
      </c>
      <c r="D88" s="543"/>
      <c r="E88" s="542"/>
      <c r="F88" s="541"/>
      <c r="G88" s="542"/>
      <c r="H88" s="543"/>
      <c r="I88" s="542"/>
      <c r="J88" s="543"/>
      <c r="K88" s="542"/>
      <c r="L88" s="543"/>
      <c r="M88" s="542"/>
    </row>
    <row r="89" spans="1:13" x14ac:dyDescent="0.25">
      <c r="A89" s="540"/>
      <c r="B89" s="152" t="str">
        <f>IF(A89&lt;&gt;"",INDEX('Base de données'!A$4:L$990,MATCH(A89,'Base de données'!A$4:A$990,0),2),"")</f>
        <v/>
      </c>
      <c r="C89" s="154" t="str">
        <f>IF(A89&lt;&gt;"",INDEX('Base de données'!A$4:L$990,MATCH(A89,'Base de données'!A$4:A$990,0),12),"")</f>
        <v/>
      </c>
      <c r="D89" s="543"/>
      <c r="E89" s="542"/>
      <c r="F89" s="541"/>
      <c r="G89" s="542"/>
      <c r="H89" s="543"/>
      <c r="I89" s="542"/>
      <c r="J89" s="543"/>
      <c r="K89" s="542"/>
      <c r="L89" s="543"/>
      <c r="M89" s="542"/>
    </row>
    <row r="90" spans="1:13" x14ac:dyDescent="0.25">
      <c r="A90" s="540"/>
      <c r="B90" s="152" t="str">
        <f>IF(A90&lt;&gt;"",INDEX('Base de données'!A$4:L$990,MATCH(A90,'Base de données'!A$4:A$990,0),2),"")</f>
        <v/>
      </c>
      <c r="C90" s="154" t="str">
        <f>IF(A90&lt;&gt;"",INDEX('Base de données'!A$4:L$990,MATCH(A90,'Base de données'!A$4:A$990,0),12),"")</f>
        <v/>
      </c>
      <c r="D90" s="543"/>
      <c r="E90" s="542"/>
      <c r="F90" s="541"/>
      <c r="G90" s="542"/>
      <c r="H90" s="543"/>
      <c r="I90" s="542"/>
      <c r="J90" s="543"/>
      <c r="K90" s="542"/>
      <c r="L90" s="543"/>
      <c r="M90" s="542"/>
    </row>
    <row r="91" spans="1:13" x14ac:dyDescent="0.25">
      <c r="A91" s="540"/>
      <c r="B91" s="152" t="str">
        <f>IF(A91&lt;&gt;"",INDEX('Base de données'!A$4:L$990,MATCH(A91,'Base de données'!A$4:A$990,0),2),"")</f>
        <v/>
      </c>
      <c r="C91" s="154" t="str">
        <f>IF(A91&lt;&gt;"",INDEX('Base de données'!A$4:L$990,MATCH(A91,'Base de données'!A$4:A$990,0),12),"")</f>
        <v/>
      </c>
      <c r="D91" s="543"/>
      <c r="E91" s="542"/>
      <c r="F91" s="541"/>
      <c r="G91" s="542"/>
      <c r="H91" s="543"/>
      <c r="I91" s="542"/>
      <c r="J91" s="543"/>
      <c r="K91" s="542"/>
      <c r="L91" s="543"/>
      <c r="M91" s="542"/>
    </row>
    <row r="92" spans="1:13" x14ac:dyDescent="0.25">
      <c r="A92" s="540"/>
      <c r="B92" s="152" t="str">
        <f>IF(A92&lt;&gt;"",INDEX('Base de données'!A$4:L$990,MATCH(A92,'Base de données'!A$4:A$990,0),2),"")</f>
        <v/>
      </c>
      <c r="C92" s="154" t="str">
        <f>IF(A92&lt;&gt;"",INDEX('Base de données'!A$4:L$990,MATCH(A92,'Base de données'!A$4:A$990,0),12),"")</f>
        <v/>
      </c>
      <c r="D92" s="543"/>
      <c r="E92" s="542"/>
      <c r="F92" s="541"/>
      <c r="G92" s="542"/>
      <c r="H92" s="543"/>
      <c r="I92" s="542"/>
      <c r="J92" s="543"/>
      <c r="K92" s="542"/>
      <c r="L92" s="543"/>
      <c r="M92" s="542"/>
    </row>
    <row r="93" spans="1:13" x14ac:dyDescent="0.25">
      <c r="A93" s="540"/>
      <c r="B93" s="152" t="str">
        <f>IF(A93&lt;&gt;"",INDEX('Base de données'!A$4:L$990,MATCH(A93,'Base de données'!A$4:A$990,0),2),"")</f>
        <v/>
      </c>
      <c r="C93" s="154" t="str">
        <f>IF(A93&lt;&gt;"",INDEX('Base de données'!A$4:L$990,MATCH(A93,'Base de données'!A$4:A$990,0),12),"")</f>
        <v/>
      </c>
      <c r="D93" s="543"/>
      <c r="E93" s="542"/>
      <c r="F93" s="541"/>
      <c r="G93" s="542"/>
      <c r="H93" s="543"/>
      <c r="I93" s="542"/>
      <c r="J93" s="543"/>
      <c r="K93" s="542"/>
      <c r="L93" s="543"/>
      <c r="M93" s="542"/>
    </row>
    <row r="94" spans="1:13" x14ac:dyDescent="0.25">
      <c r="A94" s="540"/>
      <c r="B94" s="152" t="str">
        <f>IF(A94&lt;&gt;"",INDEX('Base de données'!A$4:L$990,MATCH(A94,'Base de données'!A$4:A$990,0),2),"")</f>
        <v/>
      </c>
      <c r="C94" s="154" t="str">
        <f>IF(A94&lt;&gt;"",INDEX('Base de données'!A$4:L$990,MATCH(A94,'Base de données'!A$4:A$990,0),12),"")</f>
        <v/>
      </c>
      <c r="D94" s="543"/>
      <c r="E94" s="542"/>
      <c r="F94" s="541"/>
      <c r="G94" s="542"/>
      <c r="H94" s="543"/>
      <c r="I94" s="542"/>
      <c r="J94" s="543"/>
      <c r="K94" s="542"/>
      <c r="L94" s="543"/>
      <c r="M94" s="542"/>
    </row>
    <row r="95" spans="1:13" x14ac:dyDescent="0.25">
      <c r="A95" s="540"/>
      <c r="B95" s="152" t="str">
        <f>IF(A95&lt;&gt;"",INDEX('Base de données'!A$4:L$990,MATCH(A95,'Base de données'!A$4:A$990,0),2),"")</f>
        <v/>
      </c>
      <c r="C95" s="154" t="str">
        <f>IF(A95&lt;&gt;"",INDEX('Base de données'!A$4:L$990,MATCH(A95,'Base de données'!A$4:A$990,0),12),"")</f>
        <v/>
      </c>
      <c r="D95" s="543"/>
      <c r="E95" s="542"/>
      <c r="F95" s="541"/>
      <c r="G95" s="542"/>
      <c r="H95" s="543"/>
      <c r="I95" s="542"/>
      <c r="J95" s="543"/>
      <c r="K95" s="542"/>
      <c r="L95" s="543"/>
      <c r="M95" s="542"/>
    </row>
    <row r="96" spans="1:13" x14ac:dyDescent="0.25">
      <c r="A96" s="540"/>
      <c r="B96" s="152" t="str">
        <f>IF(A96&lt;&gt;"",INDEX('Base de données'!A$4:L$990,MATCH(A96,'Base de données'!A$4:A$990,0),2),"")</f>
        <v/>
      </c>
      <c r="C96" s="154" t="str">
        <f>IF(A96&lt;&gt;"",INDEX('Base de données'!A$4:L$990,MATCH(A96,'Base de données'!A$4:A$990,0),12),"")</f>
        <v/>
      </c>
      <c r="D96" s="543"/>
      <c r="E96" s="542"/>
      <c r="F96" s="541"/>
      <c r="G96" s="542"/>
      <c r="H96" s="543"/>
      <c r="I96" s="542"/>
      <c r="J96" s="543"/>
      <c r="K96" s="542"/>
      <c r="L96" s="543"/>
      <c r="M96" s="542"/>
    </row>
    <row r="97" spans="1:13" x14ac:dyDescent="0.25">
      <c r="A97" s="540"/>
      <c r="B97" s="152" t="str">
        <f>IF(A97&lt;&gt;"",INDEX('Base de données'!A$4:L$990,MATCH(A97,'Base de données'!A$4:A$990,0),2),"")</f>
        <v/>
      </c>
      <c r="C97" s="154" t="str">
        <f>IF(A97&lt;&gt;"",INDEX('Base de données'!A$4:L$990,MATCH(A97,'Base de données'!A$4:A$990,0),12),"")</f>
        <v/>
      </c>
      <c r="D97" s="543"/>
      <c r="E97" s="542"/>
      <c r="F97" s="543"/>
      <c r="G97" s="542"/>
      <c r="H97" s="543"/>
      <c r="I97" s="542"/>
      <c r="J97" s="543"/>
      <c r="K97" s="542"/>
      <c r="L97" s="543"/>
      <c r="M97" s="542"/>
    </row>
    <row r="98" spans="1:13" x14ac:dyDescent="0.25">
      <c r="A98" s="540"/>
      <c r="B98" s="152" t="str">
        <f>IF(A98&lt;&gt;"",INDEX('Base de données'!A$4:L$990,MATCH(A98,'Base de données'!A$4:A$990,0),2),"")</f>
        <v/>
      </c>
      <c r="C98" s="154" t="str">
        <f>IF(A98&lt;&gt;"",INDEX('Base de données'!A$4:L$990,MATCH(A98,'Base de données'!A$4:A$990,0),12),"")</f>
        <v/>
      </c>
      <c r="D98" s="543"/>
      <c r="E98" s="542"/>
      <c r="F98" s="543"/>
      <c r="G98" s="542"/>
      <c r="H98" s="543"/>
      <c r="I98" s="542"/>
      <c r="J98" s="543"/>
      <c r="K98" s="542"/>
      <c r="L98" s="543"/>
      <c r="M98" s="542"/>
    </row>
    <row r="99" spans="1:13" x14ac:dyDescent="0.25">
      <c r="A99" s="540"/>
      <c r="B99" s="152" t="str">
        <f>IF(A99&lt;&gt;"",INDEX('Base de données'!A$4:L$990,MATCH(A99,'Base de données'!A$4:A$990,0),2),"")</f>
        <v/>
      </c>
      <c r="C99" s="154" t="str">
        <f>IF(A99&lt;&gt;"",INDEX('Base de données'!A$4:L$990,MATCH(A99,'Base de données'!A$4:A$990,0),12),"")</f>
        <v/>
      </c>
      <c r="D99" s="543"/>
      <c r="E99" s="542"/>
      <c r="F99" s="543"/>
      <c r="G99" s="542"/>
      <c r="H99" s="543"/>
      <c r="I99" s="542"/>
      <c r="J99" s="543"/>
      <c r="K99" s="542"/>
      <c r="L99" s="543"/>
      <c r="M99" s="542"/>
    </row>
    <row r="100" spans="1:13" x14ac:dyDescent="0.25">
      <c r="A100" s="540"/>
      <c r="B100" s="152" t="str">
        <f>IF(A100&lt;&gt;"",INDEX('Base de données'!A$4:L$990,MATCH(A100,'Base de données'!A$4:A$990,0),2),"")</f>
        <v/>
      </c>
      <c r="C100" s="154" t="str">
        <f>IF(A100&lt;&gt;"",INDEX('Base de données'!A$4:L$990,MATCH(A100,'Base de données'!A$4:A$990,0),12),"")</f>
        <v/>
      </c>
      <c r="D100" s="543"/>
      <c r="E100" s="542"/>
      <c r="F100" s="543"/>
      <c r="G100" s="542"/>
      <c r="H100" s="543"/>
      <c r="I100" s="542"/>
      <c r="J100" s="543"/>
      <c r="K100" s="542"/>
      <c r="L100" s="543"/>
      <c r="M100" s="542"/>
    </row>
    <row r="101" spans="1:13" x14ac:dyDescent="0.25">
      <c r="A101" s="540"/>
      <c r="B101" s="152" t="str">
        <f>IF(A101&lt;&gt;"",INDEX('Base de données'!A$4:L$990,MATCH(A101,'Base de données'!A$4:A$990,0),2),"")</f>
        <v/>
      </c>
      <c r="C101" s="154" t="str">
        <f>IF(A101&lt;&gt;"",INDEX('Base de données'!A$4:L$990,MATCH(A101,'Base de données'!A$4:A$990,0),12),"")</f>
        <v/>
      </c>
      <c r="D101" s="541"/>
      <c r="E101" s="542"/>
      <c r="F101" s="541"/>
      <c r="G101" s="542"/>
      <c r="H101" s="543"/>
      <c r="I101" s="542"/>
      <c r="J101" s="543"/>
      <c r="K101" s="542"/>
      <c r="L101" s="543"/>
      <c r="M101" s="542"/>
    </row>
    <row r="102" spans="1:13" x14ac:dyDescent="0.25">
      <c r="A102" s="540"/>
      <c r="B102" s="152" t="str">
        <f>IF(A102&lt;&gt;"",INDEX('Base de données'!A$4:L$990,MATCH(A102,'Base de données'!A$4:A$990,0),2),"")</f>
        <v/>
      </c>
      <c r="C102" s="154" t="str">
        <f>IF(A102&lt;&gt;"",INDEX('Base de données'!A$4:L$990,MATCH(A102,'Base de données'!A$4:A$990,0),12),"")</f>
        <v/>
      </c>
      <c r="D102" s="541"/>
      <c r="E102" s="542"/>
      <c r="F102" s="541"/>
      <c r="G102" s="542"/>
      <c r="H102" s="543"/>
      <c r="I102" s="542"/>
      <c r="J102" s="543"/>
      <c r="K102" s="542"/>
      <c r="L102" s="543"/>
      <c r="M102" s="542"/>
    </row>
    <row r="103" spans="1:13" x14ac:dyDescent="0.25">
      <c r="A103" s="540"/>
      <c r="B103" s="152" t="str">
        <f>IF(A103&lt;&gt;"",INDEX('Base de données'!A$4:L$990,MATCH(A103,'Base de données'!A$4:A$990,0),2),"")</f>
        <v/>
      </c>
      <c r="C103" s="154" t="str">
        <f>IF(A103&lt;&gt;"",INDEX('Base de données'!A$4:L$990,MATCH(A103,'Base de données'!A$4:A$990,0),12),"")</f>
        <v/>
      </c>
      <c r="D103" s="541"/>
      <c r="E103" s="542"/>
      <c r="F103" s="541"/>
      <c r="G103" s="542"/>
      <c r="H103" s="543"/>
      <c r="I103" s="542"/>
      <c r="J103" s="543"/>
      <c r="K103" s="542"/>
      <c r="L103" s="543"/>
      <c r="M103" s="542"/>
    </row>
    <row r="104" spans="1:13" x14ac:dyDescent="0.25">
      <c r="A104" s="540"/>
      <c r="B104" s="152" t="str">
        <f>IF(A104&lt;&gt;"",INDEX('Base de données'!A$4:L$990,MATCH(A104,'Base de données'!A$4:A$990,0),2),"")</f>
        <v/>
      </c>
      <c r="C104" s="154" t="str">
        <f>IF(A104&lt;&gt;"",INDEX('Base de données'!A$4:L$990,MATCH(A104,'Base de données'!A$4:A$990,0),12),"")</f>
        <v/>
      </c>
      <c r="D104" s="541"/>
      <c r="E104" s="542"/>
      <c r="F104" s="541"/>
      <c r="G104" s="542"/>
      <c r="H104" s="543"/>
      <c r="I104" s="542"/>
      <c r="J104" s="543"/>
      <c r="K104" s="542"/>
      <c r="L104" s="543"/>
      <c r="M104" s="542"/>
    </row>
    <row r="105" spans="1:13" x14ac:dyDescent="0.25">
      <c r="A105" s="540"/>
      <c r="B105" s="152" t="str">
        <f>IF(A105&lt;&gt;"",INDEX('Base de données'!A$4:L$990,MATCH(A105,'Base de données'!A$4:A$990,0),2),"")</f>
        <v/>
      </c>
      <c r="C105" s="154" t="str">
        <f>IF(A105&lt;&gt;"",INDEX('Base de données'!A$4:L$990,MATCH(A105,'Base de données'!A$4:A$990,0),12),"")</f>
        <v/>
      </c>
      <c r="D105" s="543"/>
      <c r="E105" s="542"/>
      <c r="F105" s="543"/>
      <c r="G105" s="542"/>
      <c r="H105" s="543"/>
      <c r="I105" s="542"/>
      <c r="J105" s="543"/>
      <c r="K105" s="542"/>
      <c r="L105" s="543"/>
      <c r="M105" s="542"/>
    </row>
    <row r="106" spans="1:13" x14ac:dyDescent="0.25">
      <c r="A106" s="540"/>
      <c r="B106" s="152" t="str">
        <f>IF(A106&lt;&gt;"",INDEX('Base de données'!A$4:L$990,MATCH(A106,'Base de données'!A$4:A$990,0),2),"")</f>
        <v/>
      </c>
      <c r="C106" s="154" t="str">
        <f>IF(A106&lt;&gt;"",INDEX('Base de données'!A$4:L$990,MATCH(A106,'Base de données'!A$4:A$990,0),12),"")</f>
        <v/>
      </c>
      <c r="D106" s="543"/>
      <c r="E106" s="542"/>
      <c r="F106" s="543"/>
      <c r="G106" s="542"/>
      <c r="H106" s="543"/>
      <c r="I106" s="542"/>
      <c r="J106" s="543"/>
      <c r="K106" s="542"/>
      <c r="L106" s="543"/>
      <c r="M106" s="542"/>
    </row>
    <row r="107" spans="1:13" x14ac:dyDescent="0.25">
      <c r="A107" s="540"/>
      <c r="B107" s="152" t="str">
        <f>IF(A107&lt;&gt;"",INDEX('Base de données'!A$4:L$990,MATCH(A107,'Base de données'!A$4:A$990,0),2),"")</f>
        <v/>
      </c>
      <c r="C107" s="154" t="str">
        <f>IF(A107&lt;&gt;"",INDEX('Base de données'!A$4:L$990,MATCH(A107,'Base de données'!A$4:A$990,0),12),"")</f>
        <v/>
      </c>
      <c r="D107" s="543"/>
      <c r="E107" s="542"/>
      <c r="F107" s="543"/>
      <c r="G107" s="542"/>
      <c r="H107" s="543"/>
      <c r="I107" s="542"/>
      <c r="J107" s="543"/>
      <c r="K107" s="542"/>
      <c r="L107" s="543"/>
      <c r="M107" s="542"/>
    </row>
    <row r="108" spans="1:13" x14ac:dyDescent="0.25">
      <c r="A108" s="540"/>
      <c r="B108" s="152" t="str">
        <f>IF(A108&lt;&gt;"",INDEX('Base de données'!A$4:L$990,MATCH(A108,'Base de données'!A$4:A$990,0),2),"")</f>
        <v/>
      </c>
      <c r="C108" s="154" t="str">
        <f>IF(A108&lt;&gt;"",INDEX('Base de données'!A$4:L$990,MATCH(A108,'Base de données'!A$4:A$990,0),12),"")</f>
        <v/>
      </c>
      <c r="D108" s="543"/>
      <c r="E108" s="542"/>
      <c r="F108" s="543"/>
      <c r="G108" s="542"/>
      <c r="H108" s="543"/>
      <c r="I108" s="542"/>
      <c r="J108" s="543"/>
      <c r="K108" s="542"/>
      <c r="L108" s="543"/>
      <c r="M108" s="542"/>
    </row>
    <row r="109" spans="1:13" x14ac:dyDescent="0.25">
      <c r="A109" s="540"/>
      <c r="B109" s="152" t="str">
        <f>IF(A109&lt;&gt;"",INDEX('Base de données'!A$4:L$990,MATCH(A109,'Base de données'!A$4:A$990,0),2),"")</f>
        <v/>
      </c>
      <c r="C109" s="154" t="str">
        <f>IF(A109&lt;&gt;"",INDEX('Base de données'!A$4:L$990,MATCH(A109,'Base de données'!A$4:A$990,0),12),"")</f>
        <v/>
      </c>
      <c r="D109" s="543"/>
      <c r="E109" s="542"/>
      <c r="F109" s="543"/>
      <c r="G109" s="542"/>
      <c r="H109" s="543"/>
      <c r="I109" s="542"/>
      <c r="J109" s="543"/>
      <c r="K109" s="542"/>
      <c r="L109" s="543"/>
      <c r="M109" s="542"/>
    </row>
    <row r="110" spans="1:13" x14ac:dyDescent="0.25">
      <c r="A110" s="540"/>
      <c r="B110" s="152" t="str">
        <f>IF(A110&lt;&gt;"",INDEX('Base de données'!A$4:L$990,MATCH(A110,'Base de données'!A$4:A$990,0),2),"")</f>
        <v/>
      </c>
      <c r="C110" s="154" t="str">
        <f>IF(A110&lt;&gt;"",INDEX('Base de données'!A$4:L$990,MATCH(A110,'Base de données'!A$4:A$990,0),12),"")</f>
        <v/>
      </c>
      <c r="D110" s="543"/>
      <c r="E110" s="542"/>
      <c r="F110" s="543"/>
      <c r="G110" s="542"/>
      <c r="H110" s="543"/>
      <c r="I110" s="542"/>
      <c r="J110" s="543"/>
      <c r="K110" s="542"/>
      <c r="L110" s="543"/>
      <c r="M110" s="542"/>
    </row>
    <row r="111" spans="1:13" x14ac:dyDescent="0.25">
      <c r="A111" s="540"/>
      <c r="B111" s="152" t="str">
        <f>IF(A111&lt;&gt;"",INDEX('Base de données'!A$4:L$990,MATCH(A111,'Base de données'!A$4:A$990,0),2),"")</f>
        <v/>
      </c>
      <c r="C111" s="154" t="str">
        <f>IF(A111&lt;&gt;"",INDEX('Base de données'!A$4:L$990,MATCH(A111,'Base de données'!A$4:A$990,0),12),"")</f>
        <v/>
      </c>
      <c r="D111" s="543"/>
      <c r="E111" s="542"/>
      <c r="F111" s="543"/>
      <c r="G111" s="542"/>
      <c r="H111" s="543"/>
      <c r="I111" s="542"/>
      <c r="J111" s="543"/>
      <c r="K111" s="542"/>
      <c r="L111" s="543"/>
      <c r="M111" s="542"/>
    </row>
    <row r="112" spans="1:13" x14ac:dyDescent="0.25">
      <c r="A112" s="540"/>
      <c r="B112" s="152" t="str">
        <f>IF(A112&lt;&gt;"",INDEX('Base de données'!A$4:L$990,MATCH(A112,'Base de données'!A$4:A$990,0),2),"")</f>
        <v/>
      </c>
      <c r="C112" s="154" t="str">
        <f>IF(A112&lt;&gt;"",INDEX('Base de données'!A$4:L$990,MATCH(A112,'Base de données'!A$4:A$990,0),12),"")</f>
        <v/>
      </c>
      <c r="D112" s="543"/>
      <c r="E112" s="542"/>
      <c r="F112" s="543"/>
      <c r="G112" s="542"/>
      <c r="H112" s="543"/>
      <c r="I112" s="542"/>
      <c r="J112" s="543"/>
      <c r="K112" s="542"/>
      <c r="L112" s="543"/>
      <c r="M112" s="542"/>
    </row>
    <row r="113" spans="1:13" x14ac:dyDescent="0.25">
      <c r="A113" s="540"/>
      <c r="B113" s="152" t="str">
        <f>IF(A113&lt;&gt;"",INDEX('Base de données'!A$4:L$990,MATCH(A113,'Base de données'!A$4:A$990,0),2),"")</f>
        <v/>
      </c>
      <c r="C113" s="154" t="str">
        <f>IF(A113&lt;&gt;"",INDEX('Base de données'!A$4:L$990,MATCH(A113,'Base de données'!A$4:A$990,0),12),"")</f>
        <v/>
      </c>
      <c r="D113" s="543"/>
      <c r="E113" s="542"/>
      <c r="F113" s="543"/>
      <c r="G113" s="542"/>
      <c r="H113" s="543"/>
      <c r="I113" s="542"/>
      <c r="J113" s="543"/>
      <c r="K113" s="542"/>
      <c r="L113" s="543"/>
      <c r="M113" s="542"/>
    </row>
    <row r="114" spans="1:13" x14ac:dyDescent="0.25">
      <c r="A114" s="540"/>
      <c r="B114" s="152" t="str">
        <f>IF(A114&lt;&gt;"",INDEX('Base de données'!A$4:L$990,MATCH(A114,'Base de données'!A$4:A$990,0),2),"")</f>
        <v/>
      </c>
      <c r="C114" s="154" t="str">
        <f>IF(A114&lt;&gt;"",INDEX('Base de données'!A$4:L$990,MATCH(A114,'Base de données'!A$4:A$990,0),12),"")</f>
        <v/>
      </c>
      <c r="D114" s="543"/>
      <c r="E114" s="542"/>
      <c r="F114" s="543"/>
      <c r="G114" s="542"/>
      <c r="H114" s="543"/>
      <c r="I114" s="542"/>
      <c r="J114" s="543"/>
      <c r="K114" s="542"/>
      <c r="L114" s="543"/>
      <c r="M114" s="542"/>
    </row>
    <row r="115" spans="1:13" x14ac:dyDescent="0.25">
      <c r="A115" s="540"/>
      <c r="B115" s="152" t="str">
        <f>IF(A115&lt;&gt;"",INDEX('Base de données'!A$4:L$990,MATCH(A115,'Base de données'!A$4:A$990,0),2),"")</f>
        <v/>
      </c>
      <c r="C115" s="154" t="str">
        <f>IF(A115&lt;&gt;"",INDEX('Base de données'!A$4:L$990,MATCH(A115,'Base de données'!A$4:A$990,0),12),"")</f>
        <v/>
      </c>
      <c r="D115" s="543"/>
      <c r="E115" s="542"/>
      <c r="F115" s="543"/>
      <c r="G115" s="542"/>
      <c r="H115" s="543"/>
      <c r="I115" s="542"/>
      <c r="J115" s="543"/>
      <c r="K115" s="542"/>
      <c r="L115" s="543"/>
      <c r="M115" s="542"/>
    </row>
    <row r="116" spans="1:13" x14ac:dyDescent="0.25">
      <c r="A116" s="540"/>
      <c r="B116" s="152" t="str">
        <f>IF(A116&lt;&gt;"",INDEX('Base de données'!A$4:L$990,MATCH(A116,'Base de données'!A$4:A$990,0),2),"")</f>
        <v/>
      </c>
      <c r="C116" s="154" t="str">
        <f>IF(A116&lt;&gt;"",INDEX('Base de données'!A$4:L$990,MATCH(A116,'Base de données'!A$4:A$990,0),12),"")</f>
        <v/>
      </c>
      <c r="D116" s="543"/>
      <c r="E116" s="542"/>
      <c r="F116" s="543"/>
      <c r="G116" s="542"/>
      <c r="H116" s="543"/>
      <c r="I116" s="542"/>
      <c r="J116" s="543"/>
      <c r="K116" s="542"/>
      <c r="L116" s="543"/>
      <c r="M116" s="542"/>
    </row>
    <row r="117" spans="1:13" x14ac:dyDescent="0.25">
      <c r="A117" s="540"/>
      <c r="B117" s="152" t="str">
        <f>IF(A117&lt;&gt;"",INDEX('Base de données'!A$4:L$990,MATCH(A117,'Base de données'!A$4:A$990,0),2),"")</f>
        <v/>
      </c>
      <c r="C117" s="154" t="str">
        <f>IF(A117&lt;&gt;"",INDEX('Base de données'!A$4:L$990,MATCH(A117,'Base de données'!A$4:A$990,0),12),"")</f>
        <v/>
      </c>
      <c r="D117" s="543"/>
      <c r="E117" s="542"/>
      <c r="F117" s="543"/>
      <c r="G117" s="542"/>
      <c r="H117" s="543"/>
      <c r="I117" s="542"/>
      <c r="J117" s="543"/>
      <c r="K117" s="542"/>
      <c r="L117" s="543"/>
      <c r="M117" s="542"/>
    </row>
    <row r="118" spans="1:13" x14ac:dyDescent="0.25">
      <c r="A118" s="540"/>
      <c r="B118" s="152" t="str">
        <f>IF(A118&lt;&gt;"",INDEX('Base de données'!A$4:L$990,MATCH(A118,'Base de données'!A$4:A$990,0),2),"")</f>
        <v/>
      </c>
      <c r="C118" s="154" t="str">
        <f>IF(A118&lt;&gt;"",INDEX('Base de données'!A$4:L$990,MATCH(A118,'Base de données'!A$4:A$990,0),12),"")</f>
        <v/>
      </c>
      <c r="D118" s="543"/>
      <c r="E118" s="542"/>
      <c r="F118" s="543"/>
      <c r="G118" s="542"/>
      <c r="H118" s="543"/>
      <c r="I118" s="542"/>
      <c r="J118" s="543"/>
      <c r="K118" s="542"/>
      <c r="L118" s="543"/>
      <c r="M118" s="542"/>
    </row>
    <row r="119" spans="1:13" x14ac:dyDescent="0.25">
      <c r="A119" s="540"/>
      <c r="B119" s="152" t="str">
        <f>IF(A119&lt;&gt;"",INDEX('Base de données'!A$4:L$990,MATCH(A119,'Base de données'!A$4:A$990,0),2),"")</f>
        <v/>
      </c>
      <c r="C119" s="154" t="str">
        <f>IF(A119&lt;&gt;"",INDEX('Base de données'!A$4:L$990,MATCH(A119,'Base de données'!A$4:A$990,0),12),"")</f>
        <v/>
      </c>
      <c r="D119" s="543"/>
      <c r="E119" s="542"/>
      <c r="F119" s="543"/>
      <c r="G119" s="542"/>
      <c r="H119" s="543"/>
      <c r="I119" s="542"/>
      <c r="J119" s="543"/>
      <c r="K119" s="542"/>
      <c r="L119" s="543"/>
      <c r="M119" s="542"/>
    </row>
    <row r="120" spans="1:13" x14ac:dyDescent="0.25">
      <c r="A120" s="540"/>
      <c r="B120" s="152" t="str">
        <f>IF(A120&lt;&gt;"",INDEX('Base de données'!A$4:L$990,MATCH(A120,'Base de données'!A$4:A$990,0),2),"")</f>
        <v/>
      </c>
      <c r="C120" s="154" t="str">
        <f>IF(A120&lt;&gt;"",INDEX('Base de données'!A$4:L$990,MATCH(A120,'Base de données'!A$4:A$990,0),12),"")</f>
        <v/>
      </c>
      <c r="D120" s="543"/>
      <c r="E120" s="542"/>
      <c r="F120" s="543"/>
      <c r="G120" s="542"/>
      <c r="H120" s="543"/>
      <c r="I120" s="542"/>
      <c r="J120" s="543"/>
      <c r="K120" s="542"/>
      <c r="L120" s="543"/>
      <c r="M120" s="542"/>
    </row>
    <row r="121" spans="1:13" x14ac:dyDescent="0.25">
      <c r="A121" s="540"/>
      <c r="B121" s="152" t="str">
        <f>IF(A121&lt;&gt;"",INDEX('Base de données'!A$4:L$990,MATCH(A121,'Base de données'!A$4:A$990,0),2),"")</f>
        <v/>
      </c>
      <c r="C121" s="154" t="str">
        <f>IF(A121&lt;&gt;"",INDEX('Base de données'!A$4:L$990,MATCH(A121,'Base de données'!A$4:A$990,0),12),"")</f>
        <v/>
      </c>
      <c r="D121" s="543"/>
      <c r="E121" s="542"/>
      <c r="F121" s="543"/>
      <c r="G121" s="542"/>
      <c r="H121" s="543"/>
      <c r="I121" s="542"/>
      <c r="J121" s="543"/>
      <c r="K121" s="542"/>
      <c r="L121" s="543"/>
      <c r="M121" s="542"/>
    </row>
    <row r="122" spans="1:13" x14ac:dyDescent="0.25">
      <c r="A122" s="540"/>
      <c r="B122" s="152" t="str">
        <f>IF(A122&lt;&gt;"",INDEX('Base de données'!A$4:L$990,MATCH(A122,'Base de données'!A$4:A$990,0),2),"")</f>
        <v/>
      </c>
      <c r="C122" s="154" t="str">
        <f>IF(A122&lt;&gt;"",INDEX('Base de données'!A$4:L$990,MATCH(A122,'Base de données'!A$4:A$990,0),12),"")</f>
        <v/>
      </c>
      <c r="D122" s="543"/>
      <c r="E122" s="542"/>
      <c r="F122" s="543"/>
      <c r="G122" s="542"/>
      <c r="H122" s="543"/>
      <c r="I122" s="542"/>
      <c r="J122" s="543"/>
      <c r="K122" s="542"/>
      <c r="L122" s="543"/>
      <c r="M122" s="542"/>
    </row>
    <row r="123" spans="1:13" x14ac:dyDescent="0.25">
      <c r="A123" s="540"/>
      <c r="B123" s="152" t="str">
        <f>IF(A123&lt;&gt;"",INDEX('Base de données'!A$4:L$990,MATCH(A123,'Base de données'!A$4:A$990,0),2),"")</f>
        <v/>
      </c>
      <c r="C123" s="154" t="str">
        <f>IF(A123&lt;&gt;"",INDEX('Base de données'!A$4:L$990,MATCH(A123,'Base de données'!A$4:A$990,0),12),"")</f>
        <v/>
      </c>
      <c r="D123" s="543"/>
      <c r="E123" s="542"/>
      <c r="F123" s="543"/>
      <c r="G123" s="542"/>
      <c r="H123" s="543"/>
      <c r="I123" s="542"/>
      <c r="J123" s="543"/>
      <c r="K123" s="542"/>
      <c r="L123" s="543"/>
      <c r="M123" s="542"/>
    </row>
    <row r="124" spans="1:13" x14ac:dyDescent="0.25">
      <c r="A124" s="540"/>
      <c r="B124" s="152" t="str">
        <f>IF(A124&lt;&gt;"",INDEX('Base de données'!A$4:L$990,MATCH(A124,'Base de données'!A$4:A$990,0),2),"")</f>
        <v/>
      </c>
      <c r="C124" s="154" t="str">
        <f>IF(A124&lt;&gt;"",INDEX('Base de données'!A$4:L$990,MATCH(A124,'Base de données'!A$4:A$990,0),12),"")</f>
        <v/>
      </c>
      <c r="D124" s="543"/>
      <c r="E124" s="542"/>
      <c r="F124" s="543"/>
      <c r="G124" s="542"/>
      <c r="H124" s="543"/>
      <c r="I124" s="542"/>
      <c r="J124" s="543"/>
      <c r="K124" s="542"/>
      <c r="L124" s="543"/>
      <c r="M124" s="542"/>
    </row>
    <row r="125" spans="1:13" x14ac:dyDescent="0.25">
      <c r="A125" s="540"/>
      <c r="B125" s="152" t="str">
        <f>IF(A125&lt;&gt;"",INDEX('Base de données'!A$4:L$990,MATCH(A125,'Base de données'!A$4:A$990,0),2),"")</f>
        <v/>
      </c>
      <c r="C125" s="154" t="str">
        <f>IF(A125&lt;&gt;"",INDEX('Base de données'!A$4:L$990,MATCH(A125,'Base de données'!A$4:A$990,0),12),"")</f>
        <v/>
      </c>
      <c r="D125" s="543"/>
      <c r="E125" s="542"/>
      <c r="F125" s="543"/>
      <c r="G125" s="542"/>
      <c r="H125" s="543"/>
      <c r="I125" s="542"/>
      <c r="J125" s="543"/>
      <c r="K125" s="542"/>
      <c r="L125" s="543"/>
      <c r="M125" s="542"/>
    </row>
    <row r="126" spans="1:13" x14ac:dyDescent="0.25">
      <c r="A126" s="540"/>
      <c r="B126" s="152" t="str">
        <f>IF(A126&lt;&gt;"",INDEX('Base de données'!A$4:L$990,MATCH(A126,'Base de données'!A$4:A$990,0),2),"")</f>
        <v/>
      </c>
      <c r="C126" s="154" t="str">
        <f>IF(A126&lt;&gt;"",INDEX('Base de données'!A$4:L$990,MATCH(A126,'Base de données'!A$4:A$990,0),12),"")</f>
        <v/>
      </c>
      <c r="D126" s="543"/>
      <c r="E126" s="542"/>
      <c r="F126" s="543"/>
      <c r="G126" s="542"/>
      <c r="H126" s="543"/>
      <c r="I126" s="542"/>
      <c r="J126" s="543"/>
      <c r="K126" s="542"/>
      <c r="L126" s="543"/>
      <c r="M126" s="542"/>
    </row>
    <row r="127" spans="1:13" x14ac:dyDescent="0.25">
      <c r="A127" s="540"/>
      <c r="B127" s="152" t="str">
        <f>IF(A127&lt;&gt;"",INDEX('Base de données'!A$4:L$990,MATCH(A127,'Base de données'!A$4:A$990,0),2),"")</f>
        <v/>
      </c>
      <c r="C127" s="154" t="str">
        <f>IF(A127&lt;&gt;"",INDEX('Base de données'!A$4:L$990,MATCH(A127,'Base de données'!A$4:A$990,0),12),"")</f>
        <v/>
      </c>
      <c r="D127" s="543"/>
      <c r="E127" s="542"/>
      <c r="F127" s="543"/>
      <c r="G127" s="542"/>
      <c r="H127" s="543"/>
      <c r="I127" s="542"/>
      <c r="J127" s="543"/>
      <c r="K127" s="542"/>
      <c r="L127" s="543"/>
      <c r="M127" s="542"/>
    </row>
    <row r="128" spans="1:13" x14ac:dyDescent="0.25">
      <c r="A128" s="540"/>
      <c r="B128" s="152" t="str">
        <f>IF(A128&lt;&gt;"",INDEX('Base de données'!A$4:L$990,MATCH(A128,'Base de données'!A$4:A$990,0),2),"")</f>
        <v/>
      </c>
      <c r="C128" s="154" t="str">
        <f>IF(A128&lt;&gt;"",INDEX('Base de données'!A$4:L$990,MATCH(A128,'Base de données'!A$4:A$990,0),12),"")</f>
        <v/>
      </c>
      <c r="D128" s="543"/>
      <c r="E128" s="542"/>
      <c r="F128" s="543"/>
      <c r="G128" s="542"/>
      <c r="H128" s="543"/>
      <c r="I128" s="542"/>
      <c r="J128" s="543"/>
      <c r="K128" s="542"/>
      <c r="L128" s="543"/>
      <c r="M128" s="542"/>
    </row>
    <row r="129" spans="1:13" x14ac:dyDescent="0.25">
      <c r="A129" s="540"/>
      <c r="B129" s="152" t="str">
        <f>IF(A129&lt;&gt;"",INDEX('Base de données'!A$4:L$990,MATCH(A129,'Base de données'!A$4:A$990,0),2),"")</f>
        <v/>
      </c>
      <c r="C129" s="154" t="str">
        <f>IF(A129&lt;&gt;"",INDEX('Base de données'!A$4:L$990,MATCH(A129,'Base de données'!A$4:A$990,0),12),"")</f>
        <v/>
      </c>
      <c r="D129" s="543"/>
      <c r="E129" s="542"/>
      <c r="F129" s="543"/>
      <c r="G129" s="542"/>
      <c r="H129" s="543"/>
      <c r="I129" s="542"/>
      <c r="J129" s="543"/>
      <c r="K129" s="542"/>
      <c r="L129" s="543"/>
      <c r="M129" s="542"/>
    </row>
    <row r="130" spans="1:13" x14ac:dyDescent="0.25">
      <c r="A130" s="540"/>
      <c r="B130" s="152" t="str">
        <f>IF(A130&lt;&gt;"",INDEX('Base de données'!A$4:L$990,MATCH(A130,'Base de données'!A$4:A$990,0),2),"")</f>
        <v/>
      </c>
      <c r="C130" s="154" t="str">
        <f>IF(A130&lt;&gt;"",INDEX('Base de données'!A$4:L$990,MATCH(A130,'Base de données'!A$4:A$990,0),12),"")</f>
        <v/>
      </c>
      <c r="D130" s="543"/>
      <c r="E130" s="542"/>
      <c r="F130" s="543"/>
      <c r="G130" s="542"/>
      <c r="H130" s="543"/>
      <c r="I130" s="542"/>
      <c r="J130" s="543"/>
      <c r="K130" s="542"/>
      <c r="L130" s="543"/>
      <c r="M130" s="542"/>
    </row>
    <row r="131" spans="1:13" x14ac:dyDescent="0.25">
      <c r="A131" s="540"/>
      <c r="B131" s="152" t="str">
        <f>IF(A131&lt;&gt;"",INDEX('Base de données'!A$4:L$990,MATCH(A131,'Base de données'!A$4:A$990,0),2),"")</f>
        <v/>
      </c>
      <c r="C131" s="154" t="str">
        <f>IF(A131&lt;&gt;"",INDEX('Base de données'!A$4:L$990,MATCH(A131,'Base de données'!A$4:A$990,0),12),"")</f>
        <v/>
      </c>
      <c r="D131" s="543"/>
      <c r="E131" s="542"/>
      <c r="F131" s="543"/>
      <c r="G131" s="542"/>
      <c r="H131" s="543"/>
      <c r="I131" s="542"/>
      <c r="J131" s="543"/>
      <c r="K131" s="542"/>
      <c r="L131" s="543"/>
      <c r="M131" s="542"/>
    </row>
    <row r="132" spans="1:13" x14ac:dyDescent="0.25">
      <c r="A132" s="540"/>
      <c r="B132" s="152" t="str">
        <f>IF(A132&lt;&gt;"",INDEX('Base de données'!A$4:L$990,MATCH(A132,'Base de données'!A$4:A$990,0),2),"")</f>
        <v/>
      </c>
      <c r="C132" s="154" t="str">
        <f>IF(A132&lt;&gt;"",INDEX('Base de données'!A$4:L$990,MATCH(A132,'Base de données'!A$4:A$990,0),12),"")</f>
        <v/>
      </c>
      <c r="D132" s="543"/>
      <c r="E132" s="542"/>
      <c r="F132" s="543"/>
      <c r="G132" s="542"/>
      <c r="H132" s="543"/>
      <c r="I132" s="542"/>
      <c r="J132" s="543"/>
      <c r="K132" s="542"/>
      <c r="L132" s="543"/>
      <c r="M132" s="542"/>
    </row>
    <row r="133" spans="1:13" x14ac:dyDescent="0.25">
      <c r="A133" s="540"/>
      <c r="B133" s="152" t="str">
        <f>IF(A133&lt;&gt;"",INDEX('Base de données'!A$4:L$990,MATCH(A133,'Base de données'!A$4:A$990,0),2),"")</f>
        <v/>
      </c>
      <c r="C133" s="154" t="str">
        <f>IF(A133&lt;&gt;"",INDEX('Base de données'!A$4:L$990,MATCH(A133,'Base de données'!A$4:A$990,0),12),"")</f>
        <v/>
      </c>
      <c r="D133" s="543"/>
      <c r="E133" s="542"/>
      <c r="F133" s="543"/>
      <c r="G133" s="542"/>
      <c r="H133" s="543"/>
      <c r="I133" s="542"/>
      <c r="J133" s="543"/>
      <c r="K133" s="542"/>
      <c r="L133" s="543"/>
      <c r="M133" s="542"/>
    </row>
    <row r="134" spans="1:13" x14ac:dyDescent="0.25">
      <c r="A134" s="540"/>
      <c r="B134" s="152" t="str">
        <f>IF(A134&lt;&gt;"",INDEX('Base de données'!A$4:L$990,MATCH(A134,'Base de données'!A$4:A$990,0),2),"")</f>
        <v/>
      </c>
      <c r="C134" s="154" t="str">
        <f>IF(A134&lt;&gt;"",INDEX('Base de données'!A$4:L$990,MATCH(A134,'Base de données'!A$4:A$990,0),12),"")</f>
        <v/>
      </c>
      <c r="D134" s="543"/>
      <c r="E134" s="542"/>
      <c r="F134" s="543"/>
      <c r="G134" s="542"/>
      <c r="H134" s="543"/>
      <c r="I134" s="542"/>
      <c r="J134" s="543"/>
      <c r="K134" s="542"/>
      <c r="L134" s="543"/>
      <c r="M134" s="542"/>
    </row>
    <row r="135" spans="1:13" x14ac:dyDescent="0.25">
      <c r="A135" s="540"/>
      <c r="B135" s="152" t="str">
        <f>IF(A135&lt;&gt;"",INDEX('Base de données'!A$4:L$990,MATCH(A135,'Base de données'!A$4:A$990,0),2),"")</f>
        <v/>
      </c>
      <c r="C135" s="154" t="str">
        <f>IF(A135&lt;&gt;"",INDEX('Base de données'!A$4:L$990,MATCH(A135,'Base de données'!A$4:A$990,0),12),"")</f>
        <v/>
      </c>
      <c r="D135" s="543"/>
      <c r="E135" s="542"/>
      <c r="F135" s="543"/>
      <c r="G135" s="542"/>
      <c r="H135" s="543"/>
      <c r="I135" s="542"/>
      <c r="J135" s="543"/>
      <c r="K135" s="542"/>
      <c r="L135" s="543"/>
      <c r="M135" s="542"/>
    </row>
    <row r="136" spans="1:13" x14ac:dyDescent="0.25">
      <c r="A136" s="540"/>
      <c r="B136" s="152" t="str">
        <f>IF(A136&lt;&gt;"",INDEX('Base de données'!A$4:L$990,MATCH(A136,'Base de données'!A$4:A$990,0),2),"")</f>
        <v/>
      </c>
      <c r="C136" s="154" t="str">
        <f>IF(A136&lt;&gt;"",INDEX('Base de données'!A$4:L$990,MATCH(A136,'Base de données'!A$4:A$990,0),12),"")</f>
        <v/>
      </c>
      <c r="D136" s="543"/>
      <c r="E136" s="542"/>
      <c r="F136" s="543"/>
      <c r="G136" s="542"/>
      <c r="H136" s="543"/>
      <c r="I136" s="542"/>
      <c r="J136" s="543"/>
      <c r="K136" s="542"/>
      <c r="L136" s="543"/>
      <c r="M136" s="542"/>
    </row>
    <row r="137" spans="1:13" x14ac:dyDescent="0.25">
      <c r="A137" s="540"/>
      <c r="B137" s="152" t="str">
        <f>IF(A137&lt;&gt;"",INDEX('Base de données'!A$4:L$990,MATCH(A137,'Base de données'!A$4:A$990,0),2),"")</f>
        <v/>
      </c>
      <c r="C137" s="154" t="str">
        <f>IF(A137&lt;&gt;"",INDEX('Base de données'!A$4:L$990,MATCH(A137,'Base de données'!A$4:A$990,0),12),"")</f>
        <v/>
      </c>
      <c r="D137" s="543"/>
      <c r="E137" s="542"/>
      <c r="F137" s="543"/>
      <c r="G137" s="542"/>
      <c r="H137" s="543"/>
      <c r="I137" s="542"/>
      <c r="J137" s="543"/>
      <c r="K137" s="542"/>
      <c r="L137" s="543"/>
      <c r="M137" s="542"/>
    </row>
    <row r="138" spans="1:13" x14ac:dyDescent="0.25">
      <c r="A138" s="540"/>
      <c r="B138" s="152" t="str">
        <f>IF(A138&lt;&gt;"",INDEX('Base de données'!A$4:L$990,MATCH(A138,'Base de données'!A$4:A$990,0),2),"")</f>
        <v/>
      </c>
      <c r="C138" s="154" t="str">
        <f>IF(A138&lt;&gt;"",INDEX('Base de données'!A$4:L$990,MATCH(A138,'Base de données'!A$4:A$990,0),12),"")</f>
        <v/>
      </c>
      <c r="D138" s="543"/>
      <c r="E138" s="542"/>
      <c r="F138" s="543"/>
      <c r="G138" s="542"/>
      <c r="H138" s="543"/>
      <c r="I138" s="542"/>
      <c r="J138" s="543"/>
      <c r="K138" s="542"/>
      <c r="L138" s="543"/>
      <c r="M138" s="542"/>
    </row>
    <row r="139" spans="1:13" x14ac:dyDescent="0.25">
      <c r="A139" s="540"/>
      <c r="B139" s="152" t="str">
        <f>IF(A139&lt;&gt;"",INDEX('Base de données'!A$4:L$990,MATCH(A139,'Base de données'!A$4:A$990,0),2),"")</f>
        <v/>
      </c>
      <c r="C139" s="154" t="str">
        <f>IF(A139&lt;&gt;"",INDEX('Base de données'!A$4:L$990,MATCH(A139,'Base de données'!A$4:A$990,0),12),"")</f>
        <v/>
      </c>
      <c r="D139" s="543"/>
      <c r="E139" s="542"/>
      <c r="F139" s="543"/>
      <c r="G139" s="542"/>
      <c r="H139" s="543"/>
      <c r="I139" s="542"/>
      <c r="J139" s="543"/>
      <c r="K139" s="542"/>
      <c r="L139" s="543"/>
      <c r="M139" s="542"/>
    </row>
    <row r="140" spans="1:13" x14ac:dyDescent="0.25">
      <c r="A140" s="540"/>
      <c r="B140" s="152" t="str">
        <f>IF(A140&lt;&gt;"",INDEX('Base de données'!A$4:L$990,MATCH(A140,'Base de données'!A$4:A$990,0),2),"")</f>
        <v/>
      </c>
      <c r="C140" s="154" t="str">
        <f>IF(A140&lt;&gt;"",INDEX('Base de données'!A$4:L$990,MATCH(A140,'Base de données'!A$4:A$990,0),12),"")</f>
        <v/>
      </c>
      <c r="D140" s="543"/>
      <c r="E140" s="542"/>
      <c r="F140" s="543"/>
      <c r="G140" s="542"/>
      <c r="H140" s="543"/>
      <c r="I140" s="542"/>
      <c r="J140" s="543"/>
      <c r="K140" s="542"/>
      <c r="L140" s="543"/>
      <c r="M140" s="542"/>
    </row>
    <row r="141" spans="1:13" x14ac:dyDescent="0.25">
      <c r="A141" s="540"/>
      <c r="B141" s="152" t="str">
        <f>IF(A141&lt;&gt;"",INDEX('Base de données'!A$4:L$990,MATCH(A141,'Base de données'!A$4:A$990,0),2),"")</f>
        <v/>
      </c>
      <c r="C141" s="154" t="str">
        <f>IF(A141&lt;&gt;"",INDEX('Base de données'!A$4:L$990,MATCH(A141,'Base de données'!A$4:A$990,0),12),"")</f>
        <v/>
      </c>
      <c r="D141" s="543"/>
      <c r="E141" s="542"/>
      <c r="F141" s="543"/>
      <c r="G141" s="542"/>
      <c r="H141" s="543"/>
      <c r="I141" s="542"/>
      <c r="J141" s="543"/>
      <c r="K141" s="542"/>
      <c r="L141" s="543"/>
      <c r="M141" s="542"/>
    </row>
    <row r="142" spans="1:13" x14ac:dyDescent="0.25">
      <c r="A142" s="540"/>
      <c r="B142" s="152" t="str">
        <f>IF(A142&lt;&gt;"",INDEX('Base de données'!A$4:L$990,MATCH(A142,'Base de données'!A$4:A$990,0),2),"")</f>
        <v/>
      </c>
      <c r="C142" s="154" t="str">
        <f>IF(A142&lt;&gt;"",INDEX('Base de données'!A$4:L$990,MATCH(A142,'Base de données'!A$4:A$990,0),12),"")</f>
        <v/>
      </c>
      <c r="D142" s="543"/>
      <c r="E142" s="542"/>
      <c r="F142" s="543"/>
      <c r="G142" s="542"/>
      <c r="H142" s="543"/>
      <c r="I142" s="542"/>
      <c r="J142" s="543"/>
      <c r="K142" s="542"/>
      <c r="L142" s="543"/>
      <c r="M142" s="542"/>
    </row>
    <row r="143" spans="1:13" x14ac:dyDescent="0.25">
      <c r="A143" s="540"/>
      <c r="B143" s="152" t="str">
        <f>IF(A143&lt;&gt;"",INDEX('Base de données'!A$4:L$990,MATCH(A143,'Base de données'!A$4:A$990,0),2),"")</f>
        <v/>
      </c>
      <c r="C143" s="154" t="str">
        <f>IF(A143&lt;&gt;"",INDEX('Base de données'!A$4:L$990,MATCH(A143,'Base de données'!A$4:A$990,0),12),"")</f>
        <v/>
      </c>
      <c r="D143" s="543"/>
      <c r="E143" s="542"/>
      <c r="F143" s="543"/>
      <c r="G143" s="542"/>
      <c r="H143" s="543"/>
      <c r="I143" s="542"/>
      <c r="J143" s="543"/>
      <c r="K143" s="542"/>
      <c r="L143" s="543"/>
      <c r="M143" s="542"/>
    </row>
    <row r="144" spans="1:13" x14ac:dyDescent="0.25">
      <c r="A144" s="540"/>
      <c r="B144" s="152" t="str">
        <f>IF(A144&lt;&gt;"",INDEX('Base de données'!A$4:L$990,MATCH(A144,'Base de données'!A$4:A$990,0),2),"")</f>
        <v/>
      </c>
      <c r="C144" s="154" t="str">
        <f>IF(A144&lt;&gt;"",INDEX('Base de données'!A$4:L$990,MATCH(A144,'Base de données'!A$4:A$990,0),12),"")</f>
        <v/>
      </c>
      <c r="D144" s="543"/>
      <c r="E144" s="542"/>
      <c r="F144" s="543"/>
      <c r="G144" s="542"/>
      <c r="H144" s="543"/>
      <c r="I144" s="542"/>
      <c r="J144" s="543"/>
      <c r="K144" s="542"/>
      <c r="L144" s="543"/>
      <c r="M144" s="542"/>
    </row>
    <row r="145" spans="1:13" x14ac:dyDescent="0.25">
      <c r="A145" s="540"/>
      <c r="B145" s="152" t="str">
        <f>IF(A145&lt;&gt;"",INDEX('Base de données'!A$4:L$990,MATCH(A145,'Base de données'!A$4:A$990,0),2),"")</f>
        <v/>
      </c>
      <c r="C145" s="154" t="str">
        <f>IF(A145&lt;&gt;"",INDEX('Base de données'!A$4:L$990,MATCH(A145,'Base de données'!A$4:A$990,0),12),"")</f>
        <v/>
      </c>
      <c r="D145" s="543"/>
      <c r="E145" s="542"/>
      <c r="F145" s="543"/>
      <c r="G145" s="542"/>
      <c r="H145" s="543"/>
      <c r="I145" s="542"/>
      <c r="J145" s="543"/>
      <c r="K145" s="542"/>
      <c r="L145" s="543"/>
      <c r="M145" s="542"/>
    </row>
    <row r="146" spans="1:13" x14ac:dyDescent="0.25">
      <c r="A146" s="540"/>
      <c r="B146" s="152" t="str">
        <f>IF(A146&lt;&gt;"",INDEX('Base de données'!A$4:L$990,MATCH(A146,'Base de données'!A$4:A$990,0),2),"")</f>
        <v/>
      </c>
      <c r="C146" s="154" t="str">
        <f>IF(A146&lt;&gt;"",INDEX('Base de données'!A$4:L$990,MATCH(A146,'Base de données'!A$4:A$990,0),12),"")</f>
        <v/>
      </c>
      <c r="D146" s="543"/>
      <c r="E146" s="542"/>
      <c r="F146" s="543"/>
      <c r="G146" s="542"/>
      <c r="H146" s="543"/>
      <c r="I146" s="542"/>
      <c r="J146" s="543"/>
      <c r="K146" s="542"/>
      <c r="L146" s="543"/>
      <c r="M146" s="542"/>
    </row>
    <row r="147" spans="1:13" x14ac:dyDescent="0.25">
      <c r="A147" s="540"/>
      <c r="B147" s="152" t="str">
        <f>IF(A147&lt;&gt;"",INDEX('Base de données'!A$4:L$990,MATCH(A147,'Base de données'!A$4:A$990,0),2),"")</f>
        <v/>
      </c>
      <c r="C147" s="154" t="str">
        <f>IF(A147&lt;&gt;"",INDEX('Base de données'!A$4:L$990,MATCH(A147,'Base de données'!A$4:A$990,0),12),"")</f>
        <v/>
      </c>
      <c r="D147" s="543"/>
      <c r="E147" s="542"/>
      <c r="F147" s="543"/>
      <c r="G147" s="542"/>
      <c r="H147" s="543"/>
      <c r="I147" s="542"/>
      <c r="J147" s="543"/>
      <c r="K147" s="542"/>
      <c r="L147" s="543"/>
      <c r="M147" s="542"/>
    </row>
    <row r="148" spans="1:13" x14ac:dyDescent="0.25">
      <c r="A148" s="540"/>
      <c r="B148" s="152" t="str">
        <f>IF(A148&lt;&gt;"",INDEX('Base de données'!A$4:L$990,MATCH(A148,'Base de données'!A$4:A$990,0),2),"")</f>
        <v/>
      </c>
      <c r="C148" s="154" t="str">
        <f>IF(A148&lt;&gt;"",INDEX('Base de données'!A$4:L$990,MATCH(A148,'Base de données'!A$4:A$990,0),12),"")</f>
        <v/>
      </c>
      <c r="D148" s="543"/>
      <c r="E148" s="542"/>
      <c r="F148" s="543"/>
      <c r="G148" s="542"/>
      <c r="H148" s="543"/>
      <c r="I148" s="542"/>
      <c r="J148" s="543"/>
      <c r="K148" s="542"/>
      <c r="L148" s="543"/>
      <c r="M148" s="542"/>
    </row>
    <row r="149" spans="1:13" x14ac:dyDescent="0.25">
      <c r="A149" s="540"/>
      <c r="B149" s="152" t="str">
        <f>IF(A149&lt;&gt;"",INDEX('Base de données'!A$4:L$990,MATCH(A149,'Base de données'!A$4:A$990,0),2),"")</f>
        <v/>
      </c>
      <c r="C149" s="154" t="str">
        <f>IF(A149&lt;&gt;"",INDEX('Base de données'!A$4:L$990,MATCH(A149,'Base de données'!A$4:A$990,0),12),"")</f>
        <v/>
      </c>
      <c r="D149" s="543"/>
      <c r="E149" s="542"/>
      <c r="F149" s="543"/>
      <c r="G149" s="542"/>
      <c r="H149" s="543"/>
      <c r="I149" s="542"/>
      <c r="J149" s="543"/>
      <c r="K149" s="542"/>
      <c r="L149" s="543"/>
      <c r="M149" s="542"/>
    </row>
    <row r="150" spans="1:13" x14ac:dyDescent="0.25">
      <c r="A150" s="540"/>
      <c r="B150" s="152" t="str">
        <f>IF(A150&lt;&gt;"",INDEX('Base de données'!A$4:L$990,MATCH(A150,'Base de données'!A$4:A$990,0),2),"")</f>
        <v/>
      </c>
      <c r="C150" s="154" t="str">
        <f>IF(A150&lt;&gt;"",INDEX('Base de données'!A$4:L$990,MATCH(A150,'Base de données'!A$4:A$990,0),12),"")</f>
        <v/>
      </c>
      <c r="D150" s="543"/>
      <c r="E150" s="542"/>
      <c r="F150" s="543"/>
      <c r="G150" s="542"/>
      <c r="H150" s="543"/>
      <c r="I150" s="542"/>
      <c r="J150" s="543"/>
      <c r="K150" s="542"/>
      <c r="L150" s="543"/>
      <c r="M150" s="542"/>
    </row>
    <row r="151" spans="1:13" x14ac:dyDescent="0.25">
      <c r="A151" s="540"/>
      <c r="B151" s="152" t="str">
        <f>IF(A151&lt;&gt;"",INDEX('Base de données'!A$4:L$990,MATCH(A151,'Base de données'!A$4:A$990,0),2),"")</f>
        <v/>
      </c>
      <c r="C151" s="154" t="str">
        <f>IF(A151&lt;&gt;"",INDEX('Base de données'!A$4:L$990,MATCH(A151,'Base de données'!A$4:A$990,0),12),"")</f>
        <v/>
      </c>
      <c r="D151" s="543"/>
      <c r="E151" s="542"/>
      <c r="F151" s="543"/>
      <c r="G151" s="542"/>
      <c r="H151" s="543"/>
      <c r="I151" s="542"/>
      <c r="J151" s="543"/>
      <c r="K151" s="542"/>
      <c r="L151" s="543"/>
      <c r="M151" s="542"/>
    </row>
    <row r="152" spans="1:13" x14ac:dyDescent="0.25">
      <c r="A152" s="540"/>
      <c r="B152" s="152" t="str">
        <f>IF(A152&lt;&gt;"",INDEX('Base de données'!A$4:L$990,MATCH(A152,'Base de données'!A$4:A$990,0),2),"")</f>
        <v/>
      </c>
      <c r="C152" s="154" t="str">
        <f>IF(A152&lt;&gt;"",INDEX('Base de données'!A$4:L$990,MATCH(A152,'Base de données'!A$4:A$990,0),12),"")</f>
        <v/>
      </c>
      <c r="D152" s="543"/>
      <c r="E152" s="542"/>
      <c r="F152" s="543"/>
      <c r="G152" s="542"/>
      <c r="H152" s="543"/>
      <c r="I152" s="542"/>
      <c r="J152" s="543"/>
      <c r="K152" s="542"/>
      <c r="L152" s="543"/>
      <c r="M152" s="542"/>
    </row>
    <row r="153" spans="1:13" x14ac:dyDescent="0.25">
      <c r="A153" s="540"/>
      <c r="B153" s="152" t="str">
        <f>IF(A153&lt;&gt;"",INDEX('Base de données'!A$4:L$990,MATCH(A153,'Base de données'!A$4:A$990,0),2),"")</f>
        <v/>
      </c>
      <c r="C153" s="154" t="str">
        <f>IF(A153&lt;&gt;"",INDEX('Base de données'!A$4:L$990,MATCH(A153,'Base de données'!A$4:A$990,0),12),"")</f>
        <v/>
      </c>
      <c r="D153" s="543"/>
      <c r="E153" s="542"/>
      <c r="F153" s="543"/>
      <c r="G153" s="542"/>
      <c r="H153" s="543"/>
      <c r="I153" s="542"/>
      <c r="J153" s="543"/>
      <c r="K153" s="542"/>
      <c r="L153" s="543"/>
      <c r="M153" s="542"/>
    </row>
    <row r="154" spans="1:13" x14ac:dyDescent="0.25">
      <c r="A154" s="540"/>
      <c r="B154" s="152" t="str">
        <f>IF(A154&lt;&gt;"",INDEX('Base de données'!A$4:L$990,MATCH(A154,'Base de données'!A$4:A$990,0),2),"")</f>
        <v/>
      </c>
      <c r="C154" s="154" t="str">
        <f>IF(A154&lt;&gt;"",INDEX('Base de données'!A$4:L$990,MATCH(A154,'Base de données'!A$4:A$990,0),12),"")</f>
        <v/>
      </c>
      <c r="D154" s="543"/>
      <c r="E154" s="542"/>
      <c r="F154" s="543"/>
      <c r="G154" s="542"/>
      <c r="H154" s="543"/>
      <c r="I154" s="542"/>
      <c r="J154" s="543"/>
      <c r="K154" s="542"/>
      <c r="L154" s="543"/>
      <c r="M154" s="542"/>
    </row>
    <row r="155" spans="1:13" x14ac:dyDescent="0.25">
      <c r="A155" s="540"/>
      <c r="B155" s="152" t="str">
        <f>IF(A155&lt;&gt;"",INDEX('Base de données'!A$4:L$990,MATCH(A155,'Base de données'!A$4:A$990,0),2),"")</f>
        <v/>
      </c>
      <c r="C155" s="154" t="str">
        <f>IF(A155&lt;&gt;"",INDEX('Base de données'!A$4:L$990,MATCH(A155,'Base de données'!A$4:A$990,0),12),"")</f>
        <v/>
      </c>
      <c r="D155" s="543"/>
      <c r="E155" s="542"/>
      <c r="F155" s="543"/>
      <c r="G155" s="542"/>
      <c r="H155" s="543"/>
      <c r="I155" s="542"/>
      <c r="J155" s="543"/>
      <c r="K155" s="542"/>
      <c r="L155" s="543"/>
      <c r="M155" s="542"/>
    </row>
    <row r="156" spans="1:13" x14ac:dyDescent="0.25">
      <c r="A156" s="540"/>
      <c r="B156" s="152" t="str">
        <f>IF(A156&lt;&gt;"",INDEX('Base de données'!A$4:L$990,MATCH(A156,'Base de données'!A$4:A$990,0),2),"")</f>
        <v/>
      </c>
      <c r="C156" s="154" t="str">
        <f>IF(A156&lt;&gt;"",INDEX('Base de données'!A$4:L$990,MATCH(A156,'Base de données'!A$4:A$990,0),12),"")</f>
        <v/>
      </c>
      <c r="D156" s="543"/>
      <c r="E156" s="542"/>
      <c r="F156" s="543"/>
      <c r="G156" s="542"/>
      <c r="H156" s="543"/>
      <c r="I156" s="542"/>
      <c r="J156" s="543"/>
      <c r="K156" s="542"/>
      <c r="L156" s="543"/>
      <c r="M156" s="542"/>
    </row>
    <row r="157" spans="1:13" x14ac:dyDescent="0.25">
      <c r="A157" s="540"/>
      <c r="B157" s="152" t="str">
        <f>IF(A157&lt;&gt;"",INDEX('Base de données'!A$4:L$990,MATCH(A157,'Base de données'!A$4:A$990,0),2),"")</f>
        <v/>
      </c>
      <c r="C157" s="154" t="str">
        <f>IF(A157&lt;&gt;"",INDEX('Base de données'!A$4:L$990,MATCH(A157,'Base de données'!A$4:A$990,0),12),"")</f>
        <v/>
      </c>
      <c r="D157" s="543"/>
      <c r="E157" s="542"/>
      <c r="F157" s="543"/>
      <c r="G157" s="542"/>
      <c r="H157" s="543"/>
      <c r="I157" s="542"/>
      <c r="J157" s="543"/>
      <c r="K157" s="542"/>
      <c r="L157" s="543"/>
      <c r="M157" s="542"/>
    </row>
    <row r="158" spans="1:13" x14ac:dyDescent="0.25">
      <c r="A158" s="540"/>
      <c r="B158" s="152" t="str">
        <f>IF(A158&lt;&gt;"",INDEX('Base de données'!A$4:L$990,MATCH(A158,'Base de données'!A$4:A$990,0),2),"")</f>
        <v/>
      </c>
      <c r="C158" s="154" t="str">
        <f>IF(A158&lt;&gt;"",INDEX('Base de données'!A$4:L$990,MATCH(A158,'Base de données'!A$4:A$990,0),12),"")</f>
        <v/>
      </c>
      <c r="D158" s="543"/>
      <c r="E158" s="542"/>
      <c r="F158" s="543"/>
      <c r="G158" s="542"/>
      <c r="H158" s="543"/>
      <c r="I158" s="542"/>
      <c r="J158" s="543"/>
      <c r="K158" s="542"/>
      <c r="L158" s="543"/>
      <c r="M158" s="542"/>
    </row>
    <row r="159" spans="1:13" x14ac:dyDescent="0.25">
      <c r="A159" s="540"/>
      <c r="B159" s="152" t="str">
        <f>IF(A159&lt;&gt;"",INDEX('Base de données'!A$4:L$990,MATCH(A159,'Base de données'!A$4:A$990,0),2),"")</f>
        <v/>
      </c>
      <c r="C159" s="154" t="str">
        <f>IF(A159&lt;&gt;"",INDEX('Base de données'!A$4:L$990,MATCH(A159,'Base de données'!A$4:A$990,0),12),"")</f>
        <v/>
      </c>
      <c r="D159" s="543"/>
      <c r="E159" s="542"/>
      <c r="F159" s="543"/>
      <c r="G159" s="542"/>
      <c r="H159" s="543"/>
      <c r="I159" s="542"/>
      <c r="J159" s="543"/>
      <c r="K159" s="542"/>
      <c r="L159" s="543"/>
      <c r="M159" s="542"/>
    </row>
    <row r="160" spans="1:13" x14ac:dyDescent="0.25">
      <c r="A160" s="540"/>
      <c r="B160" s="152" t="str">
        <f>IF(A160&lt;&gt;"",INDEX('Base de données'!A$4:L$990,MATCH(A160,'Base de données'!A$4:A$990,0),2),"")</f>
        <v/>
      </c>
      <c r="C160" s="154" t="str">
        <f>IF(A160&lt;&gt;"",INDEX('Base de données'!A$4:L$990,MATCH(A160,'Base de données'!A$4:A$990,0),12),"")</f>
        <v/>
      </c>
      <c r="D160" s="543"/>
      <c r="E160" s="542"/>
      <c r="F160" s="543"/>
      <c r="G160" s="542"/>
      <c r="H160" s="543"/>
      <c r="I160" s="542"/>
      <c r="J160" s="543"/>
      <c r="K160" s="542"/>
      <c r="L160" s="543"/>
      <c r="M160" s="542"/>
    </row>
    <row r="161" spans="1:13" x14ac:dyDescent="0.25">
      <c r="A161" s="540"/>
      <c r="B161" s="152" t="str">
        <f>IF(A161&lt;&gt;"",INDEX('Base de données'!A$4:L$990,MATCH(A161,'Base de données'!A$4:A$990,0),2),"")</f>
        <v/>
      </c>
      <c r="C161" s="154" t="str">
        <f>IF(A161&lt;&gt;"",INDEX('Base de données'!A$4:L$990,MATCH(A161,'Base de données'!A$4:A$990,0),12),"")</f>
        <v/>
      </c>
      <c r="D161" s="543"/>
      <c r="E161" s="542"/>
      <c r="F161" s="543"/>
      <c r="G161" s="542"/>
      <c r="H161" s="543"/>
      <c r="I161" s="542"/>
      <c r="J161" s="543"/>
      <c r="K161" s="542"/>
      <c r="L161" s="543"/>
      <c r="M161" s="542"/>
    </row>
    <row r="162" spans="1:13" x14ac:dyDescent="0.25">
      <c r="A162" s="540"/>
      <c r="B162" s="152" t="str">
        <f>IF(A162&lt;&gt;"",INDEX('Base de données'!A$4:L$990,MATCH(A162,'Base de données'!A$4:A$990,0),2),"")</f>
        <v/>
      </c>
      <c r="C162" s="154" t="str">
        <f>IF(A162&lt;&gt;"",INDEX('Base de données'!A$4:L$990,MATCH(A162,'Base de données'!A$4:A$990,0),12),"")</f>
        <v/>
      </c>
      <c r="D162" s="543"/>
      <c r="E162" s="542"/>
      <c r="F162" s="543"/>
      <c r="G162" s="542"/>
      <c r="H162" s="543"/>
      <c r="I162" s="542"/>
      <c r="J162" s="543"/>
      <c r="K162" s="542"/>
      <c r="L162" s="543"/>
      <c r="M162" s="542"/>
    </row>
    <row r="163" spans="1:13" x14ac:dyDescent="0.25">
      <c r="A163" s="540"/>
      <c r="B163" s="152" t="str">
        <f>IF(A163&lt;&gt;"",INDEX('Base de données'!A$4:L$990,MATCH(A163,'Base de données'!A$4:A$990,0),2),"")</f>
        <v/>
      </c>
      <c r="C163" s="154" t="str">
        <f>IF(A163&lt;&gt;"",INDEX('Base de données'!A$4:L$990,MATCH(A163,'Base de données'!A$4:A$990,0),12),"")</f>
        <v/>
      </c>
      <c r="D163" s="543"/>
      <c r="E163" s="542"/>
      <c r="F163" s="543"/>
      <c r="G163" s="542"/>
      <c r="H163" s="543"/>
      <c r="I163" s="542"/>
      <c r="J163" s="543"/>
      <c r="K163" s="542"/>
      <c r="L163" s="543"/>
      <c r="M163" s="542"/>
    </row>
    <row r="164" spans="1:13" x14ac:dyDescent="0.25">
      <c r="A164" s="540"/>
      <c r="B164" s="152" t="str">
        <f>IF(A164&lt;&gt;"",INDEX('Base de données'!A$4:L$990,MATCH(A164,'Base de données'!A$4:A$990,0),2),"")</f>
        <v/>
      </c>
      <c r="C164" s="154" t="str">
        <f>IF(A164&lt;&gt;"",INDEX('Base de données'!A$4:L$990,MATCH(A164,'Base de données'!A$4:A$990,0),12),"")</f>
        <v/>
      </c>
      <c r="D164" s="543"/>
      <c r="E164" s="542"/>
      <c r="F164" s="543"/>
      <c r="G164" s="542"/>
      <c r="H164" s="543"/>
      <c r="I164" s="542"/>
      <c r="J164" s="543"/>
      <c r="K164" s="542"/>
      <c r="L164" s="543"/>
      <c r="M164" s="542"/>
    </row>
    <row r="165" spans="1:13" x14ac:dyDescent="0.25">
      <c r="A165" s="540"/>
      <c r="B165" s="152" t="str">
        <f>IF(A165&lt;&gt;"",INDEX('Base de données'!A$4:L$990,MATCH(A165,'Base de données'!A$4:A$990,0),2),"")</f>
        <v/>
      </c>
      <c r="C165" s="154" t="str">
        <f>IF(A165&lt;&gt;"",INDEX('Base de données'!A$4:L$990,MATCH(A165,'Base de données'!A$4:A$990,0),12),"")</f>
        <v/>
      </c>
      <c r="D165" s="543"/>
      <c r="E165" s="542"/>
      <c r="F165" s="543"/>
      <c r="G165" s="542"/>
      <c r="H165" s="543"/>
      <c r="I165" s="542"/>
      <c r="J165" s="543"/>
      <c r="K165" s="542"/>
      <c r="L165" s="543"/>
      <c r="M165" s="542"/>
    </row>
    <row r="166" spans="1:13" x14ac:dyDescent="0.25">
      <c r="A166" s="540"/>
      <c r="B166" s="152" t="str">
        <f>IF(A166&lt;&gt;"",INDEX('Base de données'!A$4:L$990,MATCH(A166,'Base de données'!A$4:A$990,0),2),"")</f>
        <v/>
      </c>
      <c r="C166" s="154" t="str">
        <f>IF(A166&lt;&gt;"",INDEX('Base de données'!A$4:L$990,MATCH(A166,'Base de données'!A$4:A$990,0),12),"")</f>
        <v/>
      </c>
      <c r="D166" s="543"/>
      <c r="E166" s="542"/>
      <c r="F166" s="543"/>
      <c r="G166" s="542"/>
      <c r="H166" s="543"/>
      <c r="I166" s="542"/>
      <c r="J166" s="543"/>
      <c r="K166" s="542"/>
      <c r="L166" s="543"/>
      <c r="M166" s="542"/>
    </row>
    <row r="167" spans="1:13" x14ac:dyDescent="0.25">
      <c r="A167" s="540"/>
      <c r="B167" s="152" t="str">
        <f>IF(A167&lt;&gt;"",INDEX('Base de données'!A$4:L$990,MATCH(A167,'Base de données'!A$4:A$990,0),2),"")</f>
        <v/>
      </c>
      <c r="C167" s="154" t="str">
        <f>IF(A167&lt;&gt;"",INDEX('Base de données'!A$4:L$990,MATCH(A167,'Base de données'!A$4:A$990,0),12),"")</f>
        <v/>
      </c>
      <c r="D167" s="543"/>
      <c r="E167" s="542"/>
      <c r="F167" s="543"/>
      <c r="G167" s="542"/>
      <c r="H167" s="543"/>
      <c r="I167" s="542"/>
      <c r="J167" s="543"/>
      <c r="K167" s="542"/>
      <c r="L167" s="543"/>
      <c r="M167" s="542"/>
    </row>
    <row r="168" spans="1:13" x14ac:dyDescent="0.25">
      <c r="A168" s="540"/>
      <c r="B168" s="152" t="str">
        <f>IF(A168&lt;&gt;"",INDEX('Base de données'!A$4:L$990,MATCH(A168,'Base de données'!A$4:A$990,0),2),"")</f>
        <v/>
      </c>
      <c r="C168" s="154" t="str">
        <f>IF(A168&lt;&gt;"",INDEX('Base de données'!A$4:L$990,MATCH(A168,'Base de données'!A$4:A$990,0),12),"")</f>
        <v/>
      </c>
      <c r="D168" s="543"/>
      <c r="E168" s="542"/>
      <c r="F168" s="543"/>
      <c r="G168" s="542"/>
      <c r="H168" s="543"/>
      <c r="I168" s="542"/>
      <c r="J168" s="543"/>
      <c r="K168" s="542"/>
      <c r="L168" s="543"/>
      <c r="M168" s="542"/>
    </row>
    <row r="169" spans="1:13" x14ac:dyDescent="0.25">
      <c r="A169" s="540"/>
      <c r="B169" s="152" t="str">
        <f>IF(A169&lt;&gt;"",INDEX('Base de données'!A$4:L$990,MATCH(A169,'Base de données'!A$4:A$990,0),2),"")</f>
        <v/>
      </c>
      <c r="C169" s="154" t="str">
        <f>IF(A169&lt;&gt;"",INDEX('Base de données'!A$4:L$990,MATCH(A169,'Base de données'!A$4:A$990,0),12),"")</f>
        <v/>
      </c>
      <c r="D169" s="543"/>
      <c r="E169" s="542"/>
      <c r="F169" s="543"/>
      <c r="G169" s="542"/>
      <c r="H169" s="543"/>
      <c r="I169" s="542"/>
      <c r="J169" s="543"/>
      <c r="K169" s="542"/>
      <c r="L169" s="543"/>
      <c r="M169" s="542"/>
    </row>
    <row r="170" spans="1:13" x14ac:dyDescent="0.25">
      <c r="A170" s="540"/>
      <c r="B170" s="152" t="str">
        <f>IF(A170&lt;&gt;"",INDEX('Base de données'!A$4:L$990,MATCH(A170,'Base de données'!A$4:A$990,0),2),"")</f>
        <v/>
      </c>
      <c r="C170" s="154" t="str">
        <f>IF(A170&lt;&gt;"",INDEX('Base de données'!A$4:L$990,MATCH(A170,'Base de données'!A$4:A$990,0),12),"")</f>
        <v/>
      </c>
      <c r="D170" s="543"/>
      <c r="E170" s="542"/>
      <c r="F170" s="543"/>
      <c r="G170" s="542"/>
      <c r="H170" s="543"/>
      <c r="I170" s="542"/>
      <c r="J170" s="543"/>
      <c r="K170" s="542"/>
      <c r="L170" s="543"/>
      <c r="M170" s="542"/>
    </row>
    <row r="171" spans="1:13" x14ac:dyDescent="0.25">
      <c r="A171" s="540"/>
      <c r="B171" s="152" t="str">
        <f>IF(A171&lt;&gt;"",INDEX('Base de données'!A$4:L$990,MATCH(A171,'Base de données'!A$4:A$990,0),2),"")</f>
        <v/>
      </c>
      <c r="C171" s="154" t="str">
        <f>IF(A171&lt;&gt;"",INDEX('Base de données'!A$4:L$990,MATCH(A171,'Base de données'!A$4:A$990,0),12),"")</f>
        <v/>
      </c>
      <c r="D171" s="543"/>
      <c r="E171" s="542"/>
      <c r="F171" s="543"/>
      <c r="G171" s="542"/>
      <c r="H171" s="543"/>
      <c r="I171" s="542"/>
      <c r="J171" s="543"/>
      <c r="K171" s="542"/>
      <c r="L171" s="543"/>
      <c r="M171" s="542"/>
    </row>
    <row r="172" spans="1:13" x14ac:dyDescent="0.25">
      <c r="A172" s="540"/>
      <c r="B172" s="152" t="str">
        <f>IF(A172&lt;&gt;"",INDEX('Base de données'!A$4:L$990,MATCH(A172,'Base de données'!A$4:A$990,0),2),"")</f>
        <v/>
      </c>
      <c r="C172" s="154" t="str">
        <f>IF(A172&lt;&gt;"",INDEX('Base de données'!A$4:L$990,MATCH(A172,'Base de données'!A$4:A$990,0),12),"")</f>
        <v/>
      </c>
      <c r="D172" s="543"/>
      <c r="E172" s="542"/>
      <c r="F172" s="543"/>
      <c r="G172" s="542"/>
      <c r="H172" s="543"/>
      <c r="I172" s="542"/>
      <c r="J172" s="543"/>
      <c r="K172" s="542"/>
      <c r="L172" s="543"/>
      <c r="M172" s="542"/>
    </row>
    <row r="173" spans="1:13" x14ac:dyDescent="0.25">
      <c r="A173" s="540"/>
      <c r="B173" s="152" t="str">
        <f>IF(A173&lt;&gt;"",INDEX('Base de données'!A$4:L$990,MATCH(A173,'Base de données'!A$4:A$990,0),2),"")</f>
        <v/>
      </c>
      <c r="C173" s="154" t="str">
        <f>IF(A173&lt;&gt;"",INDEX('Base de données'!A$4:L$990,MATCH(A173,'Base de données'!A$4:A$990,0),12),"")</f>
        <v/>
      </c>
      <c r="D173" s="543"/>
      <c r="E173" s="542"/>
      <c r="F173" s="543"/>
      <c r="G173" s="542"/>
      <c r="H173" s="543"/>
      <c r="I173" s="542"/>
      <c r="J173" s="543"/>
      <c r="K173" s="542"/>
      <c r="L173" s="543"/>
      <c r="M173" s="542"/>
    </row>
    <row r="174" spans="1:13" x14ac:dyDescent="0.25">
      <c r="A174" s="540"/>
      <c r="B174" s="152" t="str">
        <f>IF(A174&lt;&gt;"",INDEX('Base de données'!A$4:L$990,MATCH(A174,'Base de données'!A$4:A$990,0),2),"")</f>
        <v/>
      </c>
      <c r="C174" s="154" t="str">
        <f>IF(A174&lt;&gt;"",INDEX('Base de données'!A$4:L$990,MATCH(A174,'Base de données'!A$4:A$990,0),12),"")</f>
        <v/>
      </c>
      <c r="D174" s="543"/>
      <c r="E174" s="542"/>
      <c r="F174" s="543"/>
      <c r="G174" s="542"/>
      <c r="H174" s="543"/>
      <c r="I174" s="542"/>
      <c r="J174" s="543"/>
      <c r="K174" s="542"/>
      <c r="L174" s="543"/>
      <c r="M174" s="542"/>
    </row>
    <row r="175" spans="1:13" x14ac:dyDescent="0.25">
      <c r="A175" s="540"/>
      <c r="B175" s="152" t="str">
        <f>IF(A175&lt;&gt;"",INDEX('Base de données'!A$4:L$990,MATCH(A175,'Base de données'!A$4:A$990,0),2),"")</f>
        <v/>
      </c>
      <c r="C175" s="154" t="str">
        <f>IF(A175&lt;&gt;"",INDEX('Base de données'!A$4:L$990,MATCH(A175,'Base de données'!A$4:A$990,0),12),"")</f>
        <v/>
      </c>
      <c r="D175" s="543"/>
      <c r="E175" s="542"/>
      <c r="F175" s="543"/>
      <c r="G175" s="542"/>
      <c r="H175" s="543"/>
      <c r="I175" s="542"/>
      <c r="J175" s="543"/>
      <c r="K175" s="542"/>
      <c r="L175" s="543"/>
      <c r="M175" s="542"/>
    </row>
    <row r="176" spans="1:13" x14ac:dyDescent="0.25">
      <c r="A176" s="540"/>
      <c r="B176" s="152" t="str">
        <f>IF(A176&lt;&gt;"",INDEX('Base de données'!A$4:L$990,MATCH(A176,'Base de données'!A$4:A$990,0),2),"")</f>
        <v/>
      </c>
      <c r="C176" s="154" t="str">
        <f>IF(A176&lt;&gt;"",INDEX('Base de données'!A$4:L$990,MATCH(A176,'Base de données'!A$4:A$990,0),12),"")</f>
        <v/>
      </c>
      <c r="D176" s="543"/>
      <c r="E176" s="542"/>
      <c r="F176" s="543"/>
      <c r="G176" s="542"/>
      <c r="H176" s="543"/>
      <c r="I176" s="542"/>
      <c r="J176" s="543"/>
      <c r="K176" s="542"/>
      <c r="L176" s="543"/>
      <c r="M176" s="542"/>
    </row>
    <row r="177" spans="1:13" x14ac:dyDescent="0.25">
      <c r="A177" s="540"/>
      <c r="B177" s="152" t="str">
        <f>IF(A177&lt;&gt;"",INDEX('Base de données'!A$4:L$990,MATCH(A177,'Base de données'!A$4:A$990,0),2),"")</f>
        <v/>
      </c>
      <c r="C177" s="154" t="str">
        <f>IF(A177&lt;&gt;"",INDEX('Base de données'!A$4:L$990,MATCH(A177,'Base de données'!A$4:A$990,0),12),"")</f>
        <v/>
      </c>
      <c r="D177" s="543"/>
      <c r="E177" s="542"/>
      <c r="F177" s="543"/>
      <c r="G177" s="542"/>
      <c r="H177" s="543"/>
      <c r="I177" s="542"/>
      <c r="J177" s="543"/>
      <c r="K177" s="542"/>
      <c r="L177" s="543"/>
      <c r="M177" s="542"/>
    </row>
    <row r="178" spans="1:13" x14ac:dyDescent="0.25">
      <c r="A178" s="540"/>
      <c r="B178" s="152" t="str">
        <f>IF(A178&lt;&gt;"",INDEX('Base de données'!A$4:L$990,MATCH(A178,'Base de données'!A$4:A$990,0),2),"")</f>
        <v/>
      </c>
      <c r="C178" s="154" t="str">
        <f>IF(A178&lt;&gt;"",INDEX('Base de données'!A$4:L$990,MATCH(A178,'Base de données'!A$4:A$990,0),12),"")</f>
        <v/>
      </c>
      <c r="D178" s="543"/>
      <c r="E178" s="542"/>
      <c r="F178" s="543"/>
      <c r="G178" s="542"/>
      <c r="H178" s="543"/>
      <c r="I178" s="542"/>
      <c r="J178" s="543"/>
      <c r="K178" s="542"/>
      <c r="L178" s="543"/>
      <c r="M178" s="542"/>
    </row>
    <row r="179" spans="1:13" x14ac:dyDescent="0.25">
      <c r="A179" s="540"/>
      <c r="B179" s="152" t="str">
        <f>IF(A179&lt;&gt;"",INDEX('Base de données'!A$4:L$990,MATCH(A179,'Base de données'!A$4:A$990,0),2),"")</f>
        <v/>
      </c>
      <c r="C179" s="154" t="str">
        <f>IF(A179&lt;&gt;"",INDEX('Base de données'!A$4:L$990,MATCH(A179,'Base de données'!A$4:A$990,0),12),"")</f>
        <v/>
      </c>
      <c r="D179" s="543"/>
      <c r="E179" s="542"/>
      <c r="F179" s="543"/>
      <c r="G179" s="542"/>
      <c r="H179" s="543"/>
      <c r="I179" s="542"/>
      <c r="J179" s="543"/>
      <c r="K179" s="542"/>
      <c r="L179" s="543"/>
      <c r="M179" s="542"/>
    </row>
    <row r="180" spans="1:13" x14ac:dyDescent="0.25">
      <c r="A180" s="540"/>
      <c r="B180" s="152" t="str">
        <f>IF(A180&lt;&gt;"",INDEX('Base de données'!A$4:L$990,MATCH(A180,'Base de données'!A$4:A$990,0),2),"")</f>
        <v/>
      </c>
      <c r="C180" s="154" t="str">
        <f>IF(A180&lt;&gt;"",INDEX('Base de données'!A$4:L$990,MATCH(A180,'Base de données'!A$4:A$990,0),12),"")</f>
        <v/>
      </c>
      <c r="D180" s="543"/>
      <c r="E180" s="542"/>
      <c r="F180" s="543"/>
      <c r="G180" s="542"/>
      <c r="H180" s="543"/>
      <c r="I180" s="542"/>
      <c r="J180" s="543"/>
      <c r="K180" s="542"/>
      <c r="L180" s="543"/>
      <c r="M180" s="542"/>
    </row>
    <row r="181" spans="1:13" x14ac:dyDescent="0.25">
      <c r="A181" s="540"/>
      <c r="B181" s="152" t="str">
        <f>IF(A181&lt;&gt;"",INDEX('Base de données'!A$4:L$990,MATCH(A181,'Base de données'!A$4:A$990,0),2),"")</f>
        <v/>
      </c>
      <c r="C181" s="154" t="str">
        <f>IF(A181&lt;&gt;"",INDEX('Base de données'!A$4:L$990,MATCH(A181,'Base de données'!A$4:A$990,0),12),"")</f>
        <v/>
      </c>
      <c r="D181" s="543"/>
      <c r="E181" s="542"/>
      <c r="F181" s="543"/>
      <c r="G181" s="542"/>
      <c r="H181" s="543"/>
      <c r="I181" s="542"/>
      <c r="J181" s="543"/>
      <c r="K181" s="542"/>
      <c r="L181" s="543"/>
      <c r="M181" s="542"/>
    </row>
    <row r="182" spans="1:13" x14ac:dyDescent="0.25">
      <c r="A182" s="540"/>
      <c r="B182" s="152" t="str">
        <f>IF(A182&lt;&gt;"",INDEX('Base de données'!A$4:L$990,MATCH(A182,'Base de données'!A$4:A$990,0),2),"")</f>
        <v/>
      </c>
      <c r="C182" s="154" t="str">
        <f>IF(A182&lt;&gt;"",INDEX('Base de données'!A$4:L$990,MATCH(A182,'Base de données'!A$4:A$990,0),12),"")</f>
        <v/>
      </c>
      <c r="D182" s="543"/>
      <c r="E182" s="542"/>
      <c r="F182" s="543"/>
      <c r="G182" s="542"/>
      <c r="H182" s="543"/>
      <c r="I182" s="542"/>
      <c r="J182" s="543"/>
      <c r="K182" s="542"/>
      <c r="L182" s="543"/>
      <c r="M182" s="542"/>
    </row>
    <row r="183" spans="1:13" x14ac:dyDescent="0.25">
      <c r="A183" s="540"/>
      <c r="B183" s="152" t="str">
        <f>IF(A183&lt;&gt;"",INDEX('Base de données'!A$4:L$990,MATCH(A183,'Base de données'!A$4:A$990,0),2),"")</f>
        <v/>
      </c>
      <c r="C183" s="154" t="str">
        <f>IF(A183&lt;&gt;"",INDEX('Base de données'!A$4:L$990,MATCH(A183,'Base de données'!A$4:A$990,0),12),"")</f>
        <v/>
      </c>
      <c r="D183" s="543"/>
      <c r="E183" s="542"/>
      <c r="F183" s="543"/>
      <c r="G183" s="542"/>
      <c r="H183" s="543"/>
      <c r="I183" s="542"/>
      <c r="J183" s="543"/>
      <c r="K183" s="542"/>
      <c r="L183" s="543"/>
      <c r="M183" s="542"/>
    </row>
    <row r="184" spans="1:13" x14ac:dyDescent="0.25">
      <c r="A184" s="540"/>
      <c r="B184" s="152" t="str">
        <f>IF(A184&lt;&gt;"",INDEX('Base de données'!A$4:L$990,MATCH(A184,'Base de données'!A$4:A$990,0),2),"")</f>
        <v/>
      </c>
      <c r="C184" s="154" t="str">
        <f>IF(A184&lt;&gt;"",INDEX('Base de données'!A$4:L$990,MATCH(A184,'Base de données'!A$4:A$990,0),12),"")</f>
        <v/>
      </c>
      <c r="D184" s="543"/>
      <c r="E184" s="542"/>
      <c r="F184" s="543"/>
      <c r="G184" s="542"/>
      <c r="H184" s="543"/>
      <c r="I184" s="542"/>
      <c r="J184" s="543"/>
      <c r="K184" s="542"/>
      <c r="L184" s="543"/>
      <c r="M184" s="542"/>
    </row>
    <row r="185" spans="1:13" x14ac:dyDescent="0.25">
      <c r="A185" s="540"/>
      <c r="B185" s="152" t="str">
        <f>IF(A185&lt;&gt;"",INDEX('Base de données'!A$4:L$990,MATCH(A185,'Base de données'!A$4:A$990,0),2),"")</f>
        <v/>
      </c>
      <c r="C185" s="154" t="str">
        <f>IF(A185&lt;&gt;"",INDEX('Base de données'!A$4:L$990,MATCH(A185,'Base de données'!A$4:A$990,0),12),"")</f>
        <v/>
      </c>
      <c r="D185" s="543"/>
      <c r="E185" s="542"/>
      <c r="F185" s="543"/>
      <c r="G185" s="542"/>
      <c r="H185" s="543"/>
      <c r="I185" s="542"/>
      <c r="J185" s="543"/>
      <c r="K185" s="542"/>
      <c r="L185" s="543"/>
      <c r="M185" s="542"/>
    </row>
    <row r="186" spans="1:13" x14ac:dyDescent="0.25">
      <c r="A186" s="540"/>
      <c r="B186" s="152" t="str">
        <f>IF(A186&lt;&gt;"",INDEX('Base de données'!A$4:L$990,MATCH(A186,'Base de données'!A$4:A$990,0),2),"")</f>
        <v/>
      </c>
      <c r="C186" s="154" t="str">
        <f>IF(A186&lt;&gt;"",INDEX('Base de données'!A$4:L$990,MATCH(A186,'Base de données'!A$4:A$990,0),12),"")</f>
        <v/>
      </c>
      <c r="D186" s="543"/>
      <c r="E186" s="542"/>
      <c r="F186" s="543"/>
      <c r="G186" s="542"/>
      <c r="H186" s="543"/>
      <c r="I186" s="542"/>
      <c r="J186" s="543"/>
      <c r="K186" s="542"/>
      <c r="L186" s="543"/>
      <c r="M186" s="542"/>
    </row>
    <row r="187" spans="1:13" x14ac:dyDescent="0.25">
      <c r="A187" s="540"/>
      <c r="B187" s="152" t="str">
        <f>IF(A187&lt;&gt;"",INDEX('Base de données'!A$4:L$990,MATCH(A187,'Base de données'!A$4:A$990,0),2),"")</f>
        <v/>
      </c>
      <c r="C187" s="154" t="str">
        <f>IF(A187&lt;&gt;"",INDEX('Base de données'!A$4:L$990,MATCH(A187,'Base de données'!A$4:A$990,0),12),"")</f>
        <v/>
      </c>
      <c r="D187" s="543"/>
      <c r="E187" s="542"/>
      <c r="F187" s="543"/>
      <c r="G187" s="542"/>
      <c r="H187" s="543"/>
      <c r="I187" s="542"/>
      <c r="J187" s="543"/>
      <c r="K187" s="542"/>
      <c r="L187" s="543"/>
      <c r="M187" s="542"/>
    </row>
    <row r="188" spans="1:13" x14ac:dyDescent="0.25">
      <c r="A188" s="540"/>
      <c r="B188" s="152" t="str">
        <f>IF(A188&lt;&gt;"",INDEX('Base de données'!A$4:L$990,MATCH(A188,'Base de données'!A$4:A$990,0),2),"")</f>
        <v/>
      </c>
      <c r="C188" s="154" t="str">
        <f>IF(A188&lt;&gt;"",INDEX('Base de données'!A$4:L$990,MATCH(A188,'Base de données'!A$4:A$990,0),12),"")</f>
        <v/>
      </c>
      <c r="D188" s="543"/>
      <c r="E188" s="542"/>
      <c r="F188" s="543"/>
      <c r="G188" s="542"/>
      <c r="H188" s="543"/>
      <c r="I188" s="542"/>
      <c r="J188" s="543"/>
      <c r="K188" s="542"/>
      <c r="L188" s="543"/>
      <c r="M188" s="542"/>
    </row>
    <row r="189" spans="1:13" x14ac:dyDescent="0.25">
      <c r="A189" s="540"/>
      <c r="B189" s="152" t="str">
        <f>IF(A189&lt;&gt;"",INDEX('Base de données'!A$4:L$990,MATCH(A189,'Base de données'!A$4:A$990,0),2),"")</f>
        <v/>
      </c>
      <c r="C189" s="154" t="str">
        <f>IF(A189&lt;&gt;"",INDEX('Base de données'!A$4:L$990,MATCH(A189,'Base de données'!A$4:A$990,0),12),"")</f>
        <v/>
      </c>
      <c r="D189" s="543"/>
      <c r="E189" s="542"/>
      <c r="F189" s="543"/>
      <c r="G189" s="542"/>
      <c r="H189" s="543"/>
      <c r="I189" s="542"/>
      <c r="J189" s="543"/>
      <c r="K189" s="542"/>
      <c r="L189" s="543"/>
      <c r="M189" s="542"/>
    </row>
    <row r="190" spans="1:13" x14ac:dyDescent="0.25">
      <c r="A190" s="540"/>
      <c r="B190" s="152" t="str">
        <f>IF(A190&lt;&gt;"",INDEX('Base de données'!A$4:L$990,MATCH(A190,'Base de données'!A$4:A$990,0),2),"")</f>
        <v/>
      </c>
      <c r="C190" s="154" t="str">
        <f>IF(A190&lt;&gt;"",INDEX('Base de données'!A$4:L$990,MATCH(A190,'Base de données'!A$4:A$990,0),12),"")</f>
        <v/>
      </c>
      <c r="D190" s="543"/>
      <c r="E190" s="542"/>
      <c r="F190" s="543"/>
      <c r="G190" s="542"/>
      <c r="H190" s="543"/>
      <c r="I190" s="542"/>
      <c r="J190" s="543"/>
      <c r="K190" s="542"/>
      <c r="L190" s="543"/>
      <c r="M190" s="542"/>
    </row>
    <row r="191" spans="1:13" x14ac:dyDescent="0.25">
      <c r="A191" s="540"/>
      <c r="B191" s="152" t="str">
        <f>IF(A191&lt;&gt;"",INDEX('Base de données'!A$4:L$990,MATCH(A191,'Base de données'!A$4:A$990,0),2),"")</f>
        <v/>
      </c>
      <c r="C191" s="154" t="str">
        <f>IF(A191&lt;&gt;"",INDEX('Base de données'!A$4:L$990,MATCH(A191,'Base de données'!A$4:A$990,0),12),"")</f>
        <v/>
      </c>
      <c r="D191" s="543"/>
      <c r="E191" s="542"/>
      <c r="F191" s="543"/>
      <c r="G191" s="542"/>
      <c r="H191" s="543"/>
      <c r="I191" s="542"/>
      <c r="J191" s="543"/>
      <c r="K191" s="542"/>
      <c r="L191" s="543"/>
      <c r="M191" s="542"/>
    </row>
    <row r="192" spans="1:13" x14ac:dyDescent="0.25">
      <c r="A192" s="540"/>
      <c r="B192" s="152" t="str">
        <f>IF(A192&lt;&gt;"",INDEX('Base de données'!A$4:L$990,MATCH(A192,'Base de données'!A$4:A$990,0),2),"")</f>
        <v/>
      </c>
      <c r="C192" s="154" t="str">
        <f>IF(A192&lt;&gt;"",INDEX('Base de données'!A$4:L$990,MATCH(A192,'Base de données'!A$4:A$990,0),12),"")</f>
        <v/>
      </c>
      <c r="D192" s="543"/>
      <c r="E192" s="542"/>
      <c r="F192" s="543"/>
      <c r="G192" s="542"/>
      <c r="H192" s="543"/>
      <c r="I192" s="542"/>
      <c r="J192" s="543"/>
      <c r="K192" s="542"/>
      <c r="L192" s="543"/>
      <c r="M192" s="542"/>
    </row>
    <row r="193" spans="1:13" x14ac:dyDescent="0.25">
      <c r="A193" s="540"/>
      <c r="B193" s="152" t="str">
        <f>IF(A193&lt;&gt;"",INDEX('Base de données'!A$4:L$990,MATCH(A193,'Base de données'!A$4:A$990,0),2),"")</f>
        <v/>
      </c>
      <c r="C193" s="154" t="str">
        <f>IF(A193&lt;&gt;"",INDEX('Base de données'!A$4:L$990,MATCH(A193,'Base de données'!A$4:A$990,0),12),"")</f>
        <v/>
      </c>
      <c r="D193" s="543"/>
      <c r="E193" s="542"/>
      <c r="F193" s="543"/>
      <c r="G193" s="542"/>
      <c r="H193" s="543"/>
      <c r="I193" s="542"/>
      <c r="J193" s="543"/>
      <c r="K193" s="542"/>
      <c r="L193" s="543"/>
      <c r="M193" s="542"/>
    </row>
    <row r="194" spans="1:13" x14ac:dyDescent="0.25">
      <c r="A194" s="540"/>
      <c r="B194" s="152" t="str">
        <f>IF(A194&lt;&gt;"",INDEX('Base de données'!A$4:L$990,MATCH(A194,'Base de données'!A$4:A$990,0),2),"")</f>
        <v/>
      </c>
      <c r="C194" s="154" t="str">
        <f>IF(A194&lt;&gt;"",INDEX('Base de données'!A$4:L$990,MATCH(A194,'Base de données'!A$4:A$990,0),12),"")</f>
        <v/>
      </c>
      <c r="D194" s="543"/>
      <c r="E194" s="542"/>
      <c r="F194" s="543"/>
      <c r="G194" s="542"/>
      <c r="H194" s="543"/>
      <c r="I194" s="542"/>
      <c r="J194" s="543"/>
      <c r="K194" s="542"/>
      <c r="L194" s="543"/>
      <c r="M194" s="542"/>
    </row>
    <row r="195" spans="1:13" x14ac:dyDescent="0.25">
      <c r="A195" s="540"/>
      <c r="B195" s="152" t="str">
        <f>IF(A195&lt;&gt;"",INDEX('Base de données'!A$4:L$990,MATCH(A195,'Base de données'!A$4:A$990,0),2),"")</f>
        <v/>
      </c>
      <c r="C195" s="154" t="str">
        <f>IF(A195&lt;&gt;"",INDEX('Base de données'!A$4:L$990,MATCH(A195,'Base de données'!A$4:A$990,0),12),"")</f>
        <v/>
      </c>
      <c r="D195" s="543"/>
      <c r="E195" s="542"/>
      <c r="F195" s="543"/>
      <c r="G195" s="542"/>
      <c r="H195" s="543"/>
      <c r="I195" s="542"/>
      <c r="J195" s="543"/>
      <c r="K195" s="542"/>
      <c r="L195" s="543"/>
      <c r="M195" s="542"/>
    </row>
    <row r="196" spans="1:13" x14ac:dyDescent="0.25">
      <c r="A196" s="540"/>
      <c r="B196" s="152" t="str">
        <f>IF(A196&lt;&gt;"",INDEX('Base de données'!A$4:L$990,MATCH(A196,'Base de données'!A$4:A$990,0),2),"")</f>
        <v/>
      </c>
      <c r="C196" s="154" t="str">
        <f>IF(A196&lt;&gt;"",INDEX('Base de données'!A$4:L$990,MATCH(A196,'Base de données'!A$4:A$990,0),12),"")</f>
        <v/>
      </c>
      <c r="D196" s="543"/>
      <c r="E196" s="542"/>
      <c r="F196" s="543"/>
      <c r="G196" s="542"/>
      <c r="H196" s="543"/>
      <c r="I196" s="542"/>
      <c r="J196" s="543"/>
      <c r="K196" s="542"/>
      <c r="L196" s="543"/>
      <c r="M196" s="542"/>
    </row>
    <row r="197" spans="1:13" x14ac:dyDescent="0.25">
      <c r="A197" s="540"/>
      <c r="B197" s="152" t="str">
        <f>IF(A197&lt;&gt;"",INDEX('Base de données'!A$4:L$990,MATCH(A197,'Base de données'!A$4:A$990,0),2),"")</f>
        <v/>
      </c>
      <c r="C197" s="154" t="str">
        <f>IF(A197&lt;&gt;"",INDEX('Base de données'!A$4:L$990,MATCH(A197,'Base de données'!A$4:A$990,0),12),"")</f>
        <v/>
      </c>
      <c r="D197" s="543"/>
      <c r="E197" s="542"/>
      <c r="F197" s="543"/>
      <c r="G197" s="542"/>
      <c r="H197" s="543"/>
      <c r="I197" s="542"/>
      <c r="J197" s="543"/>
      <c r="K197" s="542"/>
      <c r="L197" s="543"/>
      <c r="M197" s="542"/>
    </row>
    <row r="198" spans="1:13" x14ac:dyDescent="0.25">
      <c r="A198" s="540"/>
      <c r="B198" s="152" t="str">
        <f>IF(A198&lt;&gt;"",INDEX('Base de données'!A$4:L$990,MATCH(A198,'Base de données'!A$4:A$990,0),2),"")</f>
        <v/>
      </c>
      <c r="C198" s="154" t="str">
        <f>IF(A198&lt;&gt;"",INDEX('Base de données'!A$4:L$990,MATCH(A198,'Base de données'!A$4:A$990,0),12),"")</f>
        <v/>
      </c>
      <c r="D198" s="543"/>
      <c r="E198" s="542"/>
      <c r="F198" s="543"/>
      <c r="G198" s="542"/>
      <c r="H198" s="543"/>
      <c r="I198" s="542"/>
      <c r="J198" s="543"/>
      <c r="K198" s="542"/>
      <c r="L198" s="543"/>
      <c r="M198" s="542"/>
    </row>
    <row r="199" spans="1:13" x14ac:dyDescent="0.25">
      <c r="A199" s="540"/>
      <c r="B199" s="152" t="str">
        <f>IF(A199&lt;&gt;"",INDEX('Base de données'!A$4:L$990,MATCH(A199,'Base de données'!A$4:A$990,0),2),"")</f>
        <v/>
      </c>
      <c r="C199" s="154" t="str">
        <f>IF(A199&lt;&gt;"",INDEX('Base de données'!A$4:L$990,MATCH(A199,'Base de données'!A$4:A$990,0),12),"")</f>
        <v/>
      </c>
      <c r="D199" s="543"/>
      <c r="E199" s="542"/>
      <c r="F199" s="543"/>
      <c r="G199" s="542"/>
      <c r="H199" s="543"/>
      <c r="I199" s="542"/>
      <c r="J199" s="543"/>
      <c r="K199" s="542"/>
      <c r="L199" s="543"/>
      <c r="M199" s="542"/>
    </row>
    <row r="200" spans="1:13" x14ac:dyDescent="0.25">
      <c r="A200" s="540"/>
      <c r="B200" s="152" t="str">
        <f>IF(A200&lt;&gt;"",INDEX('Base de données'!A$4:L$990,MATCH(A200,'Base de données'!A$4:A$990,0),2),"")</f>
        <v/>
      </c>
      <c r="C200" s="154" t="str">
        <f>IF(A200&lt;&gt;"",INDEX('Base de données'!A$4:L$990,MATCH(A200,'Base de données'!A$4:A$990,0),12),"")</f>
        <v/>
      </c>
      <c r="D200" s="543"/>
      <c r="E200" s="542"/>
      <c r="F200" s="543"/>
      <c r="G200" s="542"/>
      <c r="H200" s="543"/>
      <c r="I200" s="542"/>
      <c r="J200" s="543"/>
      <c r="K200" s="542"/>
      <c r="L200" s="543"/>
      <c r="M200" s="542"/>
    </row>
    <row r="201" spans="1:13" x14ac:dyDescent="0.25">
      <c r="A201" s="540"/>
      <c r="B201" s="152" t="str">
        <f>IF(A201&lt;&gt;"",INDEX('Base de données'!A$4:L$990,MATCH(A201,'Base de données'!A$4:A$990,0),2),"")</f>
        <v/>
      </c>
      <c r="C201" s="154" t="str">
        <f>IF(A201&lt;&gt;"",INDEX('Base de données'!A$4:L$990,MATCH(A201,'Base de données'!A$4:A$990,0),12),"")</f>
        <v/>
      </c>
      <c r="D201" s="543"/>
      <c r="E201" s="542"/>
      <c r="F201" s="543"/>
      <c r="G201" s="542"/>
      <c r="H201" s="543"/>
      <c r="I201" s="542"/>
      <c r="J201" s="543"/>
      <c r="K201" s="542"/>
      <c r="L201" s="543"/>
      <c r="M201" s="542"/>
    </row>
    <row r="202" spans="1:13" x14ac:dyDescent="0.25">
      <c r="A202" s="540"/>
      <c r="B202" s="152" t="str">
        <f>IF(A202&lt;&gt;"",INDEX('Base de données'!A$4:L$990,MATCH(A202,'Base de données'!A$4:A$990,0),2),"")</f>
        <v/>
      </c>
      <c r="C202" s="154" t="str">
        <f>IF(A202&lt;&gt;"",INDEX('Base de données'!A$4:L$990,MATCH(A202,'Base de données'!A$4:A$990,0),12),"")</f>
        <v/>
      </c>
      <c r="D202" s="543"/>
      <c r="E202" s="542"/>
      <c r="F202" s="543"/>
      <c r="G202" s="542"/>
      <c r="H202" s="543"/>
      <c r="I202" s="542"/>
      <c r="J202" s="543"/>
      <c r="K202" s="542"/>
      <c r="L202" s="543"/>
      <c r="M202" s="542"/>
    </row>
    <row r="203" spans="1:13" x14ac:dyDescent="0.25">
      <c r="A203" s="540"/>
      <c r="B203" s="152" t="str">
        <f>IF(A203&lt;&gt;"",INDEX('Base de données'!A$4:L$990,MATCH(A203,'Base de données'!A$4:A$990,0),2),"")</f>
        <v/>
      </c>
      <c r="C203" s="154" t="str">
        <f>IF(A203&lt;&gt;"",INDEX('Base de données'!A$4:L$990,MATCH(A203,'Base de données'!A$4:A$990,0),12),"")</f>
        <v/>
      </c>
      <c r="D203" s="543"/>
      <c r="E203" s="542"/>
      <c r="F203" s="543"/>
      <c r="G203" s="542"/>
      <c r="H203" s="543"/>
      <c r="I203" s="542"/>
      <c r="J203" s="543"/>
      <c r="K203" s="542"/>
      <c r="L203" s="543"/>
      <c r="M203" s="542"/>
    </row>
    <row r="204" spans="1:13" x14ac:dyDescent="0.25">
      <c r="A204" s="540"/>
      <c r="B204" s="152" t="str">
        <f>IF(A204&lt;&gt;"",INDEX('Base de données'!A$4:L$990,MATCH(A204,'Base de données'!A$4:A$990,0),2),"")</f>
        <v/>
      </c>
      <c r="C204" s="154" t="str">
        <f>IF(A204&lt;&gt;"",INDEX('Base de données'!A$4:L$990,MATCH(A204,'Base de données'!A$4:A$990,0),12),"")</f>
        <v/>
      </c>
      <c r="D204" s="543"/>
      <c r="E204" s="542"/>
      <c r="F204" s="543"/>
      <c r="G204" s="542"/>
      <c r="H204" s="543"/>
      <c r="I204" s="542"/>
      <c r="J204" s="543"/>
      <c r="K204" s="542"/>
      <c r="L204" s="543"/>
      <c r="M204" s="542"/>
    </row>
    <row r="205" spans="1:13" x14ac:dyDescent="0.25">
      <c r="A205" s="540"/>
      <c r="B205" s="152" t="str">
        <f>IF(A205&lt;&gt;"",INDEX('Base de données'!A$4:L$990,MATCH(A205,'Base de données'!A$4:A$990,0),2),"")</f>
        <v/>
      </c>
      <c r="C205" s="154" t="str">
        <f>IF(A205&lt;&gt;"",INDEX('Base de données'!A$4:L$990,MATCH(A205,'Base de données'!A$4:A$990,0),12),"")</f>
        <v/>
      </c>
      <c r="D205" s="543"/>
      <c r="E205" s="542"/>
      <c r="F205" s="543"/>
      <c r="G205" s="542"/>
      <c r="H205" s="543"/>
      <c r="I205" s="542"/>
      <c r="J205" s="543"/>
      <c r="K205" s="542"/>
      <c r="L205" s="543"/>
      <c r="M205" s="542"/>
    </row>
    <row r="206" spans="1:13" x14ac:dyDescent="0.25">
      <c r="A206" s="540"/>
      <c r="B206" s="152" t="str">
        <f>IF(A206&lt;&gt;"",INDEX('Base de données'!A$4:L$990,MATCH(A206,'Base de données'!A$4:A$990,0),2),"")</f>
        <v/>
      </c>
      <c r="C206" s="154" t="str">
        <f>IF(A206&lt;&gt;"",INDEX('Base de données'!A$4:L$990,MATCH(A206,'Base de données'!A$4:A$990,0),12),"")</f>
        <v/>
      </c>
      <c r="D206" s="543"/>
      <c r="E206" s="542"/>
      <c r="F206" s="543"/>
      <c r="G206" s="542"/>
      <c r="H206" s="543"/>
      <c r="I206" s="542"/>
      <c r="J206" s="543"/>
      <c r="K206" s="542"/>
      <c r="L206" s="543"/>
      <c r="M206" s="542"/>
    </row>
    <row r="207" spans="1:13" x14ac:dyDescent="0.25">
      <c r="A207" s="540"/>
      <c r="B207" s="152" t="str">
        <f>IF(A207&lt;&gt;"",INDEX('Base de données'!A$4:L$990,MATCH(A207,'Base de données'!A$4:A$990,0),2),"")</f>
        <v/>
      </c>
      <c r="C207" s="154" t="str">
        <f>IF(A207&lt;&gt;"",INDEX('Base de données'!A$4:L$990,MATCH(A207,'Base de données'!A$4:A$990,0),12),"")</f>
        <v/>
      </c>
      <c r="D207" s="543"/>
      <c r="E207" s="542"/>
      <c r="F207" s="543"/>
      <c r="G207" s="542"/>
      <c r="H207" s="543"/>
      <c r="I207" s="542"/>
      <c r="J207" s="543"/>
      <c r="K207" s="542"/>
      <c r="L207" s="543"/>
      <c r="M207" s="542"/>
    </row>
    <row r="208" spans="1:13" x14ac:dyDescent="0.25">
      <c r="A208" s="540"/>
      <c r="B208" s="152" t="str">
        <f>IF(A208&lt;&gt;"",INDEX('Base de données'!A$4:L$990,MATCH(A208,'Base de données'!A$4:A$990,0),2),"")</f>
        <v/>
      </c>
      <c r="C208" s="154" t="str">
        <f>IF(A208&lt;&gt;"",INDEX('Base de données'!A$4:L$990,MATCH(A208,'Base de données'!A$4:A$990,0),12),"")</f>
        <v/>
      </c>
      <c r="D208" s="543"/>
      <c r="E208" s="542"/>
      <c r="F208" s="543"/>
      <c r="G208" s="542"/>
      <c r="H208" s="543"/>
      <c r="I208" s="542"/>
      <c r="J208" s="543"/>
      <c r="K208" s="542"/>
      <c r="L208" s="543"/>
      <c r="M208" s="542"/>
    </row>
    <row r="209" spans="1:13" x14ac:dyDescent="0.25">
      <c r="A209" s="540"/>
      <c r="B209" s="152" t="str">
        <f>IF(A209&lt;&gt;"",INDEX('Base de données'!A$4:L$990,MATCH(A209,'Base de données'!A$4:A$990,0),2),"")</f>
        <v/>
      </c>
      <c r="C209" s="154" t="str">
        <f>IF(A209&lt;&gt;"",INDEX('Base de données'!A$4:L$990,MATCH(A209,'Base de données'!A$4:A$990,0),12),"")</f>
        <v/>
      </c>
      <c r="D209" s="543"/>
      <c r="E209" s="542"/>
      <c r="F209" s="543"/>
      <c r="G209" s="542"/>
      <c r="H209" s="543"/>
      <c r="I209" s="542"/>
      <c r="J209" s="543"/>
      <c r="K209" s="542"/>
      <c r="L209" s="543"/>
      <c r="M209" s="542"/>
    </row>
    <row r="210" spans="1:13" x14ac:dyDescent="0.25">
      <c r="A210" s="540"/>
      <c r="B210" s="152" t="str">
        <f>IF(A210&lt;&gt;"",INDEX('Base de données'!A$4:L$990,MATCH(A210,'Base de données'!A$4:A$990,0),2),"")</f>
        <v/>
      </c>
      <c r="C210" s="154" t="str">
        <f>IF(A210&lt;&gt;"",INDEX('Base de données'!A$4:L$990,MATCH(A210,'Base de données'!A$4:A$990,0),12),"")</f>
        <v/>
      </c>
      <c r="D210" s="543"/>
      <c r="E210" s="542"/>
      <c r="F210" s="543"/>
      <c r="G210" s="542"/>
      <c r="H210" s="543"/>
      <c r="I210" s="542"/>
      <c r="J210" s="543"/>
      <c r="K210" s="542"/>
      <c r="L210" s="543"/>
      <c r="M210" s="542"/>
    </row>
    <row r="211" spans="1:13" x14ac:dyDescent="0.25">
      <c r="A211" s="540"/>
      <c r="B211" s="152" t="str">
        <f>IF(A211&lt;&gt;"",INDEX('Base de données'!A$4:L$990,MATCH(A211,'Base de données'!A$4:A$990,0),2),"")</f>
        <v/>
      </c>
      <c r="C211" s="154" t="str">
        <f>IF(A211&lt;&gt;"",INDEX('Base de données'!A$4:L$990,MATCH(A211,'Base de données'!A$4:A$990,0),12),"")</f>
        <v/>
      </c>
      <c r="D211" s="543"/>
      <c r="E211" s="542"/>
      <c r="F211" s="543"/>
      <c r="G211" s="542"/>
      <c r="H211" s="543"/>
      <c r="I211" s="542"/>
      <c r="J211" s="543"/>
      <c r="K211" s="542"/>
      <c r="L211" s="543"/>
      <c r="M211" s="542"/>
    </row>
    <row r="212" spans="1:13" x14ac:dyDescent="0.25">
      <c r="A212" s="540"/>
      <c r="B212" s="152" t="str">
        <f>IF(A212&lt;&gt;"",INDEX('Base de données'!A$4:L$990,MATCH(A212,'Base de données'!A$4:A$990,0),2),"")</f>
        <v/>
      </c>
      <c r="C212" s="154" t="str">
        <f>IF(A212&lt;&gt;"",INDEX('Base de données'!A$4:L$990,MATCH(A212,'Base de données'!A$4:A$990,0),12),"")</f>
        <v/>
      </c>
      <c r="D212" s="543"/>
      <c r="E212" s="542"/>
      <c r="F212" s="543"/>
      <c r="G212" s="542"/>
      <c r="H212" s="543"/>
      <c r="I212" s="542"/>
      <c r="J212" s="543"/>
      <c r="K212" s="542"/>
      <c r="L212" s="543"/>
      <c r="M212" s="542"/>
    </row>
    <row r="213" spans="1:13" x14ac:dyDescent="0.25">
      <c r="A213" s="540"/>
      <c r="B213" s="152" t="str">
        <f>IF(A213&lt;&gt;"",INDEX('Base de données'!A$4:L$990,MATCH(A213,'Base de données'!A$4:A$990,0),2),"")</f>
        <v/>
      </c>
      <c r="C213" s="154" t="str">
        <f>IF(A213&lt;&gt;"",INDEX('Base de données'!A$4:L$990,MATCH(A213,'Base de données'!A$4:A$990,0),12),"")</f>
        <v/>
      </c>
      <c r="D213" s="543"/>
      <c r="E213" s="542"/>
      <c r="F213" s="543"/>
      <c r="G213" s="542"/>
      <c r="H213" s="543"/>
      <c r="I213" s="542"/>
      <c r="J213" s="543"/>
      <c r="K213" s="542"/>
      <c r="L213" s="543"/>
      <c r="M213" s="542"/>
    </row>
    <row r="214" spans="1:13" x14ac:dyDescent="0.25">
      <c r="A214" s="540"/>
      <c r="B214" s="152" t="str">
        <f>IF(A214&lt;&gt;"",INDEX('Base de données'!A$4:L$990,MATCH(A214,'Base de données'!A$4:A$990,0),2),"")</f>
        <v/>
      </c>
      <c r="C214" s="154" t="str">
        <f>IF(A214&lt;&gt;"",INDEX('Base de données'!A$4:L$990,MATCH(A214,'Base de données'!A$4:A$990,0),12),"")</f>
        <v/>
      </c>
      <c r="D214" s="543"/>
      <c r="E214" s="542"/>
      <c r="F214" s="543"/>
      <c r="G214" s="542"/>
      <c r="H214" s="543"/>
      <c r="I214" s="542"/>
      <c r="J214" s="543"/>
      <c r="K214" s="542"/>
      <c r="L214" s="543"/>
      <c r="M214" s="542"/>
    </row>
    <row r="215" spans="1:13" x14ac:dyDescent="0.25">
      <c r="A215" s="540"/>
      <c r="B215" s="152" t="str">
        <f>IF(A215&lt;&gt;"",INDEX('Base de données'!A$4:L$990,MATCH(A215,'Base de données'!A$4:A$990,0),2),"")</f>
        <v/>
      </c>
      <c r="C215" s="154" t="str">
        <f>IF(A215&lt;&gt;"",INDEX('Base de données'!A$4:L$990,MATCH(A215,'Base de données'!A$4:A$990,0),12),"")</f>
        <v/>
      </c>
      <c r="D215" s="543"/>
      <c r="E215" s="542"/>
      <c r="F215" s="543"/>
      <c r="G215" s="542"/>
      <c r="H215" s="543"/>
      <c r="I215" s="542"/>
      <c r="J215" s="543"/>
      <c r="K215" s="542"/>
      <c r="L215" s="543"/>
      <c r="M215" s="542"/>
    </row>
    <row r="216" spans="1:13" x14ac:dyDescent="0.25">
      <c r="A216" s="540"/>
      <c r="B216" s="152" t="str">
        <f>IF(A216&lt;&gt;"",INDEX('Base de données'!A$4:L$990,MATCH(A216,'Base de données'!A$4:A$990,0),2),"")</f>
        <v/>
      </c>
      <c r="C216" s="154" t="str">
        <f>IF(A216&lt;&gt;"",INDEX('Base de données'!A$4:L$990,MATCH(A216,'Base de données'!A$4:A$990,0),12),"")</f>
        <v/>
      </c>
      <c r="D216" s="543"/>
      <c r="E216" s="542"/>
      <c r="F216" s="543"/>
      <c r="G216" s="542"/>
      <c r="H216" s="543"/>
      <c r="I216" s="542"/>
      <c r="J216" s="543"/>
      <c r="K216" s="542"/>
      <c r="L216" s="543"/>
      <c r="M216" s="542"/>
    </row>
    <row r="217" spans="1:13" x14ac:dyDescent="0.25">
      <c r="A217" s="540"/>
      <c r="B217" s="152" t="str">
        <f>IF(A217&lt;&gt;"",INDEX('Base de données'!A$4:L$990,MATCH(A217,'Base de données'!A$4:A$990,0),2),"")</f>
        <v/>
      </c>
      <c r="C217" s="154" t="str">
        <f>IF(A217&lt;&gt;"",INDEX('Base de données'!A$4:L$990,MATCH(A217,'Base de données'!A$4:A$990,0),12),"")</f>
        <v/>
      </c>
      <c r="D217" s="543"/>
      <c r="E217" s="542"/>
      <c r="F217" s="543"/>
      <c r="G217" s="542"/>
      <c r="H217" s="543"/>
      <c r="I217" s="542"/>
      <c r="J217" s="543"/>
      <c r="K217" s="542"/>
      <c r="L217" s="543"/>
      <c r="M217" s="542"/>
    </row>
    <row r="218" spans="1:13" x14ac:dyDescent="0.25">
      <c r="A218" s="540"/>
      <c r="B218" s="152" t="str">
        <f>IF(A218&lt;&gt;"",INDEX('Base de données'!A$4:L$990,MATCH(A218,'Base de données'!A$4:A$990,0),2),"")</f>
        <v/>
      </c>
      <c r="C218" s="154" t="str">
        <f>IF(A218&lt;&gt;"",INDEX('Base de données'!A$4:L$990,MATCH(A218,'Base de données'!A$4:A$990,0),12),"")</f>
        <v/>
      </c>
      <c r="D218" s="543"/>
      <c r="E218" s="542"/>
      <c r="F218" s="543"/>
      <c r="G218" s="542"/>
      <c r="H218" s="543"/>
      <c r="I218" s="542"/>
      <c r="J218" s="543"/>
      <c r="K218" s="542"/>
      <c r="L218" s="543"/>
      <c r="M218" s="542"/>
    </row>
    <row r="219" spans="1:13" x14ac:dyDescent="0.25">
      <c r="A219" s="540"/>
      <c r="B219" s="152" t="str">
        <f>IF(A219&lt;&gt;"",INDEX('Base de données'!A$4:L$990,MATCH(A219,'Base de données'!A$4:A$990,0),2),"")</f>
        <v/>
      </c>
      <c r="C219" s="154" t="str">
        <f>IF(A219&lt;&gt;"",INDEX('Base de données'!A$4:L$990,MATCH(A219,'Base de données'!A$4:A$990,0),12),"")</f>
        <v/>
      </c>
      <c r="D219" s="543"/>
      <c r="E219" s="542"/>
      <c r="F219" s="543"/>
      <c r="G219" s="542"/>
      <c r="H219" s="543"/>
      <c r="I219" s="542"/>
      <c r="J219" s="543"/>
      <c r="K219" s="542"/>
      <c r="L219" s="543"/>
      <c r="M219" s="542"/>
    </row>
    <row r="220" spans="1:13" x14ac:dyDescent="0.25">
      <c r="A220" s="540"/>
      <c r="B220" s="152" t="str">
        <f>IF(A220&lt;&gt;"",INDEX('Base de données'!A$4:L$990,MATCH(A220,'Base de données'!A$4:A$990,0),2),"")</f>
        <v/>
      </c>
      <c r="C220" s="154" t="str">
        <f>IF(A220&lt;&gt;"",INDEX('Base de données'!A$4:L$990,MATCH(A220,'Base de données'!A$4:A$990,0),12),"")</f>
        <v/>
      </c>
      <c r="D220" s="543"/>
      <c r="E220" s="542"/>
      <c r="F220" s="543"/>
      <c r="G220" s="542"/>
      <c r="H220" s="543"/>
      <c r="I220" s="542"/>
      <c r="J220" s="543"/>
      <c r="K220" s="542"/>
      <c r="L220" s="543"/>
      <c r="M220" s="542"/>
    </row>
    <row r="221" spans="1:13" x14ac:dyDescent="0.25">
      <c r="A221" s="540"/>
      <c r="B221" s="152" t="str">
        <f>IF(A221&lt;&gt;"",INDEX('Base de données'!A$4:L$990,MATCH(A221,'Base de données'!A$4:A$990,0),2),"")</f>
        <v/>
      </c>
      <c r="C221" s="154" t="str">
        <f>IF(A221&lt;&gt;"",INDEX('Base de données'!A$4:L$990,MATCH(A221,'Base de données'!A$4:A$990,0),12),"")</f>
        <v/>
      </c>
      <c r="D221" s="543"/>
      <c r="E221" s="542"/>
      <c r="F221" s="543"/>
      <c r="G221" s="542"/>
      <c r="H221" s="543"/>
      <c r="I221" s="542"/>
      <c r="J221" s="543"/>
      <c r="K221" s="542"/>
      <c r="L221" s="543"/>
      <c r="M221" s="542"/>
    </row>
    <row r="222" spans="1:13" x14ac:dyDescent="0.25">
      <c r="A222" s="540"/>
      <c r="B222" s="152" t="str">
        <f>IF(A222&lt;&gt;"",INDEX('Base de données'!A$4:L$990,MATCH(A222,'Base de données'!A$4:A$990,0),2),"")</f>
        <v/>
      </c>
      <c r="C222" s="154" t="str">
        <f>IF(A222&lt;&gt;"",INDEX('Base de données'!A$4:L$990,MATCH(A222,'Base de données'!A$4:A$990,0),12),"")</f>
        <v/>
      </c>
      <c r="D222" s="543"/>
      <c r="E222" s="542"/>
      <c r="F222" s="543"/>
      <c r="G222" s="542"/>
      <c r="H222" s="543"/>
      <c r="I222" s="542"/>
      <c r="J222" s="543"/>
      <c r="K222" s="542"/>
      <c r="L222" s="543"/>
      <c r="M222" s="542"/>
    </row>
    <row r="223" spans="1:13" x14ac:dyDescent="0.25">
      <c r="A223" s="540"/>
      <c r="B223" s="152" t="str">
        <f>IF(A223&lt;&gt;"",INDEX('Base de données'!A$4:L$990,MATCH(A223,'Base de données'!A$4:A$990,0),2),"")</f>
        <v/>
      </c>
      <c r="C223" s="154" t="str">
        <f>IF(A223&lt;&gt;"",INDEX('Base de données'!A$4:L$990,MATCH(A223,'Base de données'!A$4:A$990,0),12),"")</f>
        <v/>
      </c>
      <c r="D223" s="543"/>
      <c r="E223" s="542"/>
      <c r="F223" s="543"/>
      <c r="G223" s="542"/>
      <c r="H223" s="543"/>
      <c r="I223" s="542"/>
      <c r="J223" s="543"/>
      <c r="K223" s="542"/>
      <c r="L223" s="543"/>
      <c r="M223" s="542"/>
    </row>
    <row r="224" spans="1:13" x14ac:dyDescent="0.25">
      <c r="A224" s="540"/>
      <c r="B224" s="152" t="str">
        <f>IF(A224&lt;&gt;"",INDEX('Base de données'!A$4:L$990,MATCH(A224,'Base de données'!A$4:A$990,0),2),"")</f>
        <v/>
      </c>
      <c r="C224" s="154" t="str">
        <f>IF(A224&lt;&gt;"",INDEX('Base de données'!A$4:L$990,MATCH(A224,'Base de données'!A$4:A$990,0),12),"")</f>
        <v/>
      </c>
      <c r="D224" s="543"/>
      <c r="E224" s="542"/>
      <c r="F224" s="543"/>
      <c r="G224" s="542"/>
      <c r="H224" s="543"/>
      <c r="I224" s="542"/>
      <c r="J224" s="543"/>
      <c r="K224" s="542"/>
      <c r="L224" s="543"/>
      <c r="M224" s="542"/>
    </row>
    <row r="225" spans="1:13" x14ac:dyDescent="0.25">
      <c r="A225" s="540"/>
      <c r="B225" s="152" t="str">
        <f>IF(A225&lt;&gt;"",INDEX('Base de données'!A$4:L$990,MATCH(A225,'Base de données'!A$4:A$990,0),2),"")</f>
        <v/>
      </c>
      <c r="C225" s="154" t="str">
        <f>IF(A225&lt;&gt;"",INDEX('Base de données'!A$4:L$990,MATCH(A225,'Base de données'!A$4:A$990,0),12),"")</f>
        <v/>
      </c>
      <c r="D225" s="543"/>
      <c r="E225" s="542"/>
      <c r="F225" s="543"/>
      <c r="G225" s="542"/>
      <c r="H225" s="543"/>
      <c r="I225" s="542"/>
      <c r="J225" s="543"/>
      <c r="K225" s="542"/>
      <c r="L225" s="543"/>
      <c r="M225" s="542"/>
    </row>
    <row r="226" spans="1:13" x14ac:dyDescent="0.25">
      <c r="A226" s="540"/>
      <c r="B226" s="152" t="str">
        <f>IF(A226&lt;&gt;"",INDEX('Base de données'!A$4:L$990,MATCH(A226,'Base de données'!A$4:A$990,0),2),"")</f>
        <v/>
      </c>
      <c r="C226" s="154" t="str">
        <f>IF(A226&lt;&gt;"",INDEX('Base de données'!A$4:L$990,MATCH(A226,'Base de données'!A$4:A$990,0),12),"")</f>
        <v/>
      </c>
      <c r="D226" s="543"/>
      <c r="E226" s="542"/>
      <c r="F226" s="543"/>
      <c r="G226" s="542"/>
      <c r="H226" s="543"/>
      <c r="I226" s="542"/>
      <c r="J226" s="543"/>
      <c r="K226" s="542"/>
      <c r="L226" s="543"/>
      <c r="M226" s="542"/>
    </row>
    <row r="227" spans="1:13" x14ac:dyDescent="0.25">
      <c r="A227" s="540"/>
      <c r="B227" s="152" t="str">
        <f>IF(A227&lt;&gt;"",INDEX('Base de données'!A$4:L$990,MATCH(A227,'Base de données'!A$4:A$990,0),2),"")</f>
        <v/>
      </c>
      <c r="C227" s="154" t="str">
        <f>IF(A227&lt;&gt;"",INDEX('Base de données'!A$4:L$990,MATCH(A227,'Base de données'!A$4:A$990,0),12),"")</f>
        <v/>
      </c>
      <c r="D227" s="543"/>
      <c r="E227" s="542"/>
      <c r="F227" s="543"/>
      <c r="G227" s="542"/>
      <c r="H227" s="543"/>
      <c r="I227" s="542"/>
      <c r="J227" s="543"/>
      <c r="K227" s="542"/>
      <c r="L227" s="543"/>
      <c r="M227" s="542"/>
    </row>
    <row r="228" spans="1:13" x14ac:dyDescent="0.25">
      <c r="A228" s="540"/>
      <c r="B228" s="152" t="str">
        <f>IF(A228&lt;&gt;"",INDEX('Base de données'!A$4:L$990,MATCH(A228,'Base de données'!A$4:A$990,0),2),"")</f>
        <v/>
      </c>
      <c r="C228" s="154" t="str">
        <f>IF(A228&lt;&gt;"",INDEX('Base de données'!A$4:L$990,MATCH(A228,'Base de données'!A$4:A$990,0),12),"")</f>
        <v/>
      </c>
      <c r="D228" s="543"/>
      <c r="E228" s="542"/>
      <c r="F228" s="543"/>
      <c r="G228" s="542"/>
      <c r="H228" s="543"/>
      <c r="I228" s="542"/>
      <c r="J228" s="543"/>
      <c r="K228" s="542"/>
      <c r="L228" s="543"/>
      <c r="M228" s="542"/>
    </row>
    <row r="229" spans="1:13" x14ac:dyDescent="0.25">
      <c r="A229" s="540"/>
      <c r="B229" s="152" t="str">
        <f>IF(A229&lt;&gt;"",INDEX('Base de données'!A$4:L$990,MATCH(A229,'Base de données'!A$4:A$990,0),2),"")</f>
        <v/>
      </c>
      <c r="C229" s="154" t="str">
        <f>IF(A229&lt;&gt;"",INDEX('Base de données'!A$4:L$990,MATCH(A229,'Base de données'!A$4:A$990,0),12),"")</f>
        <v/>
      </c>
      <c r="D229" s="543"/>
      <c r="E229" s="542"/>
      <c r="F229" s="543"/>
      <c r="G229" s="542"/>
      <c r="H229" s="543"/>
      <c r="I229" s="542"/>
      <c r="J229" s="543"/>
      <c r="K229" s="542"/>
      <c r="L229" s="543"/>
      <c r="M229" s="542"/>
    </row>
    <row r="230" spans="1:13" x14ac:dyDescent="0.25">
      <c r="A230" s="540"/>
      <c r="B230" s="152" t="str">
        <f>IF(A230&lt;&gt;"",INDEX('Base de données'!A$4:L$990,MATCH(A230,'Base de données'!A$4:A$990,0),2),"")</f>
        <v/>
      </c>
      <c r="C230" s="154" t="str">
        <f>IF(A230&lt;&gt;"",INDEX('Base de données'!A$4:L$990,MATCH(A230,'Base de données'!A$4:A$990,0),12),"")</f>
        <v/>
      </c>
      <c r="D230" s="543"/>
      <c r="E230" s="542"/>
      <c r="F230" s="543"/>
      <c r="G230" s="542"/>
      <c r="H230" s="543"/>
      <c r="I230" s="542"/>
      <c r="J230" s="543"/>
      <c r="K230" s="542"/>
      <c r="L230" s="543"/>
      <c r="M230" s="542"/>
    </row>
    <row r="231" spans="1:13" x14ac:dyDescent="0.25">
      <c r="A231" s="540"/>
      <c r="B231" s="152" t="str">
        <f>IF(A231&lt;&gt;"",INDEX('Base de données'!A$4:L$990,MATCH(A231,'Base de données'!A$4:A$990,0),2),"")</f>
        <v/>
      </c>
      <c r="C231" s="154" t="str">
        <f>IF(A231&lt;&gt;"",INDEX('Base de données'!A$4:L$990,MATCH(A231,'Base de données'!A$4:A$990,0),12),"")</f>
        <v/>
      </c>
      <c r="D231" s="543"/>
      <c r="E231" s="542"/>
      <c r="F231" s="543"/>
      <c r="G231" s="542"/>
      <c r="H231" s="543"/>
      <c r="I231" s="542"/>
      <c r="J231" s="543"/>
      <c r="K231" s="542"/>
      <c r="L231" s="543"/>
      <c r="M231" s="542"/>
    </row>
    <row r="232" spans="1:13" x14ac:dyDescent="0.25">
      <c r="A232" s="540"/>
      <c r="B232" s="152" t="str">
        <f>IF(A232&lt;&gt;"",INDEX('Base de données'!A$4:L$990,MATCH(A232,'Base de données'!A$4:A$990,0),2),"")</f>
        <v/>
      </c>
      <c r="C232" s="154" t="str">
        <f>IF(A232&lt;&gt;"",INDEX('Base de données'!A$4:L$990,MATCH(A232,'Base de données'!A$4:A$990,0),12),"")</f>
        <v/>
      </c>
      <c r="D232" s="543"/>
      <c r="E232" s="542"/>
      <c r="F232" s="543"/>
      <c r="G232" s="542"/>
      <c r="H232" s="543"/>
      <c r="I232" s="542"/>
      <c r="J232" s="543"/>
      <c r="K232" s="542"/>
      <c r="L232" s="543"/>
      <c r="M232" s="542"/>
    </row>
    <row r="233" spans="1:13" x14ac:dyDescent="0.25">
      <c r="A233" s="540"/>
      <c r="B233" s="152" t="str">
        <f>IF(A233&lt;&gt;"",INDEX('Base de données'!A$4:L$990,MATCH(A233,'Base de données'!A$4:A$990,0),2),"")</f>
        <v/>
      </c>
      <c r="C233" s="154" t="str">
        <f>IF(A233&lt;&gt;"",INDEX('Base de données'!A$4:L$990,MATCH(A233,'Base de données'!A$4:A$990,0),12),"")</f>
        <v/>
      </c>
      <c r="D233" s="543"/>
      <c r="E233" s="542"/>
      <c r="F233" s="543"/>
      <c r="G233" s="542"/>
      <c r="H233" s="543"/>
      <c r="I233" s="542"/>
      <c r="J233" s="543"/>
      <c r="K233" s="542"/>
      <c r="L233" s="543"/>
      <c r="M233" s="542"/>
    </row>
    <row r="234" spans="1:13" x14ac:dyDescent="0.25">
      <c r="A234" s="540"/>
      <c r="B234" s="152" t="str">
        <f>IF(A234&lt;&gt;"",INDEX('Base de données'!A$4:L$990,MATCH(A234,'Base de données'!A$4:A$990,0),2),"")</f>
        <v/>
      </c>
      <c r="C234" s="154" t="str">
        <f>IF(A234&lt;&gt;"",INDEX('Base de données'!A$4:L$990,MATCH(A234,'Base de données'!A$4:A$990,0),12),"")</f>
        <v/>
      </c>
      <c r="D234" s="543"/>
      <c r="E234" s="542"/>
      <c r="F234" s="543"/>
      <c r="G234" s="542"/>
      <c r="H234" s="543"/>
      <c r="I234" s="542"/>
      <c r="J234" s="543"/>
      <c r="K234" s="542"/>
      <c r="L234" s="543"/>
      <c r="M234" s="542"/>
    </row>
    <row r="235" spans="1:13" x14ac:dyDescent="0.25">
      <c r="A235" s="540"/>
      <c r="B235" s="152" t="str">
        <f>IF(A235&lt;&gt;"",INDEX('Base de données'!A$4:L$990,MATCH(A235,'Base de données'!A$4:A$990,0),2),"")</f>
        <v/>
      </c>
      <c r="C235" s="154" t="str">
        <f>IF(A235&lt;&gt;"",INDEX('Base de données'!A$4:L$990,MATCH(A235,'Base de données'!A$4:A$990,0),12),"")</f>
        <v/>
      </c>
      <c r="D235" s="543"/>
      <c r="E235" s="542"/>
      <c r="F235" s="543"/>
      <c r="G235" s="542"/>
      <c r="H235" s="543"/>
      <c r="I235" s="542"/>
      <c r="J235" s="543"/>
      <c r="K235" s="542"/>
      <c r="L235" s="543"/>
      <c r="M235" s="542"/>
    </row>
    <row r="236" spans="1:13" x14ac:dyDescent="0.25">
      <c r="A236" s="540"/>
      <c r="B236" s="152" t="str">
        <f>IF(A236&lt;&gt;"",INDEX('Base de données'!A$4:L$990,MATCH(A236,'Base de données'!A$4:A$990,0),2),"")</f>
        <v/>
      </c>
      <c r="C236" s="154" t="str">
        <f>IF(A236&lt;&gt;"",INDEX('Base de données'!A$4:L$990,MATCH(A236,'Base de données'!A$4:A$990,0),12),"")</f>
        <v/>
      </c>
      <c r="D236" s="543"/>
      <c r="E236" s="542"/>
      <c r="F236" s="543"/>
      <c r="G236" s="542"/>
      <c r="H236" s="543"/>
      <c r="I236" s="542"/>
      <c r="J236" s="543"/>
      <c r="K236" s="542"/>
      <c r="L236" s="543"/>
      <c r="M236" s="542"/>
    </row>
    <row r="237" spans="1:13" x14ac:dyDescent="0.25">
      <c r="A237" s="540"/>
      <c r="B237" s="152" t="str">
        <f>IF(A237&lt;&gt;"",INDEX('Base de données'!A$4:L$990,MATCH(A237,'Base de données'!A$4:A$990,0),2),"")</f>
        <v/>
      </c>
      <c r="C237" s="154" t="str">
        <f>IF(A237&lt;&gt;"",INDEX('Base de données'!A$4:L$990,MATCH(A237,'Base de données'!A$4:A$990,0),12),"")</f>
        <v/>
      </c>
      <c r="D237" s="543"/>
      <c r="E237" s="542"/>
      <c r="F237" s="543"/>
      <c r="G237" s="542"/>
      <c r="H237" s="543"/>
      <c r="I237" s="542"/>
      <c r="J237" s="543"/>
      <c r="K237" s="542"/>
      <c r="L237" s="543"/>
      <c r="M237" s="542"/>
    </row>
    <row r="238" spans="1:13" x14ac:dyDescent="0.25">
      <c r="A238" s="540"/>
      <c r="B238" s="152" t="str">
        <f>IF(A238&lt;&gt;"",INDEX('Base de données'!A$4:L$990,MATCH(A238,'Base de données'!A$4:A$990,0),2),"")</f>
        <v/>
      </c>
      <c r="C238" s="154" t="str">
        <f>IF(A238&lt;&gt;"",INDEX('Base de données'!A$4:L$990,MATCH(A238,'Base de données'!A$4:A$990,0),12),"")</f>
        <v/>
      </c>
      <c r="D238" s="543"/>
      <c r="E238" s="542"/>
      <c r="F238" s="543"/>
      <c r="G238" s="542"/>
      <c r="H238" s="543"/>
      <c r="I238" s="542"/>
      <c r="J238" s="543"/>
      <c r="K238" s="542"/>
      <c r="L238" s="543"/>
      <c r="M238" s="542"/>
    </row>
    <row r="239" spans="1:13" x14ac:dyDescent="0.25">
      <c r="A239" s="540"/>
      <c r="B239" s="152" t="str">
        <f>IF(A239&lt;&gt;"",INDEX('Base de données'!A$4:L$990,MATCH(A239,'Base de données'!A$4:A$990,0),2),"")</f>
        <v/>
      </c>
      <c r="C239" s="154" t="str">
        <f>IF(A239&lt;&gt;"",INDEX('Base de données'!A$4:L$990,MATCH(A239,'Base de données'!A$4:A$990,0),12),"")</f>
        <v/>
      </c>
      <c r="D239" s="543"/>
      <c r="E239" s="542"/>
      <c r="F239" s="543"/>
      <c r="G239" s="542"/>
      <c r="H239" s="543"/>
      <c r="I239" s="542"/>
      <c r="J239" s="543"/>
      <c r="K239" s="542"/>
      <c r="L239" s="543"/>
      <c r="M239" s="542"/>
    </row>
    <row r="240" spans="1:13" x14ac:dyDescent="0.25">
      <c r="A240" s="540"/>
      <c r="B240" s="152" t="str">
        <f>IF(A240&lt;&gt;"",INDEX('Base de données'!A$4:L$990,MATCH(A240,'Base de données'!A$4:A$990,0),2),"")</f>
        <v/>
      </c>
      <c r="C240" s="154" t="str">
        <f>IF(A240&lt;&gt;"",INDEX('Base de données'!A$4:L$990,MATCH(A240,'Base de données'!A$4:A$990,0),12),"")</f>
        <v/>
      </c>
      <c r="D240" s="543"/>
      <c r="E240" s="542"/>
      <c r="F240" s="543"/>
      <c r="G240" s="542"/>
      <c r="H240" s="543"/>
      <c r="I240" s="542"/>
      <c r="J240" s="543"/>
      <c r="K240" s="542"/>
      <c r="L240" s="543"/>
      <c r="M240" s="542"/>
    </row>
    <row r="241" spans="1:13" x14ac:dyDescent="0.25">
      <c r="A241" s="540"/>
      <c r="B241" s="152" t="str">
        <f>IF(A241&lt;&gt;"",INDEX('Base de données'!A$4:L$990,MATCH(A241,'Base de données'!A$4:A$990,0),2),"")</f>
        <v/>
      </c>
      <c r="C241" s="154" t="str">
        <f>IF(A241&lt;&gt;"",INDEX('Base de données'!A$4:L$990,MATCH(A241,'Base de données'!A$4:A$990,0),12),"")</f>
        <v/>
      </c>
      <c r="D241" s="543"/>
      <c r="E241" s="542"/>
      <c r="F241" s="543"/>
      <c r="G241" s="542"/>
      <c r="H241" s="543"/>
      <c r="I241" s="542"/>
      <c r="J241" s="543"/>
      <c r="K241" s="542"/>
      <c r="L241" s="543"/>
      <c r="M241" s="542"/>
    </row>
    <row r="242" spans="1:13" x14ac:dyDescent="0.25">
      <c r="A242" s="540"/>
      <c r="B242" s="152" t="str">
        <f>IF(A242&lt;&gt;"",INDEX('Base de données'!A$4:L$990,MATCH(A242,'Base de données'!A$4:A$990,0),2),"")</f>
        <v/>
      </c>
      <c r="C242" s="154" t="str">
        <f>IF(A242&lt;&gt;"",INDEX('Base de données'!A$4:L$990,MATCH(A242,'Base de données'!A$4:A$990,0),12),"")</f>
        <v/>
      </c>
      <c r="D242" s="543"/>
      <c r="E242" s="542"/>
      <c r="F242" s="543"/>
      <c r="G242" s="542"/>
      <c r="H242" s="543"/>
      <c r="I242" s="542"/>
      <c r="J242" s="543"/>
      <c r="K242" s="542"/>
      <c r="L242" s="543"/>
      <c r="M242" s="542"/>
    </row>
    <row r="243" spans="1:13" x14ac:dyDescent="0.25">
      <c r="A243" s="540"/>
      <c r="B243" s="152" t="str">
        <f>IF(A243&lt;&gt;"",INDEX('Base de données'!A$4:L$990,MATCH(A243,'Base de données'!A$4:A$990,0),2),"")</f>
        <v/>
      </c>
      <c r="C243" s="154" t="str">
        <f>IF(A243&lt;&gt;"",INDEX('Base de données'!A$4:L$990,MATCH(A243,'Base de données'!A$4:A$990,0),12),"")</f>
        <v/>
      </c>
      <c r="D243" s="543"/>
      <c r="E243" s="542"/>
      <c r="F243" s="543"/>
      <c r="G243" s="542"/>
      <c r="H243" s="543"/>
      <c r="I243" s="542"/>
      <c r="J243" s="543"/>
      <c r="K243" s="542"/>
      <c r="L243" s="543"/>
      <c r="M243" s="542"/>
    </row>
    <row r="244" spans="1:13" x14ac:dyDescent="0.25">
      <c r="A244" s="540"/>
      <c r="B244" s="152" t="str">
        <f>IF(A244&lt;&gt;"",INDEX('Base de données'!A$4:L$990,MATCH(A244,'Base de données'!A$4:A$990,0),2),"")</f>
        <v/>
      </c>
      <c r="C244" s="154" t="str">
        <f>IF(A244&lt;&gt;"",INDEX('Base de données'!A$4:L$990,MATCH(A244,'Base de données'!A$4:A$990,0),12),"")</f>
        <v/>
      </c>
      <c r="D244" s="543"/>
      <c r="E244" s="542"/>
      <c r="F244" s="543"/>
      <c r="G244" s="542"/>
      <c r="H244" s="543"/>
      <c r="I244" s="542"/>
      <c r="J244" s="543"/>
      <c r="K244" s="542"/>
      <c r="L244" s="543"/>
      <c r="M244" s="542"/>
    </row>
    <row r="245" spans="1:13" x14ac:dyDescent="0.25">
      <c r="A245" s="540"/>
      <c r="B245" s="152" t="str">
        <f>IF(A245&lt;&gt;"",INDEX('Base de données'!A$4:L$990,MATCH(A245,'Base de données'!A$4:A$990,0),2),"")</f>
        <v/>
      </c>
      <c r="C245" s="154" t="str">
        <f>IF(A245&lt;&gt;"",INDEX('Base de données'!A$4:L$990,MATCH(A245,'Base de données'!A$4:A$990,0),12),"")</f>
        <v/>
      </c>
      <c r="D245" s="543"/>
      <c r="E245" s="542"/>
      <c r="F245" s="543"/>
      <c r="G245" s="542"/>
      <c r="H245" s="543"/>
      <c r="I245" s="542"/>
      <c r="J245" s="543"/>
      <c r="K245" s="542"/>
      <c r="L245" s="543"/>
      <c r="M245" s="542"/>
    </row>
    <row r="246" spans="1:13" x14ac:dyDescent="0.25">
      <c r="A246" s="540"/>
      <c r="B246" s="152" t="str">
        <f>IF(A246&lt;&gt;"",INDEX('Base de données'!A$4:L$990,MATCH(A246,'Base de données'!A$4:A$990,0),2),"")</f>
        <v/>
      </c>
      <c r="C246" s="154" t="str">
        <f>IF(A246&lt;&gt;"",INDEX('Base de données'!A$4:L$990,MATCH(A246,'Base de données'!A$4:A$990,0),12),"")</f>
        <v/>
      </c>
      <c r="D246" s="543"/>
      <c r="E246" s="542"/>
      <c r="F246" s="543"/>
      <c r="G246" s="542"/>
      <c r="H246" s="543"/>
      <c r="I246" s="542"/>
      <c r="J246" s="543"/>
      <c r="K246" s="542"/>
      <c r="L246" s="543"/>
      <c r="M246" s="542"/>
    </row>
    <row r="247" spans="1:13" x14ac:dyDescent="0.25">
      <c r="A247" s="540"/>
      <c r="B247" s="152" t="str">
        <f>IF(A247&lt;&gt;"",INDEX('Base de données'!A$4:L$990,MATCH(A247,'Base de données'!A$4:A$990,0),2),"")</f>
        <v/>
      </c>
      <c r="C247" s="154" t="str">
        <f>IF(A247&lt;&gt;"",INDEX('Base de données'!A$4:L$990,MATCH(A247,'Base de données'!A$4:A$990,0),12),"")</f>
        <v/>
      </c>
      <c r="D247" s="543"/>
      <c r="E247" s="542"/>
      <c r="F247" s="543"/>
      <c r="G247" s="542"/>
      <c r="H247" s="543"/>
      <c r="I247" s="542"/>
      <c r="J247" s="543"/>
      <c r="K247" s="542"/>
      <c r="L247" s="543"/>
      <c r="M247" s="542"/>
    </row>
    <row r="248" spans="1:13" x14ac:dyDescent="0.25">
      <c r="A248" s="540"/>
      <c r="B248" s="152" t="str">
        <f>IF(A248&lt;&gt;"",INDEX('Base de données'!A$4:L$990,MATCH(A248,'Base de données'!A$4:A$990,0),2),"")</f>
        <v/>
      </c>
      <c r="C248" s="154" t="str">
        <f>IF(A248&lt;&gt;"",INDEX('Base de données'!A$4:L$990,MATCH(A248,'Base de données'!A$4:A$990,0),12),"")</f>
        <v/>
      </c>
      <c r="D248" s="543"/>
      <c r="E248" s="542"/>
      <c r="F248" s="543"/>
      <c r="G248" s="542"/>
      <c r="H248" s="543"/>
      <c r="I248" s="542"/>
      <c r="J248" s="543"/>
      <c r="K248" s="542"/>
      <c r="L248" s="543"/>
      <c r="M248" s="542"/>
    </row>
    <row r="249" spans="1:13" x14ac:dyDescent="0.25">
      <c r="A249" s="540"/>
      <c r="B249" s="152" t="str">
        <f>IF(A249&lt;&gt;"",INDEX('Base de données'!A$4:L$990,MATCH(A249,'Base de données'!A$4:A$990,0),2),"")</f>
        <v/>
      </c>
      <c r="C249" s="154" t="str">
        <f>IF(A249&lt;&gt;"",INDEX('Base de données'!A$4:L$990,MATCH(A249,'Base de données'!A$4:A$990,0),12),"")</f>
        <v/>
      </c>
      <c r="D249" s="543"/>
      <c r="E249" s="542"/>
      <c r="F249" s="543"/>
      <c r="G249" s="542"/>
      <c r="H249" s="543"/>
      <c r="I249" s="542"/>
      <c r="J249" s="543"/>
      <c r="K249" s="542"/>
      <c r="L249" s="543"/>
      <c r="M249" s="542"/>
    </row>
    <row r="250" spans="1:13" x14ac:dyDescent="0.25">
      <c r="A250" s="540"/>
      <c r="B250" s="152" t="str">
        <f>IF(A250&lt;&gt;"",INDEX('Base de données'!A$4:L$990,MATCH(A250,'Base de données'!A$4:A$990,0),2),"")</f>
        <v/>
      </c>
      <c r="C250" s="154" t="str">
        <f>IF(A250&lt;&gt;"",INDEX('Base de données'!A$4:L$990,MATCH(A250,'Base de données'!A$4:A$990,0),12),"")</f>
        <v/>
      </c>
      <c r="D250" s="543"/>
      <c r="E250" s="542"/>
      <c r="F250" s="543"/>
      <c r="G250" s="542"/>
      <c r="H250" s="543"/>
      <c r="I250" s="542"/>
      <c r="J250" s="543"/>
      <c r="K250" s="542"/>
      <c r="L250" s="543"/>
      <c r="M250" s="542"/>
    </row>
    <row r="251" spans="1:13" x14ac:dyDescent="0.25">
      <c r="A251" s="540"/>
      <c r="B251" s="152" t="str">
        <f>IF(A251&lt;&gt;"",INDEX('Base de données'!A$4:L$990,MATCH(A251,'Base de données'!A$4:A$990,0),2),"")</f>
        <v/>
      </c>
      <c r="C251" s="154" t="str">
        <f>IF(A251&lt;&gt;"",INDEX('Base de données'!A$4:L$990,MATCH(A251,'Base de données'!A$4:A$990,0),12),"")</f>
        <v/>
      </c>
      <c r="D251" s="543"/>
      <c r="E251" s="542"/>
      <c r="F251" s="543"/>
      <c r="G251" s="542"/>
      <c r="H251" s="543"/>
      <c r="I251" s="542"/>
      <c r="J251" s="543"/>
      <c r="K251" s="542"/>
      <c r="L251" s="543"/>
      <c r="M251" s="542"/>
    </row>
    <row r="252" spans="1:13" x14ac:dyDescent="0.25">
      <c r="A252" s="540"/>
      <c r="B252" s="152" t="str">
        <f>IF(A252&lt;&gt;"",INDEX('Base de données'!A$4:L$990,MATCH(A252,'Base de données'!A$4:A$990,0),2),"")</f>
        <v/>
      </c>
      <c r="C252" s="154" t="str">
        <f>IF(A252&lt;&gt;"",INDEX('Base de données'!A$4:L$990,MATCH(A252,'Base de données'!A$4:A$990,0),12),"")</f>
        <v/>
      </c>
      <c r="D252" s="543"/>
      <c r="E252" s="542"/>
      <c r="F252" s="543"/>
      <c r="G252" s="542"/>
      <c r="H252" s="543"/>
      <c r="I252" s="542"/>
      <c r="J252" s="543"/>
      <c r="K252" s="542"/>
      <c r="L252" s="543"/>
      <c r="M252" s="542"/>
    </row>
    <row r="253" spans="1:13" x14ac:dyDescent="0.25">
      <c r="A253" s="540"/>
      <c r="B253" s="152" t="str">
        <f>IF(A253&lt;&gt;"",INDEX('Base de données'!A$4:L$990,MATCH(A253,'Base de données'!A$4:A$990,0),2),"")</f>
        <v/>
      </c>
      <c r="C253" s="154" t="str">
        <f>IF(A253&lt;&gt;"",INDEX('Base de données'!A$4:L$990,MATCH(A253,'Base de données'!A$4:A$990,0),12),"")</f>
        <v/>
      </c>
      <c r="D253" s="543"/>
      <c r="E253" s="542"/>
      <c r="F253" s="543"/>
      <c r="G253" s="542"/>
      <c r="H253" s="543"/>
      <c r="I253" s="542"/>
      <c r="J253" s="543"/>
      <c r="K253" s="542"/>
      <c r="L253" s="543"/>
      <c r="M253" s="542"/>
    </row>
    <row r="254" spans="1:13" x14ac:dyDescent="0.25">
      <c r="A254" s="540"/>
      <c r="B254" s="152" t="str">
        <f>IF(A254&lt;&gt;"",INDEX('Base de données'!A$4:L$990,MATCH(A254,'Base de données'!A$4:A$990,0),2),"")</f>
        <v/>
      </c>
      <c r="C254" s="154" t="str">
        <f>IF(A254&lt;&gt;"",INDEX('Base de données'!A$4:L$990,MATCH(A254,'Base de données'!A$4:A$990,0),12),"")</f>
        <v/>
      </c>
      <c r="D254" s="543"/>
      <c r="E254" s="542"/>
      <c r="F254" s="543"/>
      <c r="G254" s="542"/>
      <c r="H254" s="543"/>
      <c r="I254" s="542"/>
      <c r="J254" s="543"/>
      <c r="K254" s="542"/>
      <c r="L254" s="543"/>
      <c r="M254" s="542"/>
    </row>
    <row r="255" spans="1:13" x14ac:dyDescent="0.25">
      <c r="A255" s="540"/>
      <c r="B255" s="152" t="str">
        <f>IF(A255&lt;&gt;"",INDEX('Base de données'!A$4:L$990,MATCH(A255,'Base de données'!A$4:A$990,0),2),"")</f>
        <v/>
      </c>
      <c r="C255" s="154" t="str">
        <f>IF(A255&lt;&gt;"",INDEX('Base de données'!A$4:L$990,MATCH(A255,'Base de données'!A$4:A$990,0),12),"")</f>
        <v/>
      </c>
      <c r="D255" s="543"/>
      <c r="E255" s="542"/>
      <c r="F255" s="543"/>
      <c r="G255" s="542"/>
      <c r="H255" s="543"/>
      <c r="I255" s="542"/>
      <c r="J255" s="543"/>
      <c r="K255" s="542"/>
      <c r="L255" s="543"/>
      <c r="M255" s="542"/>
    </row>
    <row r="256" spans="1:13" x14ac:dyDescent="0.25">
      <c r="A256" s="540"/>
      <c r="B256" s="152" t="str">
        <f>IF(A256&lt;&gt;"",INDEX('Base de données'!A$4:L$990,MATCH(A256,'Base de données'!A$4:A$990,0),2),"")</f>
        <v/>
      </c>
      <c r="C256" s="154" t="str">
        <f>IF(A256&lt;&gt;"",INDEX('Base de données'!A$4:L$990,MATCH(A256,'Base de données'!A$4:A$990,0),12),"")</f>
        <v/>
      </c>
      <c r="D256" s="543"/>
      <c r="E256" s="542"/>
      <c r="F256" s="543"/>
      <c r="G256" s="542"/>
      <c r="H256" s="543"/>
      <c r="I256" s="542"/>
      <c r="J256" s="543"/>
      <c r="K256" s="542"/>
      <c r="L256" s="543"/>
      <c r="M256" s="542"/>
    </row>
    <row r="257" spans="1:13" x14ac:dyDescent="0.25">
      <c r="A257" s="540"/>
      <c r="B257" s="152" t="str">
        <f>IF(A257&lt;&gt;"",INDEX('Base de données'!A$4:L$990,MATCH(A257,'Base de données'!A$4:A$990,0),2),"")</f>
        <v/>
      </c>
      <c r="C257" s="154" t="str">
        <f>IF(A257&lt;&gt;"",INDEX('Base de données'!A$4:L$990,MATCH(A257,'Base de données'!A$4:A$990,0),12),"")</f>
        <v/>
      </c>
      <c r="D257" s="543"/>
      <c r="E257" s="542"/>
      <c r="F257" s="543"/>
      <c r="G257" s="542"/>
      <c r="H257" s="543"/>
      <c r="I257" s="542"/>
      <c r="J257" s="543"/>
      <c r="K257" s="542"/>
      <c r="L257" s="543"/>
      <c r="M257" s="542"/>
    </row>
    <row r="258" spans="1:13" x14ac:dyDescent="0.25">
      <c r="A258" s="540"/>
      <c r="B258" s="152" t="str">
        <f>IF(A258&lt;&gt;"",INDEX('Base de données'!A$4:L$990,MATCH(A258,'Base de données'!A$4:A$990,0),2),"")</f>
        <v/>
      </c>
      <c r="C258" s="154" t="str">
        <f>IF(A258&lt;&gt;"",INDEX('Base de données'!A$4:L$990,MATCH(A258,'Base de données'!A$4:A$990,0),12),"")</f>
        <v/>
      </c>
      <c r="D258" s="543"/>
      <c r="E258" s="542"/>
      <c r="F258" s="543"/>
      <c r="G258" s="542"/>
      <c r="H258" s="543"/>
      <c r="I258" s="542"/>
      <c r="J258" s="543"/>
      <c r="K258" s="542"/>
      <c r="L258" s="543"/>
      <c r="M258" s="542"/>
    </row>
    <row r="259" spans="1:13" x14ac:dyDescent="0.25">
      <c r="A259" s="540"/>
      <c r="B259" s="152" t="str">
        <f>IF(A259&lt;&gt;"",INDEX('Base de données'!A$4:L$990,MATCH(A259,'Base de données'!A$4:A$990,0),2),"")</f>
        <v/>
      </c>
      <c r="C259" s="154" t="str">
        <f>IF(A259&lt;&gt;"",INDEX('Base de données'!A$4:L$990,MATCH(A259,'Base de données'!A$4:A$990,0),12),"")</f>
        <v/>
      </c>
      <c r="D259" s="543"/>
      <c r="E259" s="542"/>
      <c r="F259" s="543"/>
      <c r="G259" s="542"/>
      <c r="H259" s="543"/>
      <c r="I259" s="542"/>
      <c r="J259" s="543"/>
      <c r="K259" s="542"/>
      <c r="L259" s="543"/>
      <c r="M259" s="542"/>
    </row>
    <row r="260" spans="1:13" x14ac:dyDescent="0.25">
      <c r="A260" s="540"/>
      <c r="B260" s="152" t="str">
        <f>IF(A260&lt;&gt;"",INDEX('Base de données'!A$4:L$990,MATCH(A260,'Base de données'!A$4:A$990,0),2),"")</f>
        <v/>
      </c>
      <c r="C260" s="154" t="str">
        <f>IF(A260&lt;&gt;"",INDEX('Base de données'!A$4:L$990,MATCH(A260,'Base de données'!A$4:A$990,0),12),"")</f>
        <v/>
      </c>
      <c r="D260" s="543"/>
      <c r="E260" s="542"/>
      <c r="F260" s="543"/>
      <c r="G260" s="542"/>
      <c r="H260" s="543"/>
      <c r="I260" s="542"/>
      <c r="J260" s="543"/>
      <c r="K260" s="542"/>
      <c r="L260" s="543"/>
      <c r="M260" s="542"/>
    </row>
    <row r="261" spans="1:13" x14ac:dyDescent="0.25">
      <c r="A261" s="540"/>
      <c r="B261" s="152" t="str">
        <f>IF(A261&lt;&gt;"",INDEX('Base de données'!A$4:L$990,MATCH(A261,'Base de données'!A$4:A$990,0),2),"")</f>
        <v/>
      </c>
      <c r="C261" s="154" t="str">
        <f>IF(A261&lt;&gt;"",INDEX('Base de données'!A$4:L$990,MATCH(A261,'Base de données'!A$4:A$990,0),12),"")</f>
        <v/>
      </c>
      <c r="D261" s="543"/>
      <c r="E261" s="542"/>
      <c r="F261" s="543"/>
      <c r="G261" s="542"/>
      <c r="H261" s="543"/>
      <c r="I261" s="542"/>
      <c r="J261" s="543"/>
      <c r="K261" s="542"/>
      <c r="L261" s="543"/>
      <c r="M261" s="542"/>
    </row>
    <row r="262" spans="1:13" x14ac:dyDescent="0.25">
      <c r="A262" s="540"/>
      <c r="B262" s="152" t="str">
        <f>IF(A262&lt;&gt;"",INDEX('Base de données'!A$4:L$990,MATCH(A262,'Base de données'!A$4:A$990,0),2),"")</f>
        <v/>
      </c>
      <c r="C262" s="154" t="str">
        <f>IF(A262&lt;&gt;"",INDEX('Base de données'!A$4:L$990,MATCH(A262,'Base de données'!A$4:A$990,0),12),"")</f>
        <v/>
      </c>
      <c r="D262" s="543"/>
      <c r="E262" s="542"/>
      <c r="F262" s="543"/>
      <c r="G262" s="542"/>
      <c r="H262" s="543"/>
      <c r="I262" s="542"/>
      <c r="J262" s="543"/>
      <c r="K262" s="542"/>
      <c r="L262" s="543"/>
      <c r="M262" s="542"/>
    </row>
    <row r="263" spans="1:13" x14ac:dyDescent="0.25">
      <c r="A263" s="540"/>
      <c r="B263" s="152" t="str">
        <f>IF(A263&lt;&gt;"",INDEX('Base de données'!A$4:L$990,MATCH(A263,'Base de données'!A$4:A$990,0),2),"")</f>
        <v/>
      </c>
      <c r="C263" s="154" t="str">
        <f>IF(A263&lt;&gt;"",INDEX('Base de données'!A$4:L$990,MATCH(A263,'Base de données'!A$4:A$990,0),12),"")</f>
        <v/>
      </c>
      <c r="D263" s="543"/>
      <c r="E263" s="542"/>
      <c r="F263" s="543"/>
      <c r="G263" s="542"/>
      <c r="H263" s="543"/>
      <c r="I263" s="542"/>
      <c r="J263" s="543"/>
      <c r="K263" s="542"/>
      <c r="L263" s="543"/>
      <c r="M263" s="542"/>
    </row>
    <row r="264" spans="1:13" x14ac:dyDescent="0.25">
      <c r="A264" s="540"/>
      <c r="B264" s="152" t="str">
        <f>IF(A264&lt;&gt;"",INDEX('Base de données'!A$4:L$990,MATCH(A264,'Base de données'!A$4:A$990,0),2),"")</f>
        <v/>
      </c>
      <c r="C264" s="154" t="str">
        <f>IF(A264&lt;&gt;"",INDEX('Base de données'!A$4:L$990,MATCH(A264,'Base de données'!A$4:A$990,0),12),"")</f>
        <v/>
      </c>
      <c r="D264" s="543"/>
      <c r="E264" s="542"/>
      <c r="F264" s="543"/>
      <c r="G264" s="542"/>
      <c r="H264" s="543"/>
      <c r="I264" s="542"/>
      <c r="J264" s="543"/>
      <c r="K264" s="542"/>
      <c r="L264" s="543"/>
      <c r="M264" s="542"/>
    </row>
    <row r="265" spans="1:13" x14ac:dyDescent="0.25">
      <c r="A265" s="540"/>
      <c r="B265" s="152" t="str">
        <f>IF(A265&lt;&gt;"",INDEX('Base de données'!A$4:L$990,MATCH(A265,'Base de données'!A$4:A$990,0),2),"")</f>
        <v/>
      </c>
      <c r="C265" s="154" t="str">
        <f>IF(A265&lt;&gt;"",INDEX('Base de données'!A$4:L$990,MATCH(A265,'Base de données'!A$4:A$990,0),12),"")</f>
        <v/>
      </c>
      <c r="D265" s="543"/>
      <c r="E265" s="542"/>
      <c r="F265" s="543"/>
      <c r="G265" s="542"/>
      <c r="H265" s="543"/>
      <c r="I265" s="542"/>
      <c r="J265" s="543"/>
      <c r="K265" s="542"/>
      <c r="L265" s="543"/>
      <c r="M265" s="542"/>
    </row>
    <row r="266" spans="1:13" x14ac:dyDescent="0.25">
      <c r="A266" s="540"/>
      <c r="B266" s="152" t="str">
        <f>IF(A266&lt;&gt;"",INDEX('Base de données'!A$4:L$990,MATCH(A266,'Base de données'!A$4:A$990,0),2),"")</f>
        <v/>
      </c>
      <c r="C266" s="154" t="str">
        <f>IF(A266&lt;&gt;"",INDEX('Base de données'!A$4:L$990,MATCH(A266,'Base de données'!A$4:A$990,0),12),"")</f>
        <v/>
      </c>
      <c r="D266" s="543"/>
      <c r="E266" s="542"/>
      <c r="F266" s="543"/>
      <c r="G266" s="542"/>
      <c r="H266" s="543"/>
      <c r="I266" s="542"/>
      <c r="J266" s="543"/>
      <c r="K266" s="542"/>
      <c r="L266" s="543"/>
      <c r="M266" s="542"/>
    </row>
    <row r="267" spans="1:13" x14ac:dyDescent="0.25">
      <c r="A267" s="540"/>
      <c r="B267" s="152" t="str">
        <f>IF(A267&lt;&gt;"",INDEX('Base de données'!A$4:L$990,MATCH(A267,'Base de données'!A$4:A$990,0),2),"")</f>
        <v/>
      </c>
      <c r="C267" s="154" t="str">
        <f>IF(A267&lt;&gt;"",INDEX('Base de données'!A$4:L$990,MATCH(A267,'Base de données'!A$4:A$990,0),12),"")</f>
        <v/>
      </c>
      <c r="D267" s="543"/>
      <c r="E267" s="542"/>
      <c r="F267" s="543"/>
      <c r="G267" s="542"/>
      <c r="H267" s="543"/>
      <c r="I267" s="542"/>
      <c r="J267" s="543"/>
      <c r="K267" s="542"/>
      <c r="L267" s="543"/>
      <c r="M267" s="542"/>
    </row>
    <row r="268" spans="1:13" x14ac:dyDescent="0.25">
      <c r="A268" s="540"/>
      <c r="B268" s="152" t="str">
        <f>IF(A268&lt;&gt;"",INDEX('Base de données'!A$4:L$990,MATCH(A268,'Base de données'!A$4:A$990,0),2),"")</f>
        <v/>
      </c>
      <c r="C268" s="154" t="str">
        <f>IF(A268&lt;&gt;"",INDEX('Base de données'!A$4:L$990,MATCH(A268,'Base de données'!A$4:A$990,0),12),"")</f>
        <v/>
      </c>
      <c r="D268" s="543"/>
      <c r="E268" s="542"/>
      <c r="F268" s="543"/>
      <c r="G268" s="542"/>
      <c r="H268" s="543"/>
      <c r="I268" s="542"/>
      <c r="J268" s="543"/>
      <c r="K268" s="542"/>
      <c r="L268" s="543"/>
      <c r="M268" s="542"/>
    </row>
    <row r="269" spans="1:13" x14ac:dyDescent="0.25">
      <c r="A269" s="540"/>
      <c r="B269" s="152" t="str">
        <f>IF(A269&lt;&gt;"",INDEX('Base de données'!A$4:L$990,MATCH(A269,'Base de données'!A$4:A$990,0),2),"")</f>
        <v/>
      </c>
      <c r="C269" s="154" t="str">
        <f>IF(A269&lt;&gt;"",INDEX('Base de données'!A$4:L$990,MATCH(A269,'Base de données'!A$4:A$990,0),12),"")</f>
        <v/>
      </c>
      <c r="D269" s="543"/>
      <c r="E269" s="542"/>
      <c r="F269" s="543"/>
      <c r="G269" s="542"/>
      <c r="H269" s="543"/>
      <c r="I269" s="542"/>
      <c r="J269" s="543"/>
      <c r="K269" s="542"/>
      <c r="L269" s="543"/>
      <c r="M269" s="542"/>
    </row>
    <row r="270" spans="1:13" x14ac:dyDescent="0.25">
      <c r="A270" s="540"/>
      <c r="B270" s="152" t="str">
        <f>IF(A270&lt;&gt;"",INDEX('Base de données'!A$4:L$990,MATCH(A270,'Base de données'!A$4:A$990,0),2),"")</f>
        <v/>
      </c>
      <c r="C270" s="154" t="str">
        <f>IF(A270&lt;&gt;"",INDEX('Base de données'!A$4:L$990,MATCH(A270,'Base de données'!A$4:A$990,0),12),"")</f>
        <v/>
      </c>
      <c r="D270" s="543"/>
      <c r="E270" s="542"/>
      <c r="F270" s="543"/>
      <c r="G270" s="542"/>
      <c r="H270" s="543"/>
      <c r="I270" s="542"/>
      <c r="J270" s="543"/>
      <c r="K270" s="542"/>
      <c r="L270" s="543"/>
      <c r="M270" s="542"/>
    </row>
    <row r="271" spans="1:13" x14ac:dyDescent="0.25">
      <c r="A271" s="540"/>
      <c r="B271" s="152" t="str">
        <f>IF(A271&lt;&gt;"",INDEX('Base de données'!A$4:L$990,MATCH(A271,'Base de données'!A$4:A$990,0),2),"")</f>
        <v/>
      </c>
      <c r="C271" s="154" t="str">
        <f>IF(A271&lt;&gt;"",INDEX('Base de données'!A$4:L$990,MATCH(A271,'Base de données'!A$4:A$990,0),12),"")</f>
        <v/>
      </c>
      <c r="D271" s="543"/>
      <c r="E271" s="542"/>
      <c r="F271" s="543"/>
      <c r="G271" s="542"/>
      <c r="H271" s="543"/>
      <c r="I271" s="542"/>
      <c r="J271" s="543"/>
      <c r="K271" s="542"/>
      <c r="L271" s="543"/>
      <c r="M271" s="542"/>
    </row>
    <row r="272" spans="1:13" x14ac:dyDescent="0.25">
      <c r="A272" s="540"/>
      <c r="B272" s="152" t="str">
        <f>IF(A272&lt;&gt;"",INDEX('Base de données'!A$4:L$990,MATCH(A272,'Base de données'!A$4:A$990,0),2),"")</f>
        <v/>
      </c>
      <c r="C272" s="154" t="str">
        <f>IF(A272&lt;&gt;"",INDEX('Base de données'!A$4:L$990,MATCH(A272,'Base de données'!A$4:A$990,0),12),"")</f>
        <v/>
      </c>
      <c r="D272" s="543"/>
      <c r="E272" s="542"/>
      <c r="F272" s="543"/>
      <c r="G272" s="542"/>
      <c r="H272" s="543"/>
      <c r="I272" s="542"/>
      <c r="J272" s="543"/>
      <c r="K272" s="542"/>
      <c r="L272" s="543"/>
      <c r="M272" s="542"/>
    </row>
    <row r="273" spans="1:13" x14ac:dyDescent="0.25">
      <c r="A273" s="540"/>
      <c r="B273" s="152" t="str">
        <f>IF(A273&lt;&gt;"",INDEX('Base de données'!A$4:L$990,MATCH(A273,'Base de données'!A$4:A$990,0),2),"")</f>
        <v/>
      </c>
      <c r="C273" s="154" t="str">
        <f>IF(A273&lt;&gt;"",INDEX('Base de données'!A$4:L$990,MATCH(A273,'Base de données'!A$4:A$990,0),12),"")</f>
        <v/>
      </c>
      <c r="D273" s="543"/>
      <c r="E273" s="542"/>
      <c r="F273" s="543"/>
      <c r="G273" s="542"/>
      <c r="H273" s="543"/>
      <c r="I273" s="542"/>
      <c r="J273" s="543"/>
      <c r="K273" s="542"/>
      <c r="L273" s="543"/>
      <c r="M273" s="542"/>
    </row>
    <row r="274" spans="1:13" x14ac:dyDescent="0.25">
      <c r="A274" s="540"/>
      <c r="B274" s="152" t="str">
        <f>IF(A274&lt;&gt;"",INDEX('Base de données'!A$4:L$990,MATCH(A274,'Base de données'!A$4:A$990,0),2),"")</f>
        <v/>
      </c>
      <c r="C274" s="154" t="str">
        <f>IF(A274&lt;&gt;"",INDEX('Base de données'!A$4:L$990,MATCH(A274,'Base de données'!A$4:A$990,0),12),"")</f>
        <v/>
      </c>
      <c r="D274" s="543"/>
      <c r="E274" s="542"/>
      <c r="F274" s="543"/>
      <c r="G274" s="542"/>
      <c r="H274" s="543"/>
      <c r="I274" s="542"/>
      <c r="J274" s="543"/>
      <c r="K274" s="542"/>
      <c r="L274" s="543"/>
      <c r="M274" s="542"/>
    </row>
    <row r="275" spans="1:13" x14ac:dyDescent="0.25">
      <c r="A275" s="540"/>
      <c r="B275" s="152" t="str">
        <f>IF(A275&lt;&gt;"",INDEX('Base de données'!A$4:L$990,MATCH(A275,'Base de données'!A$4:A$990,0),2),"")</f>
        <v/>
      </c>
      <c r="C275" s="154" t="str">
        <f>IF(A275&lt;&gt;"",INDEX('Base de données'!A$4:L$990,MATCH(A275,'Base de données'!A$4:A$990,0),12),"")</f>
        <v/>
      </c>
      <c r="D275" s="543"/>
      <c r="E275" s="542"/>
      <c r="F275" s="543"/>
      <c r="G275" s="542"/>
      <c r="H275" s="543"/>
      <c r="I275" s="542"/>
      <c r="J275" s="543"/>
      <c r="K275" s="542"/>
      <c r="L275" s="543"/>
      <c r="M275" s="542"/>
    </row>
    <row r="276" spans="1:13" x14ac:dyDescent="0.25">
      <c r="A276" s="540"/>
      <c r="B276" s="152" t="str">
        <f>IF(A276&lt;&gt;"",INDEX('Base de données'!A$4:L$990,MATCH(A276,'Base de données'!A$4:A$990,0),2),"")</f>
        <v/>
      </c>
      <c r="C276" s="154" t="str">
        <f>IF(A276&lt;&gt;"",INDEX('Base de données'!A$4:L$990,MATCH(A276,'Base de données'!A$4:A$990,0),12),"")</f>
        <v/>
      </c>
      <c r="D276" s="543"/>
      <c r="E276" s="542"/>
      <c r="F276" s="543"/>
      <c r="G276" s="542"/>
      <c r="H276" s="543"/>
      <c r="I276" s="542"/>
      <c r="J276" s="543"/>
      <c r="K276" s="542"/>
      <c r="L276" s="543"/>
      <c r="M276" s="542"/>
    </row>
    <row r="277" spans="1:13" x14ac:dyDescent="0.25">
      <c r="A277" s="540"/>
      <c r="B277" s="152" t="str">
        <f>IF(A277&lt;&gt;"",INDEX('Base de données'!A$4:L$990,MATCH(A277,'Base de données'!A$4:A$990,0),2),"")</f>
        <v/>
      </c>
      <c r="C277" s="154" t="str">
        <f>IF(A277&lt;&gt;"",INDEX('Base de données'!A$4:L$990,MATCH(A277,'Base de données'!A$4:A$990,0),12),"")</f>
        <v/>
      </c>
      <c r="D277" s="543"/>
      <c r="E277" s="542"/>
      <c r="F277" s="543"/>
      <c r="G277" s="542"/>
      <c r="H277" s="543"/>
      <c r="I277" s="542"/>
      <c r="J277" s="543"/>
      <c r="K277" s="542"/>
      <c r="L277" s="543"/>
      <c r="M277" s="542"/>
    </row>
    <row r="278" spans="1:13" x14ac:dyDescent="0.25">
      <c r="A278" s="540"/>
      <c r="B278" s="152" t="str">
        <f>IF(A278&lt;&gt;"",INDEX('Base de données'!A$4:L$990,MATCH(A278,'Base de données'!A$4:A$990,0),2),"")</f>
        <v/>
      </c>
      <c r="C278" s="154" t="str">
        <f>IF(A278&lt;&gt;"",INDEX('Base de données'!A$4:L$990,MATCH(A278,'Base de données'!A$4:A$990,0),12),"")</f>
        <v/>
      </c>
      <c r="D278" s="543"/>
      <c r="E278" s="542"/>
      <c r="F278" s="543"/>
      <c r="G278" s="542"/>
      <c r="H278" s="543"/>
      <c r="I278" s="542"/>
      <c r="J278" s="543"/>
      <c r="K278" s="542"/>
      <c r="L278" s="543"/>
      <c r="M278" s="542"/>
    </row>
    <row r="279" spans="1:13" x14ac:dyDescent="0.25">
      <c r="A279" s="540"/>
      <c r="B279" s="152" t="str">
        <f>IF(A279&lt;&gt;"",INDEX('Base de données'!A$4:L$990,MATCH(A279,'Base de données'!A$4:A$990,0),2),"")</f>
        <v/>
      </c>
      <c r="C279" s="154" t="str">
        <f>IF(A279&lt;&gt;"",INDEX('Base de données'!A$4:L$990,MATCH(A279,'Base de données'!A$4:A$990,0),12),"")</f>
        <v/>
      </c>
      <c r="D279" s="543"/>
      <c r="E279" s="542"/>
      <c r="F279" s="543"/>
      <c r="G279" s="542"/>
      <c r="H279" s="543"/>
      <c r="I279" s="542"/>
      <c r="J279" s="543"/>
      <c r="K279" s="542"/>
      <c r="L279" s="543"/>
      <c r="M279" s="542"/>
    </row>
    <row r="280" spans="1:13" x14ac:dyDescent="0.25">
      <c r="A280" s="540"/>
      <c r="B280" s="152" t="str">
        <f>IF(A280&lt;&gt;"",INDEX('Base de données'!A$4:L$990,MATCH(A280,'Base de données'!A$4:A$990,0),2),"")</f>
        <v/>
      </c>
      <c r="C280" s="154" t="str">
        <f>IF(A280&lt;&gt;"",INDEX('Base de données'!A$4:L$990,MATCH(A280,'Base de données'!A$4:A$990,0),12),"")</f>
        <v/>
      </c>
      <c r="D280" s="543"/>
      <c r="E280" s="542"/>
      <c r="F280" s="543"/>
      <c r="G280" s="542"/>
      <c r="H280" s="543"/>
      <c r="I280" s="542"/>
      <c r="J280" s="543"/>
      <c r="K280" s="542"/>
      <c r="L280" s="543"/>
      <c r="M280" s="542"/>
    </row>
    <row r="281" spans="1:13" x14ac:dyDescent="0.25">
      <c r="A281" s="540"/>
      <c r="B281" s="152" t="str">
        <f>IF(A281&lt;&gt;"",INDEX('Base de données'!A$4:L$990,MATCH(A281,'Base de données'!A$4:A$990,0),2),"")</f>
        <v/>
      </c>
      <c r="C281" s="154" t="str">
        <f>IF(A281&lt;&gt;"",INDEX('Base de données'!A$4:L$990,MATCH(A281,'Base de données'!A$4:A$990,0),12),"")</f>
        <v/>
      </c>
      <c r="D281" s="543"/>
      <c r="E281" s="542"/>
      <c r="F281" s="543"/>
      <c r="G281" s="542"/>
      <c r="H281" s="543"/>
      <c r="I281" s="542"/>
      <c r="J281" s="543"/>
      <c r="K281" s="542"/>
      <c r="L281" s="543"/>
      <c r="M281" s="542"/>
    </row>
    <row r="282" spans="1:13" x14ac:dyDescent="0.25">
      <c r="A282" s="540"/>
      <c r="B282" s="152" t="str">
        <f>IF(A282&lt;&gt;"",INDEX('Base de données'!A$4:L$990,MATCH(A282,'Base de données'!A$4:A$990,0),2),"")</f>
        <v/>
      </c>
      <c r="C282" s="154" t="str">
        <f>IF(A282&lt;&gt;"",INDEX('Base de données'!A$4:L$990,MATCH(A282,'Base de données'!A$4:A$990,0),12),"")</f>
        <v/>
      </c>
      <c r="D282" s="543"/>
      <c r="E282" s="542"/>
      <c r="F282" s="543"/>
      <c r="G282" s="542"/>
      <c r="H282" s="543"/>
      <c r="I282" s="542"/>
      <c r="J282" s="543"/>
      <c r="K282" s="542"/>
      <c r="L282" s="543"/>
      <c r="M282" s="542"/>
    </row>
    <row r="283" spans="1:13" x14ac:dyDescent="0.25">
      <c r="A283" s="540"/>
      <c r="B283" s="152" t="str">
        <f>IF(A283&lt;&gt;"",INDEX('Base de données'!A$4:L$990,MATCH(A283,'Base de données'!A$4:A$990,0),2),"")</f>
        <v/>
      </c>
      <c r="C283" s="154" t="str">
        <f>IF(A283&lt;&gt;"",INDEX('Base de données'!A$4:L$990,MATCH(A283,'Base de données'!A$4:A$990,0),12),"")</f>
        <v/>
      </c>
      <c r="D283" s="543"/>
      <c r="E283" s="542"/>
      <c r="F283" s="543"/>
      <c r="G283" s="542"/>
      <c r="H283" s="543"/>
      <c r="I283" s="542"/>
      <c r="J283" s="543"/>
      <c r="K283" s="542"/>
      <c r="L283" s="543"/>
      <c r="M283" s="542"/>
    </row>
    <row r="284" spans="1:13" x14ac:dyDescent="0.25">
      <c r="A284" s="540"/>
      <c r="B284" s="152" t="str">
        <f>IF(A284&lt;&gt;"",INDEX('Base de données'!A$4:L$990,MATCH(A284,'Base de données'!A$4:A$990,0),2),"")</f>
        <v/>
      </c>
      <c r="C284" s="154" t="str">
        <f>IF(A284&lt;&gt;"",INDEX('Base de données'!A$4:L$990,MATCH(A284,'Base de données'!A$4:A$990,0),12),"")</f>
        <v/>
      </c>
      <c r="D284" s="543"/>
      <c r="E284" s="542"/>
      <c r="F284" s="543"/>
      <c r="G284" s="542"/>
      <c r="H284" s="543"/>
      <c r="I284" s="542"/>
      <c r="J284" s="543"/>
      <c r="K284" s="542"/>
      <c r="L284" s="543"/>
      <c r="M284" s="542"/>
    </row>
    <row r="285" spans="1:13" x14ac:dyDescent="0.25">
      <c r="A285" s="540"/>
      <c r="B285" s="152" t="str">
        <f>IF(A285&lt;&gt;"",INDEX('Base de données'!A$4:L$990,MATCH(A285,'Base de données'!A$4:A$990,0),2),"")</f>
        <v/>
      </c>
      <c r="C285" s="154" t="str">
        <f>IF(A285&lt;&gt;"",INDEX('Base de données'!A$4:L$990,MATCH(A285,'Base de données'!A$4:A$990,0),12),"")</f>
        <v/>
      </c>
      <c r="D285" s="543"/>
      <c r="E285" s="542"/>
      <c r="F285" s="543"/>
      <c r="G285" s="542"/>
      <c r="H285" s="543"/>
      <c r="I285" s="542"/>
      <c r="J285" s="543"/>
      <c r="K285" s="542"/>
      <c r="L285" s="543"/>
      <c r="M285" s="542"/>
    </row>
    <row r="286" spans="1:13" x14ac:dyDescent="0.25">
      <c r="A286" s="540"/>
      <c r="B286" s="152" t="str">
        <f>IF(A286&lt;&gt;"",INDEX('Base de données'!A$4:L$990,MATCH(A286,'Base de données'!A$4:A$990,0),2),"")</f>
        <v/>
      </c>
      <c r="C286" s="154" t="str">
        <f>IF(A286&lt;&gt;"",INDEX('Base de données'!A$4:L$990,MATCH(A286,'Base de données'!A$4:A$990,0),12),"")</f>
        <v/>
      </c>
      <c r="D286" s="543"/>
      <c r="E286" s="542"/>
      <c r="F286" s="543"/>
      <c r="G286" s="542"/>
      <c r="H286" s="543"/>
      <c r="I286" s="542"/>
      <c r="J286" s="543"/>
      <c r="K286" s="542"/>
      <c r="L286" s="543"/>
      <c r="M286" s="542"/>
    </row>
    <row r="287" spans="1:13" x14ac:dyDescent="0.25">
      <c r="A287" s="540"/>
      <c r="B287" s="152" t="str">
        <f>IF(A287&lt;&gt;"",INDEX('Base de données'!A$4:L$990,MATCH(A287,'Base de données'!A$4:A$990,0),2),"")</f>
        <v/>
      </c>
      <c r="C287" s="154" t="str">
        <f>IF(A287&lt;&gt;"",INDEX('Base de données'!A$4:L$990,MATCH(A287,'Base de données'!A$4:A$990,0),12),"")</f>
        <v/>
      </c>
      <c r="D287" s="543"/>
      <c r="E287" s="542"/>
      <c r="F287" s="543"/>
      <c r="G287" s="542"/>
      <c r="H287" s="543"/>
      <c r="I287" s="542"/>
      <c r="J287" s="543"/>
      <c r="K287" s="542"/>
      <c r="L287" s="543"/>
      <c r="M287" s="542"/>
    </row>
    <row r="288" spans="1:13" x14ac:dyDescent="0.25">
      <c r="A288" s="540"/>
      <c r="B288" s="152" t="str">
        <f>IF(A288&lt;&gt;"",INDEX('Base de données'!A$4:L$990,MATCH(A288,'Base de données'!A$4:A$990,0),2),"")</f>
        <v/>
      </c>
      <c r="C288" s="154" t="str">
        <f>IF(A288&lt;&gt;"",INDEX('Base de données'!A$4:L$990,MATCH(A288,'Base de données'!A$4:A$990,0),12),"")</f>
        <v/>
      </c>
      <c r="D288" s="543"/>
      <c r="E288" s="542"/>
      <c r="F288" s="543"/>
      <c r="G288" s="542"/>
      <c r="H288" s="543"/>
      <c r="I288" s="542"/>
      <c r="J288" s="543"/>
      <c r="K288" s="542"/>
      <c r="L288" s="543"/>
      <c r="M288" s="542"/>
    </row>
    <row r="289" spans="1:13" x14ac:dyDescent="0.25">
      <c r="A289" s="540"/>
      <c r="B289" s="152" t="str">
        <f>IF(A289&lt;&gt;"",INDEX('Base de données'!A$4:L$990,MATCH(A289,'Base de données'!A$4:A$990,0),2),"")</f>
        <v/>
      </c>
      <c r="C289" s="154" t="str">
        <f>IF(A289&lt;&gt;"",INDEX('Base de données'!A$4:L$990,MATCH(A289,'Base de données'!A$4:A$990,0),12),"")</f>
        <v/>
      </c>
      <c r="D289" s="543"/>
      <c r="E289" s="542"/>
      <c r="F289" s="543"/>
      <c r="G289" s="542"/>
      <c r="H289" s="543"/>
      <c r="I289" s="542"/>
      <c r="J289" s="543"/>
      <c r="K289" s="542"/>
      <c r="L289" s="543"/>
      <c r="M289" s="542"/>
    </row>
    <row r="290" spans="1:13" x14ac:dyDescent="0.25">
      <c r="A290" s="540"/>
      <c r="B290" s="152" t="str">
        <f>IF(A290&lt;&gt;"",INDEX('Base de données'!A$4:L$990,MATCH(A290,'Base de données'!A$4:A$990,0),2),"")</f>
        <v/>
      </c>
      <c r="C290" s="154" t="str">
        <f>IF(A290&lt;&gt;"",INDEX('Base de données'!A$4:L$990,MATCH(A290,'Base de données'!A$4:A$990,0),12),"")</f>
        <v/>
      </c>
      <c r="D290" s="543"/>
      <c r="E290" s="542"/>
      <c r="F290" s="543"/>
      <c r="G290" s="542"/>
      <c r="H290" s="543"/>
      <c r="I290" s="542"/>
      <c r="J290" s="543"/>
      <c r="K290" s="542"/>
      <c r="L290" s="543"/>
      <c r="M290" s="542"/>
    </row>
    <row r="291" spans="1:13" x14ac:dyDescent="0.25">
      <c r="A291" s="540"/>
      <c r="B291" s="152" t="str">
        <f>IF(A291&lt;&gt;"",INDEX('Base de données'!A$4:L$990,MATCH(A291,'Base de données'!A$4:A$990,0),2),"")</f>
        <v/>
      </c>
      <c r="C291" s="154" t="str">
        <f>IF(A291&lt;&gt;"",INDEX('Base de données'!A$4:L$990,MATCH(A291,'Base de données'!A$4:A$990,0),12),"")</f>
        <v/>
      </c>
      <c r="D291" s="543"/>
      <c r="E291" s="542"/>
      <c r="F291" s="543"/>
      <c r="G291" s="542"/>
      <c r="H291" s="543"/>
      <c r="I291" s="542"/>
      <c r="J291" s="543"/>
      <c r="K291" s="542"/>
      <c r="L291" s="543"/>
      <c r="M291" s="542"/>
    </row>
    <row r="292" spans="1:13" x14ac:dyDescent="0.25">
      <c r="A292" s="540"/>
      <c r="B292" s="152" t="str">
        <f>IF(A292&lt;&gt;"",INDEX('Base de données'!A$4:L$990,MATCH(A292,'Base de données'!A$4:A$990,0),2),"")</f>
        <v/>
      </c>
      <c r="C292" s="154" t="str">
        <f>IF(A292&lt;&gt;"",INDEX('Base de données'!A$4:L$990,MATCH(A292,'Base de données'!A$4:A$990,0),12),"")</f>
        <v/>
      </c>
      <c r="D292" s="543"/>
      <c r="E292" s="542"/>
      <c r="F292" s="543"/>
      <c r="G292" s="542"/>
      <c r="H292" s="543"/>
      <c r="I292" s="542"/>
      <c r="J292" s="543"/>
      <c r="K292" s="542"/>
      <c r="L292" s="543"/>
      <c r="M292" s="542"/>
    </row>
    <row r="293" spans="1:13" x14ac:dyDescent="0.25">
      <c r="A293" s="540"/>
      <c r="B293" s="152" t="str">
        <f>IF(A293&lt;&gt;"",INDEX('Base de données'!A$4:L$990,MATCH(A293,'Base de données'!A$4:A$990,0),2),"")</f>
        <v/>
      </c>
      <c r="C293" s="154" t="str">
        <f>IF(A293&lt;&gt;"",INDEX('Base de données'!A$4:L$990,MATCH(A293,'Base de données'!A$4:A$990,0),12),"")</f>
        <v/>
      </c>
      <c r="D293" s="543"/>
      <c r="E293" s="542"/>
      <c r="F293" s="543"/>
      <c r="G293" s="542"/>
      <c r="H293" s="543"/>
      <c r="I293" s="542"/>
      <c r="J293" s="543"/>
      <c r="K293" s="542"/>
      <c r="L293" s="543"/>
      <c r="M293" s="542"/>
    </row>
    <row r="294" spans="1:13" x14ac:dyDescent="0.25">
      <c r="A294" s="540"/>
      <c r="B294" s="152" t="str">
        <f>IF(A294&lt;&gt;"",INDEX('Base de données'!A$4:L$990,MATCH(A294,'Base de données'!A$4:A$990,0),2),"")</f>
        <v/>
      </c>
      <c r="C294" s="154" t="str">
        <f>IF(A294&lt;&gt;"",INDEX('Base de données'!A$4:L$990,MATCH(A294,'Base de données'!A$4:A$990,0),12),"")</f>
        <v/>
      </c>
      <c r="D294" s="543"/>
      <c r="E294" s="542"/>
      <c r="F294" s="543"/>
      <c r="G294" s="542"/>
      <c r="H294" s="543"/>
      <c r="I294" s="542"/>
      <c r="J294" s="543"/>
      <c r="K294" s="542"/>
      <c r="L294" s="543"/>
      <c r="M294" s="542"/>
    </row>
    <row r="295" spans="1:13" x14ac:dyDescent="0.25">
      <c r="A295" s="540"/>
      <c r="B295" s="152" t="str">
        <f>IF(A295&lt;&gt;"",INDEX('Base de données'!A$4:L$990,MATCH(A295,'Base de données'!A$4:A$990,0),2),"")</f>
        <v/>
      </c>
      <c r="C295" s="154" t="str">
        <f>IF(A295&lt;&gt;"",INDEX('Base de données'!A$4:L$990,MATCH(A295,'Base de données'!A$4:A$990,0),12),"")</f>
        <v/>
      </c>
      <c r="D295" s="543"/>
      <c r="E295" s="542"/>
      <c r="F295" s="543"/>
      <c r="G295" s="542"/>
      <c r="H295" s="543"/>
      <c r="I295" s="542"/>
      <c r="J295" s="543"/>
      <c r="K295" s="542"/>
      <c r="L295" s="543"/>
      <c r="M295" s="542"/>
    </row>
    <row r="296" spans="1:13" x14ac:dyDescent="0.25">
      <c r="A296" s="540"/>
      <c r="B296" s="152" t="str">
        <f>IF(A296&lt;&gt;"",INDEX('Base de données'!A$4:L$990,MATCH(A296,'Base de données'!A$4:A$990,0),2),"")</f>
        <v/>
      </c>
      <c r="C296" s="154" t="str">
        <f>IF(A296&lt;&gt;"",INDEX('Base de données'!A$4:L$990,MATCH(A296,'Base de données'!A$4:A$990,0),12),"")</f>
        <v/>
      </c>
      <c r="D296" s="543"/>
      <c r="E296" s="542"/>
      <c r="F296" s="543"/>
      <c r="G296" s="542"/>
      <c r="H296" s="543"/>
      <c r="I296" s="542"/>
      <c r="J296" s="543"/>
      <c r="K296" s="542"/>
      <c r="L296" s="543"/>
      <c r="M296" s="542"/>
    </row>
    <row r="297" spans="1:13" x14ac:dyDescent="0.25">
      <c r="A297" s="540"/>
      <c r="B297" s="152" t="str">
        <f>IF(A297&lt;&gt;"",INDEX('Base de données'!A$4:L$990,MATCH(A297,'Base de données'!A$4:A$990,0),2),"")</f>
        <v/>
      </c>
      <c r="C297" s="154" t="str">
        <f>IF(A297&lt;&gt;"",INDEX('Base de données'!A$4:L$990,MATCH(A297,'Base de données'!A$4:A$990,0),12),"")</f>
        <v/>
      </c>
      <c r="D297" s="543"/>
      <c r="E297" s="542"/>
      <c r="F297" s="543"/>
      <c r="G297" s="542"/>
      <c r="H297" s="543"/>
      <c r="I297" s="542"/>
      <c r="J297" s="543"/>
      <c r="K297" s="542"/>
      <c r="L297" s="543"/>
      <c r="M297" s="542"/>
    </row>
    <row r="298" spans="1:13" x14ac:dyDescent="0.25">
      <c r="A298" s="540"/>
      <c r="B298" s="152" t="str">
        <f>IF(A298&lt;&gt;"",INDEX('Base de données'!A$4:L$990,MATCH(A298,'Base de données'!A$4:A$990,0),2),"")</f>
        <v/>
      </c>
      <c r="C298" s="154" t="str">
        <f>IF(A298&lt;&gt;"",INDEX('Base de données'!A$4:L$990,MATCH(A298,'Base de données'!A$4:A$990,0),12),"")</f>
        <v/>
      </c>
      <c r="D298" s="543"/>
      <c r="E298" s="542"/>
      <c r="F298" s="543"/>
      <c r="G298" s="542"/>
      <c r="H298" s="543"/>
      <c r="I298" s="542"/>
      <c r="J298" s="543"/>
      <c r="K298" s="542"/>
      <c r="L298" s="543"/>
      <c r="M298" s="542"/>
    </row>
    <row r="299" spans="1:13" x14ac:dyDescent="0.25">
      <c r="A299" s="540"/>
      <c r="B299" s="152" t="str">
        <f>IF(A299&lt;&gt;"",INDEX('Base de données'!A$4:L$990,MATCH(A299,'Base de données'!A$4:A$990,0),2),"")</f>
        <v/>
      </c>
      <c r="C299" s="154" t="str">
        <f>IF(A299&lt;&gt;"",INDEX('Base de données'!A$4:L$990,MATCH(A299,'Base de données'!A$4:A$990,0),12),"")</f>
        <v/>
      </c>
      <c r="D299" s="543"/>
      <c r="E299" s="542"/>
      <c r="F299" s="543"/>
      <c r="G299" s="542"/>
      <c r="H299" s="543"/>
      <c r="I299" s="542"/>
      <c r="J299" s="543"/>
      <c r="K299" s="542"/>
      <c r="L299" s="543"/>
      <c r="M299" s="542"/>
    </row>
    <row r="300" spans="1:13" x14ac:dyDescent="0.25">
      <c r="A300" s="540"/>
      <c r="B300" s="152" t="str">
        <f>IF(A300&lt;&gt;"",INDEX('Base de données'!A$4:L$990,MATCH(A300,'Base de données'!A$4:A$990,0),2),"")</f>
        <v/>
      </c>
      <c r="C300" s="154" t="str">
        <f>IF(A300&lt;&gt;"",INDEX('Base de données'!A$4:L$990,MATCH(A300,'Base de données'!A$4:A$990,0),12),"")</f>
        <v/>
      </c>
      <c r="D300" s="543"/>
      <c r="E300" s="542"/>
      <c r="F300" s="543"/>
      <c r="G300" s="542"/>
      <c r="H300" s="543"/>
      <c r="I300" s="542"/>
      <c r="J300" s="543"/>
      <c r="K300" s="542"/>
      <c r="L300" s="543"/>
      <c r="M300" s="542"/>
    </row>
  </sheetData>
  <sheetProtection sheet="1" objects="1" scenarios="1" deleteColumns="0" deleteRows="0" selectLockedCells="1" autoFilter="0"/>
  <autoFilter ref="A9:C300"/>
  <conditionalFormatting sqref="A10:A300">
    <cfRule type="duplicateValues" dxfId="31" priority="20"/>
  </conditionalFormatting>
  <dataValidations count="1">
    <dataValidation type="list" allowBlank="1" showInputMessage="1" sqref="Q8">
      <formula1>"KHAMISSA HDIMANE,DAOUD ISSKELA,RACHID NAAIMI ,FATIMA EZZAHRA JAIZI,NAJAT SAOUD,MOHAMED ESSAID,Med EGHIZ,HALIMA OUIJANE,FATIMA EZZAHRA AIT AHMED,ZINEB ELKHOUDARI,"</formula1>
    </dataValidation>
  </dataValidations>
  <pageMargins left="0.7" right="0.7" top="0.75" bottom="0.75" header="0.3" footer="0.3"/>
  <pageSetup orientation="portrait" r:id="rId1"/>
  <ignoredErrors>
    <ignoredError sqref="E1:E3 F1:F3 G1:H1 H2:H3 J1:J3 L1:L3" formula="1"/>
  </ignoredError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9" operator="greaterThan" id="{29728F57-850F-47D7-A6F9-BAFA710DBB43}">
            <xm:f>'Calendrier fiscal'!$B$26</xm:f>
            <x14:dxf>
              <fill>
                <patternFill>
                  <bgColor rgb="FFFF0000"/>
                </patternFill>
              </fill>
            </x14:dxf>
          </x14:cfRule>
          <xm:sqref>F10:F28 F51:F300</xm:sqref>
        </x14:conditionalFormatting>
        <x14:conditionalFormatting xmlns:xm="http://schemas.microsoft.com/office/excel/2006/main">
          <x14:cfRule type="cellIs" priority="18" operator="greaterThan" id="{B7F94242-B193-4D7C-A316-D2FDBDFC761E}">
            <xm:f>'Calendrier fiscal'!$D$27</xm:f>
            <x14:dxf>
              <fill>
                <patternFill>
                  <bgColor rgb="FFFF0000"/>
                </patternFill>
              </fill>
            </x14:dxf>
          </x14:cfRule>
          <xm:sqref>H10:H28 H41:H47 H50:H300</xm:sqref>
        </x14:conditionalFormatting>
        <x14:conditionalFormatting xmlns:xm="http://schemas.microsoft.com/office/excel/2006/main">
          <x14:cfRule type="cellIs" priority="17" operator="greaterThan" id="{3D5FE50B-E699-4E55-BE40-BFCBA0AC5C96}">
            <xm:f>'Calendrier fiscal'!$D$28</xm:f>
            <x14:dxf>
              <fill>
                <patternFill>
                  <bgColor rgb="FFFF0000"/>
                </patternFill>
              </fill>
            </x14:dxf>
          </x14:cfRule>
          <xm:sqref>J10:J300</xm:sqref>
        </x14:conditionalFormatting>
        <x14:conditionalFormatting xmlns:xm="http://schemas.microsoft.com/office/excel/2006/main">
          <x14:cfRule type="cellIs" priority="16" operator="greaterThan" id="{D3797C03-76AF-4147-AD79-F946A04EF255}">
            <xm:f>'Calendrier fiscal'!$D$29</xm:f>
            <x14:dxf>
              <fill>
                <patternFill>
                  <bgColor rgb="FFFF0000"/>
                </patternFill>
              </fill>
            </x14:dxf>
          </x14:cfRule>
          <xm:sqref>L10:L13 L85:L300</xm:sqref>
        </x14:conditionalFormatting>
        <x14:conditionalFormatting xmlns:xm="http://schemas.microsoft.com/office/excel/2006/main">
          <x14:cfRule type="cellIs" priority="15" operator="greaterThan" id="{373466A1-95C6-4405-B1B3-AA4C7EDE5CEB}">
            <xm:f>'Calendrier fiscal'!$D$30</xm:f>
            <x14:dxf>
              <fill>
                <patternFill>
                  <bgColor rgb="FFFF0000"/>
                </patternFill>
              </fill>
            </x14:dxf>
          </x14:cfRule>
          <xm:sqref>D10:D300</xm:sqref>
        </x14:conditionalFormatting>
        <x14:conditionalFormatting xmlns:xm="http://schemas.microsoft.com/office/excel/2006/main">
          <x14:cfRule type="cellIs" priority="12" operator="greaterThan" id="{883AADF1-C360-42BC-94EF-7BB649FBE2E1}">
            <xm:f>'Calendrier fiscal'!$D$30</xm:f>
            <x14:dxf>
              <fill>
                <patternFill>
                  <bgColor rgb="FFFF0000"/>
                </patternFill>
              </fill>
            </x14:dxf>
          </x14:cfRule>
          <xm:sqref>H34</xm:sqref>
        </x14:conditionalFormatting>
        <x14:conditionalFormatting xmlns:xm="http://schemas.microsoft.com/office/excel/2006/main">
          <x14:cfRule type="cellIs" priority="11" operator="greaterThan" id="{E8F86254-620E-4C36-AB63-1F9A692D24B4}">
            <xm:f>'Calendrier fiscal'!$B$26</xm:f>
            <x14:dxf>
              <fill>
                <patternFill>
                  <bgColor rgb="FFFF0000"/>
                </patternFill>
              </fill>
            </x14:dxf>
          </x14:cfRule>
          <xm:sqref>F29:F33</xm:sqref>
        </x14:conditionalFormatting>
        <x14:conditionalFormatting xmlns:xm="http://schemas.microsoft.com/office/excel/2006/main">
          <x14:cfRule type="cellIs" priority="10" operator="greaterThan" id="{3A44959E-D093-4429-A09D-D02650D65230}">
            <xm:f>'Calendrier fiscal'!$D$27</xm:f>
            <x14:dxf>
              <fill>
                <patternFill>
                  <bgColor rgb="FFFF0000"/>
                </patternFill>
              </fill>
            </x14:dxf>
          </x14:cfRule>
          <xm:sqref>H29:H34</xm:sqref>
        </x14:conditionalFormatting>
        <x14:conditionalFormatting xmlns:xm="http://schemas.microsoft.com/office/excel/2006/main">
          <x14:cfRule type="cellIs" priority="8" operator="greaterThan" id="{189D8D35-AFB4-43EB-ABC6-E488531E0EA4}">
            <xm:f>'Calendrier fiscal'!$D$27</xm:f>
            <x14:dxf>
              <fill>
                <patternFill>
                  <bgColor rgb="FFFF0000"/>
                </patternFill>
              </fill>
            </x14:dxf>
          </x14:cfRule>
          <xm:sqref>H35:H40</xm:sqref>
        </x14:conditionalFormatting>
        <x14:conditionalFormatting xmlns:xm="http://schemas.microsoft.com/office/excel/2006/main">
          <x14:cfRule type="cellIs" priority="7" operator="greaterThan" id="{CDB67157-874E-4175-8BDD-27EA719D7E33}">
            <xm:f>'Calendrier fiscal'!$B$26</xm:f>
            <x14:dxf>
              <fill>
                <patternFill>
                  <bgColor rgb="FFFF0000"/>
                </patternFill>
              </fill>
            </x14:dxf>
          </x14:cfRule>
          <xm:sqref>F34:F36</xm:sqref>
        </x14:conditionalFormatting>
        <x14:conditionalFormatting xmlns:xm="http://schemas.microsoft.com/office/excel/2006/main">
          <x14:cfRule type="cellIs" priority="6" operator="greaterThan" id="{58B08E40-4D72-4B8B-93E1-FBAE60DB3A84}">
            <xm:f>'Calendrier fiscal'!$B$26</xm:f>
            <x14:dxf>
              <fill>
                <patternFill>
                  <bgColor rgb="FFFF0000"/>
                </patternFill>
              </fill>
            </x14:dxf>
          </x14:cfRule>
          <xm:sqref>F37:F50</xm:sqref>
        </x14:conditionalFormatting>
        <x14:conditionalFormatting xmlns:xm="http://schemas.microsoft.com/office/excel/2006/main">
          <x14:cfRule type="cellIs" priority="5" operator="greaterThan" id="{42B1341C-67E7-4F75-AF31-921F1E84AAF5}">
            <xm:f>'Calendrier fiscal'!$D$27</xm:f>
            <x14:dxf>
              <fill>
                <patternFill>
                  <bgColor rgb="FFFF0000"/>
                </patternFill>
              </fill>
            </x14:dxf>
          </x14:cfRule>
          <xm:sqref>H48:H49</xm:sqref>
        </x14:conditionalFormatting>
        <x14:conditionalFormatting xmlns:xm="http://schemas.microsoft.com/office/excel/2006/main">
          <x14:cfRule type="cellIs" priority="4" operator="greaterThan" id="{667CEDD2-3891-4D99-A1BD-BC56E913CDCC}">
            <xm:f>'Calendrier fiscal'!$D$28</xm:f>
            <x14:dxf>
              <fill>
                <patternFill>
                  <bgColor rgb="FFFF0000"/>
                </patternFill>
              </fill>
            </x14:dxf>
          </x14:cfRule>
          <xm:sqref>L19:L77 L83</xm:sqref>
        </x14:conditionalFormatting>
        <x14:conditionalFormatting xmlns:xm="http://schemas.microsoft.com/office/excel/2006/main">
          <x14:cfRule type="cellIs" priority="3" operator="greaterThan" id="{AE130641-71C0-440C-A035-7A938948CB37}">
            <xm:f>'Calendrier fiscal'!$D$29</xm:f>
            <x14:dxf>
              <fill>
                <patternFill>
                  <bgColor rgb="FFFF0000"/>
                </patternFill>
              </fill>
            </x14:dxf>
          </x14:cfRule>
          <xm:sqref>L78:L82</xm:sqref>
        </x14:conditionalFormatting>
        <x14:conditionalFormatting xmlns:xm="http://schemas.microsoft.com/office/excel/2006/main">
          <x14:cfRule type="cellIs" priority="2" operator="greaterThan" id="{0784F358-00DA-49EB-BB76-181BCFD6C090}">
            <xm:f>'Calendrier fiscal'!$D$29</xm:f>
            <x14:dxf>
              <fill>
                <patternFill>
                  <bgColor rgb="FFFF0000"/>
                </patternFill>
              </fill>
            </x14:dxf>
          </x14:cfRule>
          <xm:sqref>L84</xm:sqref>
        </x14:conditionalFormatting>
        <x14:conditionalFormatting xmlns:xm="http://schemas.microsoft.com/office/excel/2006/main">
          <x14:cfRule type="cellIs" priority="1" operator="greaterThan" id="{78B04132-0FB0-4ACD-AA8F-9D378BC30DC5}">
            <xm:f>'Calendrier fiscal'!$D$29</xm:f>
            <x14:dxf>
              <fill>
                <patternFill>
                  <bgColor rgb="FFFF0000"/>
                </patternFill>
              </fill>
            </x14:dxf>
          </x14:cfRule>
          <xm:sqref>L14:L18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>
    <tabColor theme="2" tint="-0.499984740745262"/>
  </sheetPr>
  <dimension ref="A1:N318"/>
  <sheetViews>
    <sheetView showGridLines="0" showRowColHeaders="0" zoomScale="90" zoomScaleNormal="90" workbookViewId="0">
      <pane xSplit="3" ySplit="5" topLeftCell="D6" activePane="bottomRight" state="frozen"/>
      <selection pane="topRight" activeCell="D1" sqref="D1"/>
      <selection pane="bottomLeft" activeCell="A6" sqref="A6"/>
      <selection pane="bottomRight" activeCell="A19" sqref="A19"/>
    </sheetView>
  </sheetViews>
  <sheetFormatPr baseColWidth="10" defaultColWidth="11.42578125" defaultRowHeight="15" x14ac:dyDescent="0.25"/>
  <cols>
    <col min="1" max="1" width="11.42578125" style="55"/>
    <col min="2" max="2" width="24.140625" style="55" bestFit="1" customWidth="1"/>
    <col min="3" max="3" width="26.28515625" style="55" customWidth="1"/>
    <col min="4" max="5" width="19.28515625" style="55" customWidth="1"/>
    <col min="6" max="6" width="19.7109375" style="55" customWidth="1"/>
    <col min="7" max="8" width="7" style="55" customWidth="1"/>
    <col min="9" max="9" width="14.5703125" style="55" customWidth="1"/>
    <col min="10" max="10" width="15.140625" style="55" customWidth="1"/>
    <col min="11" max="11" width="13.85546875" style="55" customWidth="1"/>
    <col min="12" max="16384" width="11.42578125" style="55"/>
  </cols>
  <sheetData>
    <row r="1" spans="1:14" s="147" customFormat="1" ht="21" customHeight="1" x14ac:dyDescent="0.25">
      <c r="F1" s="54">
        <v>70</v>
      </c>
      <c r="G1" s="54">
        <f>COUNTA(D6:D318)</f>
        <v>11</v>
      </c>
    </row>
    <row r="2" spans="1:14" s="147" customFormat="1" ht="20.25" customHeight="1" x14ac:dyDescent="0.25">
      <c r="F2" s="54">
        <v>20</v>
      </c>
      <c r="G2" s="54">
        <f>COUNTIF(D6:D318,"&lt;"&amp;'Calendrier fiscal'!F35)</f>
        <v>11</v>
      </c>
      <c r="H2" s="54">
        <f>COUNTIF(D6:D318,"&lt;"&amp;'Calendrier fiscal'!F35)</f>
        <v>11</v>
      </c>
    </row>
    <row r="3" spans="1:14" s="147" customFormat="1" ht="21.75" customHeight="1" x14ac:dyDescent="0.25">
      <c r="F3" s="54">
        <v>10</v>
      </c>
      <c r="G3" s="72">
        <f>G2/G1</f>
        <v>1</v>
      </c>
      <c r="H3" s="72">
        <f>H2/G1</f>
        <v>1</v>
      </c>
      <c r="I3" s="148"/>
    </row>
    <row r="4" spans="1:14" s="147" customFormat="1" ht="21" customHeight="1" thickBot="1" x14ac:dyDescent="0.3">
      <c r="D4" s="178"/>
      <c r="E4" s="178"/>
      <c r="F4" s="76">
        <f>SUM(F1:F3)</f>
        <v>100</v>
      </c>
      <c r="G4" s="72">
        <f>G3</f>
        <v>1</v>
      </c>
      <c r="H4" s="148"/>
      <c r="I4" s="148"/>
    </row>
    <row r="5" spans="1:14" ht="30.75" thickBot="1" x14ac:dyDescent="0.3">
      <c r="A5" s="176" t="s">
        <v>478</v>
      </c>
      <c r="B5" s="176" t="s">
        <v>479</v>
      </c>
      <c r="C5" s="176" t="s">
        <v>480</v>
      </c>
      <c r="D5" s="176" t="s">
        <v>482</v>
      </c>
      <c r="E5" s="176" t="s">
        <v>483</v>
      </c>
      <c r="F5" s="176" t="s">
        <v>623</v>
      </c>
      <c r="G5" s="72">
        <v>0.02</v>
      </c>
      <c r="H5" s="148"/>
      <c r="I5" s="72"/>
      <c r="J5" s="135" t="s">
        <v>617</v>
      </c>
      <c r="K5" s="134" t="s">
        <v>564</v>
      </c>
    </row>
    <row r="6" spans="1:14" x14ac:dyDescent="0.25">
      <c r="A6" s="544">
        <v>208</v>
      </c>
      <c r="B6" s="177" t="str">
        <f>IF(A6&lt;&gt;"",INDEX('Base de données'!A$4:L$990,MATCH(A6,'Base de données'!A$4:A$990,0),2),"")</f>
        <v xml:space="preserve">TOUFITRA </v>
      </c>
      <c r="C6" s="177" t="str">
        <f>IF(A6&lt;&gt;"",INDEX('Base de données'!A$4:L$990,MATCH(A6,'Base de données'!A$4:A$990,0),12),"")</f>
        <v>NAJAT SAOUD</v>
      </c>
      <c r="D6" s="545">
        <v>43910</v>
      </c>
      <c r="E6" s="545" t="s">
        <v>1253</v>
      </c>
      <c r="F6" s="544">
        <v>3000</v>
      </c>
      <c r="G6" s="72">
        <f>G7-SUM(G4:G5)</f>
        <v>0</v>
      </c>
      <c r="H6" s="148"/>
      <c r="I6" s="72"/>
    </row>
    <row r="7" spans="1:14" x14ac:dyDescent="0.25">
      <c r="A7" s="544">
        <v>292</v>
      </c>
      <c r="B7" s="177" t="str">
        <f>IF(A7&lt;&gt;"",INDEX('Base de données'!A$4:L$990,MATCH(A7,'Base de données'!A$4:A$990,0),2),"")</f>
        <v>ABI LOGISTIC CARS</v>
      </c>
      <c r="C7" s="177" t="str">
        <f>IF(A7&lt;&gt;"",INDEX('Base de données'!A$4:L$990,MATCH(A7,'Base de données'!A$4:A$990,0),12),"")</f>
        <v>NAJAT SAOUD</v>
      </c>
      <c r="D7" s="545">
        <v>43902</v>
      </c>
      <c r="E7" s="545" t="s">
        <v>1254</v>
      </c>
      <c r="F7" s="544">
        <v>3000</v>
      </c>
      <c r="G7" s="72">
        <f>1.02</f>
        <v>1.02</v>
      </c>
      <c r="H7" s="148"/>
      <c r="I7" s="183" t="s">
        <v>605</v>
      </c>
      <c r="J7" s="184" t="s">
        <v>610</v>
      </c>
      <c r="K7" s="183" t="s">
        <v>611</v>
      </c>
      <c r="L7" s="183" t="s">
        <v>609</v>
      </c>
      <c r="M7" s="346" t="s">
        <v>621</v>
      </c>
      <c r="N7" s="183" t="s">
        <v>639</v>
      </c>
    </row>
    <row r="8" spans="1:14" x14ac:dyDescent="0.25">
      <c r="A8" s="544">
        <v>228</v>
      </c>
      <c r="B8" s="177" t="str">
        <f>IF(A8&lt;&gt;"",INDEX('Base de données'!A$4:L$990,MATCH(A8,'Base de données'!A$4:A$990,0),2),"")</f>
        <v xml:space="preserve">MARDESIGN </v>
      </c>
      <c r="C8" s="177" t="str">
        <f>IF(A8&lt;&gt;"",INDEX('Base de données'!A$4:L$990,MATCH(A8,'Base de données'!A$4:A$990,0),12),"")</f>
        <v>FATIMA EZZAHRA JAIZI</v>
      </c>
      <c r="D8" s="545">
        <v>43903</v>
      </c>
      <c r="E8" s="545" t="s">
        <v>1286</v>
      </c>
      <c r="F8" s="544">
        <v>3000</v>
      </c>
      <c r="G8" s="147"/>
      <c r="H8" s="147"/>
      <c r="I8" s="177">
        <f>COUNTIFS(C6:C318,K5,D6:D318,"&lt;&gt;"&amp;"")</f>
        <v>0</v>
      </c>
      <c r="J8" s="177">
        <f>COUNTIFS(C6:C318,K5,D6:D318,"&lt;="&amp;'Calendrier fiscal'!F36)</f>
        <v>0</v>
      </c>
      <c r="K8" s="177">
        <f>COUNTIFS(C6:C318,K5,D6:D318,"&lt;="&amp;'Calendrier fiscal'!F35)</f>
        <v>0</v>
      </c>
      <c r="L8" s="177">
        <f>I8-K8</f>
        <v>0</v>
      </c>
      <c r="M8" s="347" t="str">
        <f>IF(I8=0,"",J8/I8)</f>
        <v/>
      </c>
      <c r="N8" s="182" t="str">
        <f>IF(I8&lt;&gt;0,K8/I8,"")</f>
        <v/>
      </c>
    </row>
    <row r="9" spans="1:14" x14ac:dyDescent="0.25">
      <c r="A9" s="544">
        <v>168</v>
      </c>
      <c r="B9" s="177" t="str">
        <f>IF(A9&lt;&gt;"",INDEX('Base de données'!A$4:L$990,MATCH(A9,'Base de données'!A$4:A$990,0),2),"")</f>
        <v>D,M,A,R GESTION</v>
      </c>
      <c r="C9" s="177" t="str">
        <f>IF(A9&lt;&gt;"",INDEX('Base de données'!A$4:L$990,MATCH(A9,'Base de données'!A$4:A$990,0),12),"")</f>
        <v>FATIMA EZZAHRA JAIZI</v>
      </c>
      <c r="D9" s="545">
        <v>43908</v>
      </c>
      <c r="E9" s="545" t="s">
        <v>1289</v>
      </c>
      <c r="F9" s="544">
        <v>3000</v>
      </c>
      <c r="G9" s="147"/>
      <c r="H9" s="147"/>
      <c r="I9" s="179"/>
      <c r="J9" s="181"/>
      <c r="K9" s="181"/>
      <c r="L9" s="181"/>
      <c r="M9" s="181"/>
      <c r="N9" s="348"/>
    </row>
    <row r="10" spans="1:14" x14ac:dyDescent="0.25">
      <c r="A10" s="544">
        <v>242</v>
      </c>
      <c r="B10" s="177" t="str">
        <f>IF(A10&lt;&gt;"",INDEX('Base de données'!A$4:L$990,MATCH(A10,'Base de données'!A$4:A$990,0),2),"")</f>
        <v>MJSR</v>
      </c>
      <c r="C10" s="177" t="str">
        <f>IF(A10&lt;&gt;"",INDEX('Base de données'!A$4:L$990,MATCH(A10,'Base de données'!A$4:A$990,0),12),"")</f>
        <v>FATIMA EZZAHRA JAIZI</v>
      </c>
      <c r="D10" s="545">
        <v>43909</v>
      </c>
      <c r="E10" s="545" t="s">
        <v>1290</v>
      </c>
      <c r="F10" s="544">
        <v>3000</v>
      </c>
      <c r="I10" s="179"/>
      <c r="J10" s="181"/>
      <c r="K10" s="181"/>
      <c r="L10" s="181"/>
      <c r="M10" s="181"/>
      <c r="N10" s="181"/>
    </row>
    <row r="11" spans="1:14" x14ac:dyDescent="0.25">
      <c r="A11" s="544">
        <v>259</v>
      </c>
      <c r="B11" s="177" t="str">
        <f>IF(A11&lt;&gt;"",INDEX('Base de données'!A$4:L$990,MATCH(A11,'Base de données'!A$4:A$990,0),2),"")</f>
        <v xml:space="preserve">RESSOURE EN EAU SUD </v>
      </c>
      <c r="C11" s="177" t="str">
        <f>IF(A11&lt;&gt;"",INDEX('Base de données'!A$4:L$990,MATCH(A11,'Base de données'!A$4:A$990,0),12),"")</f>
        <v>FATIMA EZZAHRA JAIZI</v>
      </c>
      <c r="D11" s="545">
        <v>43909</v>
      </c>
      <c r="E11" s="544" t="s">
        <v>1291</v>
      </c>
      <c r="F11" s="544">
        <v>3000</v>
      </c>
      <c r="J11" s="181"/>
      <c r="K11" s="181"/>
      <c r="L11" s="181"/>
      <c r="M11" s="181"/>
      <c r="N11" s="181"/>
    </row>
    <row r="12" spans="1:14" x14ac:dyDescent="0.25">
      <c r="A12" s="544">
        <v>6</v>
      </c>
      <c r="B12" s="177" t="str">
        <f>IF(A12&lt;&gt;"",INDEX('Base de données'!A$4:L$990,MATCH(A12,'Base de données'!A$4:A$990,0),2),"")</f>
        <v xml:space="preserve">IBTISSAM CAR </v>
      </c>
      <c r="C12" s="177" t="str">
        <f>IF(A12&lt;&gt;"",INDEX('Base de données'!A$4:L$990,MATCH(A12,'Base de données'!A$4:A$990,0),12),"")</f>
        <v>NAJAT SAOUD</v>
      </c>
      <c r="D12" s="545">
        <v>44011</v>
      </c>
      <c r="E12" s="544" t="s">
        <v>1298</v>
      </c>
      <c r="F12" s="544">
        <v>3000</v>
      </c>
      <c r="J12" s="181"/>
      <c r="K12" s="181"/>
      <c r="L12" s="181"/>
      <c r="M12" s="181"/>
      <c r="N12" s="181"/>
    </row>
    <row r="13" spans="1:14" x14ac:dyDescent="0.25">
      <c r="A13" s="544">
        <v>307</v>
      </c>
      <c r="B13" s="177" t="str">
        <f>IF(A13&lt;&gt;"",INDEX('Base de données'!A$4:L$990,MATCH(A13,'Base de données'!A$4:A$990,0),2),"")</f>
        <v>MOSAB ALI TRANS</v>
      </c>
      <c r="C13" s="177" t="str">
        <f>IF(A13&lt;&gt;"",INDEX('Base de données'!A$4:L$990,MATCH(A13,'Base de données'!A$4:A$990,0),12),"")</f>
        <v>NAJAT SAOUD</v>
      </c>
      <c r="D13" s="545">
        <v>44011</v>
      </c>
      <c r="E13" s="544" t="s">
        <v>1302</v>
      </c>
      <c r="F13" s="544">
        <v>3000</v>
      </c>
      <c r="J13" s="181"/>
      <c r="K13" s="181"/>
      <c r="L13" s="181"/>
      <c r="M13" s="181"/>
      <c r="N13" s="181"/>
    </row>
    <row r="14" spans="1:14" x14ac:dyDescent="0.25">
      <c r="A14" s="544">
        <v>14</v>
      </c>
      <c r="B14" s="177" t="str">
        <f>IF(A14&lt;&gt;"",INDEX('Base de données'!A$4:L$990,MATCH(A14,'Base de données'!A$4:A$990,0),2),"")</f>
        <v>MOUZINE CAR</v>
      </c>
      <c r="C14" s="177" t="str">
        <f>IF(A14&lt;&gt;"",INDEX('Base de données'!A$4:L$990,MATCH(A14,'Base de données'!A$4:A$990,0),12),"")</f>
        <v>NAJAT SAOUD</v>
      </c>
      <c r="D14" s="545"/>
      <c r="E14" s="544"/>
      <c r="F14" s="544"/>
      <c r="J14" s="181"/>
      <c r="K14" s="181"/>
      <c r="L14" s="181"/>
      <c r="M14" s="181"/>
      <c r="N14" s="181"/>
    </row>
    <row r="15" spans="1:14" x14ac:dyDescent="0.25">
      <c r="A15" s="544">
        <v>201</v>
      </c>
      <c r="B15" s="177" t="str">
        <f>IF(A15&lt;&gt;"",INDEX('Base de données'!A$4:L$990,MATCH(A15,'Base de données'!A$4:A$990,0),2),"")</f>
        <v>MEDICALOGIC</v>
      </c>
      <c r="C15" s="177" t="str">
        <f>IF(A15&lt;&gt;"",INDEX('Base de données'!A$4:L$990,MATCH(A15,'Base de données'!A$4:A$990,0),12),"")</f>
        <v>NAJAT SAOUD</v>
      </c>
      <c r="D15" s="545">
        <v>44012</v>
      </c>
      <c r="E15" s="544" t="s">
        <v>1304</v>
      </c>
      <c r="F15" s="544">
        <v>3000</v>
      </c>
    </row>
    <row r="16" spans="1:14" x14ac:dyDescent="0.25">
      <c r="A16" s="544"/>
      <c r="B16" s="177" t="str">
        <f>IF(A16&lt;&gt;"",INDEX('Base de données'!A$4:L$990,MATCH(A16,'Base de données'!A$4:A$990,0),2),"")</f>
        <v/>
      </c>
      <c r="C16" s="177" t="str">
        <f>IF(A16&lt;&gt;"",INDEX('Base de données'!A$4:L$990,MATCH(A16,'Base de données'!A$4:A$990,0),12),"")</f>
        <v/>
      </c>
      <c r="D16" s="545"/>
      <c r="E16"/>
      <c r="F16" s="544"/>
    </row>
    <row r="17" spans="1:6" x14ac:dyDescent="0.25">
      <c r="A17" s="544">
        <v>258</v>
      </c>
      <c r="B17" s="177" t="str">
        <f>IF(A17&lt;&gt;"",INDEX('Base de données'!A$4:L$990,MATCH(A17,'Base de données'!A$4:A$990,0),2),"")</f>
        <v>QUAZAR CONSULTING</v>
      </c>
      <c r="C17" s="177" t="str">
        <f>IF(A17&lt;&gt;"",INDEX('Base de données'!A$4:L$990,MATCH(A17,'Base de données'!A$4:A$990,0),12),"")</f>
        <v>FATIMA EZZAHRA JAIZI</v>
      </c>
      <c r="D17" s="545">
        <v>44012</v>
      </c>
      <c r="E17" s="544" t="s">
        <v>1312</v>
      </c>
      <c r="F17" s="544">
        <v>3000</v>
      </c>
    </row>
    <row r="18" spans="1:6" x14ac:dyDescent="0.25">
      <c r="A18" s="544">
        <v>225</v>
      </c>
      <c r="B18" s="177" t="str">
        <f>IF(A18&lt;&gt;"",INDEX('Base de données'!A$4:L$990,MATCH(A18,'Base de données'!A$4:A$990,0),2),"")</f>
        <v xml:space="preserve">DTA CONCEPTION </v>
      </c>
      <c r="C18" s="177" t="str">
        <f>IF(A18&lt;&gt;"",INDEX('Base de données'!A$4:L$990,MATCH(A18,'Base de données'!A$4:A$990,0),12),"")</f>
        <v>AMINA</v>
      </c>
      <c r="D18" s="545">
        <v>43910</v>
      </c>
      <c r="E18" s="544" t="s">
        <v>1337</v>
      </c>
      <c r="F18" s="544">
        <v>3000</v>
      </c>
    </row>
    <row r="19" spans="1:6" x14ac:dyDescent="0.25">
      <c r="A19" s="544"/>
      <c r="B19" s="177" t="str">
        <f>IF(A19&lt;&gt;"",INDEX('Base de données'!A$4:L$990,MATCH(A19,'Base de données'!A$4:A$990,0),2),"")</f>
        <v/>
      </c>
      <c r="C19" s="177" t="str">
        <f>IF(A19&lt;&gt;"",INDEX('Base de données'!A$4:L$990,MATCH(A19,'Base de données'!A$4:A$990,0),12),"")</f>
        <v/>
      </c>
      <c r="D19" s="545"/>
      <c r="E19" s="544"/>
      <c r="F19" s="544"/>
    </row>
    <row r="20" spans="1:6" x14ac:dyDescent="0.25">
      <c r="A20" s="544"/>
      <c r="B20" s="177" t="str">
        <f>IF(A20&lt;&gt;"",INDEX('Base de données'!A$4:L$990,MATCH(A20,'Base de données'!A$4:A$990,0),2),"")</f>
        <v/>
      </c>
      <c r="C20" s="177" t="str">
        <f>IF(A20&lt;&gt;"",INDEX('Base de données'!A$4:L$990,MATCH(A20,'Base de données'!A$4:A$990,0),12),"")</f>
        <v/>
      </c>
      <c r="D20" s="545"/>
      <c r="E20" s="544"/>
      <c r="F20" s="544"/>
    </row>
    <row r="21" spans="1:6" x14ac:dyDescent="0.25">
      <c r="A21" s="544"/>
      <c r="B21" s="177" t="str">
        <f>IF(A21&lt;&gt;"",INDEX('Base de données'!A$4:L$990,MATCH(A21,'Base de données'!A$4:A$990,0),2),"")</f>
        <v/>
      </c>
      <c r="C21" s="177" t="str">
        <f>IF(A21&lt;&gt;"",INDEX('Base de données'!A$4:L$990,MATCH(A21,'Base de données'!A$4:A$990,0),12),"")</f>
        <v/>
      </c>
      <c r="D21" s="545"/>
      <c r="E21"/>
      <c r="F21" s="544"/>
    </row>
    <row r="22" spans="1:6" x14ac:dyDescent="0.25">
      <c r="A22" s="544"/>
      <c r="B22" s="177" t="str">
        <f>IF(A22&lt;&gt;"",INDEX('Base de données'!A$4:L$990,MATCH(A22,'Base de données'!A$4:A$990,0),2),"")</f>
        <v/>
      </c>
      <c r="C22" s="177"/>
      <c r="D22" s="545"/>
      <c r="E22" s="544"/>
      <c r="F22" s="544"/>
    </row>
    <row r="23" spans="1:6" x14ac:dyDescent="0.25">
      <c r="A23" s="544"/>
      <c r="B23" s="177" t="str">
        <f>IF(A23&lt;&gt;"",INDEX('Base de données'!A$4:L$990,MATCH(A23,'Base de données'!A$4:A$990,0),2),"")</f>
        <v/>
      </c>
      <c r="C23" s="177" t="str">
        <f>IF(A23&lt;&gt;"",INDEX('Base de données'!A$4:L$990,MATCH(A23,'Base de données'!A$4:A$990,0),12),"")</f>
        <v/>
      </c>
      <c r="D23" s="545"/>
      <c r="E23" s="544"/>
      <c r="F23" s="544"/>
    </row>
    <row r="24" spans="1:6" x14ac:dyDescent="0.25">
      <c r="A24" s="544"/>
      <c r="B24" s="177" t="str">
        <f>IF(A24&lt;&gt;"",INDEX('Base de données'!A$4:L$990,MATCH(A24,'Base de données'!A$4:A$990,0),2),"")</f>
        <v/>
      </c>
      <c r="C24" s="177" t="str">
        <f>IF(A24&lt;&gt;"",INDEX('Base de données'!A$4:L$990,MATCH(A24,'Base de données'!A$4:A$990,0),12),"")</f>
        <v/>
      </c>
      <c r="D24" s="545"/>
      <c r="E24" s="544"/>
      <c r="F24" s="544"/>
    </row>
    <row r="25" spans="1:6" x14ac:dyDescent="0.25">
      <c r="A25" s="544"/>
      <c r="B25" s="177" t="str">
        <f>IF(A25&lt;&gt;"",INDEX('Base de données'!A$4:L$990,MATCH(A25,'Base de données'!A$4:A$990,0),2),"")</f>
        <v/>
      </c>
      <c r="C25" s="177" t="str">
        <f>IF(A25&lt;&gt;"",INDEX('Base de données'!A$4:L$990,MATCH(A25,'Base de données'!A$4:A$990,0),12),"")</f>
        <v/>
      </c>
      <c r="D25" s="545"/>
      <c r="E25"/>
      <c r="F25" s="544"/>
    </row>
    <row r="26" spans="1:6" x14ac:dyDescent="0.25">
      <c r="A26" s="544"/>
      <c r="B26" s="177" t="str">
        <f>IF(A26&lt;&gt;"",INDEX('Base de données'!A$4:L$990,MATCH(A26,'Base de données'!A$4:A$990,0),2),"")</f>
        <v/>
      </c>
      <c r="C26" s="177" t="str">
        <f>IF(A26&lt;&gt;"",INDEX('Base de données'!A$4:L$990,MATCH(A26,'Base de données'!A$4:A$990,0),12),"")</f>
        <v/>
      </c>
      <c r="D26" s="545"/>
      <c r="E26" s="544"/>
      <c r="F26" s="544"/>
    </row>
    <row r="27" spans="1:6" x14ac:dyDescent="0.25">
      <c r="A27" s="544"/>
      <c r="B27" s="177" t="str">
        <f>IF(A27&lt;&gt;"",INDEX('Base de données'!A$4:L$990,MATCH(A27,'Base de données'!A$4:A$990,0),2),"")</f>
        <v/>
      </c>
      <c r="C27" s="177" t="str">
        <f>IF(A27&lt;&gt;"",INDEX('Base de données'!A$4:L$990,MATCH(A27,'Base de données'!A$4:A$990,0),12),"")</f>
        <v/>
      </c>
      <c r="D27" s="545"/>
      <c r="E27" s="544"/>
      <c r="F27" s="544"/>
    </row>
    <row r="28" spans="1:6" x14ac:dyDescent="0.25">
      <c r="A28" s="544"/>
      <c r="B28" s="177" t="str">
        <f>IF(A28&lt;&gt;"",INDEX('Base de données'!A$4:L$990,MATCH(A28,'Base de données'!A$4:A$990,0),2),"")</f>
        <v/>
      </c>
      <c r="C28" s="177" t="str">
        <f>IF(A28&lt;&gt;"",INDEX('Base de données'!A$4:L$990,MATCH(A28,'Base de données'!A$4:A$990,0),12),"")</f>
        <v/>
      </c>
      <c r="D28" s="545"/>
      <c r="E28" s="544"/>
      <c r="F28" s="544"/>
    </row>
    <row r="29" spans="1:6" x14ac:dyDescent="0.25">
      <c r="A29" s="544"/>
      <c r="B29" s="177" t="str">
        <f>IF(A29&lt;&gt;"",INDEX('Base de données'!A$4:L$990,MATCH(A29,'Base de données'!A$4:A$990,0),2),"")</f>
        <v/>
      </c>
      <c r="C29" s="177" t="str">
        <f>IF(A29&lt;&gt;"",INDEX('Base de données'!A$4:L$990,MATCH(A29,'Base de données'!A$4:A$990,0),12),"")</f>
        <v/>
      </c>
      <c r="D29" s="545"/>
      <c r="E29"/>
      <c r="F29" s="544"/>
    </row>
    <row r="30" spans="1:6" x14ac:dyDescent="0.25">
      <c r="A30" s="544"/>
      <c r="B30" s="177" t="str">
        <f>IF(A30&lt;&gt;"",INDEX('Base de données'!A$4:L$990,MATCH(A30,'Base de données'!A$4:A$990,0),2),"")</f>
        <v/>
      </c>
      <c r="C30" s="177" t="str">
        <f>IF(A30&lt;&gt;"",INDEX('Base de données'!A$4:L$990,MATCH(A30,'Base de données'!A$4:A$990,0),12),"")</f>
        <v/>
      </c>
      <c r="D30" s="545"/>
      <c r="E30" s="544"/>
      <c r="F30" s="544"/>
    </row>
    <row r="31" spans="1:6" x14ac:dyDescent="0.25">
      <c r="A31" s="544"/>
      <c r="B31" s="177" t="str">
        <f>IF(A31&lt;&gt;"",INDEX('Base de données'!A$4:L$990,MATCH(A31,'Base de données'!A$4:A$990,0),2),"")</f>
        <v/>
      </c>
      <c r="C31" s="177" t="str">
        <f>IF(A31&lt;&gt;"",INDEX('Base de données'!A$4:L$990,MATCH(A31,'Base de données'!A$4:A$990,0),12),"")</f>
        <v/>
      </c>
      <c r="D31" s="545"/>
      <c r="E31" s="544"/>
      <c r="F31" s="544"/>
    </row>
    <row r="32" spans="1:6" x14ac:dyDescent="0.25">
      <c r="A32" s="544"/>
      <c r="B32" s="177" t="str">
        <f>IF(A32&lt;&gt;"",INDEX('Base de données'!A$4:L$990,MATCH(A32,'Base de données'!A$4:A$990,0),2),"")</f>
        <v/>
      </c>
      <c r="C32" s="177" t="str">
        <f>IF(A32&lt;&gt;"",INDEX('Base de données'!A$4:L$990,MATCH(A32,'Base de données'!A$4:A$990,0),12),"")</f>
        <v/>
      </c>
      <c r="D32" s="545"/>
      <c r="E32" s="544"/>
      <c r="F32" s="544"/>
    </row>
    <row r="33" spans="1:6" x14ac:dyDescent="0.25">
      <c r="A33" s="544"/>
      <c r="B33" s="177" t="str">
        <f>IF(A33&lt;&gt;"",INDEX('Base de données'!A$4:L$990,MATCH(A33,'Base de données'!A$4:A$990,0),2),"")</f>
        <v/>
      </c>
      <c r="C33" s="177" t="str">
        <f>IF(A33&lt;&gt;"",INDEX('Base de données'!A$4:L$990,MATCH(A33,'Base de données'!A$4:A$990,0),12),"")</f>
        <v/>
      </c>
      <c r="D33" s="545"/>
      <c r="E33" s="544"/>
      <c r="F33" s="544"/>
    </row>
    <row r="34" spans="1:6" x14ac:dyDescent="0.25">
      <c r="A34" s="544"/>
      <c r="B34" s="177" t="str">
        <f>IF(A34&lt;&gt;"",INDEX('Base de données'!A$4:L$990,MATCH(A34,'Base de données'!A$4:A$990,0),2),"")</f>
        <v/>
      </c>
      <c r="C34" s="177" t="str">
        <f>IF(A34&lt;&gt;"",INDEX('Base de données'!A$4:L$990,MATCH(A34,'Base de données'!A$4:A$990,0),12),"")</f>
        <v/>
      </c>
      <c r="D34" s="545"/>
      <c r="E34" s="544"/>
      <c r="F34" s="544"/>
    </row>
    <row r="35" spans="1:6" x14ac:dyDescent="0.25">
      <c r="A35" s="544"/>
      <c r="B35" s="177" t="str">
        <f>IF(A35&lt;&gt;"",INDEX('Base de données'!A$4:L$990,MATCH(A35,'Base de données'!A$4:A$990,0),2),"")</f>
        <v/>
      </c>
      <c r="C35" s="177" t="str">
        <f>IF(A35&lt;&gt;"",INDEX('Base de données'!A$4:L$990,MATCH(A35,'Base de données'!A$4:A$990,0),12),"")</f>
        <v/>
      </c>
      <c r="D35" s="545"/>
      <c r="E35" s="544"/>
      <c r="F35" s="544"/>
    </row>
    <row r="36" spans="1:6" x14ac:dyDescent="0.25">
      <c r="A36" s="544"/>
      <c r="B36" s="177" t="str">
        <f>IF(A36&lt;&gt;"",INDEX('Base de données'!A$4:L$990,MATCH(A36,'Base de données'!A$4:A$990,0),2),"")</f>
        <v/>
      </c>
      <c r="C36" s="177" t="str">
        <f>IF(A36&lt;&gt;"",INDEX('Base de données'!A$4:L$990,MATCH(A36,'Base de données'!A$4:A$990,0),12),"")</f>
        <v/>
      </c>
      <c r="D36" s="545"/>
      <c r="E36" s="544"/>
      <c r="F36" s="544"/>
    </row>
    <row r="37" spans="1:6" x14ac:dyDescent="0.25">
      <c r="A37" s="544"/>
      <c r="B37" s="177" t="str">
        <f>IF(A37&lt;&gt;"",INDEX('Base de données'!A$4:L$990,MATCH(A37,'Base de données'!A$4:A$990,0),2),"")</f>
        <v/>
      </c>
      <c r="C37" s="177" t="str">
        <f>IF(A37&lt;&gt;"",INDEX('Base de données'!A$4:L$990,MATCH(A37,'Base de données'!A$4:A$990,0),12),"")</f>
        <v/>
      </c>
      <c r="D37" s="545"/>
      <c r="E37" s="544"/>
      <c r="F37" s="544"/>
    </row>
    <row r="38" spans="1:6" x14ac:dyDescent="0.25">
      <c r="A38" s="544"/>
      <c r="B38" s="177" t="str">
        <f>IF(A38&lt;&gt;"",INDEX('Base de données'!A$4:L$990,MATCH(A38,'Base de données'!A$4:A$990,0),2),"")</f>
        <v/>
      </c>
      <c r="C38" s="177" t="str">
        <f>IF(A38&lt;&gt;"",INDEX('Base de données'!A$4:L$990,MATCH(A38,'Base de données'!A$4:A$990,0),12),"")</f>
        <v/>
      </c>
      <c r="D38" s="545"/>
      <c r="E38" s="544"/>
      <c r="F38" s="544"/>
    </row>
    <row r="39" spans="1:6" x14ac:dyDescent="0.25">
      <c r="A39" s="544"/>
      <c r="B39" s="177" t="str">
        <f>IF(A39&lt;&gt;"",INDEX('Base de données'!A$4:L$990,MATCH(A39,'Base de données'!A$4:A$990,0),2),"")</f>
        <v/>
      </c>
      <c r="C39" s="177" t="str">
        <f>IF(A39&lt;&gt;"",INDEX('Base de données'!A$4:L$990,MATCH(A39,'Base de données'!A$4:A$990,0),12),"")</f>
        <v/>
      </c>
      <c r="D39" s="545"/>
      <c r="E39" s="544"/>
      <c r="F39" s="544"/>
    </row>
    <row r="40" spans="1:6" x14ac:dyDescent="0.25">
      <c r="A40" s="544"/>
      <c r="B40" s="177" t="str">
        <f>IF(A40&lt;&gt;"",INDEX('Base de données'!A$4:L$990,MATCH(A40,'Base de données'!A$4:A$990,0),2),"")</f>
        <v/>
      </c>
      <c r="C40" s="177" t="str">
        <f>IF(A40&lt;&gt;"",INDEX('Base de données'!A$4:L$990,MATCH(A40,'Base de données'!A$4:A$990,0),12),"")</f>
        <v/>
      </c>
      <c r="D40" s="544"/>
      <c r="E40" s="544"/>
      <c r="F40" s="544"/>
    </row>
    <row r="41" spans="1:6" x14ac:dyDescent="0.25">
      <c r="A41" s="544"/>
      <c r="B41" s="177" t="str">
        <f>IF(A41&lt;&gt;"",INDEX('Base de données'!A$4:L$990,MATCH(A41,'Base de données'!A$4:A$990,0),2),"")</f>
        <v/>
      </c>
      <c r="C41" s="177" t="str">
        <f>IF(A41&lt;&gt;"",INDEX('Base de données'!A$4:L$990,MATCH(A41,'Base de données'!A$4:A$990,0),12),"")</f>
        <v/>
      </c>
      <c r="D41" s="544"/>
      <c r="E41" s="544"/>
      <c r="F41" s="544"/>
    </row>
    <row r="42" spans="1:6" x14ac:dyDescent="0.25">
      <c r="A42" s="544"/>
      <c r="B42" s="177" t="str">
        <f>IF(A42&lt;&gt;"",INDEX('Base de données'!A$4:L$990,MATCH(A42,'Base de données'!A$4:A$990,0),2),"")</f>
        <v/>
      </c>
      <c r="C42" s="177" t="str">
        <f>IF(A42&lt;&gt;"",INDEX('Base de données'!A$4:L$990,MATCH(A42,'Base de données'!A$4:A$990,0),12),"")</f>
        <v/>
      </c>
      <c r="D42" s="544"/>
      <c r="E42" s="544"/>
      <c r="F42" s="544"/>
    </row>
    <row r="43" spans="1:6" x14ac:dyDescent="0.25">
      <c r="A43" s="544"/>
      <c r="B43" s="177" t="str">
        <f>IF(A43&lt;&gt;"",INDEX('Base de données'!A$4:L$990,MATCH(A43,'Base de données'!A$4:A$990,0),2),"")</f>
        <v/>
      </c>
      <c r="C43" s="177" t="str">
        <f>IF(A43&lt;&gt;"",INDEX('Base de données'!A$4:L$990,MATCH(A43,'Base de données'!A$4:A$990,0),12),"")</f>
        <v/>
      </c>
      <c r="D43" s="544"/>
      <c r="E43" s="544"/>
      <c r="F43" s="544"/>
    </row>
    <row r="44" spans="1:6" x14ac:dyDescent="0.25">
      <c r="A44" s="544"/>
      <c r="B44" s="177" t="str">
        <f>IF(A44&lt;&gt;"",INDEX('Base de données'!A$4:L$990,MATCH(A44,'Base de données'!A$4:A$990,0),2),"")</f>
        <v/>
      </c>
      <c r="C44" s="177" t="str">
        <f>IF(A44&lt;&gt;"",INDEX('Base de données'!A$4:L$990,MATCH(A44,'Base de données'!A$4:A$990,0),12),"")</f>
        <v/>
      </c>
      <c r="D44" s="544"/>
      <c r="E44" s="544"/>
      <c r="F44" s="544"/>
    </row>
    <row r="45" spans="1:6" x14ac:dyDescent="0.25">
      <c r="A45" s="544"/>
      <c r="B45" s="177" t="str">
        <f>IF(A45&lt;&gt;"",INDEX('Base de données'!A$4:L$990,MATCH(A45,'Base de données'!A$4:A$990,0),2),"")</f>
        <v/>
      </c>
      <c r="C45" s="177" t="str">
        <f>IF(A45&lt;&gt;"",INDEX('Base de données'!A$4:L$990,MATCH(A45,'Base de données'!A$4:A$990,0),12),"")</f>
        <v/>
      </c>
      <c r="D45" s="544"/>
      <c r="E45" s="544"/>
      <c r="F45" s="544"/>
    </row>
    <row r="46" spans="1:6" x14ac:dyDescent="0.25">
      <c r="A46" s="544"/>
      <c r="B46" s="177" t="str">
        <f>IF(A46&lt;&gt;"",INDEX('Base de données'!A$4:L$990,MATCH(A46,'Base de données'!A$4:A$990,0),2),"")</f>
        <v/>
      </c>
      <c r="C46" s="177" t="str">
        <f>IF(A46&lt;&gt;"",INDEX('Base de données'!A$4:L$990,MATCH(A46,'Base de données'!A$4:A$990,0),12),"")</f>
        <v/>
      </c>
      <c r="D46" s="544"/>
      <c r="E46" s="544"/>
      <c r="F46" s="544"/>
    </row>
    <row r="47" spans="1:6" x14ac:dyDescent="0.25">
      <c r="A47" s="544"/>
      <c r="B47" s="177" t="str">
        <f>IF(A47&lt;&gt;"",INDEX('Base de données'!A$4:L$990,MATCH(A47,'Base de données'!A$4:A$990,0),2),"")</f>
        <v/>
      </c>
      <c r="C47" s="177" t="str">
        <f>IF(A47&lt;&gt;"",INDEX('Base de données'!A$4:L$990,MATCH(A47,'Base de données'!A$4:A$990,0),12),"")</f>
        <v/>
      </c>
      <c r="D47" s="544"/>
      <c r="E47" s="544"/>
      <c r="F47" s="544"/>
    </row>
    <row r="48" spans="1:6" x14ac:dyDescent="0.25">
      <c r="A48" s="544"/>
      <c r="B48" s="177" t="str">
        <f>IF(A48&lt;&gt;"",INDEX('Base de données'!A$4:L$990,MATCH(A48,'Base de données'!A$4:A$990,0),2),"")</f>
        <v/>
      </c>
      <c r="C48" s="177" t="str">
        <f>IF(A48&lt;&gt;"",INDEX('Base de données'!A$4:L$990,MATCH(A48,'Base de données'!A$4:A$990,0),12),"")</f>
        <v/>
      </c>
      <c r="D48" s="544"/>
      <c r="E48" s="544"/>
      <c r="F48" s="544"/>
    </row>
    <row r="49" spans="1:6" x14ac:dyDescent="0.25">
      <c r="A49" s="544"/>
      <c r="B49" s="177" t="str">
        <f>IF(A49&lt;&gt;"",INDEX('Base de données'!A$4:L$990,MATCH(A49,'Base de données'!A$4:A$990,0),2),"")</f>
        <v/>
      </c>
      <c r="C49" s="177" t="str">
        <f>IF(A49&lt;&gt;"",INDEX('Base de données'!A$4:L$990,MATCH(A49,'Base de données'!A$4:A$990,0),12),"")</f>
        <v/>
      </c>
      <c r="D49" s="544"/>
      <c r="E49" s="544"/>
      <c r="F49" s="544"/>
    </row>
    <row r="50" spans="1:6" x14ac:dyDescent="0.25">
      <c r="A50" s="544"/>
      <c r="B50" s="177" t="str">
        <f>IF(A50&lt;&gt;"",INDEX('Base de données'!A$4:L$990,MATCH(A50,'Base de données'!A$4:A$990,0),2),"")</f>
        <v/>
      </c>
      <c r="C50" s="177" t="str">
        <f>IF(A50&lt;&gt;"",INDEX('Base de données'!A$4:L$990,MATCH(A50,'Base de données'!A$4:A$990,0),12),"")</f>
        <v/>
      </c>
      <c r="D50" s="544"/>
      <c r="E50" s="544"/>
      <c r="F50" s="544"/>
    </row>
    <row r="51" spans="1:6" x14ac:dyDescent="0.25">
      <c r="A51" s="544"/>
      <c r="B51" s="177" t="str">
        <f>IF(A51&lt;&gt;"",INDEX('Base de données'!A$4:L$990,MATCH(A51,'Base de données'!A$4:A$990,0),2),"")</f>
        <v/>
      </c>
      <c r="C51" s="177" t="str">
        <f>IF(A51&lt;&gt;"",INDEX('Base de données'!A$4:L$990,MATCH(A51,'Base de données'!A$4:A$990,0),12),"")</f>
        <v/>
      </c>
      <c r="D51" s="544"/>
      <c r="E51" s="544"/>
      <c r="F51" s="544"/>
    </row>
    <row r="52" spans="1:6" x14ac:dyDescent="0.25">
      <c r="A52" s="544"/>
      <c r="B52" s="177" t="str">
        <f>IF(A52&lt;&gt;"",INDEX('Base de données'!A$4:L$990,MATCH(A52,'Base de données'!A$4:A$990,0),2),"")</f>
        <v/>
      </c>
      <c r="C52" s="177" t="str">
        <f>IF(A52&lt;&gt;"",INDEX('Base de données'!A$4:L$990,MATCH(A52,'Base de données'!A$4:A$990,0),12),"")</f>
        <v/>
      </c>
      <c r="D52" s="544"/>
      <c r="E52" s="544"/>
      <c r="F52" s="544"/>
    </row>
    <row r="53" spans="1:6" x14ac:dyDescent="0.25">
      <c r="A53" s="544"/>
      <c r="B53" s="177" t="str">
        <f>IF(A53&lt;&gt;"",INDEX('Base de données'!A$4:L$990,MATCH(A53,'Base de données'!A$4:A$990,0),2),"")</f>
        <v/>
      </c>
      <c r="C53" s="177" t="str">
        <f>IF(A53&lt;&gt;"",INDEX('Base de données'!A$4:L$990,MATCH(A53,'Base de données'!A$4:A$990,0),12),"")</f>
        <v/>
      </c>
      <c r="D53" s="544"/>
      <c r="E53" s="544"/>
      <c r="F53" s="544"/>
    </row>
    <row r="54" spans="1:6" x14ac:dyDescent="0.25">
      <c r="A54" s="544"/>
      <c r="B54" s="177" t="str">
        <f>IF(A54&lt;&gt;"",INDEX('Base de données'!A$4:L$990,MATCH(A54,'Base de données'!A$4:A$990,0),2),"")</f>
        <v/>
      </c>
      <c r="C54" s="177" t="str">
        <f>IF(A54&lt;&gt;"",INDEX('Base de données'!A$4:L$990,MATCH(A54,'Base de données'!A$4:A$990,0),12),"")</f>
        <v/>
      </c>
      <c r="D54" s="544"/>
      <c r="E54" s="544"/>
      <c r="F54" s="544"/>
    </row>
    <row r="55" spans="1:6" x14ac:dyDescent="0.25">
      <c r="A55" s="544"/>
      <c r="B55" s="177" t="str">
        <f>IF(A55&lt;&gt;"",INDEX('Base de données'!A$4:L$990,MATCH(A55,'Base de données'!A$4:A$990,0),2),"")</f>
        <v/>
      </c>
      <c r="C55" s="177" t="str">
        <f>IF(A55&lt;&gt;"",INDEX('Base de données'!A$4:L$990,MATCH(A55,'Base de données'!A$4:A$990,0),12),"")</f>
        <v/>
      </c>
      <c r="D55" s="544"/>
      <c r="E55" s="544"/>
      <c r="F55" s="544"/>
    </row>
    <row r="56" spans="1:6" x14ac:dyDescent="0.25">
      <c r="A56" s="544"/>
      <c r="B56" s="177" t="str">
        <f>IF(A56&lt;&gt;"",INDEX('Base de données'!A$4:L$990,MATCH(A56,'Base de données'!A$4:A$990,0),2),"")</f>
        <v/>
      </c>
      <c r="C56" s="177" t="str">
        <f>IF(A56&lt;&gt;"",INDEX('Base de données'!A$4:L$990,MATCH(A56,'Base de données'!A$4:A$990,0),12),"")</f>
        <v/>
      </c>
      <c r="D56" s="544"/>
      <c r="E56" s="544"/>
      <c r="F56" s="544"/>
    </row>
    <row r="57" spans="1:6" x14ac:dyDescent="0.25">
      <c r="A57" s="544"/>
      <c r="B57" s="177" t="str">
        <f>IF(A57&lt;&gt;"",INDEX('Base de données'!A$4:L$990,MATCH(A57,'Base de données'!A$4:A$990,0),2),"")</f>
        <v/>
      </c>
      <c r="C57" s="177" t="str">
        <f>IF(A57&lt;&gt;"",INDEX('Base de données'!A$4:L$990,MATCH(A57,'Base de données'!A$4:A$990,0),12),"")</f>
        <v/>
      </c>
      <c r="D57" s="544"/>
      <c r="E57" s="544"/>
      <c r="F57" s="544"/>
    </row>
    <row r="58" spans="1:6" x14ac:dyDescent="0.25">
      <c r="A58" s="544"/>
      <c r="B58" s="177" t="str">
        <f>IF(A58&lt;&gt;"",INDEX('Base de données'!A$4:L$990,MATCH(A58,'Base de données'!A$4:A$990,0),2),"")</f>
        <v/>
      </c>
      <c r="C58" s="177" t="str">
        <f>IF(A58&lt;&gt;"",INDEX('Base de données'!A$4:L$990,MATCH(A58,'Base de données'!A$4:A$990,0),12),"")</f>
        <v/>
      </c>
      <c r="D58" s="544"/>
      <c r="E58" s="544"/>
      <c r="F58" s="544"/>
    </row>
    <row r="59" spans="1:6" x14ac:dyDescent="0.25">
      <c r="A59" s="544"/>
      <c r="B59" s="177" t="str">
        <f>IF(A59&lt;&gt;"",INDEX('Base de données'!A$4:L$990,MATCH(A59,'Base de données'!A$4:A$990,0),2),"")</f>
        <v/>
      </c>
      <c r="C59" s="177" t="str">
        <f>IF(A59&lt;&gt;"",INDEX('Base de données'!A$4:L$990,MATCH(A59,'Base de données'!A$4:A$990,0),12),"")</f>
        <v/>
      </c>
      <c r="D59" s="544"/>
      <c r="E59" s="544"/>
      <c r="F59" s="544"/>
    </row>
    <row r="60" spans="1:6" x14ac:dyDescent="0.25">
      <c r="A60" s="544"/>
      <c r="B60" s="177" t="str">
        <f>IF(A60&lt;&gt;"",INDEX('Base de données'!A$4:L$990,MATCH(A60,'Base de données'!A$4:A$990,0),2),"")</f>
        <v/>
      </c>
      <c r="C60" s="177" t="str">
        <f>IF(A60&lt;&gt;"",INDEX('Base de données'!A$4:L$990,MATCH(A60,'Base de données'!A$4:A$990,0),12),"")</f>
        <v/>
      </c>
      <c r="D60" s="544"/>
      <c r="E60" s="544"/>
      <c r="F60" s="544"/>
    </row>
    <row r="61" spans="1:6" x14ac:dyDescent="0.25">
      <c r="A61" s="544"/>
      <c r="B61" s="177" t="str">
        <f>IF(A61&lt;&gt;"",INDEX('Base de données'!A$4:L$990,MATCH(A61,'Base de données'!A$4:A$990,0),2),"")</f>
        <v/>
      </c>
      <c r="C61" s="177" t="str">
        <f>IF(A61&lt;&gt;"",INDEX('Base de données'!A$4:L$990,MATCH(A61,'Base de données'!A$4:A$990,0),12),"")</f>
        <v/>
      </c>
      <c r="D61" s="544"/>
      <c r="E61" s="544"/>
      <c r="F61" s="544"/>
    </row>
    <row r="62" spans="1:6" x14ac:dyDescent="0.25">
      <c r="A62" s="544"/>
      <c r="B62" s="177" t="str">
        <f>IF(A62&lt;&gt;"",INDEX('Base de données'!A$4:L$990,MATCH(A62,'Base de données'!A$4:A$990,0),2),"")</f>
        <v/>
      </c>
      <c r="C62" s="177" t="str">
        <f>IF(A62&lt;&gt;"",INDEX('Base de données'!A$4:L$990,MATCH(A62,'Base de données'!A$4:A$990,0),12),"")</f>
        <v/>
      </c>
      <c r="D62" s="544"/>
      <c r="E62" s="544"/>
      <c r="F62" s="544"/>
    </row>
    <row r="63" spans="1:6" x14ac:dyDescent="0.25">
      <c r="A63" s="544"/>
      <c r="B63" s="177" t="str">
        <f>IF(A63&lt;&gt;"",INDEX('Base de données'!A$4:L$990,MATCH(A63,'Base de données'!A$4:A$990,0),2),"")</f>
        <v/>
      </c>
      <c r="C63" s="177" t="str">
        <f>IF(A63&lt;&gt;"",INDEX('Base de données'!A$4:L$990,MATCH(A63,'Base de données'!A$4:A$990,0),12),"")</f>
        <v/>
      </c>
      <c r="D63" s="544"/>
      <c r="E63" s="544"/>
      <c r="F63" s="544"/>
    </row>
    <row r="64" spans="1:6" x14ac:dyDescent="0.25">
      <c r="A64" s="544"/>
      <c r="B64" s="177" t="str">
        <f>IF(A64&lt;&gt;"",INDEX('Base de données'!A$4:L$990,MATCH(A64,'Base de données'!A$4:A$990,0),2),"")</f>
        <v/>
      </c>
      <c r="C64" s="177" t="str">
        <f>IF(A64&lt;&gt;"",INDEX('Base de données'!A$4:L$990,MATCH(A64,'Base de données'!A$4:A$990,0),12),"")</f>
        <v/>
      </c>
      <c r="D64" s="544"/>
      <c r="E64" s="544"/>
      <c r="F64" s="544"/>
    </row>
    <row r="65" spans="1:6" x14ac:dyDescent="0.25">
      <c r="A65" s="544"/>
      <c r="B65" s="177" t="str">
        <f>IF(A65&lt;&gt;"",INDEX('Base de données'!A$4:L$990,MATCH(A65,'Base de données'!A$4:A$990,0),2),"")</f>
        <v/>
      </c>
      <c r="C65" s="177" t="str">
        <f>IF(A65&lt;&gt;"",INDEX('Base de données'!A$4:L$990,MATCH(A65,'Base de données'!A$4:A$990,0),12),"")</f>
        <v/>
      </c>
      <c r="D65" s="544"/>
      <c r="E65" s="544"/>
      <c r="F65" s="544"/>
    </row>
    <row r="66" spans="1:6" x14ac:dyDescent="0.25">
      <c r="A66" s="544"/>
      <c r="B66" s="177" t="str">
        <f>IF(A66&lt;&gt;"",INDEX('Base de données'!A$4:L$990,MATCH(A66,'Base de données'!A$4:A$990,0),2),"")</f>
        <v/>
      </c>
      <c r="C66" s="177" t="str">
        <f>IF(A66&lt;&gt;"",INDEX('Base de données'!A$4:L$990,MATCH(A66,'Base de données'!A$4:A$990,0),12),"")</f>
        <v/>
      </c>
      <c r="D66" s="544"/>
      <c r="E66" s="544"/>
      <c r="F66" s="544"/>
    </row>
    <row r="67" spans="1:6" x14ac:dyDescent="0.25">
      <c r="A67" s="544"/>
      <c r="B67" s="177" t="str">
        <f>IF(A67&lt;&gt;"",INDEX('Base de données'!A$4:L$990,MATCH(A67,'Base de données'!A$4:A$990,0),2),"")</f>
        <v/>
      </c>
      <c r="C67" s="177" t="str">
        <f>IF(A67&lt;&gt;"",INDEX('Base de données'!A$4:L$990,MATCH(A67,'Base de données'!A$4:A$990,0),12),"")</f>
        <v/>
      </c>
      <c r="D67" s="544"/>
      <c r="E67" s="544"/>
      <c r="F67" s="544"/>
    </row>
    <row r="68" spans="1:6" x14ac:dyDescent="0.25">
      <c r="A68" s="544"/>
      <c r="B68" s="177" t="str">
        <f>IF(A68&lt;&gt;"",INDEX('Base de données'!A$4:L$990,MATCH(A68,'Base de données'!A$4:A$990,0),2),"")</f>
        <v/>
      </c>
      <c r="C68" s="177" t="str">
        <f>IF(A68&lt;&gt;"",INDEX('Base de données'!A$4:L$990,MATCH(A68,'Base de données'!A$4:A$990,0),12),"")</f>
        <v/>
      </c>
      <c r="D68" s="544"/>
      <c r="E68" s="544"/>
      <c r="F68" s="544"/>
    </row>
    <row r="69" spans="1:6" x14ac:dyDescent="0.25">
      <c r="A69" s="544"/>
      <c r="B69" s="177" t="str">
        <f>IF(A69&lt;&gt;"",INDEX('Base de données'!A$4:L$990,MATCH(A69,'Base de données'!A$4:A$990,0),2),"")</f>
        <v/>
      </c>
      <c r="C69" s="177" t="str">
        <f>IF(A69&lt;&gt;"",INDEX('Base de données'!A$4:L$990,MATCH(A69,'Base de données'!A$4:A$990,0),12),"")</f>
        <v/>
      </c>
      <c r="D69" s="544"/>
      <c r="E69" s="544"/>
      <c r="F69" s="544"/>
    </row>
    <row r="70" spans="1:6" x14ac:dyDescent="0.25">
      <c r="A70" s="544"/>
      <c r="B70" s="177" t="str">
        <f>IF(A70&lt;&gt;"",INDEX('Base de données'!A$4:L$990,MATCH(A70,'Base de données'!A$4:A$990,0),2),"")</f>
        <v/>
      </c>
      <c r="C70" s="177" t="str">
        <f>IF(A70&lt;&gt;"",INDEX('Base de données'!A$4:L$990,MATCH(A70,'Base de données'!A$4:A$990,0),12),"")</f>
        <v/>
      </c>
      <c r="D70" s="544"/>
      <c r="E70" s="544"/>
      <c r="F70" s="544"/>
    </row>
    <row r="71" spans="1:6" x14ac:dyDescent="0.25">
      <c r="A71" s="544"/>
      <c r="B71" s="177" t="str">
        <f>IF(A71&lt;&gt;"",INDEX('Base de données'!A$4:L$990,MATCH(A71,'Base de données'!A$4:A$990,0),2),"")</f>
        <v/>
      </c>
      <c r="C71" s="177" t="str">
        <f>IF(A71&lt;&gt;"",INDEX('Base de données'!A$4:L$990,MATCH(A71,'Base de données'!A$4:A$990,0),12),"")</f>
        <v/>
      </c>
      <c r="D71" s="544"/>
      <c r="E71" s="544"/>
      <c r="F71" s="544"/>
    </row>
    <row r="72" spans="1:6" x14ac:dyDescent="0.25">
      <c r="A72" s="544"/>
      <c r="B72" s="177" t="str">
        <f>IF(A72&lt;&gt;"",INDEX('Base de données'!A$4:L$990,MATCH(A72,'Base de données'!A$4:A$990,0),2),"")</f>
        <v/>
      </c>
      <c r="C72" s="177" t="str">
        <f>IF(A72&lt;&gt;"",INDEX('Base de données'!A$4:L$990,MATCH(A72,'Base de données'!A$4:A$990,0),12),"")</f>
        <v/>
      </c>
      <c r="D72" s="544"/>
      <c r="E72" s="544"/>
      <c r="F72" s="544"/>
    </row>
    <row r="73" spans="1:6" x14ac:dyDescent="0.25">
      <c r="A73" s="544"/>
      <c r="B73" s="177" t="str">
        <f>IF(A73&lt;&gt;"",INDEX('Base de données'!A$4:L$990,MATCH(A73,'Base de données'!A$4:A$990,0),2),"")</f>
        <v/>
      </c>
      <c r="C73" s="177" t="str">
        <f>IF(A73&lt;&gt;"",INDEX('Base de données'!A$4:L$990,MATCH(A73,'Base de données'!A$4:A$990,0),12),"")</f>
        <v/>
      </c>
      <c r="D73" s="544"/>
      <c r="E73" s="544"/>
      <c r="F73" s="544"/>
    </row>
    <row r="74" spans="1:6" x14ac:dyDescent="0.25">
      <c r="A74" s="544"/>
      <c r="B74" s="177" t="str">
        <f>IF(A74&lt;&gt;"",INDEX('Base de données'!A$4:L$990,MATCH(A74,'Base de données'!A$4:A$990,0),2),"")</f>
        <v/>
      </c>
      <c r="C74" s="177" t="str">
        <f>IF(A74&lt;&gt;"",INDEX('Base de données'!A$4:L$990,MATCH(A74,'Base de données'!A$4:A$990,0),12),"")</f>
        <v/>
      </c>
      <c r="D74" s="544"/>
      <c r="E74" s="544"/>
      <c r="F74" s="544"/>
    </row>
    <row r="75" spans="1:6" x14ac:dyDescent="0.25">
      <c r="A75" s="544"/>
      <c r="B75" s="177" t="str">
        <f>IF(A75&lt;&gt;"",INDEX('Base de données'!A$4:L$990,MATCH(A75,'Base de données'!A$4:A$990,0),2),"")</f>
        <v/>
      </c>
      <c r="C75" s="177" t="str">
        <f>IF(A75&lt;&gt;"",INDEX('Base de données'!A$4:L$990,MATCH(A75,'Base de données'!A$4:A$990,0),12),"")</f>
        <v/>
      </c>
      <c r="D75" s="544"/>
      <c r="E75" s="544"/>
      <c r="F75" s="544"/>
    </row>
    <row r="76" spans="1:6" x14ac:dyDescent="0.25">
      <c r="A76" s="544"/>
      <c r="B76" s="177" t="str">
        <f>IF(A76&lt;&gt;"",INDEX('Base de données'!A$4:L$990,MATCH(A76,'Base de données'!A$4:A$990,0),2),"")</f>
        <v/>
      </c>
      <c r="C76" s="177" t="str">
        <f>IF(A76&lt;&gt;"",INDEX('Base de données'!A$4:L$990,MATCH(A76,'Base de données'!A$4:A$990,0),12),"")</f>
        <v/>
      </c>
      <c r="D76" s="544"/>
      <c r="E76" s="544"/>
      <c r="F76" s="544"/>
    </row>
    <row r="77" spans="1:6" x14ac:dyDescent="0.25">
      <c r="A77" s="544"/>
      <c r="B77" s="177" t="str">
        <f>IF(A77&lt;&gt;"",INDEX('Base de données'!A$4:L$990,MATCH(A77,'Base de données'!A$4:A$990,0),2),"")</f>
        <v/>
      </c>
      <c r="C77" s="177" t="str">
        <f>IF(A77&lt;&gt;"",INDEX('Base de données'!A$4:L$990,MATCH(A77,'Base de données'!A$4:A$990,0),12),"")</f>
        <v/>
      </c>
      <c r="D77" s="544"/>
      <c r="E77" s="544"/>
      <c r="F77" s="544"/>
    </row>
    <row r="78" spans="1:6" x14ac:dyDescent="0.25">
      <c r="A78" s="544"/>
      <c r="B78" s="177" t="str">
        <f>IF(A78&lt;&gt;"",INDEX('Base de données'!A$4:L$990,MATCH(A78,'Base de données'!A$4:A$990,0),2),"")</f>
        <v/>
      </c>
      <c r="C78" s="177" t="str">
        <f>IF(A78&lt;&gt;"",INDEX('Base de données'!A$4:L$990,MATCH(A78,'Base de données'!A$4:A$990,0),12),"")</f>
        <v/>
      </c>
      <c r="D78" s="544"/>
      <c r="E78" s="544"/>
      <c r="F78" s="544"/>
    </row>
    <row r="79" spans="1:6" x14ac:dyDescent="0.25">
      <c r="A79" s="544"/>
      <c r="B79" s="177" t="str">
        <f>IF(A79&lt;&gt;"",INDEX('Base de données'!A$4:L$990,MATCH(A79,'Base de données'!A$4:A$990,0),2),"")</f>
        <v/>
      </c>
      <c r="C79" s="177" t="str">
        <f>IF(A79&lt;&gt;"",INDEX('Base de données'!A$4:L$990,MATCH(A79,'Base de données'!A$4:A$990,0),12),"")</f>
        <v/>
      </c>
      <c r="D79" s="544"/>
      <c r="E79" s="544"/>
      <c r="F79" s="544"/>
    </row>
    <row r="80" spans="1:6" x14ac:dyDescent="0.25">
      <c r="A80" s="544"/>
      <c r="B80" s="177" t="str">
        <f>IF(A80&lt;&gt;"",INDEX('Base de données'!A$4:L$990,MATCH(A80,'Base de données'!A$4:A$990,0),2),"")</f>
        <v/>
      </c>
      <c r="C80" s="177" t="str">
        <f>IF(A80&lt;&gt;"",INDEX('Base de données'!A$4:L$990,MATCH(A80,'Base de données'!A$4:A$990,0),12),"")</f>
        <v/>
      </c>
      <c r="D80" s="544"/>
      <c r="E80" s="544"/>
      <c r="F80" s="544"/>
    </row>
    <row r="81" spans="1:6" x14ac:dyDescent="0.25">
      <c r="A81" s="544"/>
      <c r="B81" s="177" t="str">
        <f>IF(A81&lt;&gt;"",INDEX('Base de données'!A$4:L$990,MATCH(A81,'Base de données'!A$4:A$990,0),2),"")</f>
        <v/>
      </c>
      <c r="C81" s="177" t="str">
        <f>IF(A81&lt;&gt;"",INDEX('Base de données'!A$4:L$990,MATCH(A81,'Base de données'!A$4:A$990,0),12),"")</f>
        <v/>
      </c>
      <c r="D81" s="544"/>
      <c r="E81" s="544"/>
      <c r="F81" s="544"/>
    </row>
    <row r="82" spans="1:6" x14ac:dyDescent="0.25">
      <c r="A82" s="544"/>
      <c r="B82" s="177" t="str">
        <f>IF(A82&lt;&gt;"",INDEX('Base de données'!A$4:L$990,MATCH(A82,'Base de données'!A$4:A$990,0),2),"")</f>
        <v/>
      </c>
      <c r="C82" s="177" t="str">
        <f>IF(A82&lt;&gt;"",INDEX('Base de données'!A$4:L$990,MATCH(A82,'Base de données'!A$4:A$990,0),12),"")</f>
        <v/>
      </c>
      <c r="D82" s="544"/>
      <c r="E82" s="544"/>
      <c r="F82" s="544"/>
    </row>
    <row r="83" spans="1:6" x14ac:dyDescent="0.25">
      <c r="A83" s="544"/>
      <c r="B83" s="177" t="str">
        <f>IF(A83&lt;&gt;"",INDEX('Base de données'!A$4:L$990,MATCH(A83,'Base de données'!A$4:A$990,0),2),"")</f>
        <v/>
      </c>
      <c r="C83" s="177" t="str">
        <f>IF(A83&lt;&gt;"",INDEX('Base de données'!A$4:L$990,MATCH(A83,'Base de données'!A$4:A$990,0),12),"")</f>
        <v/>
      </c>
      <c r="D83" s="544"/>
      <c r="E83" s="544"/>
      <c r="F83" s="544"/>
    </row>
    <row r="84" spans="1:6" x14ac:dyDescent="0.25">
      <c r="A84" s="544"/>
      <c r="B84" s="177" t="str">
        <f>IF(A84&lt;&gt;"",INDEX('Base de données'!A$4:L$990,MATCH(A84,'Base de données'!A$4:A$990,0),2),"")</f>
        <v/>
      </c>
      <c r="C84" s="177" t="str">
        <f>IF(A84&lt;&gt;"",INDEX('Base de données'!A$4:L$990,MATCH(A84,'Base de données'!A$4:A$990,0),12),"")</f>
        <v/>
      </c>
      <c r="D84" s="544"/>
      <c r="E84" s="544"/>
      <c r="F84" s="544"/>
    </row>
    <row r="85" spans="1:6" x14ac:dyDescent="0.25">
      <c r="A85" s="544"/>
      <c r="B85" s="177" t="str">
        <f>IF(A85&lt;&gt;"",INDEX('Base de données'!A$4:L$990,MATCH(A85,'Base de données'!A$4:A$990,0),2),"")</f>
        <v/>
      </c>
      <c r="C85" s="177" t="str">
        <f>IF(A85&lt;&gt;"",INDEX('Base de données'!A$4:L$990,MATCH(A85,'Base de données'!A$4:A$990,0),12),"")</f>
        <v/>
      </c>
      <c r="D85" s="544"/>
      <c r="E85" s="544"/>
      <c r="F85" s="544"/>
    </row>
    <row r="86" spans="1:6" x14ac:dyDescent="0.25">
      <c r="A86" s="544"/>
      <c r="B86" s="177" t="str">
        <f>IF(A86&lt;&gt;"",INDEX('Base de données'!A$4:L$990,MATCH(A86,'Base de données'!A$4:A$990,0),2),"")</f>
        <v/>
      </c>
      <c r="C86" s="177" t="str">
        <f>IF(A86&lt;&gt;"",INDEX('Base de données'!A$4:L$990,MATCH(A86,'Base de données'!A$4:A$990,0),12),"")</f>
        <v/>
      </c>
      <c r="D86" s="544"/>
      <c r="E86" s="544"/>
      <c r="F86" s="544"/>
    </row>
    <row r="87" spans="1:6" x14ac:dyDescent="0.25">
      <c r="A87" s="544"/>
      <c r="B87" s="177" t="str">
        <f>IF(A87&lt;&gt;"",INDEX('Base de données'!A$4:L$990,MATCH(A87,'Base de données'!A$4:A$990,0),2),"")</f>
        <v/>
      </c>
      <c r="C87" s="177" t="str">
        <f>IF(A87&lt;&gt;"",INDEX('Base de données'!A$4:L$990,MATCH(A87,'Base de données'!A$4:A$990,0),12),"")</f>
        <v/>
      </c>
      <c r="D87" s="544"/>
      <c r="E87" s="544"/>
      <c r="F87" s="544"/>
    </row>
    <row r="88" spans="1:6" x14ac:dyDescent="0.25">
      <c r="A88" s="544"/>
      <c r="B88" s="177" t="str">
        <f>IF(A88&lt;&gt;"",INDEX('Base de données'!A$4:L$990,MATCH(A88,'Base de données'!A$4:A$990,0),2),"")</f>
        <v/>
      </c>
      <c r="C88" s="177" t="str">
        <f>IF(A88&lt;&gt;"",INDEX('Base de données'!A$4:L$990,MATCH(A88,'Base de données'!A$4:A$990,0),12),"")</f>
        <v/>
      </c>
      <c r="D88" s="544"/>
      <c r="E88" s="544"/>
      <c r="F88" s="544"/>
    </row>
    <row r="89" spans="1:6" x14ac:dyDescent="0.25">
      <c r="A89" s="544"/>
      <c r="B89" s="177" t="str">
        <f>IF(A89&lt;&gt;"",INDEX('Base de données'!A$4:L$990,MATCH(A89,'Base de données'!A$4:A$990,0),2),"")</f>
        <v/>
      </c>
      <c r="C89" s="177" t="str">
        <f>IF(A89&lt;&gt;"",INDEX('Base de données'!A$4:L$990,MATCH(A89,'Base de données'!A$4:A$990,0),12),"")</f>
        <v/>
      </c>
      <c r="D89" s="544"/>
      <c r="E89" s="544"/>
      <c r="F89" s="544"/>
    </row>
    <row r="90" spans="1:6" x14ac:dyDescent="0.25">
      <c r="A90" s="544"/>
      <c r="B90" s="177" t="str">
        <f>IF(A90&lt;&gt;"",INDEX('Base de données'!A$4:L$990,MATCH(A90,'Base de données'!A$4:A$990,0),2),"")</f>
        <v/>
      </c>
      <c r="C90" s="177" t="str">
        <f>IF(A90&lt;&gt;"",INDEX('Base de données'!A$4:L$990,MATCH(A90,'Base de données'!A$4:A$990,0),12),"")</f>
        <v/>
      </c>
      <c r="D90" s="544"/>
      <c r="E90" s="544"/>
      <c r="F90" s="544"/>
    </row>
    <row r="91" spans="1:6" x14ac:dyDescent="0.25">
      <c r="A91" s="544"/>
      <c r="B91" s="177" t="str">
        <f>IF(A91&lt;&gt;"",INDEX('Base de données'!A$4:L$990,MATCH(A91,'Base de données'!A$4:A$990,0),2),"")</f>
        <v/>
      </c>
      <c r="C91" s="177" t="str">
        <f>IF(A91&lt;&gt;"",INDEX('Base de données'!A$4:L$990,MATCH(A91,'Base de données'!A$4:A$990,0),12),"")</f>
        <v/>
      </c>
      <c r="D91" s="544"/>
      <c r="E91" s="544"/>
      <c r="F91" s="544"/>
    </row>
    <row r="92" spans="1:6" x14ac:dyDescent="0.25">
      <c r="A92" s="544"/>
      <c r="B92" s="177" t="str">
        <f>IF(A92&lt;&gt;"",INDEX('Base de données'!A$4:L$990,MATCH(A92,'Base de données'!A$4:A$990,0),2),"")</f>
        <v/>
      </c>
      <c r="C92" s="177" t="str">
        <f>IF(A92&lt;&gt;"",INDEX('Base de données'!A$4:L$990,MATCH(A92,'Base de données'!A$4:A$990,0),12),"")</f>
        <v/>
      </c>
      <c r="D92" s="544"/>
      <c r="E92" s="544"/>
      <c r="F92" s="544"/>
    </row>
    <row r="93" spans="1:6" x14ac:dyDescent="0.25">
      <c r="A93" s="544"/>
      <c r="B93" s="177" t="str">
        <f>IF(A93&lt;&gt;"",INDEX('Base de données'!A$4:L$990,MATCH(A93,'Base de données'!A$4:A$990,0),2),"")</f>
        <v/>
      </c>
      <c r="C93" s="177" t="str">
        <f>IF(A93&lt;&gt;"",INDEX('Base de données'!A$4:L$990,MATCH(A93,'Base de données'!A$4:A$990,0),12),"")</f>
        <v/>
      </c>
      <c r="D93" s="544"/>
      <c r="E93" s="544"/>
      <c r="F93" s="544"/>
    </row>
    <row r="94" spans="1:6" x14ac:dyDescent="0.25">
      <c r="A94" s="544"/>
      <c r="B94" s="177" t="str">
        <f>IF(A94&lt;&gt;"",INDEX('Base de données'!A$4:L$990,MATCH(A94,'Base de données'!A$4:A$990,0),2),"")</f>
        <v/>
      </c>
      <c r="C94" s="177" t="str">
        <f>IF(A94&lt;&gt;"",INDEX('Base de données'!A$4:L$990,MATCH(A94,'Base de données'!A$4:A$990,0),12),"")</f>
        <v/>
      </c>
      <c r="D94" s="544"/>
      <c r="E94" s="544"/>
      <c r="F94" s="544"/>
    </row>
    <row r="95" spans="1:6" x14ac:dyDescent="0.25">
      <c r="A95" s="544"/>
      <c r="B95" s="177" t="str">
        <f>IF(A95&lt;&gt;"",INDEX('Base de données'!A$4:L$990,MATCH(A95,'Base de données'!A$4:A$990,0),2),"")</f>
        <v/>
      </c>
      <c r="C95" s="177" t="str">
        <f>IF(A95&lt;&gt;"",INDEX('Base de données'!A$4:L$990,MATCH(A95,'Base de données'!A$4:A$990,0),12),"")</f>
        <v/>
      </c>
      <c r="D95" s="544"/>
      <c r="E95" s="544"/>
      <c r="F95" s="544"/>
    </row>
    <row r="96" spans="1:6" x14ac:dyDescent="0.25">
      <c r="A96" s="544"/>
      <c r="B96" s="177" t="str">
        <f>IF(A96&lt;&gt;"",INDEX('Base de données'!A$4:L$990,MATCH(A96,'Base de données'!A$4:A$990,0),2),"")</f>
        <v/>
      </c>
      <c r="C96" s="177" t="str">
        <f>IF(A96&lt;&gt;"",INDEX('Base de données'!A$4:L$990,MATCH(A96,'Base de données'!A$4:A$990,0),12),"")</f>
        <v/>
      </c>
      <c r="D96" s="544"/>
      <c r="E96" s="544"/>
      <c r="F96" s="544"/>
    </row>
    <row r="97" spans="1:6" x14ac:dyDescent="0.25">
      <c r="A97" s="544"/>
      <c r="B97" s="177" t="str">
        <f>IF(A97&lt;&gt;"",INDEX('Base de données'!A$4:L$990,MATCH(A97,'Base de données'!A$4:A$990,0),2),"")</f>
        <v/>
      </c>
      <c r="C97" s="177" t="str">
        <f>IF(A97&lt;&gt;"",INDEX('Base de données'!A$4:L$990,MATCH(A97,'Base de données'!A$4:A$990,0),12),"")</f>
        <v/>
      </c>
      <c r="D97" s="544"/>
      <c r="E97" s="544"/>
      <c r="F97" s="544"/>
    </row>
    <row r="98" spans="1:6" x14ac:dyDescent="0.25">
      <c r="A98" s="544"/>
      <c r="B98" s="177" t="str">
        <f>IF(A98&lt;&gt;"",INDEX('Base de données'!A$4:L$990,MATCH(A98,'Base de données'!A$4:A$990,0),2),"")</f>
        <v/>
      </c>
      <c r="C98" s="177" t="str">
        <f>IF(A98&lt;&gt;"",INDEX('Base de données'!A$4:L$990,MATCH(A98,'Base de données'!A$4:A$990,0),12),"")</f>
        <v/>
      </c>
      <c r="D98" s="544"/>
      <c r="E98" s="544"/>
      <c r="F98" s="544"/>
    </row>
    <row r="99" spans="1:6" x14ac:dyDescent="0.25">
      <c r="A99" s="544"/>
      <c r="B99" s="177" t="str">
        <f>IF(A99&lt;&gt;"",INDEX('Base de données'!A$4:L$990,MATCH(A99,'Base de données'!A$4:A$990,0),2),"")</f>
        <v/>
      </c>
      <c r="C99" s="177" t="str">
        <f>IF(A99&lt;&gt;"",INDEX('Base de données'!A$4:L$990,MATCH(A99,'Base de données'!A$4:A$990,0),12),"")</f>
        <v/>
      </c>
      <c r="D99" s="544"/>
      <c r="E99" s="544"/>
      <c r="F99" s="544"/>
    </row>
    <row r="100" spans="1:6" x14ac:dyDescent="0.25">
      <c r="A100" s="544"/>
      <c r="B100" s="177" t="str">
        <f>IF(A100&lt;&gt;"",INDEX('Base de données'!A$4:L$990,MATCH(A100,'Base de données'!A$4:A$990,0),2),"")</f>
        <v/>
      </c>
      <c r="C100" s="177" t="str">
        <f>IF(A100&lt;&gt;"",INDEX('Base de données'!A$4:L$990,MATCH(A100,'Base de données'!A$4:A$990,0),12),"")</f>
        <v/>
      </c>
      <c r="D100" s="544"/>
      <c r="E100" s="544"/>
      <c r="F100" s="544"/>
    </row>
    <row r="101" spans="1:6" x14ac:dyDescent="0.25">
      <c r="A101" s="544"/>
      <c r="B101" s="177" t="str">
        <f>IF(A101&lt;&gt;"",INDEX('Base de données'!A$4:L$990,MATCH(A101,'Base de données'!A$4:A$990,0),2),"")</f>
        <v/>
      </c>
      <c r="C101" s="177" t="str">
        <f>IF(A101&lt;&gt;"",INDEX('Base de données'!A$4:L$990,MATCH(A101,'Base de données'!A$4:A$990,0),12),"")</f>
        <v/>
      </c>
      <c r="D101" s="544"/>
      <c r="E101" s="544"/>
      <c r="F101" s="544"/>
    </row>
    <row r="102" spans="1:6" x14ac:dyDescent="0.25">
      <c r="A102" s="544"/>
      <c r="B102" s="177" t="str">
        <f>IF(A102&lt;&gt;"",INDEX('Base de données'!A$4:L$990,MATCH(A102,'Base de données'!A$4:A$990,0),2),"")</f>
        <v/>
      </c>
      <c r="C102" s="177" t="str">
        <f>IF(A102&lt;&gt;"",INDEX('Base de données'!A$4:L$990,MATCH(A102,'Base de données'!A$4:A$990,0),12),"")</f>
        <v/>
      </c>
      <c r="D102" s="544"/>
      <c r="E102" s="544"/>
      <c r="F102" s="544"/>
    </row>
    <row r="103" spans="1:6" x14ac:dyDescent="0.25">
      <c r="A103" s="544"/>
      <c r="B103" s="177" t="str">
        <f>IF(A103&lt;&gt;"",INDEX('Base de données'!A$4:L$990,MATCH(A103,'Base de données'!A$4:A$990,0),2),"")</f>
        <v/>
      </c>
      <c r="C103" s="177" t="str">
        <f>IF(A103&lt;&gt;"",INDEX('Base de données'!A$4:L$990,MATCH(A103,'Base de données'!A$4:A$990,0),12),"")</f>
        <v/>
      </c>
      <c r="D103" s="544"/>
      <c r="E103" s="544"/>
      <c r="F103" s="544"/>
    </row>
    <row r="104" spans="1:6" x14ac:dyDescent="0.25">
      <c r="A104" s="544"/>
      <c r="B104" s="177" t="str">
        <f>IF(A104&lt;&gt;"",INDEX('Base de données'!A$4:L$990,MATCH(A104,'Base de données'!A$4:A$990,0),2),"")</f>
        <v/>
      </c>
      <c r="C104" s="177" t="str">
        <f>IF(A104&lt;&gt;"",INDEX('Base de données'!A$4:L$990,MATCH(A104,'Base de données'!A$4:A$990,0),12),"")</f>
        <v/>
      </c>
      <c r="D104" s="544"/>
      <c r="E104" s="544"/>
      <c r="F104" s="544"/>
    </row>
    <row r="105" spans="1:6" x14ac:dyDescent="0.25">
      <c r="A105" s="544"/>
      <c r="B105" s="177" t="str">
        <f>IF(A105&lt;&gt;"",INDEX('Base de données'!A$4:L$990,MATCH(A105,'Base de données'!A$4:A$990,0),2),"")</f>
        <v/>
      </c>
      <c r="C105" s="177" t="str">
        <f>IF(A105&lt;&gt;"",INDEX('Base de données'!A$4:L$990,MATCH(A105,'Base de données'!A$4:A$990,0),12),"")</f>
        <v/>
      </c>
      <c r="D105" s="544"/>
      <c r="E105" s="544"/>
      <c r="F105" s="544"/>
    </row>
    <row r="106" spans="1:6" x14ac:dyDescent="0.25">
      <c r="A106" s="544"/>
      <c r="B106" s="177" t="str">
        <f>IF(A106&lt;&gt;"",INDEX('Base de données'!A$4:L$990,MATCH(A106,'Base de données'!A$4:A$990,0),2),"")</f>
        <v/>
      </c>
      <c r="C106" s="177" t="str">
        <f>IF(A106&lt;&gt;"",INDEX('Base de données'!A$4:L$990,MATCH(A106,'Base de données'!A$4:A$990,0),12),"")</f>
        <v/>
      </c>
      <c r="D106" s="544"/>
      <c r="E106" s="544"/>
      <c r="F106" s="544"/>
    </row>
    <row r="107" spans="1:6" x14ac:dyDescent="0.25">
      <c r="A107" s="544"/>
      <c r="B107" s="177" t="str">
        <f>IF(A107&lt;&gt;"",INDEX('Base de données'!A$4:L$990,MATCH(A107,'Base de données'!A$4:A$990,0),2),"")</f>
        <v/>
      </c>
      <c r="C107" s="177" t="str">
        <f>IF(A107&lt;&gt;"",INDEX('Base de données'!A$4:L$990,MATCH(A107,'Base de données'!A$4:A$990,0),12),"")</f>
        <v/>
      </c>
      <c r="D107" s="544"/>
      <c r="E107" s="544"/>
      <c r="F107" s="544"/>
    </row>
    <row r="108" spans="1:6" x14ac:dyDescent="0.25">
      <c r="A108" s="544"/>
      <c r="B108" s="177" t="str">
        <f>IF(A108&lt;&gt;"",INDEX('Base de données'!A$4:L$990,MATCH(A108,'Base de données'!A$4:A$990,0),2),"")</f>
        <v/>
      </c>
      <c r="C108" s="177" t="str">
        <f>IF(A108&lt;&gt;"",INDEX('Base de données'!A$4:L$990,MATCH(A108,'Base de données'!A$4:A$990,0),12),"")</f>
        <v/>
      </c>
      <c r="D108" s="544"/>
      <c r="E108" s="544"/>
      <c r="F108" s="544"/>
    </row>
    <row r="109" spans="1:6" x14ac:dyDescent="0.25">
      <c r="A109" s="544"/>
      <c r="B109" s="177" t="str">
        <f>IF(A109&lt;&gt;"",INDEX('Base de données'!A$4:L$990,MATCH(A109,'Base de données'!A$4:A$990,0),2),"")</f>
        <v/>
      </c>
      <c r="C109" s="177" t="str">
        <f>IF(A109&lt;&gt;"",INDEX('Base de données'!A$4:L$990,MATCH(A109,'Base de données'!A$4:A$990,0),12),"")</f>
        <v/>
      </c>
      <c r="D109" s="544"/>
      <c r="E109" s="544"/>
      <c r="F109" s="544"/>
    </row>
    <row r="110" spans="1:6" x14ac:dyDescent="0.25">
      <c r="A110" s="544"/>
      <c r="B110" s="177" t="str">
        <f>IF(A110&lt;&gt;"",INDEX('Base de données'!A$4:L$990,MATCH(A110,'Base de données'!A$4:A$990,0),2),"")</f>
        <v/>
      </c>
      <c r="C110" s="177" t="str">
        <f>IF(A110&lt;&gt;"",INDEX('Base de données'!A$4:L$990,MATCH(A110,'Base de données'!A$4:A$990,0),12),"")</f>
        <v/>
      </c>
      <c r="D110" s="544"/>
      <c r="E110" s="544"/>
      <c r="F110" s="544"/>
    </row>
    <row r="111" spans="1:6" x14ac:dyDescent="0.25">
      <c r="A111" s="544"/>
      <c r="B111" s="177" t="str">
        <f>IF(A111&lt;&gt;"",INDEX('Base de données'!A$4:L$990,MATCH(A111,'Base de données'!A$4:A$990,0),2),"")</f>
        <v/>
      </c>
      <c r="C111" s="177" t="str">
        <f>IF(A111&lt;&gt;"",INDEX('Base de données'!A$4:L$990,MATCH(A111,'Base de données'!A$4:A$990,0),12),"")</f>
        <v/>
      </c>
      <c r="D111" s="544"/>
      <c r="E111" s="544"/>
      <c r="F111" s="544"/>
    </row>
    <row r="112" spans="1:6" x14ac:dyDescent="0.25">
      <c r="A112" s="544"/>
      <c r="B112" s="177" t="str">
        <f>IF(A112&lt;&gt;"",INDEX('Base de données'!A$4:L$990,MATCH(A112,'Base de données'!A$4:A$990,0),2),"")</f>
        <v/>
      </c>
      <c r="C112" s="177" t="str">
        <f>IF(A112&lt;&gt;"",INDEX('Base de données'!A$4:L$990,MATCH(A112,'Base de données'!A$4:A$990,0),12),"")</f>
        <v/>
      </c>
      <c r="D112" s="544"/>
      <c r="E112" s="544"/>
      <c r="F112" s="544"/>
    </row>
    <row r="113" spans="1:6" x14ac:dyDescent="0.25">
      <c r="A113" s="544"/>
      <c r="B113" s="177" t="str">
        <f>IF(A113&lt;&gt;"",INDEX('Base de données'!A$4:L$990,MATCH(A113,'Base de données'!A$4:A$990,0),2),"")</f>
        <v/>
      </c>
      <c r="C113" s="177" t="str">
        <f>IF(A113&lt;&gt;"",INDEX('Base de données'!A$4:L$990,MATCH(A113,'Base de données'!A$4:A$990,0),12),"")</f>
        <v/>
      </c>
      <c r="D113" s="544"/>
      <c r="E113" s="544"/>
      <c r="F113" s="544"/>
    </row>
    <row r="114" spans="1:6" x14ac:dyDescent="0.25">
      <c r="A114" s="544"/>
      <c r="B114" s="177" t="str">
        <f>IF(A114&lt;&gt;"",INDEX('Base de données'!A$4:L$990,MATCH(A114,'Base de données'!A$4:A$990,0),2),"")</f>
        <v/>
      </c>
      <c r="C114" s="177" t="str">
        <f>IF(A114&lt;&gt;"",INDEX('Base de données'!A$4:L$990,MATCH(A114,'Base de données'!A$4:A$990,0),12),"")</f>
        <v/>
      </c>
      <c r="D114" s="544"/>
      <c r="E114" s="544"/>
      <c r="F114" s="544"/>
    </row>
    <row r="115" spans="1:6" x14ac:dyDescent="0.25">
      <c r="A115" s="544"/>
      <c r="B115" s="177" t="str">
        <f>IF(A115&lt;&gt;"",INDEX('Base de données'!A$4:L$990,MATCH(A115,'Base de données'!A$4:A$990,0),2),"")</f>
        <v/>
      </c>
      <c r="C115" s="177" t="str">
        <f>IF(A115&lt;&gt;"",INDEX('Base de données'!A$4:L$990,MATCH(A115,'Base de données'!A$4:A$990,0),12),"")</f>
        <v/>
      </c>
      <c r="D115" s="544"/>
      <c r="E115" s="544"/>
      <c r="F115" s="544"/>
    </row>
    <row r="116" spans="1:6" x14ac:dyDescent="0.25">
      <c r="A116" s="544"/>
      <c r="B116" s="177" t="str">
        <f>IF(A116&lt;&gt;"",INDEX('Base de données'!A$4:L$990,MATCH(A116,'Base de données'!A$4:A$990,0),2),"")</f>
        <v/>
      </c>
      <c r="C116" s="177" t="str">
        <f>IF(A116&lt;&gt;"",INDEX('Base de données'!A$4:L$990,MATCH(A116,'Base de données'!A$4:A$990,0),12),"")</f>
        <v/>
      </c>
      <c r="D116" s="544"/>
      <c r="E116" s="544"/>
      <c r="F116" s="544"/>
    </row>
    <row r="117" spans="1:6" x14ac:dyDescent="0.25">
      <c r="A117" s="544"/>
      <c r="B117" s="177" t="str">
        <f>IF(A117&lt;&gt;"",INDEX('Base de données'!A$4:L$990,MATCH(A117,'Base de données'!A$4:A$990,0),2),"")</f>
        <v/>
      </c>
      <c r="C117" s="177" t="str">
        <f>IF(A117&lt;&gt;"",INDEX('Base de données'!A$4:L$990,MATCH(A117,'Base de données'!A$4:A$990,0),12),"")</f>
        <v/>
      </c>
      <c r="D117" s="544"/>
      <c r="E117" s="544"/>
      <c r="F117" s="544"/>
    </row>
    <row r="118" spans="1:6" x14ac:dyDescent="0.25">
      <c r="A118" s="544"/>
      <c r="B118" s="177" t="str">
        <f>IF(A118&lt;&gt;"",INDEX('Base de données'!A$4:L$990,MATCH(A118,'Base de données'!A$4:A$990,0),2),"")</f>
        <v/>
      </c>
      <c r="C118" s="177" t="str">
        <f>IF(A118&lt;&gt;"",INDEX('Base de données'!A$4:L$990,MATCH(A118,'Base de données'!A$4:A$990,0),12),"")</f>
        <v/>
      </c>
      <c r="D118" s="544"/>
      <c r="E118" s="544"/>
      <c r="F118" s="544"/>
    </row>
    <row r="119" spans="1:6" x14ac:dyDescent="0.25">
      <c r="A119" s="544"/>
      <c r="B119" s="177" t="str">
        <f>IF(A119&lt;&gt;"",INDEX('Base de données'!A$4:L$990,MATCH(A119,'Base de données'!A$4:A$990,0),2),"")</f>
        <v/>
      </c>
      <c r="C119" s="177" t="str">
        <f>IF(A119&lt;&gt;"",INDEX('Base de données'!A$4:L$990,MATCH(A119,'Base de données'!A$4:A$990,0),12),"")</f>
        <v/>
      </c>
      <c r="D119" s="544"/>
      <c r="E119" s="544"/>
      <c r="F119" s="544"/>
    </row>
    <row r="120" spans="1:6" x14ac:dyDescent="0.25">
      <c r="A120" s="544"/>
      <c r="B120" s="177" t="str">
        <f>IF(A120&lt;&gt;"",INDEX('Base de données'!A$4:L$990,MATCH(A120,'Base de données'!A$4:A$990,0),2),"")</f>
        <v/>
      </c>
      <c r="C120" s="177" t="str">
        <f>IF(A120&lt;&gt;"",INDEX('Base de données'!A$4:L$990,MATCH(A120,'Base de données'!A$4:A$990,0),12),"")</f>
        <v/>
      </c>
      <c r="D120" s="544"/>
      <c r="E120" s="544"/>
      <c r="F120" s="544"/>
    </row>
    <row r="121" spans="1:6" x14ac:dyDescent="0.25">
      <c r="A121" s="544"/>
      <c r="B121" s="177" t="str">
        <f>IF(A121&lt;&gt;"",INDEX('Base de données'!A$4:L$990,MATCH(A121,'Base de données'!A$4:A$990,0),2),"")</f>
        <v/>
      </c>
      <c r="C121" s="177" t="str">
        <f>IF(A121&lt;&gt;"",INDEX('Base de données'!A$4:L$990,MATCH(A121,'Base de données'!A$4:A$990,0),12),"")</f>
        <v/>
      </c>
      <c r="D121" s="544"/>
      <c r="E121" s="544"/>
      <c r="F121" s="544"/>
    </row>
    <row r="122" spans="1:6" x14ac:dyDescent="0.25">
      <c r="A122" s="544"/>
      <c r="B122" s="177" t="str">
        <f>IF(A122&lt;&gt;"",INDEX('Base de données'!A$4:L$990,MATCH(A122,'Base de données'!A$4:A$990,0),2),"")</f>
        <v/>
      </c>
      <c r="C122" s="177" t="str">
        <f>IF(A122&lt;&gt;"",INDEX('Base de données'!A$4:L$990,MATCH(A122,'Base de données'!A$4:A$990,0),12),"")</f>
        <v/>
      </c>
      <c r="D122" s="544"/>
      <c r="E122" s="544"/>
      <c r="F122" s="544"/>
    </row>
    <row r="123" spans="1:6" x14ac:dyDescent="0.25">
      <c r="A123" s="544"/>
      <c r="B123" s="177" t="str">
        <f>IF(A123&lt;&gt;"",INDEX('Base de données'!A$4:L$990,MATCH(A123,'Base de données'!A$4:A$990,0),2),"")</f>
        <v/>
      </c>
      <c r="C123" s="177" t="str">
        <f>IF(A123&lt;&gt;"",INDEX('Base de données'!A$4:L$990,MATCH(A123,'Base de données'!A$4:A$990,0),12),"")</f>
        <v/>
      </c>
      <c r="D123" s="544"/>
      <c r="E123" s="544"/>
      <c r="F123" s="544"/>
    </row>
    <row r="124" spans="1:6" x14ac:dyDescent="0.25">
      <c r="A124" s="544"/>
      <c r="B124" s="177" t="str">
        <f>IF(A124&lt;&gt;"",INDEX('Base de données'!A$4:L$990,MATCH(A124,'Base de données'!A$4:A$990,0),2),"")</f>
        <v/>
      </c>
      <c r="C124" s="177" t="str">
        <f>IF(A124&lt;&gt;"",INDEX('Base de données'!A$4:L$990,MATCH(A124,'Base de données'!A$4:A$990,0),12),"")</f>
        <v/>
      </c>
      <c r="D124" s="544"/>
      <c r="E124" s="544"/>
      <c r="F124" s="544"/>
    </row>
    <row r="125" spans="1:6" x14ac:dyDescent="0.25">
      <c r="A125" s="544"/>
      <c r="B125" s="177" t="str">
        <f>IF(A125&lt;&gt;"",INDEX('Base de données'!A$4:L$990,MATCH(A125,'Base de données'!A$4:A$990,0),2),"")</f>
        <v/>
      </c>
      <c r="C125" s="177" t="str">
        <f>IF(A125&lt;&gt;"",INDEX('Base de données'!A$4:L$990,MATCH(A125,'Base de données'!A$4:A$990,0),12),"")</f>
        <v/>
      </c>
      <c r="D125" s="544"/>
      <c r="E125" s="544"/>
      <c r="F125" s="544"/>
    </row>
    <row r="126" spans="1:6" x14ac:dyDescent="0.25">
      <c r="A126" s="544"/>
      <c r="B126" s="177" t="str">
        <f>IF(A126&lt;&gt;"",INDEX('Base de données'!A$4:L$990,MATCH(A126,'Base de données'!A$4:A$990,0),2),"")</f>
        <v/>
      </c>
      <c r="C126" s="177" t="str">
        <f>IF(A126&lt;&gt;"",INDEX('Base de données'!A$4:L$990,MATCH(A126,'Base de données'!A$4:A$990,0),12),"")</f>
        <v/>
      </c>
      <c r="D126" s="544"/>
      <c r="E126" s="544"/>
      <c r="F126" s="544"/>
    </row>
    <row r="127" spans="1:6" x14ac:dyDescent="0.25">
      <c r="A127" s="544"/>
      <c r="B127" s="177" t="str">
        <f>IF(A127&lt;&gt;"",INDEX('Base de données'!A$4:L$990,MATCH(A127,'Base de données'!A$4:A$990,0),2),"")</f>
        <v/>
      </c>
      <c r="C127" s="177" t="str">
        <f>IF(A127&lt;&gt;"",INDEX('Base de données'!A$4:L$990,MATCH(A127,'Base de données'!A$4:A$990,0),12),"")</f>
        <v/>
      </c>
      <c r="D127" s="544"/>
      <c r="E127" s="544"/>
      <c r="F127" s="544"/>
    </row>
    <row r="128" spans="1:6" x14ac:dyDescent="0.25">
      <c r="A128" s="544"/>
      <c r="B128" s="177" t="str">
        <f>IF(A128&lt;&gt;"",INDEX('Base de données'!A$4:L$990,MATCH(A128,'Base de données'!A$4:A$990,0),2),"")</f>
        <v/>
      </c>
      <c r="C128" s="177" t="str">
        <f>IF(A128&lt;&gt;"",INDEX('Base de données'!A$4:L$990,MATCH(A128,'Base de données'!A$4:A$990,0),12),"")</f>
        <v/>
      </c>
      <c r="D128" s="544"/>
      <c r="E128" s="544"/>
      <c r="F128" s="544"/>
    </row>
    <row r="129" spans="1:6" x14ac:dyDescent="0.25">
      <c r="A129" s="544"/>
      <c r="B129" s="177" t="str">
        <f>IF(A129&lt;&gt;"",INDEX('Base de données'!A$4:L$990,MATCH(A129,'Base de données'!A$4:A$990,0),2),"")</f>
        <v/>
      </c>
      <c r="C129" s="177" t="str">
        <f>IF(A129&lt;&gt;"",INDEX('Base de données'!A$4:L$990,MATCH(A129,'Base de données'!A$4:A$990,0),12),"")</f>
        <v/>
      </c>
      <c r="D129" s="544"/>
      <c r="E129" s="544"/>
      <c r="F129" s="544"/>
    </row>
    <row r="130" spans="1:6" x14ac:dyDescent="0.25">
      <c r="A130" s="544"/>
      <c r="B130" s="177" t="str">
        <f>IF(A130&lt;&gt;"",INDEX('Base de données'!A$4:L$990,MATCH(A130,'Base de données'!A$4:A$990,0),2),"")</f>
        <v/>
      </c>
      <c r="C130" s="177" t="str">
        <f>IF(A130&lt;&gt;"",INDEX('Base de données'!A$4:L$990,MATCH(A130,'Base de données'!A$4:A$990,0),12),"")</f>
        <v/>
      </c>
      <c r="D130" s="544"/>
      <c r="E130" s="544"/>
      <c r="F130" s="544"/>
    </row>
    <row r="131" spans="1:6" x14ac:dyDescent="0.25">
      <c r="A131" s="544"/>
      <c r="B131" s="177" t="str">
        <f>IF(A131&lt;&gt;"",INDEX('Base de données'!A$4:L$990,MATCH(A131,'Base de données'!A$4:A$990,0),2),"")</f>
        <v/>
      </c>
      <c r="C131" s="177" t="str">
        <f>IF(A131&lt;&gt;"",INDEX('Base de données'!A$4:L$990,MATCH(A131,'Base de données'!A$4:A$990,0),12),"")</f>
        <v/>
      </c>
      <c r="D131" s="544"/>
      <c r="E131" s="544"/>
      <c r="F131" s="544"/>
    </row>
    <row r="132" spans="1:6" x14ac:dyDescent="0.25">
      <c r="A132" s="544"/>
      <c r="B132" s="177" t="str">
        <f>IF(A132&lt;&gt;"",INDEX('Base de données'!A$4:L$990,MATCH(A132,'Base de données'!A$4:A$990,0),2),"")</f>
        <v/>
      </c>
      <c r="C132" s="177" t="str">
        <f>IF(A132&lt;&gt;"",INDEX('Base de données'!A$4:L$990,MATCH(A132,'Base de données'!A$4:A$990,0),12),"")</f>
        <v/>
      </c>
      <c r="D132" s="544"/>
      <c r="E132" s="544"/>
      <c r="F132" s="544"/>
    </row>
    <row r="133" spans="1:6" x14ac:dyDescent="0.25">
      <c r="A133" s="544"/>
      <c r="B133" s="177" t="str">
        <f>IF(A133&lt;&gt;"",INDEX('Base de données'!A$4:L$990,MATCH(A133,'Base de données'!A$4:A$990,0),2),"")</f>
        <v/>
      </c>
      <c r="C133" s="177" t="str">
        <f>IF(A133&lt;&gt;"",INDEX('Base de données'!A$4:L$990,MATCH(A133,'Base de données'!A$4:A$990,0),12),"")</f>
        <v/>
      </c>
      <c r="D133" s="544"/>
      <c r="E133" s="544"/>
      <c r="F133" s="544"/>
    </row>
    <row r="134" spans="1:6" x14ac:dyDescent="0.25">
      <c r="A134" s="544"/>
      <c r="B134" s="177" t="str">
        <f>IF(A134&lt;&gt;"",INDEX('Base de données'!A$4:L$990,MATCH(A134,'Base de données'!A$4:A$990,0),2),"")</f>
        <v/>
      </c>
      <c r="C134" s="177" t="str">
        <f>IF(A134&lt;&gt;"",INDEX('Base de données'!A$4:L$990,MATCH(A134,'Base de données'!A$4:A$990,0),12),"")</f>
        <v/>
      </c>
      <c r="D134" s="544"/>
      <c r="E134" s="544"/>
      <c r="F134" s="544"/>
    </row>
    <row r="135" spans="1:6" x14ac:dyDescent="0.25">
      <c r="A135" s="544"/>
      <c r="B135" s="177" t="str">
        <f>IF(A135&lt;&gt;"",INDEX('Base de données'!A$4:L$990,MATCH(A135,'Base de données'!A$4:A$990,0),2),"")</f>
        <v/>
      </c>
      <c r="C135" s="177" t="str">
        <f>IF(A135&lt;&gt;"",INDEX('Base de données'!A$4:L$990,MATCH(A135,'Base de données'!A$4:A$990,0),12),"")</f>
        <v/>
      </c>
      <c r="D135" s="544"/>
      <c r="E135" s="544"/>
      <c r="F135" s="544"/>
    </row>
    <row r="136" spans="1:6" x14ac:dyDescent="0.25">
      <c r="A136" s="544"/>
      <c r="B136" s="177" t="str">
        <f>IF(A136&lt;&gt;"",INDEX('Base de données'!A$4:L$990,MATCH(A136,'Base de données'!A$4:A$990,0),2),"")</f>
        <v/>
      </c>
      <c r="C136" s="177" t="str">
        <f>IF(A136&lt;&gt;"",INDEX('Base de données'!A$4:L$990,MATCH(A136,'Base de données'!A$4:A$990,0),12),"")</f>
        <v/>
      </c>
      <c r="D136" s="544"/>
      <c r="E136" s="544"/>
      <c r="F136" s="544"/>
    </row>
    <row r="137" spans="1:6" x14ac:dyDescent="0.25">
      <c r="A137" s="544"/>
      <c r="B137" s="177" t="str">
        <f>IF(A137&lt;&gt;"",INDEX('Base de données'!A$4:L$990,MATCH(A137,'Base de données'!A$4:A$990,0),2),"")</f>
        <v/>
      </c>
      <c r="C137" s="177" t="str">
        <f>IF(A137&lt;&gt;"",INDEX('Base de données'!A$4:L$990,MATCH(A137,'Base de données'!A$4:A$990,0),12),"")</f>
        <v/>
      </c>
      <c r="D137" s="544"/>
      <c r="E137" s="544"/>
      <c r="F137" s="544"/>
    </row>
    <row r="138" spans="1:6" x14ac:dyDescent="0.25">
      <c r="A138" s="544"/>
      <c r="B138" s="177" t="str">
        <f>IF(A138&lt;&gt;"",INDEX('Base de données'!A$4:L$990,MATCH(A138,'Base de données'!A$4:A$990,0),2),"")</f>
        <v/>
      </c>
      <c r="C138" s="177" t="str">
        <f>IF(A138&lt;&gt;"",INDEX('Base de données'!A$4:L$990,MATCH(A138,'Base de données'!A$4:A$990,0),12),"")</f>
        <v/>
      </c>
      <c r="D138" s="544"/>
      <c r="E138" s="544"/>
      <c r="F138" s="544"/>
    </row>
    <row r="139" spans="1:6" x14ac:dyDescent="0.25">
      <c r="A139" s="544"/>
      <c r="B139" s="177" t="str">
        <f>IF(A139&lt;&gt;"",INDEX('Base de données'!A$4:L$990,MATCH(A139,'Base de données'!A$4:A$990,0),2),"")</f>
        <v/>
      </c>
      <c r="C139" s="177" t="str">
        <f>IF(A139&lt;&gt;"",INDEX('Base de données'!A$4:L$990,MATCH(A139,'Base de données'!A$4:A$990,0),12),"")</f>
        <v/>
      </c>
      <c r="D139" s="544"/>
      <c r="E139" s="544"/>
      <c r="F139" s="544"/>
    </row>
    <row r="140" spans="1:6" x14ac:dyDescent="0.25">
      <c r="A140" s="544"/>
      <c r="B140" s="177" t="str">
        <f>IF(A140&lt;&gt;"",INDEX('Base de données'!A$4:L$990,MATCH(A140,'Base de données'!A$4:A$990,0),2),"")</f>
        <v/>
      </c>
      <c r="C140" s="177" t="str">
        <f>IF(A140&lt;&gt;"",INDEX('Base de données'!A$4:L$990,MATCH(A140,'Base de données'!A$4:A$990,0),12),"")</f>
        <v/>
      </c>
      <c r="D140" s="544"/>
      <c r="E140" s="544"/>
      <c r="F140" s="544"/>
    </row>
    <row r="141" spans="1:6" x14ac:dyDescent="0.25">
      <c r="A141" s="544"/>
      <c r="B141" s="177" t="str">
        <f>IF(A141&lt;&gt;"",INDEX('Base de données'!A$4:L$990,MATCH(A141,'Base de données'!A$4:A$990,0),2),"")</f>
        <v/>
      </c>
      <c r="C141" s="177" t="str">
        <f>IF(A141&lt;&gt;"",INDEX('Base de données'!A$4:L$990,MATCH(A141,'Base de données'!A$4:A$990,0),12),"")</f>
        <v/>
      </c>
      <c r="D141" s="544"/>
      <c r="E141" s="544"/>
      <c r="F141" s="544"/>
    </row>
    <row r="142" spans="1:6" x14ac:dyDescent="0.25">
      <c r="A142" s="544"/>
      <c r="B142" s="177" t="str">
        <f>IF(A142&lt;&gt;"",INDEX('Base de données'!A$4:L$990,MATCH(A142,'Base de données'!A$4:A$990,0),2),"")</f>
        <v/>
      </c>
      <c r="C142" s="177" t="str">
        <f>IF(A142&lt;&gt;"",INDEX('Base de données'!A$4:L$990,MATCH(A142,'Base de données'!A$4:A$990,0),12),"")</f>
        <v/>
      </c>
      <c r="D142" s="544"/>
      <c r="E142" s="544"/>
      <c r="F142" s="544"/>
    </row>
    <row r="143" spans="1:6" x14ac:dyDescent="0.25">
      <c r="A143" s="544"/>
      <c r="B143" s="177" t="str">
        <f>IF(A143&lt;&gt;"",INDEX('Base de données'!A$4:L$990,MATCH(A143,'Base de données'!A$4:A$990,0),2),"")</f>
        <v/>
      </c>
      <c r="C143" s="177" t="str">
        <f>IF(A143&lt;&gt;"",INDEX('Base de données'!A$4:L$990,MATCH(A143,'Base de données'!A$4:A$990,0),12),"")</f>
        <v/>
      </c>
      <c r="D143" s="544"/>
      <c r="E143" s="544"/>
      <c r="F143" s="544"/>
    </row>
    <row r="144" spans="1:6" x14ac:dyDescent="0.25">
      <c r="A144" s="544"/>
      <c r="B144" s="177" t="str">
        <f>IF(A144&lt;&gt;"",INDEX('Base de données'!A$4:L$990,MATCH(A144,'Base de données'!A$4:A$990,0),2),"")</f>
        <v/>
      </c>
      <c r="C144" s="177" t="str">
        <f>IF(A144&lt;&gt;"",INDEX('Base de données'!A$4:L$990,MATCH(A144,'Base de données'!A$4:A$990,0),12),"")</f>
        <v/>
      </c>
      <c r="D144" s="544"/>
      <c r="E144" s="544"/>
      <c r="F144" s="544"/>
    </row>
    <row r="145" spans="1:6" x14ac:dyDescent="0.25">
      <c r="A145" s="544"/>
      <c r="B145" s="177" t="str">
        <f>IF(A145&lt;&gt;"",INDEX('Base de données'!A$4:L$990,MATCH(A145,'Base de données'!A$4:A$990,0),2),"")</f>
        <v/>
      </c>
      <c r="C145" s="177" t="str">
        <f>IF(A145&lt;&gt;"",INDEX('Base de données'!A$4:L$990,MATCH(A145,'Base de données'!A$4:A$990,0),12),"")</f>
        <v/>
      </c>
      <c r="D145" s="544"/>
      <c r="E145" s="544"/>
      <c r="F145" s="544"/>
    </row>
    <row r="146" spans="1:6" x14ac:dyDescent="0.25">
      <c r="A146" s="544"/>
      <c r="B146" s="177" t="str">
        <f>IF(A146&lt;&gt;"",INDEX('Base de données'!A$4:L$990,MATCH(A146,'Base de données'!A$4:A$990,0),2),"")</f>
        <v/>
      </c>
      <c r="C146" s="177" t="str">
        <f>IF(A146&lt;&gt;"",INDEX('Base de données'!A$4:L$990,MATCH(A146,'Base de données'!A$4:A$990,0),12),"")</f>
        <v/>
      </c>
      <c r="D146" s="544"/>
      <c r="E146" s="544"/>
      <c r="F146" s="544"/>
    </row>
    <row r="147" spans="1:6" x14ac:dyDescent="0.25">
      <c r="A147" s="544"/>
      <c r="B147" s="177" t="str">
        <f>IF(A147&lt;&gt;"",INDEX('Base de données'!A$4:L$990,MATCH(A147,'Base de données'!A$4:A$990,0),2),"")</f>
        <v/>
      </c>
      <c r="C147" s="177" t="str">
        <f>IF(A147&lt;&gt;"",INDEX('Base de données'!A$4:L$990,MATCH(A147,'Base de données'!A$4:A$990,0),12),"")</f>
        <v/>
      </c>
      <c r="D147" s="544"/>
      <c r="E147" s="544"/>
      <c r="F147" s="544"/>
    </row>
    <row r="148" spans="1:6" x14ac:dyDescent="0.25">
      <c r="A148" s="544"/>
      <c r="B148" s="177" t="str">
        <f>IF(A148&lt;&gt;"",INDEX('Base de données'!A$4:L$990,MATCH(A148,'Base de données'!A$4:A$990,0),2),"")</f>
        <v/>
      </c>
      <c r="C148" s="177" t="str">
        <f>IF(A148&lt;&gt;"",INDEX('Base de données'!A$4:L$990,MATCH(A148,'Base de données'!A$4:A$990,0),12),"")</f>
        <v/>
      </c>
      <c r="D148" s="544"/>
      <c r="E148" s="544"/>
      <c r="F148" s="544"/>
    </row>
    <row r="149" spans="1:6" x14ac:dyDescent="0.25">
      <c r="A149" s="544"/>
      <c r="B149" s="177" t="str">
        <f>IF(A149&lt;&gt;"",INDEX('Base de données'!A$4:L$990,MATCH(A149,'Base de données'!A$4:A$990,0),2),"")</f>
        <v/>
      </c>
      <c r="C149" s="177" t="str">
        <f>IF(A149&lt;&gt;"",INDEX('Base de données'!A$4:L$990,MATCH(A149,'Base de données'!A$4:A$990,0),12),"")</f>
        <v/>
      </c>
      <c r="D149" s="544"/>
      <c r="E149" s="544"/>
      <c r="F149" s="544"/>
    </row>
    <row r="150" spans="1:6" x14ac:dyDescent="0.25">
      <c r="A150" s="544"/>
      <c r="B150" s="177" t="str">
        <f>IF(A150&lt;&gt;"",INDEX('Base de données'!A$4:L$990,MATCH(A150,'Base de données'!A$4:A$990,0),2),"")</f>
        <v/>
      </c>
      <c r="C150" s="177" t="str">
        <f>IF(A150&lt;&gt;"",INDEX('Base de données'!A$4:L$990,MATCH(A150,'Base de données'!A$4:A$990,0),12),"")</f>
        <v/>
      </c>
      <c r="D150" s="544"/>
      <c r="E150" s="544"/>
      <c r="F150" s="544"/>
    </row>
    <row r="151" spans="1:6" x14ac:dyDescent="0.25">
      <c r="A151" s="544"/>
      <c r="B151" s="177" t="str">
        <f>IF(A151&lt;&gt;"",INDEX('Base de données'!A$4:L$990,MATCH(A151,'Base de données'!A$4:A$990,0),2),"")</f>
        <v/>
      </c>
      <c r="C151" s="177" t="str">
        <f>IF(A151&lt;&gt;"",INDEX('Base de données'!A$4:L$990,MATCH(A151,'Base de données'!A$4:A$990,0),12),"")</f>
        <v/>
      </c>
      <c r="D151" s="544"/>
      <c r="E151" s="544"/>
      <c r="F151" s="544"/>
    </row>
    <row r="152" spans="1:6" x14ac:dyDescent="0.25">
      <c r="A152" s="544"/>
      <c r="B152" s="177" t="str">
        <f>IF(A152&lt;&gt;"",INDEX('Base de données'!A$4:L$990,MATCH(A152,'Base de données'!A$4:A$990,0),2),"")</f>
        <v/>
      </c>
      <c r="C152" s="177" t="str">
        <f>IF(A152&lt;&gt;"",INDEX('Base de données'!A$4:L$990,MATCH(A152,'Base de données'!A$4:A$990,0),12),"")</f>
        <v/>
      </c>
      <c r="D152" s="544"/>
      <c r="E152" s="544"/>
      <c r="F152" s="544"/>
    </row>
    <row r="153" spans="1:6" x14ac:dyDescent="0.25">
      <c r="A153" s="544"/>
      <c r="B153" s="177" t="str">
        <f>IF(A153&lt;&gt;"",INDEX('Base de données'!A$4:L$990,MATCH(A153,'Base de données'!A$4:A$990,0),2),"")</f>
        <v/>
      </c>
      <c r="C153" s="177" t="str">
        <f>IF(A153&lt;&gt;"",INDEX('Base de données'!A$4:L$990,MATCH(A153,'Base de données'!A$4:A$990,0),12),"")</f>
        <v/>
      </c>
      <c r="D153" s="544"/>
      <c r="E153" s="544"/>
      <c r="F153" s="544"/>
    </row>
    <row r="154" spans="1:6" x14ac:dyDescent="0.25">
      <c r="A154" s="544"/>
      <c r="B154" s="177" t="str">
        <f>IF(A154&lt;&gt;"",INDEX('Base de données'!A$4:L$990,MATCH(A154,'Base de données'!A$4:A$990,0),2),"")</f>
        <v/>
      </c>
      <c r="C154" s="177" t="str">
        <f>IF(A154&lt;&gt;"",INDEX('Base de données'!A$4:L$990,MATCH(A154,'Base de données'!A$4:A$990,0),12),"")</f>
        <v/>
      </c>
      <c r="D154" s="544"/>
      <c r="E154" s="544"/>
      <c r="F154" s="544"/>
    </row>
    <row r="155" spans="1:6" x14ac:dyDescent="0.25">
      <c r="A155" s="544"/>
      <c r="B155" s="177" t="str">
        <f>IF(A155&lt;&gt;"",INDEX('Base de données'!A$4:L$990,MATCH(A155,'Base de données'!A$4:A$990,0),2),"")</f>
        <v/>
      </c>
      <c r="C155" s="177" t="str">
        <f>IF(A155&lt;&gt;"",INDEX('Base de données'!A$4:L$990,MATCH(A155,'Base de données'!A$4:A$990,0),12),"")</f>
        <v/>
      </c>
      <c r="D155" s="544"/>
      <c r="E155" s="544"/>
      <c r="F155" s="544"/>
    </row>
    <row r="156" spans="1:6" x14ac:dyDescent="0.25">
      <c r="A156" s="544"/>
      <c r="B156" s="177" t="str">
        <f>IF(A156&lt;&gt;"",INDEX('Base de données'!A$4:L$990,MATCH(A156,'Base de données'!A$4:A$990,0),2),"")</f>
        <v/>
      </c>
      <c r="C156" s="177" t="str">
        <f>IF(A156&lt;&gt;"",INDEX('Base de données'!A$4:L$990,MATCH(A156,'Base de données'!A$4:A$990,0),12),"")</f>
        <v/>
      </c>
      <c r="D156" s="544"/>
      <c r="E156" s="544"/>
      <c r="F156" s="544"/>
    </row>
    <row r="157" spans="1:6" x14ac:dyDescent="0.25">
      <c r="A157" s="544"/>
      <c r="B157" s="177" t="str">
        <f>IF(A157&lt;&gt;"",INDEX('Base de données'!A$4:L$990,MATCH(A157,'Base de données'!A$4:A$990,0),2),"")</f>
        <v/>
      </c>
      <c r="C157" s="177" t="str">
        <f>IF(A157&lt;&gt;"",INDEX('Base de données'!A$4:L$990,MATCH(A157,'Base de données'!A$4:A$990,0),12),"")</f>
        <v/>
      </c>
      <c r="D157" s="544"/>
      <c r="E157" s="544"/>
      <c r="F157" s="544"/>
    </row>
    <row r="158" spans="1:6" x14ac:dyDescent="0.25">
      <c r="A158" s="544"/>
      <c r="B158" s="177" t="str">
        <f>IF(A158&lt;&gt;"",INDEX('Base de données'!A$4:L$990,MATCH(A158,'Base de données'!A$4:A$990,0),2),"")</f>
        <v/>
      </c>
      <c r="C158" s="177" t="str">
        <f>IF(A158&lt;&gt;"",INDEX('Base de données'!A$4:L$990,MATCH(A158,'Base de données'!A$4:A$990,0),12),"")</f>
        <v/>
      </c>
      <c r="D158" s="544"/>
      <c r="E158" s="544"/>
      <c r="F158" s="544"/>
    </row>
    <row r="159" spans="1:6" x14ac:dyDescent="0.25">
      <c r="A159" s="544"/>
      <c r="B159" s="177" t="str">
        <f>IF(A159&lt;&gt;"",INDEX('Base de données'!A$4:L$990,MATCH(A159,'Base de données'!A$4:A$990,0),2),"")</f>
        <v/>
      </c>
      <c r="C159" s="177" t="str">
        <f>IF(A159&lt;&gt;"",INDEX('Base de données'!A$4:L$990,MATCH(A159,'Base de données'!A$4:A$990,0),12),"")</f>
        <v/>
      </c>
      <c r="D159" s="544"/>
      <c r="E159" s="544"/>
      <c r="F159" s="544"/>
    </row>
    <row r="160" spans="1:6" x14ac:dyDescent="0.25">
      <c r="A160" s="544"/>
      <c r="B160" s="177" t="str">
        <f>IF(A160&lt;&gt;"",INDEX('Base de données'!A$4:L$990,MATCH(A160,'Base de données'!A$4:A$990,0),2),"")</f>
        <v/>
      </c>
      <c r="C160" s="177" t="str">
        <f>IF(A160&lt;&gt;"",INDEX('Base de données'!A$4:L$990,MATCH(A160,'Base de données'!A$4:A$990,0),12),"")</f>
        <v/>
      </c>
      <c r="D160" s="544"/>
      <c r="E160" s="544"/>
      <c r="F160" s="544"/>
    </row>
    <row r="161" spans="1:6" x14ac:dyDescent="0.25">
      <c r="A161" s="544"/>
      <c r="B161" s="177" t="str">
        <f>IF(A161&lt;&gt;"",INDEX('Base de données'!A$4:L$990,MATCH(A161,'Base de données'!A$4:A$990,0),2),"")</f>
        <v/>
      </c>
      <c r="C161" s="177" t="str">
        <f>IF(A161&lt;&gt;"",INDEX('Base de données'!A$4:L$990,MATCH(A161,'Base de données'!A$4:A$990,0),12),"")</f>
        <v/>
      </c>
      <c r="D161" s="544"/>
      <c r="E161" s="544"/>
      <c r="F161" s="544"/>
    </row>
    <row r="162" spans="1:6" x14ac:dyDescent="0.25">
      <c r="A162" s="544"/>
      <c r="B162" s="177" t="str">
        <f>IF(A162&lt;&gt;"",INDEX('Base de données'!A$4:L$990,MATCH(A162,'Base de données'!A$4:A$990,0),2),"")</f>
        <v/>
      </c>
      <c r="C162" s="177" t="str">
        <f>IF(A162&lt;&gt;"",INDEX('Base de données'!A$4:L$990,MATCH(A162,'Base de données'!A$4:A$990,0),12),"")</f>
        <v/>
      </c>
      <c r="D162" s="544"/>
      <c r="E162" s="544"/>
      <c r="F162" s="544"/>
    </row>
    <row r="163" spans="1:6" x14ac:dyDescent="0.25">
      <c r="A163" s="544"/>
      <c r="B163" s="177" t="str">
        <f>IF(A163&lt;&gt;"",INDEX('Base de données'!A$4:L$990,MATCH(A163,'Base de données'!A$4:A$990,0),2),"")</f>
        <v/>
      </c>
      <c r="C163" s="177" t="str">
        <f>IF(A163&lt;&gt;"",INDEX('Base de données'!A$4:L$990,MATCH(A163,'Base de données'!A$4:A$990,0),12),"")</f>
        <v/>
      </c>
      <c r="D163" s="544"/>
      <c r="E163" s="544"/>
      <c r="F163" s="544"/>
    </row>
    <row r="164" spans="1:6" x14ac:dyDescent="0.25">
      <c r="A164" s="544"/>
      <c r="B164" s="177" t="str">
        <f>IF(A164&lt;&gt;"",INDEX('Base de données'!A$4:L$990,MATCH(A164,'Base de données'!A$4:A$990,0),2),"")</f>
        <v/>
      </c>
      <c r="C164" s="177" t="str">
        <f>IF(A164&lt;&gt;"",INDEX('Base de données'!A$4:L$990,MATCH(A164,'Base de données'!A$4:A$990,0),12),"")</f>
        <v/>
      </c>
      <c r="D164" s="544"/>
      <c r="E164" s="544"/>
      <c r="F164" s="544"/>
    </row>
    <row r="165" spans="1:6" x14ac:dyDescent="0.25">
      <c r="A165" s="544"/>
      <c r="B165" s="177" t="str">
        <f>IF(A165&lt;&gt;"",INDEX('Base de données'!A$4:L$990,MATCH(A165,'Base de données'!A$4:A$990,0),2),"")</f>
        <v/>
      </c>
      <c r="C165" s="177" t="str">
        <f>IF(A165&lt;&gt;"",INDEX('Base de données'!A$4:L$990,MATCH(A165,'Base de données'!A$4:A$990,0),12),"")</f>
        <v/>
      </c>
      <c r="D165" s="544"/>
      <c r="E165" s="544"/>
      <c r="F165" s="544"/>
    </row>
    <row r="166" spans="1:6" x14ac:dyDescent="0.25">
      <c r="A166" s="544"/>
      <c r="B166" s="177" t="str">
        <f>IF(A166&lt;&gt;"",INDEX('Base de données'!A$4:L$990,MATCH(A166,'Base de données'!A$4:A$990,0),2),"")</f>
        <v/>
      </c>
      <c r="C166" s="177" t="str">
        <f>IF(A166&lt;&gt;"",INDEX('Base de données'!A$4:L$990,MATCH(A166,'Base de données'!A$4:A$990,0),12),"")</f>
        <v/>
      </c>
      <c r="D166" s="544"/>
      <c r="E166" s="544"/>
      <c r="F166" s="544"/>
    </row>
    <row r="167" spans="1:6" x14ac:dyDescent="0.25">
      <c r="A167" s="544"/>
      <c r="B167" s="177" t="str">
        <f>IF(A167&lt;&gt;"",INDEX('Base de données'!A$4:L$990,MATCH(A167,'Base de données'!A$4:A$990,0),2),"")</f>
        <v/>
      </c>
      <c r="C167" s="177" t="str">
        <f>IF(A167&lt;&gt;"",INDEX('Base de données'!A$4:L$990,MATCH(A167,'Base de données'!A$4:A$990,0),12),"")</f>
        <v/>
      </c>
      <c r="D167" s="544"/>
      <c r="E167" s="544"/>
      <c r="F167" s="544"/>
    </row>
    <row r="168" spans="1:6" x14ac:dyDescent="0.25">
      <c r="A168" s="544"/>
      <c r="B168" s="177" t="str">
        <f>IF(A168&lt;&gt;"",INDEX('Base de données'!A$4:L$990,MATCH(A168,'Base de données'!A$4:A$990,0),2),"")</f>
        <v/>
      </c>
      <c r="C168" s="177" t="str">
        <f>IF(A168&lt;&gt;"",INDEX('Base de données'!A$4:L$990,MATCH(A168,'Base de données'!A$4:A$990,0),12),"")</f>
        <v/>
      </c>
      <c r="D168" s="544"/>
      <c r="E168" s="544"/>
      <c r="F168" s="544"/>
    </row>
    <row r="169" spans="1:6" x14ac:dyDescent="0.25">
      <c r="A169" s="544"/>
      <c r="B169" s="177" t="str">
        <f>IF(A169&lt;&gt;"",INDEX('Base de données'!A$4:L$990,MATCH(A169,'Base de données'!A$4:A$990,0),2),"")</f>
        <v/>
      </c>
      <c r="C169" s="177" t="str">
        <f>IF(A169&lt;&gt;"",INDEX('Base de données'!A$4:L$990,MATCH(A169,'Base de données'!A$4:A$990,0),12),"")</f>
        <v/>
      </c>
      <c r="D169" s="544"/>
      <c r="E169" s="544"/>
      <c r="F169" s="544"/>
    </row>
    <row r="170" spans="1:6" x14ac:dyDescent="0.25">
      <c r="A170" s="544"/>
      <c r="B170" s="177" t="str">
        <f>IF(A170&lt;&gt;"",INDEX('Base de données'!A$4:L$990,MATCH(A170,'Base de données'!A$4:A$990,0),2),"")</f>
        <v/>
      </c>
      <c r="C170" s="177" t="str">
        <f>IF(A170&lt;&gt;"",INDEX('Base de données'!A$4:L$990,MATCH(A170,'Base de données'!A$4:A$990,0),12),"")</f>
        <v/>
      </c>
      <c r="D170" s="544"/>
      <c r="E170" s="544"/>
      <c r="F170" s="544"/>
    </row>
    <row r="171" spans="1:6" x14ac:dyDescent="0.25">
      <c r="A171" s="544"/>
      <c r="B171" s="177" t="str">
        <f>IF(A171&lt;&gt;"",INDEX('Base de données'!A$4:L$990,MATCH(A171,'Base de données'!A$4:A$990,0),2),"")</f>
        <v/>
      </c>
      <c r="C171" s="177" t="str">
        <f>IF(A171&lt;&gt;"",INDEX('Base de données'!A$4:L$990,MATCH(A171,'Base de données'!A$4:A$990,0),12),"")</f>
        <v/>
      </c>
      <c r="D171" s="544"/>
      <c r="E171" s="544"/>
      <c r="F171" s="544"/>
    </row>
    <row r="172" spans="1:6" x14ac:dyDescent="0.25">
      <c r="A172" s="544"/>
      <c r="B172" s="177" t="str">
        <f>IF(A172&lt;&gt;"",INDEX('Base de données'!A$4:L$990,MATCH(A172,'Base de données'!A$4:A$990,0),2),"")</f>
        <v/>
      </c>
      <c r="C172" s="177" t="str">
        <f>IF(A172&lt;&gt;"",INDEX('Base de données'!A$4:L$990,MATCH(A172,'Base de données'!A$4:A$990,0),12),"")</f>
        <v/>
      </c>
      <c r="D172" s="544"/>
      <c r="E172" s="544"/>
      <c r="F172" s="544"/>
    </row>
    <row r="173" spans="1:6" x14ac:dyDescent="0.25">
      <c r="A173" s="544"/>
      <c r="B173" s="177" t="str">
        <f>IF(A173&lt;&gt;"",INDEX('Base de données'!A$4:L$990,MATCH(A173,'Base de données'!A$4:A$990,0),2),"")</f>
        <v/>
      </c>
      <c r="C173" s="177" t="str">
        <f>IF(A173&lt;&gt;"",INDEX('Base de données'!A$4:L$990,MATCH(A173,'Base de données'!A$4:A$990,0),12),"")</f>
        <v/>
      </c>
      <c r="D173" s="544"/>
      <c r="E173" s="544"/>
      <c r="F173" s="544"/>
    </row>
    <row r="174" spans="1:6" x14ac:dyDescent="0.25">
      <c r="A174" s="544"/>
      <c r="B174" s="177" t="str">
        <f>IF(A174&lt;&gt;"",INDEX('Base de données'!A$4:L$990,MATCH(A174,'Base de données'!A$4:A$990,0),2),"")</f>
        <v/>
      </c>
      <c r="C174" s="177" t="str">
        <f>IF(A174&lt;&gt;"",INDEX('Base de données'!A$4:L$990,MATCH(A174,'Base de données'!A$4:A$990,0),12),"")</f>
        <v/>
      </c>
      <c r="D174" s="544"/>
      <c r="E174" s="544"/>
      <c r="F174" s="544"/>
    </row>
    <row r="175" spans="1:6" x14ac:dyDescent="0.25">
      <c r="A175" s="544"/>
      <c r="B175" s="177" t="str">
        <f>IF(A175&lt;&gt;"",INDEX('Base de données'!A$4:L$990,MATCH(A175,'Base de données'!A$4:A$990,0),2),"")</f>
        <v/>
      </c>
      <c r="C175" s="177" t="str">
        <f>IF(A175&lt;&gt;"",INDEX('Base de données'!A$4:L$990,MATCH(A175,'Base de données'!A$4:A$990,0),12),"")</f>
        <v/>
      </c>
      <c r="D175" s="544"/>
      <c r="E175" s="544"/>
      <c r="F175" s="544"/>
    </row>
    <row r="176" spans="1:6" x14ac:dyDescent="0.25">
      <c r="A176" s="544"/>
      <c r="B176" s="177" t="str">
        <f>IF(A176&lt;&gt;"",INDEX('Base de données'!A$4:L$990,MATCH(A176,'Base de données'!A$4:A$990,0),2),"")</f>
        <v/>
      </c>
      <c r="C176" s="177" t="str">
        <f>IF(A176&lt;&gt;"",INDEX('Base de données'!A$4:L$990,MATCH(A176,'Base de données'!A$4:A$990,0),12),"")</f>
        <v/>
      </c>
      <c r="D176" s="544"/>
      <c r="E176" s="544"/>
      <c r="F176" s="544"/>
    </row>
    <row r="177" spans="1:6" x14ac:dyDescent="0.25">
      <c r="A177" s="544"/>
      <c r="B177" s="177" t="str">
        <f>IF(A177&lt;&gt;"",INDEX('Base de données'!A$4:L$990,MATCH(A177,'Base de données'!A$4:A$990,0),2),"")</f>
        <v/>
      </c>
      <c r="C177" s="177" t="str">
        <f>IF(A177&lt;&gt;"",INDEX('Base de données'!A$4:L$990,MATCH(A177,'Base de données'!A$4:A$990,0),12),"")</f>
        <v/>
      </c>
      <c r="D177" s="544"/>
      <c r="E177" s="544"/>
      <c r="F177" s="544"/>
    </row>
    <row r="178" spans="1:6" x14ac:dyDescent="0.25">
      <c r="A178" s="544"/>
      <c r="B178" s="177" t="str">
        <f>IF(A178&lt;&gt;"",INDEX('Base de données'!A$4:L$990,MATCH(A178,'Base de données'!A$4:A$990,0),2),"")</f>
        <v/>
      </c>
      <c r="C178" s="177" t="str">
        <f>IF(A178&lt;&gt;"",INDEX('Base de données'!A$4:L$990,MATCH(A178,'Base de données'!A$4:A$990,0),12),"")</f>
        <v/>
      </c>
      <c r="D178" s="544"/>
      <c r="E178" s="544"/>
      <c r="F178" s="544"/>
    </row>
    <row r="179" spans="1:6" x14ac:dyDescent="0.25">
      <c r="A179" s="544"/>
      <c r="B179" s="177" t="str">
        <f>IF(A179&lt;&gt;"",INDEX('Base de données'!A$4:L$990,MATCH(A179,'Base de données'!A$4:A$990,0),2),"")</f>
        <v/>
      </c>
      <c r="C179" s="177" t="str">
        <f>IF(A179&lt;&gt;"",INDEX('Base de données'!A$4:L$990,MATCH(A179,'Base de données'!A$4:A$990,0),12),"")</f>
        <v/>
      </c>
      <c r="D179" s="544"/>
      <c r="E179" s="544"/>
      <c r="F179" s="544"/>
    </row>
    <row r="180" spans="1:6" x14ac:dyDescent="0.25">
      <c r="A180" s="544"/>
      <c r="B180" s="177" t="str">
        <f>IF(A180&lt;&gt;"",INDEX('Base de données'!A$4:L$990,MATCH(A180,'Base de données'!A$4:A$990,0),2),"")</f>
        <v/>
      </c>
      <c r="C180" s="177" t="str">
        <f>IF(A180&lt;&gt;"",INDEX('Base de données'!A$4:L$990,MATCH(A180,'Base de données'!A$4:A$990,0),12),"")</f>
        <v/>
      </c>
      <c r="D180" s="544"/>
      <c r="E180" s="544"/>
      <c r="F180" s="544"/>
    </row>
    <row r="181" spans="1:6" x14ac:dyDescent="0.25">
      <c r="A181" s="544"/>
      <c r="B181" s="177" t="str">
        <f>IF(A181&lt;&gt;"",INDEX('Base de données'!A$4:L$990,MATCH(A181,'Base de données'!A$4:A$990,0),2),"")</f>
        <v/>
      </c>
      <c r="C181" s="177" t="str">
        <f>IF(A181&lt;&gt;"",INDEX('Base de données'!A$4:L$990,MATCH(A181,'Base de données'!A$4:A$990,0),12),"")</f>
        <v/>
      </c>
      <c r="D181" s="544"/>
      <c r="E181" s="544"/>
      <c r="F181" s="544"/>
    </row>
    <row r="182" spans="1:6" x14ac:dyDescent="0.25">
      <c r="A182" s="544"/>
      <c r="B182" s="177" t="str">
        <f>IF(A182&lt;&gt;"",INDEX('Base de données'!A$4:L$990,MATCH(A182,'Base de données'!A$4:A$990,0),2),"")</f>
        <v/>
      </c>
      <c r="C182" s="177" t="str">
        <f>IF(A182&lt;&gt;"",INDEX('Base de données'!A$4:L$990,MATCH(A182,'Base de données'!A$4:A$990,0),12),"")</f>
        <v/>
      </c>
      <c r="D182" s="544"/>
      <c r="E182" s="544"/>
      <c r="F182" s="544"/>
    </row>
    <row r="183" spans="1:6" x14ac:dyDescent="0.25">
      <c r="A183" s="544"/>
      <c r="B183" s="177" t="str">
        <f>IF(A183&lt;&gt;"",INDEX('Base de données'!A$4:L$990,MATCH(A183,'Base de données'!A$4:A$990,0),2),"")</f>
        <v/>
      </c>
      <c r="C183" s="177" t="str">
        <f>IF(A183&lt;&gt;"",INDEX('Base de données'!A$4:L$990,MATCH(A183,'Base de données'!A$4:A$990,0),12),"")</f>
        <v/>
      </c>
      <c r="D183" s="544"/>
      <c r="E183" s="544"/>
      <c r="F183" s="544"/>
    </row>
    <row r="184" spans="1:6" x14ac:dyDescent="0.25">
      <c r="A184" s="544"/>
      <c r="B184" s="177" t="str">
        <f>IF(A184&lt;&gt;"",INDEX('Base de données'!A$4:L$990,MATCH(A184,'Base de données'!A$4:A$990,0),2),"")</f>
        <v/>
      </c>
      <c r="C184" s="177" t="str">
        <f>IF(A184&lt;&gt;"",INDEX('Base de données'!A$4:L$990,MATCH(A184,'Base de données'!A$4:A$990,0),12),"")</f>
        <v/>
      </c>
      <c r="D184" s="544"/>
      <c r="E184" s="544"/>
      <c r="F184" s="544"/>
    </row>
    <row r="185" spans="1:6" x14ac:dyDescent="0.25">
      <c r="A185" s="544"/>
      <c r="B185" s="177" t="str">
        <f>IF(A185&lt;&gt;"",INDEX('Base de données'!A$4:L$990,MATCH(A185,'Base de données'!A$4:A$990,0),2),"")</f>
        <v/>
      </c>
      <c r="C185" s="177" t="str">
        <f>IF(A185&lt;&gt;"",INDEX('Base de données'!A$4:L$990,MATCH(A185,'Base de données'!A$4:A$990,0),12),"")</f>
        <v/>
      </c>
      <c r="D185" s="544"/>
      <c r="E185" s="544"/>
      <c r="F185" s="544"/>
    </row>
    <row r="186" spans="1:6" x14ac:dyDescent="0.25">
      <c r="A186" s="544"/>
      <c r="B186" s="177" t="str">
        <f>IF(A186&lt;&gt;"",INDEX('Base de données'!A$4:L$990,MATCH(A186,'Base de données'!A$4:A$990,0),2),"")</f>
        <v/>
      </c>
      <c r="C186" s="177" t="str">
        <f>IF(A186&lt;&gt;"",INDEX('Base de données'!A$4:L$990,MATCH(A186,'Base de données'!A$4:A$990,0),12),"")</f>
        <v/>
      </c>
      <c r="D186" s="544"/>
      <c r="E186" s="544"/>
      <c r="F186" s="544"/>
    </row>
    <row r="187" spans="1:6" x14ac:dyDescent="0.25">
      <c r="A187" s="544"/>
      <c r="B187" s="177" t="str">
        <f>IF(A187&lt;&gt;"",INDEX('Base de données'!A$4:L$990,MATCH(A187,'Base de données'!A$4:A$990,0),2),"")</f>
        <v/>
      </c>
      <c r="C187" s="177" t="str">
        <f>IF(A187&lt;&gt;"",INDEX('Base de données'!A$4:L$990,MATCH(A187,'Base de données'!A$4:A$990,0),12),"")</f>
        <v/>
      </c>
      <c r="D187" s="544"/>
      <c r="E187" s="544"/>
      <c r="F187" s="544"/>
    </row>
    <row r="188" spans="1:6" x14ac:dyDescent="0.25">
      <c r="A188" s="544"/>
      <c r="B188" s="177" t="str">
        <f>IF(A188&lt;&gt;"",INDEX('Base de données'!A$4:L$990,MATCH(A188,'Base de données'!A$4:A$990,0),2),"")</f>
        <v/>
      </c>
      <c r="C188" s="177" t="str">
        <f>IF(A188&lt;&gt;"",INDEX('Base de données'!A$4:L$990,MATCH(A188,'Base de données'!A$4:A$990,0),12),"")</f>
        <v/>
      </c>
      <c r="D188" s="544"/>
      <c r="E188" s="544"/>
      <c r="F188" s="544"/>
    </row>
    <row r="189" spans="1:6" x14ac:dyDescent="0.25">
      <c r="A189" s="544"/>
      <c r="B189" s="177" t="str">
        <f>IF(A189&lt;&gt;"",INDEX('Base de données'!A$4:L$990,MATCH(A189,'Base de données'!A$4:A$990,0),2),"")</f>
        <v/>
      </c>
      <c r="C189" s="177" t="str">
        <f>IF(A189&lt;&gt;"",INDEX('Base de données'!A$4:L$990,MATCH(A189,'Base de données'!A$4:A$990,0),12),"")</f>
        <v/>
      </c>
      <c r="D189" s="544"/>
      <c r="E189" s="544"/>
      <c r="F189" s="544"/>
    </row>
    <row r="190" spans="1:6" x14ac:dyDescent="0.25">
      <c r="A190" s="544"/>
      <c r="B190" s="177" t="str">
        <f>IF(A190&lt;&gt;"",INDEX('Base de données'!A$4:L$990,MATCH(A190,'Base de données'!A$4:A$990,0),2),"")</f>
        <v/>
      </c>
      <c r="C190" s="177" t="str">
        <f>IF(A190&lt;&gt;"",INDEX('Base de données'!A$4:L$990,MATCH(A190,'Base de données'!A$4:A$990,0),12),"")</f>
        <v/>
      </c>
      <c r="D190" s="544"/>
      <c r="E190" s="544"/>
      <c r="F190" s="544"/>
    </row>
    <row r="191" spans="1:6" x14ac:dyDescent="0.25">
      <c r="A191" s="544"/>
      <c r="B191" s="177" t="str">
        <f>IF(A191&lt;&gt;"",INDEX('Base de données'!A$4:L$990,MATCH(A191,'Base de données'!A$4:A$990,0),2),"")</f>
        <v/>
      </c>
      <c r="C191" s="177" t="str">
        <f>IF(A191&lt;&gt;"",INDEX('Base de données'!A$4:L$990,MATCH(A191,'Base de données'!A$4:A$990,0),12),"")</f>
        <v/>
      </c>
      <c r="D191" s="544"/>
      <c r="E191" s="544"/>
      <c r="F191" s="544"/>
    </row>
    <row r="192" spans="1:6" x14ac:dyDescent="0.25">
      <c r="A192" s="544"/>
      <c r="B192" s="177" t="str">
        <f>IF(A192&lt;&gt;"",INDEX('Base de données'!A$4:L$990,MATCH(A192,'Base de données'!A$4:A$990,0),2),"")</f>
        <v/>
      </c>
      <c r="C192" s="177" t="str">
        <f>IF(A192&lt;&gt;"",INDEX('Base de données'!A$4:L$990,MATCH(A192,'Base de données'!A$4:A$990,0),12),"")</f>
        <v/>
      </c>
      <c r="D192" s="544"/>
      <c r="E192" s="544"/>
      <c r="F192" s="544"/>
    </row>
    <row r="193" spans="1:6" x14ac:dyDescent="0.25">
      <c r="A193" s="544"/>
      <c r="B193" s="177" t="str">
        <f>IF(A193&lt;&gt;"",INDEX('Base de données'!A$4:L$990,MATCH(A193,'Base de données'!A$4:A$990,0),2),"")</f>
        <v/>
      </c>
      <c r="C193" s="177" t="str">
        <f>IF(A193&lt;&gt;"",INDEX('Base de données'!A$4:L$990,MATCH(A193,'Base de données'!A$4:A$990,0),12),"")</f>
        <v/>
      </c>
      <c r="D193" s="544"/>
      <c r="E193" s="544"/>
      <c r="F193" s="544"/>
    </row>
    <row r="194" spans="1:6" x14ac:dyDescent="0.25">
      <c r="A194" s="544"/>
      <c r="B194" s="177" t="str">
        <f>IF(A194&lt;&gt;"",INDEX('Base de données'!A$4:L$990,MATCH(A194,'Base de données'!A$4:A$990,0),2),"")</f>
        <v/>
      </c>
      <c r="C194" s="177" t="str">
        <f>IF(A194&lt;&gt;"",INDEX('Base de données'!A$4:L$990,MATCH(A194,'Base de données'!A$4:A$990,0),12),"")</f>
        <v/>
      </c>
      <c r="D194" s="544"/>
      <c r="E194" s="544"/>
      <c r="F194" s="544"/>
    </row>
    <row r="195" spans="1:6" x14ac:dyDescent="0.25">
      <c r="A195" s="544"/>
      <c r="B195" s="177" t="str">
        <f>IF(A195&lt;&gt;"",INDEX('Base de données'!A$4:L$990,MATCH(A195,'Base de données'!A$4:A$990,0),2),"")</f>
        <v/>
      </c>
      <c r="C195" s="177" t="str">
        <f>IF(A195&lt;&gt;"",INDEX('Base de données'!A$4:L$990,MATCH(A195,'Base de données'!A$4:A$990,0),12),"")</f>
        <v/>
      </c>
      <c r="D195" s="544"/>
      <c r="E195" s="544"/>
      <c r="F195" s="544"/>
    </row>
    <row r="196" spans="1:6" x14ac:dyDescent="0.25">
      <c r="A196" s="544"/>
      <c r="B196" s="177" t="str">
        <f>IF(A196&lt;&gt;"",INDEX('Base de données'!A$4:L$990,MATCH(A196,'Base de données'!A$4:A$990,0),2),"")</f>
        <v/>
      </c>
      <c r="C196" s="177" t="str">
        <f>IF(A196&lt;&gt;"",INDEX('Base de données'!A$4:L$990,MATCH(A196,'Base de données'!A$4:A$990,0),12),"")</f>
        <v/>
      </c>
      <c r="D196" s="544"/>
      <c r="E196" s="544"/>
      <c r="F196" s="544"/>
    </row>
    <row r="197" spans="1:6" x14ac:dyDescent="0.25">
      <c r="A197" s="544"/>
      <c r="B197" s="177" t="str">
        <f>IF(A197&lt;&gt;"",INDEX('Base de données'!A$4:L$990,MATCH(A197,'Base de données'!A$4:A$990,0),2),"")</f>
        <v/>
      </c>
      <c r="C197" s="177" t="str">
        <f>IF(A197&lt;&gt;"",INDEX('Base de données'!A$4:L$990,MATCH(A197,'Base de données'!A$4:A$990,0),12),"")</f>
        <v/>
      </c>
      <c r="D197" s="544"/>
      <c r="E197" s="544"/>
      <c r="F197" s="544"/>
    </row>
    <row r="198" spans="1:6" x14ac:dyDescent="0.25">
      <c r="A198" s="544"/>
      <c r="B198" s="177" t="str">
        <f>IF(A198&lt;&gt;"",INDEX('Base de données'!A$4:L$990,MATCH(A198,'Base de données'!A$4:A$990,0),2),"")</f>
        <v/>
      </c>
      <c r="C198" s="177" t="str">
        <f>IF(A198&lt;&gt;"",INDEX('Base de données'!A$4:L$990,MATCH(A198,'Base de données'!A$4:A$990,0),12),"")</f>
        <v/>
      </c>
      <c r="D198" s="544"/>
      <c r="E198" s="544"/>
      <c r="F198" s="544"/>
    </row>
    <row r="199" spans="1:6" x14ac:dyDescent="0.25">
      <c r="A199" s="544"/>
      <c r="B199" s="177" t="str">
        <f>IF(A199&lt;&gt;"",INDEX('Base de données'!A$4:L$990,MATCH(A199,'Base de données'!A$4:A$990,0),2),"")</f>
        <v/>
      </c>
      <c r="C199" s="177" t="str">
        <f>IF(A199&lt;&gt;"",INDEX('Base de données'!A$4:L$990,MATCH(A199,'Base de données'!A$4:A$990,0),12),"")</f>
        <v/>
      </c>
      <c r="D199" s="544"/>
      <c r="E199" s="544"/>
      <c r="F199" s="544"/>
    </row>
    <row r="200" spans="1:6" x14ac:dyDescent="0.25">
      <c r="A200" s="544"/>
      <c r="B200" s="177" t="str">
        <f>IF(A200&lt;&gt;"",INDEX('Base de données'!A$4:L$990,MATCH(A200,'Base de données'!A$4:A$990,0),2),"")</f>
        <v/>
      </c>
      <c r="C200" s="177" t="str">
        <f>IF(A200&lt;&gt;"",INDEX('Base de données'!A$4:L$990,MATCH(A200,'Base de données'!A$4:A$990,0),12),"")</f>
        <v/>
      </c>
      <c r="D200" s="544"/>
      <c r="E200" s="544"/>
      <c r="F200" s="544"/>
    </row>
    <row r="201" spans="1:6" x14ac:dyDescent="0.25">
      <c r="A201" s="544"/>
      <c r="B201" s="177" t="str">
        <f>IF(A201&lt;&gt;"",INDEX('Base de données'!A$4:L$990,MATCH(A201,'Base de données'!A$4:A$990,0),2),"")</f>
        <v/>
      </c>
      <c r="C201" s="177" t="str">
        <f>IF(A201&lt;&gt;"",INDEX('Base de données'!A$4:L$990,MATCH(A201,'Base de données'!A$4:A$990,0),12),"")</f>
        <v/>
      </c>
      <c r="D201" s="544"/>
      <c r="E201" s="544"/>
      <c r="F201" s="544"/>
    </row>
    <row r="202" spans="1:6" x14ac:dyDescent="0.25">
      <c r="A202" s="544"/>
      <c r="B202" s="177" t="str">
        <f>IF(A202&lt;&gt;"",INDEX('Base de données'!A$4:L$990,MATCH(A202,'Base de données'!A$4:A$990,0),2),"")</f>
        <v/>
      </c>
      <c r="C202" s="177" t="str">
        <f>IF(A202&lt;&gt;"",INDEX('Base de données'!A$4:L$990,MATCH(A202,'Base de données'!A$4:A$990,0),12),"")</f>
        <v/>
      </c>
      <c r="D202" s="544"/>
      <c r="E202" s="544"/>
      <c r="F202" s="544"/>
    </row>
    <row r="203" spans="1:6" x14ac:dyDescent="0.25">
      <c r="A203" s="544"/>
      <c r="B203" s="177" t="str">
        <f>IF(A203&lt;&gt;"",INDEX('Base de données'!A$4:L$990,MATCH(A203,'Base de données'!A$4:A$990,0),2),"")</f>
        <v/>
      </c>
      <c r="C203" s="177" t="str">
        <f>IF(A203&lt;&gt;"",INDEX('Base de données'!A$4:L$990,MATCH(A203,'Base de données'!A$4:A$990,0),12),"")</f>
        <v/>
      </c>
      <c r="D203" s="544"/>
      <c r="E203" s="544"/>
      <c r="F203" s="544"/>
    </row>
    <row r="204" spans="1:6" x14ac:dyDescent="0.25">
      <c r="A204" s="544"/>
      <c r="B204" s="177" t="str">
        <f>IF(A204&lt;&gt;"",INDEX('Base de données'!A$4:L$990,MATCH(A204,'Base de données'!A$4:A$990,0),2),"")</f>
        <v/>
      </c>
      <c r="C204" s="177" t="str">
        <f>IF(A204&lt;&gt;"",INDEX('Base de données'!A$4:L$990,MATCH(A204,'Base de données'!A$4:A$990,0),12),"")</f>
        <v/>
      </c>
      <c r="D204" s="544"/>
      <c r="E204" s="544"/>
      <c r="F204" s="544"/>
    </row>
    <row r="205" spans="1:6" x14ac:dyDescent="0.25">
      <c r="A205" s="544"/>
      <c r="B205" s="177" t="str">
        <f>IF(A205&lt;&gt;"",INDEX('Base de données'!A$4:L$990,MATCH(A205,'Base de données'!A$4:A$990,0),2),"")</f>
        <v/>
      </c>
      <c r="C205" s="177" t="str">
        <f>IF(A205&lt;&gt;"",INDEX('Base de données'!A$4:L$990,MATCH(A205,'Base de données'!A$4:A$990,0),12),"")</f>
        <v/>
      </c>
      <c r="D205" s="544"/>
      <c r="E205" s="544"/>
      <c r="F205" s="544"/>
    </row>
    <row r="206" spans="1:6" x14ac:dyDescent="0.25">
      <c r="A206" s="544"/>
      <c r="B206" s="177" t="str">
        <f>IF(A206&lt;&gt;"",INDEX('Base de données'!A$4:L$990,MATCH(A206,'Base de données'!A$4:A$990,0),2),"")</f>
        <v/>
      </c>
      <c r="C206" s="177" t="str">
        <f>IF(A206&lt;&gt;"",INDEX('Base de données'!A$4:L$990,MATCH(A206,'Base de données'!A$4:A$990,0),12),"")</f>
        <v/>
      </c>
      <c r="D206" s="544"/>
      <c r="E206" s="544"/>
      <c r="F206" s="544"/>
    </row>
    <row r="207" spans="1:6" x14ac:dyDescent="0.25">
      <c r="A207" s="544"/>
      <c r="B207" s="177" t="str">
        <f>IF(A207&lt;&gt;"",INDEX('Base de données'!A$4:L$990,MATCH(A207,'Base de données'!A$4:A$990,0),2),"")</f>
        <v/>
      </c>
      <c r="C207" s="177" t="str">
        <f>IF(A207&lt;&gt;"",INDEX('Base de données'!A$4:L$990,MATCH(A207,'Base de données'!A$4:A$990,0),12),"")</f>
        <v/>
      </c>
      <c r="D207" s="544"/>
      <c r="E207" s="544"/>
      <c r="F207" s="544"/>
    </row>
    <row r="208" spans="1:6" x14ac:dyDescent="0.25">
      <c r="A208" s="544"/>
      <c r="B208" s="177" t="str">
        <f>IF(A208&lt;&gt;"",INDEX('Base de données'!A$4:L$990,MATCH(A208,'Base de données'!A$4:A$990,0),2),"")</f>
        <v/>
      </c>
      <c r="C208" s="177" t="str">
        <f>IF(A208&lt;&gt;"",INDEX('Base de données'!A$4:L$990,MATCH(A208,'Base de données'!A$4:A$990,0),12),"")</f>
        <v/>
      </c>
      <c r="D208" s="544"/>
      <c r="E208" s="544"/>
      <c r="F208" s="544"/>
    </row>
    <row r="209" spans="1:6" x14ac:dyDescent="0.25">
      <c r="A209" s="544"/>
      <c r="B209" s="177" t="str">
        <f>IF(A209&lt;&gt;"",INDEX('Base de données'!A$4:L$990,MATCH(A209,'Base de données'!A$4:A$990,0),2),"")</f>
        <v/>
      </c>
      <c r="C209" s="177" t="str">
        <f>IF(A209&lt;&gt;"",INDEX('Base de données'!A$4:L$990,MATCH(A209,'Base de données'!A$4:A$990,0),12),"")</f>
        <v/>
      </c>
      <c r="D209" s="544"/>
      <c r="E209" s="544"/>
      <c r="F209" s="544"/>
    </row>
    <row r="210" spans="1:6" x14ac:dyDescent="0.25">
      <c r="A210" s="544"/>
      <c r="B210" s="177" t="str">
        <f>IF(A210&lt;&gt;"",INDEX('Base de données'!A$4:L$990,MATCH(A210,'Base de données'!A$4:A$990,0),2),"")</f>
        <v/>
      </c>
      <c r="C210" s="177" t="str">
        <f>IF(A210&lt;&gt;"",INDEX('Base de données'!A$4:L$990,MATCH(A210,'Base de données'!A$4:A$990,0),12),"")</f>
        <v/>
      </c>
      <c r="D210" s="544"/>
      <c r="E210" s="544"/>
      <c r="F210" s="544"/>
    </row>
    <row r="211" spans="1:6" x14ac:dyDescent="0.25">
      <c r="A211" s="544"/>
      <c r="B211" s="177" t="str">
        <f>IF(A211&lt;&gt;"",INDEX('Base de données'!A$4:L$990,MATCH(A211,'Base de données'!A$4:A$990,0),2),"")</f>
        <v/>
      </c>
      <c r="C211" s="177" t="str">
        <f>IF(A211&lt;&gt;"",INDEX('Base de données'!A$4:L$990,MATCH(A211,'Base de données'!A$4:A$990,0),12),"")</f>
        <v/>
      </c>
      <c r="D211" s="544"/>
      <c r="E211" s="544"/>
      <c r="F211" s="544"/>
    </row>
    <row r="212" spans="1:6" x14ac:dyDescent="0.25">
      <c r="A212" s="544"/>
      <c r="B212" s="177" t="str">
        <f>IF(A212&lt;&gt;"",INDEX('Base de données'!A$4:L$990,MATCH(A212,'Base de données'!A$4:A$990,0),2),"")</f>
        <v/>
      </c>
      <c r="C212" s="177" t="str">
        <f>IF(A212&lt;&gt;"",INDEX('Base de données'!A$4:L$990,MATCH(A212,'Base de données'!A$4:A$990,0),12),"")</f>
        <v/>
      </c>
      <c r="D212" s="544"/>
      <c r="E212" s="544"/>
      <c r="F212" s="544"/>
    </row>
    <row r="213" spans="1:6" x14ac:dyDescent="0.25">
      <c r="A213" s="544"/>
      <c r="B213" s="177" t="str">
        <f>IF(A213&lt;&gt;"",INDEX('Base de données'!A$4:L$990,MATCH(A213,'Base de données'!A$4:A$990,0),2),"")</f>
        <v/>
      </c>
      <c r="C213" s="177" t="str">
        <f>IF(A213&lt;&gt;"",INDEX('Base de données'!A$4:L$990,MATCH(A213,'Base de données'!A$4:A$990,0),12),"")</f>
        <v/>
      </c>
      <c r="D213" s="544"/>
      <c r="E213" s="544"/>
      <c r="F213" s="544"/>
    </row>
    <row r="214" spans="1:6" x14ac:dyDescent="0.25">
      <c r="A214" s="544"/>
      <c r="B214" s="177" t="str">
        <f>IF(A214&lt;&gt;"",INDEX('Base de données'!A$4:L$990,MATCH(A214,'Base de données'!A$4:A$990,0),2),"")</f>
        <v/>
      </c>
      <c r="C214" s="177" t="str">
        <f>IF(A214&lt;&gt;"",INDEX('Base de données'!A$4:L$990,MATCH(A214,'Base de données'!A$4:A$990,0),12),"")</f>
        <v/>
      </c>
      <c r="D214" s="544"/>
      <c r="E214" s="544"/>
      <c r="F214" s="544"/>
    </row>
    <row r="215" spans="1:6" x14ac:dyDescent="0.25">
      <c r="A215" s="544"/>
      <c r="B215" s="177" t="str">
        <f>IF(A215&lt;&gt;"",INDEX('Base de données'!A$4:L$990,MATCH(A215,'Base de données'!A$4:A$990,0),2),"")</f>
        <v/>
      </c>
      <c r="C215" s="177" t="str">
        <f>IF(A215&lt;&gt;"",INDEX('Base de données'!A$4:L$990,MATCH(A215,'Base de données'!A$4:A$990,0),12),"")</f>
        <v/>
      </c>
      <c r="D215" s="544"/>
      <c r="E215" s="544"/>
      <c r="F215" s="544"/>
    </row>
    <row r="216" spans="1:6" x14ac:dyDescent="0.25">
      <c r="A216" s="544"/>
      <c r="B216" s="177" t="str">
        <f>IF(A216&lt;&gt;"",INDEX('Base de données'!A$4:L$990,MATCH(A216,'Base de données'!A$4:A$990,0),2),"")</f>
        <v/>
      </c>
      <c r="C216" s="177" t="str">
        <f>IF(A216&lt;&gt;"",INDEX('Base de données'!A$4:L$990,MATCH(A216,'Base de données'!A$4:A$990,0),12),"")</f>
        <v/>
      </c>
      <c r="D216" s="544"/>
      <c r="E216" s="544"/>
      <c r="F216" s="544"/>
    </row>
    <row r="217" spans="1:6" x14ac:dyDescent="0.25">
      <c r="A217" s="544"/>
      <c r="B217" s="177" t="str">
        <f>IF(A217&lt;&gt;"",INDEX('Base de données'!A$4:L$990,MATCH(A217,'Base de données'!A$4:A$990,0),2),"")</f>
        <v/>
      </c>
      <c r="C217" s="177" t="str">
        <f>IF(A217&lt;&gt;"",INDEX('Base de données'!A$4:L$990,MATCH(A217,'Base de données'!A$4:A$990,0),12),"")</f>
        <v/>
      </c>
      <c r="D217" s="544"/>
      <c r="E217" s="544"/>
      <c r="F217" s="544"/>
    </row>
    <row r="218" spans="1:6" x14ac:dyDescent="0.25">
      <c r="A218" s="544"/>
      <c r="B218" s="177" t="str">
        <f>IF(A218&lt;&gt;"",INDEX('Base de données'!A$4:L$990,MATCH(A218,'Base de données'!A$4:A$990,0),2),"")</f>
        <v/>
      </c>
      <c r="C218" s="177" t="str">
        <f>IF(A218&lt;&gt;"",INDEX('Base de données'!A$4:L$990,MATCH(A218,'Base de données'!A$4:A$990,0),12),"")</f>
        <v/>
      </c>
      <c r="D218" s="544"/>
      <c r="E218" s="544"/>
      <c r="F218" s="544"/>
    </row>
    <row r="219" spans="1:6" x14ac:dyDescent="0.25">
      <c r="A219" s="544"/>
      <c r="B219" s="177" t="str">
        <f>IF(A219&lt;&gt;"",INDEX('Base de données'!A$4:L$990,MATCH(A219,'Base de données'!A$4:A$990,0),2),"")</f>
        <v/>
      </c>
      <c r="C219" s="177" t="str">
        <f>IF(A219&lt;&gt;"",INDEX('Base de données'!A$4:L$990,MATCH(A219,'Base de données'!A$4:A$990,0),12),"")</f>
        <v/>
      </c>
      <c r="D219" s="544"/>
      <c r="E219" s="544"/>
      <c r="F219" s="544"/>
    </row>
    <row r="220" spans="1:6" x14ac:dyDescent="0.25">
      <c r="A220" s="544"/>
      <c r="B220" s="177" t="str">
        <f>IF(A220&lt;&gt;"",INDEX('Base de données'!A$4:L$990,MATCH(A220,'Base de données'!A$4:A$990,0),2),"")</f>
        <v/>
      </c>
      <c r="C220" s="177" t="str">
        <f>IF(A220&lt;&gt;"",INDEX('Base de données'!A$4:L$990,MATCH(A220,'Base de données'!A$4:A$990,0),12),"")</f>
        <v/>
      </c>
      <c r="D220" s="544"/>
      <c r="E220" s="544"/>
      <c r="F220" s="544"/>
    </row>
    <row r="221" spans="1:6" x14ac:dyDescent="0.25">
      <c r="A221" s="544"/>
      <c r="B221" s="177" t="str">
        <f>IF(A221&lt;&gt;"",INDEX('Base de données'!A$4:L$990,MATCH(A221,'Base de données'!A$4:A$990,0),2),"")</f>
        <v/>
      </c>
      <c r="C221" s="177" t="str">
        <f>IF(A221&lt;&gt;"",INDEX('Base de données'!A$4:L$990,MATCH(A221,'Base de données'!A$4:A$990,0),12),"")</f>
        <v/>
      </c>
      <c r="D221" s="544"/>
      <c r="E221" s="544"/>
      <c r="F221" s="544"/>
    </row>
    <row r="222" spans="1:6" x14ac:dyDescent="0.25">
      <c r="A222" s="544"/>
      <c r="B222" s="177" t="str">
        <f>IF(A222&lt;&gt;"",INDEX('Base de données'!A$4:L$990,MATCH(A222,'Base de données'!A$4:A$990,0),2),"")</f>
        <v/>
      </c>
      <c r="C222" s="177" t="str">
        <f>IF(A222&lt;&gt;"",INDEX('Base de données'!A$4:L$990,MATCH(A222,'Base de données'!A$4:A$990,0),12),"")</f>
        <v/>
      </c>
      <c r="D222" s="544"/>
      <c r="E222" s="544"/>
      <c r="F222" s="544"/>
    </row>
    <row r="223" spans="1:6" x14ac:dyDescent="0.25">
      <c r="A223" s="544"/>
      <c r="B223" s="177" t="str">
        <f>IF(A223&lt;&gt;"",INDEX('Base de données'!A$4:L$990,MATCH(A223,'Base de données'!A$4:A$990,0),2),"")</f>
        <v/>
      </c>
      <c r="C223" s="177" t="str">
        <f>IF(A223&lt;&gt;"",INDEX('Base de données'!A$4:L$990,MATCH(A223,'Base de données'!A$4:A$990,0),12),"")</f>
        <v/>
      </c>
      <c r="D223" s="544"/>
      <c r="E223" s="544"/>
      <c r="F223" s="544"/>
    </row>
    <row r="224" spans="1:6" x14ac:dyDescent="0.25">
      <c r="A224" s="544"/>
      <c r="B224" s="177" t="str">
        <f>IF(A224&lt;&gt;"",INDEX('Base de données'!A$4:L$990,MATCH(A224,'Base de données'!A$4:A$990,0),2),"")</f>
        <v/>
      </c>
      <c r="C224" s="177" t="str">
        <f>IF(A224&lt;&gt;"",INDEX('Base de données'!A$4:L$990,MATCH(A224,'Base de données'!A$4:A$990,0),12),"")</f>
        <v/>
      </c>
      <c r="D224" s="544"/>
      <c r="E224" s="544"/>
      <c r="F224" s="544"/>
    </row>
    <row r="225" spans="1:6" x14ac:dyDescent="0.25">
      <c r="A225" s="544"/>
      <c r="B225" s="177" t="str">
        <f>IF(A225&lt;&gt;"",INDEX('Base de données'!A$4:L$990,MATCH(A225,'Base de données'!A$4:A$990,0),2),"")</f>
        <v/>
      </c>
      <c r="C225" s="177" t="str">
        <f>IF(A225&lt;&gt;"",INDEX('Base de données'!A$4:L$990,MATCH(A225,'Base de données'!A$4:A$990,0),12),"")</f>
        <v/>
      </c>
      <c r="D225" s="544"/>
      <c r="E225" s="544"/>
      <c r="F225" s="544"/>
    </row>
    <row r="226" spans="1:6" x14ac:dyDescent="0.25">
      <c r="A226" s="544"/>
      <c r="B226" s="177" t="str">
        <f>IF(A226&lt;&gt;"",INDEX('Base de données'!A$4:L$990,MATCH(A226,'Base de données'!A$4:A$990,0),2),"")</f>
        <v/>
      </c>
      <c r="C226" s="177" t="str">
        <f>IF(A226&lt;&gt;"",INDEX('Base de données'!A$4:L$990,MATCH(A226,'Base de données'!A$4:A$990,0),12),"")</f>
        <v/>
      </c>
      <c r="D226" s="544"/>
      <c r="E226" s="544"/>
      <c r="F226" s="544"/>
    </row>
    <row r="227" spans="1:6" x14ac:dyDescent="0.25">
      <c r="A227" s="544"/>
      <c r="B227" s="177" t="str">
        <f>IF(A227&lt;&gt;"",INDEX('Base de données'!A$4:L$990,MATCH(A227,'Base de données'!A$4:A$990,0),2),"")</f>
        <v/>
      </c>
      <c r="C227" s="177" t="str">
        <f>IF(A227&lt;&gt;"",INDEX('Base de données'!A$4:L$990,MATCH(A227,'Base de données'!A$4:A$990,0),12),"")</f>
        <v/>
      </c>
      <c r="D227" s="544"/>
      <c r="E227" s="544"/>
      <c r="F227" s="544"/>
    </row>
    <row r="228" spans="1:6" x14ac:dyDescent="0.25">
      <c r="A228" s="544"/>
      <c r="B228" s="177" t="str">
        <f>IF(A228&lt;&gt;"",INDEX('Base de données'!A$4:L$990,MATCH(A228,'Base de données'!A$4:A$990,0),2),"")</f>
        <v/>
      </c>
      <c r="C228" s="177" t="str">
        <f>IF(A228&lt;&gt;"",INDEX('Base de données'!A$4:L$990,MATCH(A228,'Base de données'!A$4:A$990,0),12),"")</f>
        <v/>
      </c>
      <c r="D228" s="544"/>
      <c r="E228" s="544"/>
      <c r="F228" s="544"/>
    </row>
    <row r="229" spans="1:6" x14ac:dyDescent="0.25">
      <c r="A229" s="544"/>
      <c r="B229" s="177" t="str">
        <f>IF(A229&lt;&gt;"",INDEX('Base de données'!A$4:L$990,MATCH(A229,'Base de données'!A$4:A$990,0),2),"")</f>
        <v/>
      </c>
      <c r="C229" s="177" t="str">
        <f>IF(A229&lt;&gt;"",INDEX('Base de données'!A$4:L$990,MATCH(A229,'Base de données'!A$4:A$990,0),12),"")</f>
        <v/>
      </c>
      <c r="D229" s="544"/>
      <c r="E229" s="544"/>
      <c r="F229" s="544"/>
    </row>
    <row r="230" spans="1:6" x14ac:dyDescent="0.25">
      <c r="A230" s="544"/>
      <c r="B230" s="177" t="str">
        <f>IF(A230&lt;&gt;"",INDEX('Base de données'!A$4:L$990,MATCH(A230,'Base de données'!A$4:A$990,0),2),"")</f>
        <v/>
      </c>
      <c r="C230" s="177" t="str">
        <f>IF(A230&lt;&gt;"",INDEX('Base de données'!A$4:L$990,MATCH(A230,'Base de données'!A$4:A$990,0),12),"")</f>
        <v/>
      </c>
      <c r="D230" s="544"/>
      <c r="E230" s="544"/>
      <c r="F230" s="544"/>
    </row>
    <row r="231" spans="1:6" x14ac:dyDescent="0.25">
      <c r="A231" s="544"/>
      <c r="B231" s="177" t="str">
        <f>IF(A231&lt;&gt;"",INDEX('Base de données'!A$4:L$990,MATCH(A231,'Base de données'!A$4:A$990,0),2),"")</f>
        <v/>
      </c>
      <c r="C231" s="177" t="str">
        <f>IF(A231&lt;&gt;"",INDEX('Base de données'!A$4:L$990,MATCH(A231,'Base de données'!A$4:A$990,0),12),"")</f>
        <v/>
      </c>
      <c r="D231" s="544"/>
      <c r="E231" s="544"/>
      <c r="F231" s="544"/>
    </row>
    <row r="232" spans="1:6" x14ac:dyDescent="0.25">
      <c r="A232" s="544"/>
      <c r="B232" s="177" t="str">
        <f>IF(A232&lt;&gt;"",INDEX('Base de données'!A$4:L$990,MATCH(A232,'Base de données'!A$4:A$990,0),2),"")</f>
        <v/>
      </c>
      <c r="C232" s="177" t="str">
        <f>IF(A232&lt;&gt;"",INDEX('Base de données'!A$4:L$990,MATCH(A232,'Base de données'!A$4:A$990,0),12),"")</f>
        <v/>
      </c>
      <c r="D232" s="544"/>
      <c r="E232" s="544"/>
      <c r="F232" s="544"/>
    </row>
    <row r="233" spans="1:6" x14ac:dyDescent="0.25">
      <c r="A233" s="544"/>
      <c r="B233" s="177" t="str">
        <f>IF(A233&lt;&gt;"",INDEX('Base de données'!A$4:L$990,MATCH(A233,'Base de données'!A$4:A$990,0),2),"")</f>
        <v/>
      </c>
      <c r="C233" s="177" t="str">
        <f>IF(A233&lt;&gt;"",INDEX('Base de données'!A$4:L$990,MATCH(A233,'Base de données'!A$4:A$990,0),12),"")</f>
        <v/>
      </c>
      <c r="D233" s="544"/>
      <c r="E233" s="544"/>
      <c r="F233" s="544"/>
    </row>
    <row r="234" spans="1:6" x14ac:dyDescent="0.25">
      <c r="A234" s="544"/>
      <c r="B234" s="177" t="str">
        <f>IF(A234&lt;&gt;"",INDEX('Base de données'!A$4:L$990,MATCH(A234,'Base de données'!A$4:A$990,0),2),"")</f>
        <v/>
      </c>
      <c r="C234" s="177" t="str">
        <f>IF(A234&lt;&gt;"",INDEX('Base de données'!A$4:L$990,MATCH(A234,'Base de données'!A$4:A$990,0),12),"")</f>
        <v/>
      </c>
      <c r="D234" s="544"/>
      <c r="E234" s="544"/>
      <c r="F234" s="544"/>
    </row>
    <row r="235" spans="1:6" x14ac:dyDescent="0.25">
      <c r="A235" s="544"/>
      <c r="B235" s="177" t="str">
        <f>IF(A235&lt;&gt;"",INDEX('Base de données'!A$4:L$990,MATCH(A235,'Base de données'!A$4:A$990,0),2),"")</f>
        <v/>
      </c>
      <c r="C235" s="177" t="str">
        <f>IF(A235&lt;&gt;"",INDEX('Base de données'!A$4:L$990,MATCH(A235,'Base de données'!A$4:A$990,0),12),"")</f>
        <v/>
      </c>
      <c r="D235" s="544"/>
      <c r="E235" s="544"/>
      <c r="F235" s="544"/>
    </row>
    <row r="236" spans="1:6" x14ac:dyDescent="0.25">
      <c r="A236" s="544"/>
      <c r="B236" s="177" t="str">
        <f>IF(A236&lt;&gt;"",INDEX('Base de données'!A$4:L$990,MATCH(A236,'Base de données'!A$4:A$990,0),2),"")</f>
        <v/>
      </c>
      <c r="C236" s="177" t="str">
        <f>IF(A236&lt;&gt;"",INDEX('Base de données'!A$4:L$990,MATCH(A236,'Base de données'!A$4:A$990,0),12),"")</f>
        <v/>
      </c>
      <c r="D236" s="544"/>
      <c r="E236" s="544"/>
      <c r="F236" s="544"/>
    </row>
    <row r="237" spans="1:6" x14ac:dyDescent="0.25">
      <c r="A237" s="544"/>
      <c r="B237" s="177" t="str">
        <f>IF(A237&lt;&gt;"",INDEX('Base de données'!A$4:L$990,MATCH(A237,'Base de données'!A$4:A$990,0),2),"")</f>
        <v/>
      </c>
      <c r="C237" s="177" t="str">
        <f>IF(A237&lt;&gt;"",INDEX('Base de données'!A$4:L$990,MATCH(A237,'Base de données'!A$4:A$990,0),12),"")</f>
        <v/>
      </c>
      <c r="D237" s="544"/>
      <c r="E237" s="544"/>
      <c r="F237" s="544"/>
    </row>
    <row r="238" spans="1:6" x14ac:dyDescent="0.25">
      <c r="A238" s="544"/>
      <c r="B238" s="177" t="str">
        <f>IF(A238&lt;&gt;"",INDEX('Base de données'!A$4:L$990,MATCH(A238,'Base de données'!A$4:A$990,0),2),"")</f>
        <v/>
      </c>
      <c r="C238" s="177" t="str">
        <f>IF(A238&lt;&gt;"",INDEX('Base de données'!A$4:L$990,MATCH(A238,'Base de données'!A$4:A$990,0),12),"")</f>
        <v/>
      </c>
      <c r="D238" s="544"/>
      <c r="E238" s="544"/>
      <c r="F238" s="544"/>
    </row>
    <row r="239" spans="1:6" x14ac:dyDescent="0.25">
      <c r="A239" s="544"/>
      <c r="B239" s="177" t="str">
        <f>IF(A239&lt;&gt;"",INDEX('Base de données'!A$4:L$990,MATCH(A239,'Base de données'!A$4:A$990,0),2),"")</f>
        <v/>
      </c>
      <c r="C239" s="177" t="str">
        <f>IF(A239&lt;&gt;"",INDEX('Base de données'!A$4:L$990,MATCH(A239,'Base de données'!A$4:A$990,0),12),"")</f>
        <v/>
      </c>
      <c r="D239" s="544"/>
      <c r="E239" s="544"/>
      <c r="F239" s="544"/>
    </row>
    <row r="240" spans="1:6" x14ac:dyDescent="0.25">
      <c r="A240" s="544"/>
      <c r="B240" s="177" t="str">
        <f>IF(A240&lt;&gt;"",INDEX('Base de données'!A$4:L$990,MATCH(A240,'Base de données'!A$4:A$990,0),2),"")</f>
        <v/>
      </c>
      <c r="C240" s="177" t="str">
        <f>IF(A240&lt;&gt;"",INDEX('Base de données'!A$4:L$990,MATCH(A240,'Base de données'!A$4:A$990,0),12),"")</f>
        <v/>
      </c>
      <c r="D240" s="544"/>
      <c r="E240" s="544"/>
      <c r="F240" s="544"/>
    </row>
    <row r="241" spans="1:6" x14ac:dyDescent="0.25">
      <c r="A241" s="544"/>
      <c r="B241" s="177" t="str">
        <f>IF(A241&lt;&gt;"",INDEX('Base de données'!A$4:L$990,MATCH(A241,'Base de données'!A$4:A$990,0),2),"")</f>
        <v/>
      </c>
      <c r="C241" s="177" t="str">
        <f>IF(A241&lt;&gt;"",INDEX('Base de données'!A$4:L$990,MATCH(A241,'Base de données'!A$4:A$990,0),12),"")</f>
        <v/>
      </c>
      <c r="D241" s="544"/>
      <c r="E241" s="544"/>
      <c r="F241" s="544"/>
    </row>
    <row r="242" spans="1:6" x14ac:dyDescent="0.25">
      <c r="A242" s="544"/>
      <c r="B242" s="177" t="str">
        <f>IF(A242&lt;&gt;"",INDEX('Base de données'!A$4:L$990,MATCH(A242,'Base de données'!A$4:A$990,0),2),"")</f>
        <v/>
      </c>
      <c r="C242" s="177" t="str">
        <f>IF(A242&lt;&gt;"",INDEX('Base de données'!A$4:L$990,MATCH(A242,'Base de données'!A$4:A$990,0),12),"")</f>
        <v/>
      </c>
      <c r="D242" s="544"/>
      <c r="E242" s="544"/>
      <c r="F242" s="544"/>
    </row>
    <row r="243" spans="1:6" x14ac:dyDescent="0.25">
      <c r="A243" s="544"/>
      <c r="B243" s="177" t="str">
        <f>IF(A243&lt;&gt;"",INDEX('Base de données'!A$4:L$990,MATCH(A243,'Base de données'!A$4:A$990,0),2),"")</f>
        <v/>
      </c>
      <c r="C243" s="177" t="str">
        <f>IF(A243&lt;&gt;"",INDEX('Base de données'!A$4:L$990,MATCH(A243,'Base de données'!A$4:A$990,0),12),"")</f>
        <v/>
      </c>
      <c r="D243" s="544"/>
      <c r="E243" s="544"/>
      <c r="F243" s="544"/>
    </row>
    <row r="244" spans="1:6" x14ac:dyDescent="0.25">
      <c r="A244" s="544"/>
      <c r="B244" s="177" t="str">
        <f>IF(A244&lt;&gt;"",INDEX('Base de données'!A$4:L$990,MATCH(A244,'Base de données'!A$4:A$990,0),2),"")</f>
        <v/>
      </c>
      <c r="C244" s="177" t="str">
        <f>IF(A244&lt;&gt;"",INDEX('Base de données'!A$4:L$990,MATCH(A244,'Base de données'!A$4:A$990,0),12),"")</f>
        <v/>
      </c>
      <c r="D244" s="544"/>
      <c r="E244" s="544"/>
      <c r="F244" s="544"/>
    </row>
    <row r="245" spans="1:6" x14ac:dyDescent="0.25">
      <c r="A245" s="544"/>
      <c r="B245" s="177" t="str">
        <f>IF(A245&lt;&gt;"",INDEX('Base de données'!A$4:L$990,MATCH(A245,'Base de données'!A$4:A$990,0),2),"")</f>
        <v/>
      </c>
      <c r="C245" s="177" t="str">
        <f>IF(A245&lt;&gt;"",INDEX('Base de données'!A$4:L$990,MATCH(A245,'Base de données'!A$4:A$990,0),12),"")</f>
        <v/>
      </c>
      <c r="D245" s="544"/>
      <c r="E245" s="544"/>
      <c r="F245" s="544"/>
    </row>
    <row r="246" spans="1:6" x14ac:dyDescent="0.25">
      <c r="A246" s="544"/>
      <c r="B246" s="177" t="str">
        <f>IF(A246&lt;&gt;"",INDEX('Base de données'!A$4:L$990,MATCH(A246,'Base de données'!A$4:A$990,0),2),"")</f>
        <v/>
      </c>
      <c r="C246" s="177" t="str">
        <f>IF(A246&lt;&gt;"",INDEX('Base de données'!A$4:L$990,MATCH(A246,'Base de données'!A$4:A$990,0),12),"")</f>
        <v/>
      </c>
      <c r="D246" s="544"/>
      <c r="E246" s="544"/>
      <c r="F246" s="544"/>
    </row>
    <row r="247" spans="1:6" x14ac:dyDescent="0.25">
      <c r="A247" s="544"/>
      <c r="B247" s="177" t="str">
        <f>IF(A247&lt;&gt;"",INDEX('Base de données'!A$4:L$990,MATCH(A247,'Base de données'!A$4:A$990,0),2),"")</f>
        <v/>
      </c>
      <c r="C247" s="177" t="str">
        <f>IF(A247&lt;&gt;"",INDEX('Base de données'!A$4:L$990,MATCH(A247,'Base de données'!A$4:A$990,0),12),"")</f>
        <v/>
      </c>
      <c r="D247" s="544"/>
      <c r="E247" s="544"/>
      <c r="F247" s="544"/>
    </row>
    <row r="248" spans="1:6" x14ac:dyDescent="0.25">
      <c r="A248" s="544"/>
      <c r="B248" s="177" t="str">
        <f>IF(A248&lt;&gt;"",INDEX('Base de données'!A$4:L$990,MATCH(A248,'Base de données'!A$4:A$990,0),2),"")</f>
        <v/>
      </c>
      <c r="C248" s="177" t="str">
        <f>IF(A248&lt;&gt;"",INDEX('Base de données'!A$4:L$990,MATCH(A248,'Base de données'!A$4:A$990,0),12),"")</f>
        <v/>
      </c>
      <c r="D248" s="544"/>
      <c r="E248" s="544"/>
      <c r="F248" s="544"/>
    </row>
    <row r="249" spans="1:6" x14ac:dyDescent="0.25">
      <c r="A249" s="544"/>
      <c r="B249" s="177" t="str">
        <f>IF(A249&lt;&gt;"",INDEX('Base de données'!A$4:L$990,MATCH(A249,'Base de données'!A$4:A$990,0),2),"")</f>
        <v/>
      </c>
      <c r="C249" s="177" t="str">
        <f>IF(A249&lt;&gt;"",INDEX('Base de données'!A$4:L$990,MATCH(A249,'Base de données'!A$4:A$990,0),12),"")</f>
        <v/>
      </c>
      <c r="D249" s="544"/>
      <c r="E249" s="544"/>
      <c r="F249" s="544"/>
    </row>
    <row r="250" spans="1:6" x14ac:dyDescent="0.25">
      <c r="A250" s="544"/>
      <c r="B250" s="177" t="str">
        <f>IF(A250&lt;&gt;"",INDEX('Base de données'!A$4:L$990,MATCH(A250,'Base de données'!A$4:A$990,0),2),"")</f>
        <v/>
      </c>
      <c r="C250" s="177" t="str">
        <f>IF(A250&lt;&gt;"",INDEX('Base de données'!A$4:L$990,MATCH(A250,'Base de données'!A$4:A$990,0),12),"")</f>
        <v/>
      </c>
      <c r="D250" s="544"/>
      <c r="E250" s="544"/>
      <c r="F250" s="544"/>
    </row>
    <row r="251" spans="1:6" x14ac:dyDescent="0.25">
      <c r="A251" s="544"/>
      <c r="B251" s="177" t="str">
        <f>IF(A251&lt;&gt;"",INDEX('Base de données'!A$4:L$990,MATCH(A251,'Base de données'!A$4:A$990,0),2),"")</f>
        <v/>
      </c>
      <c r="C251" s="177" t="str">
        <f>IF(A251&lt;&gt;"",INDEX('Base de données'!A$4:L$990,MATCH(A251,'Base de données'!A$4:A$990,0),12),"")</f>
        <v/>
      </c>
      <c r="D251" s="544"/>
      <c r="E251" s="544"/>
      <c r="F251" s="544"/>
    </row>
    <row r="252" spans="1:6" x14ac:dyDescent="0.25">
      <c r="A252" s="544"/>
      <c r="B252" s="177" t="str">
        <f>IF(A252&lt;&gt;"",INDEX('Base de données'!A$4:L$990,MATCH(A252,'Base de données'!A$4:A$990,0),2),"")</f>
        <v/>
      </c>
      <c r="C252" s="177" t="str">
        <f>IF(A252&lt;&gt;"",INDEX('Base de données'!A$4:L$990,MATCH(A252,'Base de données'!A$4:A$990,0),12),"")</f>
        <v/>
      </c>
      <c r="D252" s="544"/>
      <c r="E252" s="544"/>
      <c r="F252" s="544"/>
    </row>
    <row r="253" spans="1:6" x14ac:dyDescent="0.25">
      <c r="A253" s="544"/>
      <c r="B253" s="177" t="str">
        <f>IF(A253&lt;&gt;"",INDEX('Base de données'!A$4:L$990,MATCH(A253,'Base de données'!A$4:A$990,0),2),"")</f>
        <v/>
      </c>
      <c r="C253" s="177" t="str">
        <f>IF(A253&lt;&gt;"",INDEX('Base de données'!A$4:L$990,MATCH(A253,'Base de données'!A$4:A$990,0),12),"")</f>
        <v/>
      </c>
      <c r="D253" s="544"/>
      <c r="E253" s="544"/>
      <c r="F253" s="544"/>
    </row>
    <row r="254" spans="1:6" x14ac:dyDescent="0.25">
      <c r="A254" s="544"/>
      <c r="B254" s="177" t="str">
        <f>IF(A254&lt;&gt;"",INDEX('Base de données'!A$4:L$990,MATCH(A254,'Base de données'!A$4:A$990,0),2),"")</f>
        <v/>
      </c>
      <c r="C254" s="177" t="str">
        <f>IF(A254&lt;&gt;"",INDEX('Base de données'!A$4:L$990,MATCH(A254,'Base de données'!A$4:A$990,0),12),"")</f>
        <v/>
      </c>
      <c r="D254" s="544"/>
      <c r="E254" s="544"/>
      <c r="F254" s="544"/>
    </row>
    <row r="255" spans="1:6" x14ac:dyDescent="0.25">
      <c r="A255" s="544"/>
      <c r="B255" s="177" t="str">
        <f>IF(A255&lt;&gt;"",INDEX('Base de données'!A$4:L$990,MATCH(A255,'Base de données'!A$4:A$990,0),2),"")</f>
        <v/>
      </c>
      <c r="C255" s="177" t="str">
        <f>IF(A255&lt;&gt;"",INDEX('Base de données'!A$4:L$990,MATCH(A255,'Base de données'!A$4:A$990,0),12),"")</f>
        <v/>
      </c>
      <c r="D255" s="544"/>
      <c r="E255" s="544"/>
      <c r="F255" s="544"/>
    </row>
    <row r="256" spans="1:6" x14ac:dyDescent="0.25">
      <c r="A256" s="544"/>
      <c r="B256" s="177" t="str">
        <f>IF(A256&lt;&gt;"",INDEX('Base de données'!A$4:L$990,MATCH(A256,'Base de données'!A$4:A$990,0),2),"")</f>
        <v/>
      </c>
      <c r="C256" s="177" t="str">
        <f>IF(A256&lt;&gt;"",INDEX('Base de données'!A$4:L$990,MATCH(A256,'Base de données'!A$4:A$990,0),12),"")</f>
        <v/>
      </c>
      <c r="D256" s="544"/>
      <c r="E256" s="544"/>
      <c r="F256" s="544"/>
    </row>
    <row r="257" spans="1:6" x14ac:dyDescent="0.25">
      <c r="A257" s="544"/>
      <c r="B257" s="177" t="str">
        <f>IF(A257&lt;&gt;"",INDEX('Base de données'!A$4:L$990,MATCH(A257,'Base de données'!A$4:A$990,0),2),"")</f>
        <v/>
      </c>
      <c r="C257" s="177" t="str">
        <f>IF(A257&lt;&gt;"",INDEX('Base de données'!A$4:L$990,MATCH(A257,'Base de données'!A$4:A$990,0),12),"")</f>
        <v/>
      </c>
      <c r="D257" s="544"/>
      <c r="E257" s="544"/>
      <c r="F257" s="544"/>
    </row>
    <row r="258" spans="1:6" x14ac:dyDescent="0.25">
      <c r="A258" s="544"/>
      <c r="B258" s="177" t="str">
        <f>IF(A258&lt;&gt;"",INDEX('Base de données'!A$4:L$990,MATCH(A258,'Base de données'!A$4:A$990,0),2),"")</f>
        <v/>
      </c>
      <c r="C258" s="177" t="str">
        <f>IF(A258&lt;&gt;"",INDEX('Base de données'!A$4:L$990,MATCH(A258,'Base de données'!A$4:A$990,0),12),"")</f>
        <v/>
      </c>
      <c r="D258" s="544"/>
      <c r="E258" s="544"/>
      <c r="F258" s="544"/>
    </row>
    <row r="259" spans="1:6" x14ac:dyDescent="0.25">
      <c r="A259" s="544"/>
      <c r="B259" s="177" t="str">
        <f>IF(A259&lt;&gt;"",INDEX('Base de données'!A$4:L$990,MATCH(A259,'Base de données'!A$4:A$990,0),2),"")</f>
        <v/>
      </c>
      <c r="C259" s="177" t="str">
        <f>IF(A259&lt;&gt;"",INDEX('Base de données'!A$4:L$990,MATCH(A259,'Base de données'!A$4:A$990,0),12),"")</f>
        <v/>
      </c>
      <c r="D259" s="544"/>
      <c r="E259" s="544"/>
      <c r="F259" s="544"/>
    </row>
    <row r="260" spans="1:6" x14ac:dyDescent="0.25">
      <c r="A260" s="544"/>
      <c r="B260" s="177" t="str">
        <f>IF(A260&lt;&gt;"",INDEX('Base de données'!A$4:L$990,MATCH(A260,'Base de données'!A$4:A$990,0),2),"")</f>
        <v/>
      </c>
      <c r="C260" s="177" t="str">
        <f>IF(A260&lt;&gt;"",INDEX('Base de données'!A$4:L$990,MATCH(A260,'Base de données'!A$4:A$990,0),12),"")</f>
        <v/>
      </c>
      <c r="D260" s="544"/>
      <c r="E260" s="544"/>
      <c r="F260" s="544"/>
    </row>
    <row r="261" spans="1:6" x14ac:dyDescent="0.25">
      <c r="A261" s="544"/>
      <c r="B261" s="177" t="str">
        <f>IF(A261&lt;&gt;"",INDEX('Base de données'!A$4:L$990,MATCH(A261,'Base de données'!A$4:A$990,0),2),"")</f>
        <v/>
      </c>
      <c r="C261" s="177" t="str">
        <f>IF(A261&lt;&gt;"",INDEX('Base de données'!A$4:L$990,MATCH(A261,'Base de données'!A$4:A$990,0),12),"")</f>
        <v/>
      </c>
      <c r="D261" s="544"/>
      <c r="E261" s="544"/>
      <c r="F261" s="544"/>
    </row>
    <row r="262" spans="1:6" x14ac:dyDescent="0.25">
      <c r="A262" s="544"/>
      <c r="B262" s="177" t="str">
        <f>IF(A262&lt;&gt;"",INDEX('Base de données'!A$4:L$990,MATCH(A262,'Base de données'!A$4:A$990,0),2),"")</f>
        <v/>
      </c>
      <c r="C262" s="177" t="str">
        <f>IF(A262&lt;&gt;"",INDEX('Base de données'!A$4:L$990,MATCH(A262,'Base de données'!A$4:A$990,0),12),"")</f>
        <v/>
      </c>
      <c r="D262" s="544"/>
      <c r="E262" s="544"/>
      <c r="F262" s="544"/>
    </row>
    <row r="263" spans="1:6" x14ac:dyDescent="0.25">
      <c r="A263" s="544"/>
      <c r="B263" s="177" t="str">
        <f>IF(A263&lt;&gt;"",INDEX('Base de données'!A$4:L$990,MATCH(A263,'Base de données'!A$4:A$990,0),2),"")</f>
        <v/>
      </c>
      <c r="C263" s="177" t="str">
        <f>IF(A263&lt;&gt;"",INDEX('Base de données'!A$4:L$990,MATCH(A263,'Base de données'!A$4:A$990,0),12),"")</f>
        <v/>
      </c>
      <c r="D263" s="544"/>
      <c r="E263" s="544"/>
      <c r="F263" s="544"/>
    </row>
    <row r="264" spans="1:6" x14ac:dyDescent="0.25">
      <c r="A264" s="544"/>
      <c r="B264" s="177" t="str">
        <f>IF(A264&lt;&gt;"",INDEX('Base de données'!A$4:L$990,MATCH(A264,'Base de données'!A$4:A$990,0),2),"")</f>
        <v/>
      </c>
      <c r="C264" s="177" t="str">
        <f>IF(A264&lt;&gt;"",INDEX('Base de données'!A$4:L$990,MATCH(A264,'Base de données'!A$4:A$990,0),12),"")</f>
        <v/>
      </c>
      <c r="D264" s="544"/>
      <c r="E264" s="544"/>
      <c r="F264" s="544"/>
    </row>
    <row r="265" spans="1:6" x14ac:dyDescent="0.25">
      <c r="A265" s="544"/>
      <c r="B265" s="177" t="str">
        <f>IF(A265&lt;&gt;"",INDEX('Base de données'!A$4:L$990,MATCH(A265,'Base de données'!A$4:A$990,0),2),"")</f>
        <v/>
      </c>
      <c r="C265" s="177" t="str">
        <f>IF(A265&lt;&gt;"",INDEX('Base de données'!A$4:L$990,MATCH(A265,'Base de données'!A$4:A$990,0),12),"")</f>
        <v/>
      </c>
      <c r="D265" s="544"/>
      <c r="E265" s="544"/>
      <c r="F265" s="544"/>
    </row>
    <row r="266" spans="1:6" x14ac:dyDescent="0.25">
      <c r="A266" s="544"/>
      <c r="B266" s="177" t="str">
        <f>IF(A266&lt;&gt;"",INDEX('Base de données'!A$4:L$990,MATCH(A266,'Base de données'!A$4:A$990,0),2),"")</f>
        <v/>
      </c>
      <c r="C266" s="177" t="str">
        <f>IF(A266&lt;&gt;"",INDEX('Base de données'!A$4:L$990,MATCH(A266,'Base de données'!A$4:A$990,0),12),"")</f>
        <v/>
      </c>
      <c r="D266" s="544"/>
      <c r="E266" s="544"/>
      <c r="F266" s="544"/>
    </row>
    <row r="267" spans="1:6" x14ac:dyDescent="0.25">
      <c r="A267" s="544"/>
      <c r="B267" s="177" t="str">
        <f>IF(A267&lt;&gt;"",INDEX('Base de données'!A$4:L$990,MATCH(A267,'Base de données'!A$4:A$990,0),2),"")</f>
        <v/>
      </c>
      <c r="C267" s="177" t="str">
        <f>IF(A267&lt;&gt;"",INDEX('Base de données'!A$4:L$990,MATCH(A267,'Base de données'!A$4:A$990,0),12),"")</f>
        <v/>
      </c>
      <c r="D267" s="544"/>
      <c r="E267" s="544"/>
      <c r="F267" s="544"/>
    </row>
    <row r="268" spans="1:6" x14ac:dyDescent="0.25">
      <c r="A268" s="544"/>
      <c r="B268" s="177" t="str">
        <f>IF(A268&lt;&gt;"",INDEX('Base de données'!A$4:L$990,MATCH(A268,'Base de données'!A$4:A$990,0),2),"")</f>
        <v/>
      </c>
      <c r="C268" s="177" t="str">
        <f>IF(A268&lt;&gt;"",INDEX('Base de données'!A$4:L$990,MATCH(A268,'Base de données'!A$4:A$990,0),12),"")</f>
        <v/>
      </c>
      <c r="D268" s="544"/>
      <c r="E268" s="544"/>
      <c r="F268" s="544"/>
    </row>
    <row r="269" spans="1:6" x14ac:dyDescent="0.25">
      <c r="A269" s="544"/>
      <c r="B269" s="177" t="str">
        <f>IF(A269&lt;&gt;"",INDEX('Base de données'!A$4:L$990,MATCH(A269,'Base de données'!A$4:A$990,0),2),"")</f>
        <v/>
      </c>
      <c r="C269" s="177" t="str">
        <f>IF(A269&lt;&gt;"",INDEX('Base de données'!A$4:L$990,MATCH(A269,'Base de données'!A$4:A$990,0),12),"")</f>
        <v/>
      </c>
      <c r="D269" s="544"/>
      <c r="E269" s="544"/>
      <c r="F269" s="544"/>
    </row>
    <row r="270" spans="1:6" x14ac:dyDescent="0.25">
      <c r="A270" s="544"/>
      <c r="B270" s="177" t="str">
        <f>IF(A270&lt;&gt;"",INDEX('Base de données'!A$4:L$990,MATCH(A270,'Base de données'!A$4:A$990,0),2),"")</f>
        <v/>
      </c>
      <c r="C270" s="177" t="str">
        <f>IF(A270&lt;&gt;"",INDEX('Base de données'!A$4:L$990,MATCH(A270,'Base de données'!A$4:A$990,0),12),"")</f>
        <v/>
      </c>
      <c r="D270" s="544"/>
      <c r="E270" s="544"/>
      <c r="F270" s="544"/>
    </row>
    <row r="271" spans="1:6" x14ac:dyDescent="0.25">
      <c r="A271" s="544"/>
      <c r="B271" s="177" t="str">
        <f>IF(A271&lt;&gt;"",INDEX('Base de données'!A$4:L$990,MATCH(A271,'Base de données'!A$4:A$990,0),2),"")</f>
        <v/>
      </c>
      <c r="C271" s="177" t="str">
        <f>IF(A271&lt;&gt;"",INDEX('Base de données'!A$4:L$990,MATCH(A271,'Base de données'!A$4:A$990,0),12),"")</f>
        <v/>
      </c>
      <c r="D271" s="544"/>
      <c r="E271" s="544"/>
      <c r="F271" s="544"/>
    </row>
    <row r="272" spans="1:6" x14ac:dyDescent="0.25">
      <c r="A272" s="544"/>
      <c r="B272" s="177" t="str">
        <f>IF(A272&lt;&gt;"",INDEX('Base de données'!A$4:L$990,MATCH(A272,'Base de données'!A$4:A$990,0),2),"")</f>
        <v/>
      </c>
      <c r="C272" s="177" t="str">
        <f>IF(A272&lt;&gt;"",INDEX('Base de données'!A$4:L$990,MATCH(A272,'Base de données'!A$4:A$990,0),12),"")</f>
        <v/>
      </c>
      <c r="D272" s="544"/>
      <c r="E272" s="544"/>
      <c r="F272" s="544"/>
    </row>
    <row r="273" spans="1:6" x14ac:dyDescent="0.25">
      <c r="A273" s="544"/>
      <c r="B273" s="177" t="str">
        <f>IF(A273&lt;&gt;"",INDEX('Base de données'!A$4:L$990,MATCH(A273,'Base de données'!A$4:A$990,0),2),"")</f>
        <v/>
      </c>
      <c r="C273" s="177" t="str">
        <f>IF(A273&lt;&gt;"",INDEX('Base de données'!A$4:L$990,MATCH(A273,'Base de données'!A$4:A$990,0),12),"")</f>
        <v/>
      </c>
      <c r="D273" s="544"/>
      <c r="E273" s="544"/>
      <c r="F273" s="544"/>
    </row>
    <row r="274" spans="1:6" x14ac:dyDescent="0.25">
      <c r="A274" s="544"/>
      <c r="B274" s="177" t="str">
        <f>IF(A274&lt;&gt;"",INDEX('Base de données'!A$4:L$990,MATCH(A274,'Base de données'!A$4:A$990,0),2),"")</f>
        <v/>
      </c>
      <c r="C274" s="177" t="str">
        <f>IF(A274&lt;&gt;"",INDEX('Base de données'!A$4:L$990,MATCH(A274,'Base de données'!A$4:A$990,0),12),"")</f>
        <v/>
      </c>
      <c r="D274" s="544"/>
      <c r="E274" s="544"/>
      <c r="F274" s="544"/>
    </row>
    <row r="275" spans="1:6" x14ac:dyDescent="0.25">
      <c r="A275" s="544"/>
      <c r="B275" s="177" t="str">
        <f>IF(A275&lt;&gt;"",INDEX('Base de données'!A$4:L$990,MATCH(A275,'Base de données'!A$4:A$990,0),2),"")</f>
        <v/>
      </c>
      <c r="C275" s="177" t="str">
        <f>IF(A275&lt;&gt;"",INDEX('Base de données'!A$4:L$990,MATCH(A275,'Base de données'!A$4:A$990,0),12),"")</f>
        <v/>
      </c>
      <c r="D275" s="544"/>
      <c r="E275" s="544"/>
      <c r="F275" s="544"/>
    </row>
    <row r="276" spans="1:6" x14ac:dyDescent="0.25">
      <c r="A276" s="544"/>
      <c r="B276" s="177" t="str">
        <f>IF(A276&lt;&gt;"",INDEX('Base de données'!A$4:L$990,MATCH(A276,'Base de données'!A$4:A$990,0),2),"")</f>
        <v/>
      </c>
      <c r="C276" s="177" t="str">
        <f>IF(A276&lt;&gt;"",INDEX('Base de données'!A$4:L$990,MATCH(A276,'Base de données'!A$4:A$990,0),12),"")</f>
        <v/>
      </c>
      <c r="D276" s="544"/>
      <c r="E276" s="544"/>
      <c r="F276" s="544"/>
    </row>
    <row r="277" spans="1:6" x14ac:dyDescent="0.25">
      <c r="A277" s="544"/>
      <c r="B277" s="177" t="str">
        <f>IF(A277&lt;&gt;"",INDEX('Base de données'!A$4:L$990,MATCH(A277,'Base de données'!A$4:A$990,0),2),"")</f>
        <v/>
      </c>
      <c r="C277" s="177" t="str">
        <f>IF(A277&lt;&gt;"",INDEX('Base de données'!A$4:L$990,MATCH(A277,'Base de données'!A$4:A$990,0),12),"")</f>
        <v/>
      </c>
      <c r="D277" s="544"/>
      <c r="E277" s="544"/>
      <c r="F277" s="544"/>
    </row>
    <row r="278" spans="1:6" x14ac:dyDescent="0.25">
      <c r="A278" s="544"/>
      <c r="B278" s="177" t="str">
        <f>IF(A278&lt;&gt;"",INDEX('Base de données'!A$4:L$990,MATCH(A278,'Base de données'!A$4:A$990,0),2),"")</f>
        <v/>
      </c>
      <c r="C278" s="177" t="str">
        <f>IF(A278&lt;&gt;"",INDEX('Base de données'!A$4:L$990,MATCH(A278,'Base de données'!A$4:A$990,0),12),"")</f>
        <v/>
      </c>
      <c r="D278" s="544"/>
      <c r="E278" s="544"/>
      <c r="F278" s="544"/>
    </row>
    <row r="279" spans="1:6" x14ac:dyDescent="0.25">
      <c r="A279" s="544"/>
      <c r="B279" s="177" t="str">
        <f>IF(A279&lt;&gt;"",INDEX('Base de données'!A$4:L$990,MATCH(A279,'Base de données'!A$4:A$990,0),2),"")</f>
        <v/>
      </c>
      <c r="C279" s="177" t="str">
        <f>IF(A279&lt;&gt;"",INDEX('Base de données'!A$4:L$990,MATCH(A279,'Base de données'!A$4:A$990,0),12),"")</f>
        <v/>
      </c>
      <c r="D279" s="544"/>
      <c r="E279" s="544"/>
      <c r="F279" s="544"/>
    </row>
    <row r="280" spans="1:6" x14ac:dyDescent="0.25">
      <c r="A280" s="544"/>
      <c r="B280" s="177" t="str">
        <f>IF(A280&lt;&gt;"",INDEX('Base de données'!A$4:L$990,MATCH(A280,'Base de données'!A$4:A$990,0),2),"")</f>
        <v/>
      </c>
      <c r="C280" s="177" t="str">
        <f>IF(A280&lt;&gt;"",INDEX('Base de données'!A$4:L$990,MATCH(A280,'Base de données'!A$4:A$990,0),12),"")</f>
        <v/>
      </c>
      <c r="D280" s="544"/>
      <c r="E280" s="544"/>
      <c r="F280" s="544"/>
    </row>
    <row r="281" spans="1:6" x14ac:dyDescent="0.25">
      <c r="A281" s="544"/>
      <c r="B281" s="177" t="str">
        <f>IF(A281&lt;&gt;"",INDEX('Base de données'!A$4:L$990,MATCH(A281,'Base de données'!A$4:A$990,0),2),"")</f>
        <v/>
      </c>
      <c r="C281" s="177" t="str">
        <f>IF(A281&lt;&gt;"",INDEX('Base de données'!A$4:L$990,MATCH(A281,'Base de données'!A$4:A$990,0),12),"")</f>
        <v/>
      </c>
      <c r="D281" s="544"/>
      <c r="E281" s="544"/>
      <c r="F281" s="544"/>
    </row>
    <row r="282" spans="1:6" x14ac:dyDescent="0.25">
      <c r="A282" s="544"/>
      <c r="B282" s="177" t="str">
        <f>IF(A282&lt;&gt;"",INDEX('Base de données'!A$4:L$990,MATCH(A282,'Base de données'!A$4:A$990,0),2),"")</f>
        <v/>
      </c>
      <c r="C282" s="177" t="str">
        <f>IF(A282&lt;&gt;"",INDEX('Base de données'!A$4:L$990,MATCH(A282,'Base de données'!A$4:A$990,0),12),"")</f>
        <v/>
      </c>
      <c r="D282" s="544"/>
      <c r="E282" s="544"/>
      <c r="F282" s="544"/>
    </row>
    <row r="283" spans="1:6" x14ac:dyDescent="0.25">
      <c r="A283" s="544"/>
      <c r="B283" s="177" t="str">
        <f>IF(A283&lt;&gt;"",INDEX('Base de données'!A$4:L$990,MATCH(A283,'Base de données'!A$4:A$990,0),2),"")</f>
        <v/>
      </c>
      <c r="C283" s="177" t="str">
        <f>IF(A283&lt;&gt;"",INDEX('Base de données'!A$4:L$990,MATCH(A283,'Base de données'!A$4:A$990,0),12),"")</f>
        <v/>
      </c>
      <c r="D283" s="544"/>
      <c r="E283" s="544"/>
      <c r="F283" s="544"/>
    </row>
    <row r="284" spans="1:6" x14ac:dyDescent="0.25">
      <c r="A284" s="544"/>
      <c r="B284" s="177" t="str">
        <f>IF(A284&lt;&gt;"",INDEX('Base de données'!A$4:L$990,MATCH(A284,'Base de données'!A$4:A$990,0),2),"")</f>
        <v/>
      </c>
      <c r="C284" s="177" t="str">
        <f>IF(A284&lt;&gt;"",INDEX('Base de données'!A$4:L$990,MATCH(A284,'Base de données'!A$4:A$990,0),12),"")</f>
        <v/>
      </c>
      <c r="D284" s="544"/>
      <c r="E284" s="544"/>
      <c r="F284" s="544"/>
    </row>
    <row r="285" spans="1:6" x14ac:dyDescent="0.25">
      <c r="A285" s="544"/>
      <c r="B285" s="177" t="str">
        <f>IF(A285&lt;&gt;"",INDEX('Base de données'!A$4:L$990,MATCH(A285,'Base de données'!A$4:A$990,0),2),"")</f>
        <v/>
      </c>
      <c r="C285" s="177" t="str">
        <f>IF(A285&lt;&gt;"",INDEX('Base de données'!A$4:L$990,MATCH(A285,'Base de données'!A$4:A$990,0),12),"")</f>
        <v/>
      </c>
      <c r="D285" s="544"/>
      <c r="E285" s="544"/>
      <c r="F285" s="544"/>
    </row>
    <row r="286" spans="1:6" x14ac:dyDescent="0.25">
      <c r="A286" s="544"/>
      <c r="B286" s="177" t="str">
        <f>IF(A286&lt;&gt;"",INDEX('Base de données'!A$4:L$990,MATCH(A286,'Base de données'!A$4:A$990,0),2),"")</f>
        <v/>
      </c>
      <c r="C286" s="177" t="str">
        <f>IF(A286&lt;&gt;"",INDEX('Base de données'!A$4:L$990,MATCH(A286,'Base de données'!A$4:A$990,0),12),"")</f>
        <v/>
      </c>
      <c r="D286" s="544"/>
      <c r="E286" s="544"/>
      <c r="F286" s="544"/>
    </row>
    <row r="287" spans="1:6" x14ac:dyDescent="0.25">
      <c r="A287" s="544"/>
      <c r="B287" s="177" t="str">
        <f>IF(A287&lt;&gt;"",INDEX('Base de données'!A$4:L$990,MATCH(A287,'Base de données'!A$4:A$990,0),2),"")</f>
        <v/>
      </c>
      <c r="C287" s="177" t="str">
        <f>IF(A287&lt;&gt;"",INDEX('Base de données'!A$4:L$990,MATCH(A287,'Base de données'!A$4:A$990,0),12),"")</f>
        <v/>
      </c>
      <c r="D287" s="544"/>
      <c r="E287" s="544"/>
      <c r="F287" s="544"/>
    </row>
    <row r="288" spans="1:6" x14ac:dyDescent="0.25">
      <c r="A288" s="544"/>
      <c r="B288" s="177" t="str">
        <f>IF(A288&lt;&gt;"",INDEX('Base de données'!A$4:L$990,MATCH(A288,'Base de données'!A$4:A$990,0),2),"")</f>
        <v/>
      </c>
      <c r="C288" s="177" t="str">
        <f>IF(A288&lt;&gt;"",INDEX('Base de données'!A$4:L$990,MATCH(A288,'Base de données'!A$4:A$990,0),12),"")</f>
        <v/>
      </c>
      <c r="D288" s="544"/>
      <c r="E288" s="544"/>
      <c r="F288" s="544"/>
    </row>
    <row r="289" spans="1:6" x14ac:dyDescent="0.25">
      <c r="A289" s="544"/>
      <c r="B289" s="177" t="str">
        <f>IF(A289&lt;&gt;"",INDEX('Base de données'!A$4:L$990,MATCH(A289,'Base de données'!A$4:A$990,0),2),"")</f>
        <v/>
      </c>
      <c r="C289" s="177" t="str">
        <f>IF(A289&lt;&gt;"",INDEX('Base de données'!A$4:L$990,MATCH(A289,'Base de données'!A$4:A$990,0),12),"")</f>
        <v/>
      </c>
      <c r="D289" s="544"/>
      <c r="E289" s="544"/>
      <c r="F289" s="544"/>
    </row>
    <row r="290" spans="1:6" x14ac:dyDescent="0.25">
      <c r="A290" s="544"/>
      <c r="B290" s="177" t="str">
        <f>IF(A290&lt;&gt;"",INDEX('Base de données'!A$4:L$990,MATCH(A290,'Base de données'!A$4:A$990,0),2),"")</f>
        <v/>
      </c>
      <c r="C290" s="177" t="str">
        <f>IF(A290&lt;&gt;"",INDEX('Base de données'!A$4:L$990,MATCH(A290,'Base de données'!A$4:A$990,0),12),"")</f>
        <v/>
      </c>
      <c r="D290" s="544"/>
      <c r="E290" s="544"/>
      <c r="F290" s="544"/>
    </row>
    <row r="291" spans="1:6" x14ac:dyDescent="0.25">
      <c r="A291" s="544"/>
      <c r="B291" s="177" t="str">
        <f>IF(A291&lt;&gt;"",INDEX('Base de données'!A$4:L$990,MATCH(A291,'Base de données'!A$4:A$990,0),2),"")</f>
        <v/>
      </c>
      <c r="C291" s="177" t="str">
        <f>IF(A291&lt;&gt;"",INDEX('Base de données'!A$4:L$990,MATCH(A291,'Base de données'!A$4:A$990,0),12),"")</f>
        <v/>
      </c>
      <c r="D291" s="544"/>
      <c r="E291" s="544"/>
      <c r="F291" s="544"/>
    </row>
    <row r="292" spans="1:6" x14ac:dyDescent="0.25">
      <c r="A292" s="544"/>
      <c r="B292" s="177" t="str">
        <f>IF(A292&lt;&gt;"",INDEX('Base de données'!A$4:L$990,MATCH(A292,'Base de données'!A$4:A$990,0),2),"")</f>
        <v/>
      </c>
      <c r="C292" s="177" t="str">
        <f>IF(A292&lt;&gt;"",INDEX('Base de données'!A$4:L$990,MATCH(A292,'Base de données'!A$4:A$990,0),12),"")</f>
        <v/>
      </c>
      <c r="D292" s="544"/>
      <c r="E292" s="544"/>
      <c r="F292" s="544"/>
    </row>
    <row r="293" spans="1:6" x14ac:dyDescent="0.25">
      <c r="A293" s="544"/>
      <c r="B293" s="177" t="str">
        <f>IF(A293&lt;&gt;"",INDEX('Base de données'!A$4:L$990,MATCH(A293,'Base de données'!A$4:A$990,0),2),"")</f>
        <v/>
      </c>
      <c r="C293" s="177" t="str">
        <f>IF(A293&lt;&gt;"",INDEX('Base de données'!A$4:L$990,MATCH(A293,'Base de données'!A$4:A$990,0),12),"")</f>
        <v/>
      </c>
      <c r="D293" s="544"/>
      <c r="E293" s="544"/>
      <c r="F293" s="544"/>
    </row>
    <row r="294" spans="1:6" x14ac:dyDescent="0.25">
      <c r="A294" s="544"/>
      <c r="B294" s="177" t="str">
        <f>IF(A294&lt;&gt;"",INDEX('Base de données'!A$4:L$990,MATCH(A294,'Base de données'!A$4:A$990,0),2),"")</f>
        <v/>
      </c>
      <c r="C294" s="177" t="str">
        <f>IF(A294&lt;&gt;"",INDEX('Base de données'!A$4:L$990,MATCH(A294,'Base de données'!A$4:A$990,0),12),"")</f>
        <v/>
      </c>
      <c r="D294" s="544"/>
      <c r="E294" s="544"/>
      <c r="F294" s="544"/>
    </row>
    <row r="295" spans="1:6" x14ac:dyDescent="0.25">
      <c r="A295" s="544"/>
      <c r="B295" s="177" t="str">
        <f>IF(A295&lt;&gt;"",INDEX('Base de données'!A$4:L$990,MATCH(A295,'Base de données'!A$4:A$990,0),2),"")</f>
        <v/>
      </c>
      <c r="C295" s="177" t="str">
        <f>IF(A295&lt;&gt;"",INDEX('Base de données'!A$4:L$990,MATCH(A295,'Base de données'!A$4:A$990,0),12),"")</f>
        <v/>
      </c>
      <c r="D295" s="544"/>
      <c r="E295" s="544"/>
      <c r="F295" s="544"/>
    </row>
    <row r="296" spans="1:6" x14ac:dyDescent="0.25">
      <c r="A296" s="544"/>
      <c r="B296" s="177" t="str">
        <f>IF(A296&lt;&gt;"",INDEX('Base de données'!A$4:L$990,MATCH(A296,'Base de données'!A$4:A$990,0),2),"")</f>
        <v/>
      </c>
      <c r="C296" s="177" t="str">
        <f>IF(A296&lt;&gt;"",INDEX('Base de données'!A$4:L$990,MATCH(A296,'Base de données'!A$4:A$990,0),12),"")</f>
        <v/>
      </c>
      <c r="D296" s="544"/>
      <c r="E296" s="544"/>
      <c r="F296" s="544"/>
    </row>
    <row r="297" spans="1:6" x14ac:dyDescent="0.25">
      <c r="A297" s="544"/>
      <c r="B297" s="177" t="str">
        <f>IF(A297&lt;&gt;"",INDEX('Base de données'!A$4:L$990,MATCH(A297,'Base de données'!A$4:A$990,0),2),"")</f>
        <v/>
      </c>
      <c r="C297" s="177" t="str">
        <f>IF(A297&lt;&gt;"",INDEX('Base de données'!A$4:L$990,MATCH(A297,'Base de données'!A$4:A$990,0),12),"")</f>
        <v/>
      </c>
      <c r="D297" s="544"/>
      <c r="E297" s="544"/>
      <c r="F297" s="544"/>
    </row>
    <row r="298" spans="1:6" x14ac:dyDescent="0.25">
      <c r="A298" s="544"/>
      <c r="B298" s="177" t="str">
        <f>IF(A298&lt;&gt;"",INDEX('Base de données'!A$4:L$990,MATCH(A298,'Base de données'!A$4:A$990,0),2),"")</f>
        <v/>
      </c>
      <c r="C298" s="177" t="str">
        <f>IF(A298&lt;&gt;"",INDEX('Base de données'!A$4:L$990,MATCH(A298,'Base de données'!A$4:A$990,0),12),"")</f>
        <v/>
      </c>
      <c r="D298" s="544"/>
      <c r="E298" s="544"/>
      <c r="F298" s="544"/>
    </row>
    <row r="299" spans="1:6" x14ac:dyDescent="0.25">
      <c r="A299" s="544"/>
      <c r="B299" s="177" t="str">
        <f>IF(A299&lt;&gt;"",INDEX('Base de données'!A$4:L$990,MATCH(A299,'Base de données'!A$4:A$990,0),2),"")</f>
        <v/>
      </c>
      <c r="C299" s="177" t="str">
        <f>IF(A299&lt;&gt;"",INDEX('Base de données'!A$4:L$990,MATCH(A299,'Base de données'!A$4:A$990,0),12),"")</f>
        <v/>
      </c>
      <c r="D299" s="544"/>
      <c r="E299" s="544"/>
      <c r="F299" s="544"/>
    </row>
    <row r="300" spans="1:6" x14ac:dyDescent="0.25">
      <c r="A300" s="544"/>
      <c r="B300" s="177" t="str">
        <f>IF(A300&lt;&gt;"",INDEX('Base de données'!A$4:L$990,MATCH(A300,'Base de données'!A$4:A$990,0),2),"")</f>
        <v/>
      </c>
      <c r="C300" s="177" t="str">
        <f>IF(A300&lt;&gt;"",INDEX('Base de données'!A$4:L$990,MATCH(A300,'Base de données'!A$4:A$990,0),12),"")</f>
        <v/>
      </c>
      <c r="D300" s="544"/>
      <c r="E300" s="544"/>
      <c r="F300" s="544"/>
    </row>
    <row r="301" spans="1:6" x14ac:dyDescent="0.25">
      <c r="A301" s="544"/>
      <c r="B301" s="177" t="str">
        <f>IF(A301&lt;&gt;"",INDEX('Base de données'!A$4:L$990,MATCH(A301,'Base de données'!A$4:A$990,0),2),"")</f>
        <v/>
      </c>
      <c r="C301" s="177" t="str">
        <f>IF(A301&lt;&gt;"",INDEX('Base de données'!A$4:L$990,MATCH(A301,'Base de données'!A$4:A$990,0),12),"")</f>
        <v/>
      </c>
      <c r="D301" s="544"/>
      <c r="E301" s="544"/>
      <c r="F301" s="544"/>
    </row>
    <row r="302" spans="1:6" x14ac:dyDescent="0.25">
      <c r="A302" s="544"/>
      <c r="B302" s="177" t="str">
        <f>IF(A302&lt;&gt;"",INDEX('Base de données'!A$4:L$990,MATCH(A302,'Base de données'!A$4:A$990,0),2),"")</f>
        <v/>
      </c>
      <c r="C302" s="177" t="str">
        <f>IF(A302&lt;&gt;"",INDEX('Base de données'!A$4:L$990,MATCH(A302,'Base de données'!A$4:A$990,0),12),"")</f>
        <v/>
      </c>
      <c r="D302" s="544"/>
      <c r="E302" s="544"/>
      <c r="F302" s="544"/>
    </row>
    <row r="303" spans="1:6" x14ac:dyDescent="0.25">
      <c r="A303" s="544"/>
      <c r="B303" s="177" t="str">
        <f>IF(A303&lt;&gt;"",INDEX('Base de données'!A$4:L$990,MATCH(A303,'Base de données'!A$4:A$990,0),2),"")</f>
        <v/>
      </c>
      <c r="C303" s="177" t="str">
        <f>IF(A303&lt;&gt;"",INDEX('Base de données'!A$4:L$990,MATCH(A303,'Base de données'!A$4:A$990,0),12),"")</f>
        <v/>
      </c>
      <c r="D303" s="544"/>
      <c r="E303" s="544"/>
      <c r="F303" s="544"/>
    </row>
    <row r="304" spans="1:6" x14ac:dyDescent="0.25">
      <c r="A304" s="544"/>
      <c r="B304" s="177" t="str">
        <f>IF(A304&lt;&gt;"",INDEX('Base de données'!A$4:L$990,MATCH(A304,'Base de données'!A$4:A$990,0),2),"")</f>
        <v/>
      </c>
      <c r="C304" s="177" t="str">
        <f>IF(A304&lt;&gt;"",INDEX('Base de données'!A$4:L$990,MATCH(A304,'Base de données'!A$4:A$990,0),12),"")</f>
        <v/>
      </c>
      <c r="D304" s="544"/>
      <c r="E304" s="544"/>
      <c r="F304" s="544"/>
    </row>
    <row r="305" spans="1:6" x14ac:dyDescent="0.25">
      <c r="A305" s="544"/>
      <c r="B305" s="177" t="str">
        <f>IF(A305&lt;&gt;"",INDEX('Base de données'!A$4:L$990,MATCH(A305,'Base de données'!A$4:A$990,0),2),"")</f>
        <v/>
      </c>
      <c r="C305" s="177" t="str">
        <f>IF(A305&lt;&gt;"",INDEX('Base de données'!A$4:L$990,MATCH(A305,'Base de données'!A$4:A$990,0),12),"")</f>
        <v/>
      </c>
      <c r="D305" s="544"/>
      <c r="E305" s="544"/>
      <c r="F305" s="544"/>
    </row>
    <row r="306" spans="1:6" x14ac:dyDescent="0.25">
      <c r="A306" s="544"/>
      <c r="B306" s="177" t="str">
        <f>IF(A306&lt;&gt;"",INDEX('Base de données'!A$4:L$990,MATCH(A306,'Base de données'!A$4:A$990,0),2),"")</f>
        <v/>
      </c>
      <c r="C306" s="177" t="str">
        <f>IF(A306&lt;&gt;"",INDEX('Base de données'!A$4:L$990,MATCH(A306,'Base de données'!A$4:A$990,0),12),"")</f>
        <v/>
      </c>
      <c r="D306" s="544"/>
      <c r="E306" s="544"/>
      <c r="F306" s="544"/>
    </row>
    <row r="307" spans="1:6" x14ac:dyDescent="0.25">
      <c r="A307" s="544"/>
      <c r="B307" s="177" t="str">
        <f>IF(A307&lt;&gt;"",INDEX('Base de données'!A$4:L$990,MATCH(A307,'Base de données'!A$4:A$990,0),2),"")</f>
        <v/>
      </c>
      <c r="C307" s="177" t="str">
        <f>IF(A307&lt;&gt;"",INDEX('Base de données'!A$4:L$990,MATCH(A307,'Base de données'!A$4:A$990,0),12),"")</f>
        <v/>
      </c>
      <c r="D307" s="544"/>
      <c r="E307" s="544"/>
      <c r="F307" s="544"/>
    </row>
    <row r="308" spans="1:6" x14ac:dyDescent="0.25">
      <c r="A308" s="544"/>
      <c r="B308" s="177" t="str">
        <f>IF(A308&lt;&gt;"",INDEX('Base de données'!A$4:L$990,MATCH(A308,'Base de données'!A$4:A$990,0),2),"")</f>
        <v/>
      </c>
      <c r="C308" s="177" t="str">
        <f>IF(A308&lt;&gt;"",INDEX('Base de données'!A$4:L$990,MATCH(A308,'Base de données'!A$4:A$990,0),12),"")</f>
        <v/>
      </c>
      <c r="D308" s="544"/>
      <c r="E308" s="544"/>
      <c r="F308" s="544"/>
    </row>
    <row r="309" spans="1:6" x14ac:dyDescent="0.25">
      <c r="A309" s="544"/>
      <c r="B309" s="177" t="str">
        <f>IF(A309&lt;&gt;"",INDEX('Base de données'!A$4:L$990,MATCH(A309,'Base de données'!A$4:A$990,0),2),"")</f>
        <v/>
      </c>
      <c r="C309" s="177" t="str">
        <f>IF(A309&lt;&gt;"",INDEX('Base de données'!A$4:L$990,MATCH(A309,'Base de données'!A$4:A$990,0),12),"")</f>
        <v/>
      </c>
      <c r="D309" s="544"/>
      <c r="E309" s="544"/>
      <c r="F309" s="544"/>
    </row>
    <row r="310" spans="1:6" x14ac:dyDescent="0.25">
      <c r="A310" s="544"/>
      <c r="B310" s="177" t="str">
        <f>IF(A310&lt;&gt;"",INDEX('Base de données'!A$4:L$990,MATCH(A310,'Base de données'!A$4:A$990,0),2),"")</f>
        <v/>
      </c>
      <c r="C310" s="177" t="str">
        <f>IF(A310&lt;&gt;"",INDEX('Base de données'!A$4:L$990,MATCH(A310,'Base de données'!A$4:A$990,0),12),"")</f>
        <v/>
      </c>
      <c r="D310" s="544"/>
      <c r="E310" s="544"/>
      <c r="F310" s="544"/>
    </row>
    <row r="311" spans="1:6" x14ac:dyDescent="0.25">
      <c r="A311" s="544"/>
      <c r="B311" s="177" t="str">
        <f>IF(A311&lt;&gt;"",INDEX('Base de données'!A$4:L$990,MATCH(A311,'Base de données'!A$4:A$990,0),2),"")</f>
        <v/>
      </c>
      <c r="C311" s="177" t="str">
        <f>IF(A311&lt;&gt;"",INDEX('Base de données'!A$4:L$990,MATCH(A311,'Base de données'!A$4:A$990,0),12),"")</f>
        <v/>
      </c>
      <c r="D311" s="544"/>
      <c r="E311" s="544"/>
      <c r="F311" s="544"/>
    </row>
    <row r="312" spans="1:6" x14ac:dyDescent="0.25">
      <c r="A312" s="544"/>
      <c r="B312" s="177" t="str">
        <f>IF(A312&lt;&gt;"",INDEX('Base de données'!A$4:L$990,MATCH(A312,'Base de données'!A$4:A$990,0),2),"")</f>
        <v/>
      </c>
      <c r="C312" s="177" t="str">
        <f>IF(A312&lt;&gt;"",INDEX('Base de données'!A$4:L$990,MATCH(A312,'Base de données'!A$4:A$990,0),12),"")</f>
        <v/>
      </c>
      <c r="D312" s="544"/>
      <c r="E312" s="544"/>
      <c r="F312" s="544"/>
    </row>
    <row r="313" spans="1:6" x14ac:dyDescent="0.25">
      <c r="A313" s="544"/>
      <c r="B313" s="177" t="str">
        <f>IF(A313&lt;&gt;"",INDEX('Base de données'!A$4:L$990,MATCH(A313,'Base de données'!A$4:A$990,0),2),"")</f>
        <v/>
      </c>
      <c r="C313" s="177" t="str">
        <f>IF(A313&lt;&gt;"",INDEX('Base de données'!A$4:L$990,MATCH(A313,'Base de données'!A$4:A$990,0),12),"")</f>
        <v/>
      </c>
      <c r="D313" s="544"/>
      <c r="E313" s="544"/>
      <c r="F313" s="544"/>
    </row>
    <row r="314" spans="1:6" x14ac:dyDescent="0.25">
      <c r="A314" s="544"/>
      <c r="B314" s="177" t="str">
        <f>IF(A314&lt;&gt;"",INDEX('Base de données'!A$4:L$990,MATCH(A314,'Base de données'!A$4:A$990,0),2),"")</f>
        <v/>
      </c>
      <c r="C314" s="177" t="str">
        <f>IF(A314&lt;&gt;"",INDEX('Base de données'!A$4:L$990,MATCH(A314,'Base de données'!A$4:A$990,0),12),"")</f>
        <v/>
      </c>
      <c r="D314" s="544"/>
      <c r="E314" s="544"/>
      <c r="F314" s="544"/>
    </row>
    <row r="315" spans="1:6" x14ac:dyDescent="0.25">
      <c r="A315" s="544"/>
      <c r="B315" s="177" t="str">
        <f>IF(A315&lt;&gt;"",INDEX('Base de données'!A$4:L$990,MATCH(A315,'Base de données'!A$4:A$990,0),2),"")</f>
        <v/>
      </c>
      <c r="C315" s="177" t="str">
        <f>IF(A315&lt;&gt;"",INDEX('Base de données'!A$4:L$990,MATCH(A315,'Base de données'!A$4:A$990,0),12),"")</f>
        <v/>
      </c>
      <c r="D315" s="544"/>
      <c r="E315" s="544"/>
      <c r="F315" s="544"/>
    </row>
    <row r="316" spans="1:6" x14ac:dyDescent="0.25">
      <c r="A316" s="544"/>
      <c r="B316" s="177" t="str">
        <f>IF(A316&lt;&gt;"",INDEX('Base de données'!A$4:L$990,MATCH(A316,'Base de données'!A$4:A$990,0),2),"")</f>
        <v/>
      </c>
      <c r="C316" s="177" t="str">
        <f>IF(A316&lt;&gt;"",INDEX('Base de données'!A$4:L$990,MATCH(A316,'Base de données'!A$4:A$990,0),12),"")</f>
        <v/>
      </c>
      <c r="D316" s="544"/>
      <c r="E316" s="544"/>
      <c r="F316" s="544"/>
    </row>
    <row r="317" spans="1:6" x14ac:dyDescent="0.25">
      <c r="A317" s="544"/>
      <c r="B317" s="177" t="str">
        <f>IF(A317&lt;&gt;"",INDEX('Base de données'!A$4:L$990,MATCH(A317,'Base de données'!A$4:A$990,0),2),"")</f>
        <v/>
      </c>
      <c r="C317" s="177" t="str">
        <f>IF(A317&lt;&gt;"",INDEX('Base de données'!A$4:L$990,MATCH(A317,'Base de données'!A$4:A$990,0),12),"")</f>
        <v/>
      </c>
      <c r="D317" s="544"/>
      <c r="E317" s="544"/>
      <c r="F317" s="544"/>
    </row>
    <row r="318" spans="1:6" x14ac:dyDescent="0.25">
      <c r="A318" s="544"/>
      <c r="B318" s="177" t="str">
        <f>IF(A318&lt;&gt;"",INDEX('Base de données'!A$4:L$990,MATCH(A318,'Base de données'!A$4:A$990,0),2),"")</f>
        <v/>
      </c>
      <c r="C318" s="177" t="str">
        <f>IF(A318&lt;&gt;"",INDEX('Base de données'!A$4:L$990,MATCH(A318,'Base de données'!A$4:A$990,0),12),"")</f>
        <v/>
      </c>
      <c r="D318" s="544"/>
      <c r="E318" s="544"/>
      <c r="F318" s="544"/>
    </row>
  </sheetData>
  <sheetProtection sheet="1" formatCells="0" deleteColumns="0" deleteRows="0" selectLockedCells="1" autoFilter="0"/>
  <autoFilter ref="A5:F318"/>
  <conditionalFormatting sqref="A6:A318">
    <cfRule type="duplicateValues" dxfId="14" priority="4"/>
  </conditionalFormatting>
  <dataValidations count="1">
    <dataValidation type="list" allowBlank="1" showInputMessage="1" sqref="K5">
      <formula1>"KHAMISSA HDIMANE,DAOUD ISSKELA,RACHID NAAIMI ,FATIMA EZZAHRA JAIZI,NAJAT SAOUD,MOHAMED ESSAID,Med EGHIZ,HALIMA OUIJANE,FATIMA EZZAHRA AIT AHMED,ZINEB ELKHOUDARI,"</formula1>
    </dataValidation>
  </dataValidation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7" operator="greaterThan" id="{E51EFE80-1957-41B2-827F-99FF396C8732}">
            <xm:f>'Calendrier fiscal'!$F$35</xm:f>
            <x14:dxf>
              <fill>
                <patternFill>
                  <bgColor rgb="FFFF0000"/>
                </patternFill>
              </fill>
            </x14:dxf>
          </x14:cfRule>
          <xm:sqref>D6:D318</xm:sqref>
        </x14:conditionalFormatting>
        <x14:conditionalFormatting xmlns:xm="http://schemas.microsoft.com/office/excel/2006/main">
          <x14:cfRule type="expression" priority="18" id="{2CFA6E65-F10F-4E01-8507-D2E14AF4D99F}">
            <xm:f>AND(#REF!="P. Physique",D6&gt;'Calendrier fiscal'!$D$35)</xm:f>
            <x14:dxf>
              <fill>
                <patternFill>
                  <bgColor theme="9"/>
                </patternFill>
              </fill>
            </x14:dxf>
          </x14:cfRule>
          <xm:sqref>D13:E13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>
    <tabColor theme="1" tint="0.34998626667073579"/>
  </sheetPr>
  <dimension ref="A1:M319"/>
  <sheetViews>
    <sheetView showGridLines="0" showRowColHeaders="0" zoomScale="90" zoomScaleNormal="90" workbookViewId="0">
      <pane xSplit="3" ySplit="5" topLeftCell="D6" activePane="bottomRight" state="frozen"/>
      <selection pane="topRight" activeCell="D1" sqref="D1"/>
      <selection pane="bottomLeft" activeCell="A6" sqref="A6"/>
      <selection pane="bottomRight" activeCell="E8" sqref="E8"/>
    </sheetView>
  </sheetViews>
  <sheetFormatPr baseColWidth="10" defaultColWidth="11.42578125" defaultRowHeight="15" x14ac:dyDescent="0.25"/>
  <cols>
    <col min="1" max="1" width="11.42578125" style="55"/>
    <col min="2" max="2" width="24.140625" style="55" bestFit="1" customWidth="1"/>
    <col min="3" max="3" width="26.28515625" style="55" customWidth="1"/>
    <col min="4" max="5" width="19.28515625" style="55" customWidth="1"/>
    <col min="6" max="7" width="7" style="55" customWidth="1"/>
    <col min="8" max="8" width="14.5703125" style="55" customWidth="1"/>
    <col min="9" max="9" width="15.140625" style="55" customWidth="1"/>
    <col min="10" max="10" width="13.85546875" style="55" customWidth="1"/>
    <col min="11" max="16384" width="11.42578125" style="55"/>
  </cols>
  <sheetData>
    <row r="1" spans="1:13" s="147" customFormat="1" ht="21" customHeight="1" x14ac:dyDescent="0.25">
      <c r="E1" s="54">
        <v>70</v>
      </c>
      <c r="F1" s="54">
        <f>COUNTA(D6:D318)</f>
        <v>0</v>
      </c>
      <c r="G1" s="54"/>
    </row>
    <row r="2" spans="1:13" s="147" customFormat="1" ht="20.25" customHeight="1" x14ac:dyDescent="0.25">
      <c r="E2" s="54">
        <v>20</v>
      </c>
      <c r="F2" s="54">
        <f>COUNTIF(D6:D318,"&lt;"&amp;'Calendrier fiscal'!E36)</f>
        <v>0</v>
      </c>
      <c r="G2" s="54">
        <f>COUNTIF(D6:D318,"&lt;"&amp;'Calendrier fiscal'!E35)</f>
        <v>0</v>
      </c>
    </row>
    <row r="3" spans="1:13" s="147" customFormat="1" ht="21.75" customHeight="1" x14ac:dyDescent="0.25">
      <c r="E3" s="54">
        <v>10</v>
      </c>
      <c r="F3" s="72" t="e">
        <f>F2/F1</f>
        <v>#DIV/0!</v>
      </c>
      <c r="G3" s="72" t="e">
        <f>G2/F1</f>
        <v>#DIV/0!</v>
      </c>
      <c r="H3" s="148"/>
    </row>
    <row r="4" spans="1:13" s="147" customFormat="1" ht="21" customHeight="1" thickBot="1" x14ac:dyDescent="0.3">
      <c r="D4" s="178"/>
      <c r="E4" s="76">
        <f>SUM(E1:E3)</f>
        <v>100</v>
      </c>
      <c r="F4" s="72" t="e">
        <f>F3</f>
        <v>#DIV/0!</v>
      </c>
      <c r="G4" s="72"/>
      <c r="H4" s="148"/>
    </row>
    <row r="5" spans="1:13" ht="30.75" thickBot="1" x14ac:dyDescent="0.3">
      <c r="A5" s="185" t="s">
        <v>478</v>
      </c>
      <c r="B5" s="185" t="s">
        <v>479</v>
      </c>
      <c r="C5" s="185" t="s">
        <v>480</v>
      </c>
      <c r="D5" s="185" t="s">
        <v>482</v>
      </c>
      <c r="E5" s="185" t="s">
        <v>483</v>
      </c>
      <c r="F5" s="72">
        <v>0.02</v>
      </c>
      <c r="G5" s="148"/>
      <c r="H5" s="72"/>
      <c r="I5" s="135" t="s">
        <v>617</v>
      </c>
      <c r="J5" s="134" t="s">
        <v>530</v>
      </c>
    </row>
    <row r="6" spans="1:13" x14ac:dyDescent="0.25">
      <c r="A6" s="546"/>
      <c r="B6" s="186" t="str">
        <f>IF(A6&lt;&gt;"",INDEX('Base de données'!A$4:L$990,MATCH(A6,'Base de données'!A$4:A$990,0),2),"")</f>
        <v/>
      </c>
      <c r="C6" s="186" t="str">
        <f>IF(A6&lt;&gt;"",INDEX('Base de données'!A$4:L$990,MATCH(A6,'Base de données'!A$4:A$990,0),12),"")</f>
        <v/>
      </c>
      <c r="D6" s="547"/>
      <c r="E6" s="547"/>
      <c r="F6" s="72" t="e">
        <f>F7-SUM(F4:F5)</f>
        <v>#DIV/0!</v>
      </c>
      <c r="G6" s="148"/>
      <c r="H6" s="72"/>
    </row>
    <row r="7" spans="1:13" x14ac:dyDescent="0.25">
      <c r="A7" s="546"/>
      <c r="B7" s="186" t="str">
        <f>IF(A7&lt;&gt;"",INDEX('Base de données'!A$4:L$990,MATCH(A7,'Base de données'!A$4:A$990,0),2),"")</f>
        <v/>
      </c>
      <c r="C7" s="186" t="str">
        <f>IF(A7&lt;&gt;"",INDEX('Base de données'!A$4:L$990,MATCH(A7,'Base de données'!A$4:A$990,0),12),"")</f>
        <v/>
      </c>
      <c r="D7" s="547"/>
      <c r="E7" s="547"/>
      <c r="F7" s="72">
        <f>1.02</f>
        <v>1.02</v>
      </c>
      <c r="G7" s="148"/>
      <c r="H7" s="187" t="s">
        <v>605</v>
      </c>
      <c r="I7" s="188" t="s">
        <v>610</v>
      </c>
      <c r="J7" s="187" t="s">
        <v>611</v>
      </c>
      <c r="K7" s="187" t="s">
        <v>609</v>
      </c>
      <c r="L7" s="187" t="s">
        <v>621</v>
      </c>
      <c r="M7" s="345" t="s">
        <v>639</v>
      </c>
    </row>
    <row r="8" spans="1:13" x14ac:dyDescent="0.25">
      <c r="A8" s="546"/>
      <c r="B8" s="186" t="str">
        <f>IF(A8&lt;&gt;"",INDEX('Base de données'!A$4:L$990,MATCH(A8,'Base de données'!A$4:A$990,0),2),"")</f>
        <v/>
      </c>
      <c r="C8" s="186" t="str">
        <f>IF(A8&lt;&gt;"",INDEX('Base de données'!A$4:L$990,MATCH(A8,'Base de données'!A$4:A$990,0),12),"")</f>
        <v/>
      </c>
      <c r="D8" s="547"/>
      <c r="E8" s="546"/>
      <c r="F8" s="147"/>
      <c r="G8" s="147"/>
      <c r="H8" s="189">
        <f>COUNTIFS(C6:C318,J5,D6:D318,"&lt;&gt;"&amp;"")</f>
        <v>0</v>
      </c>
      <c r="I8" s="189">
        <f>COUNTIFS(C6:C318,J5,D6:D318,"&lt;="&amp;'Calendrier fiscal'!E36)</f>
        <v>0</v>
      </c>
      <c r="J8" s="189">
        <f>COUNTIFS(C6:C318,J5,D6:D318,"&lt;="&amp;'Calendrier fiscal'!E35)</f>
        <v>0</v>
      </c>
      <c r="K8" s="189">
        <f>H8-J8</f>
        <v>0</v>
      </c>
      <c r="L8" s="190" t="str">
        <f>IF(H8=0,"",I8/H8)</f>
        <v/>
      </c>
      <c r="M8" s="332" t="str">
        <f>IF(H8&lt;&gt;0,J8/H8,"")</f>
        <v/>
      </c>
    </row>
    <row r="9" spans="1:13" x14ac:dyDescent="0.25">
      <c r="A9" s="546"/>
      <c r="B9" s="186" t="str">
        <f>IF(A9&lt;&gt;"",INDEX('Base de données'!A$4:L$990,MATCH(A9,'Base de données'!A$4:A$990,0),2),"")</f>
        <v/>
      </c>
      <c r="C9" s="186" t="str">
        <f>IF(A9&lt;&gt;"",INDEX('Base de données'!A$4:L$990,MATCH(A9,'Base de données'!A$4:A$990,0),12),"")</f>
        <v/>
      </c>
      <c r="D9" s="547"/>
      <c r="E9" s="546"/>
      <c r="H9" s="179"/>
      <c r="I9" s="181"/>
      <c r="J9" s="181"/>
      <c r="K9" s="181"/>
      <c r="L9" s="181"/>
      <c r="M9" s="180"/>
    </row>
    <row r="10" spans="1:13" x14ac:dyDescent="0.25">
      <c r="A10" s="546"/>
      <c r="B10" s="186" t="str">
        <f>IF(A10&lt;&gt;"",INDEX('Base de données'!A$4:L$990,MATCH(A10,'Base de données'!A$4:A$990,0),2),"")</f>
        <v/>
      </c>
      <c r="C10" s="186" t="str">
        <f>IF(A10&lt;&gt;"",INDEX('Base de données'!A$4:L$990,MATCH(A10,'Base de données'!A$4:A$990,0),12),"")</f>
        <v/>
      </c>
      <c r="D10" s="547"/>
      <c r="E10" s="546"/>
      <c r="H10" s="179"/>
      <c r="I10" s="181"/>
      <c r="J10" s="181"/>
      <c r="K10" s="181"/>
      <c r="L10" s="181"/>
      <c r="M10" s="181"/>
    </row>
    <row r="11" spans="1:13" x14ac:dyDescent="0.25">
      <c r="A11" s="546"/>
      <c r="B11" s="186" t="str">
        <f>IF(A11&lt;&gt;"",INDEX('Base de données'!A$4:L$990,MATCH(A11,'Base de données'!A$4:A$990,0),2),"")</f>
        <v/>
      </c>
      <c r="C11" s="186" t="str">
        <f>IF(A11&lt;&gt;"",INDEX('Base de données'!A$4:L$990,MATCH(A11,'Base de données'!A$4:A$990,0),12),"")</f>
        <v/>
      </c>
      <c r="D11" s="547"/>
      <c r="E11" s="546"/>
      <c r="I11" s="181"/>
      <c r="J11" s="181"/>
      <c r="K11" s="181"/>
      <c r="L11" s="181"/>
      <c r="M11" s="181"/>
    </row>
    <row r="12" spans="1:13" x14ac:dyDescent="0.25">
      <c r="A12" s="546"/>
      <c r="B12" s="186" t="str">
        <f>IF(A12&lt;&gt;"",INDEX('Base de données'!A$4:L$990,MATCH(A12,'Base de données'!A$4:A$990,0),2),"")</f>
        <v/>
      </c>
      <c r="C12" s="186" t="str">
        <f>IF(A12&lt;&gt;"",INDEX('Base de données'!A$4:L$990,MATCH(A12,'Base de données'!A$4:A$990,0),12),"")</f>
        <v/>
      </c>
      <c r="D12" s="547"/>
      <c r="E12" s="546"/>
      <c r="I12" s="181"/>
      <c r="J12" s="181"/>
      <c r="K12" s="181"/>
      <c r="L12" s="181"/>
      <c r="M12" s="181"/>
    </row>
    <row r="13" spans="1:13" x14ac:dyDescent="0.25">
      <c r="A13" s="546"/>
      <c r="B13" s="186" t="str">
        <f>IF(A13&lt;&gt;"",INDEX('Base de données'!A$4:L$990,MATCH(A13,'Base de données'!A$4:A$990,0),2),"")</f>
        <v/>
      </c>
      <c r="C13" s="186" t="str">
        <f>IF(A13&lt;&gt;"",INDEX('Base de données'!A$4:L$990,MATCH(A13,'Base de données'!A$4:A$990,0),12),"")</f>
        <v/>
      </c>
      <c r="D13" s="547"/>
      <c r="E13" s="546"/>
      <c r="I13" s="181"/>
      <c r="J13" s="181"/>
      <c r="K13" s="181"/>
      <c r="L13" s="181"/>
      <c r="M13" s="181"/>
    </row>
    <row r="14" spans="1:13" x14ac:dyDescent="0.25">
      <c r="A14" s="546"/>
      <c r="B14" s="186" t="str">
        <f>IF(A14&lt;&gt;"",INDEX('Base de données'!A$4:L$990,MATCH(A14,'Base de données'!A$4:A$990,0),2),"")</f>
        <v/>
      </c>
      <c r="C14" s="186" t="str">
        <f>IF(A14&lt;&gt;"",INDEX('Base de données'!A$4:L$990,MATCH(A14,'Base de données'!A$4:A$990,0),12),"")</f>
        <v/>
      </c>
      <c r="D14" s="547"/>
      <c r="E14" s="546"/>
      <c r="I14" s="181"/>
      <c r="J14" s="181"/>
      <c r="K14" s="181"/>
      <c r="L14" s="181"/>
      <c r="M14" s="181"/>
    </row>
    <row r="15" spans="1:13" x14ac:dyDescent="0.25">
      <c r="A15" s="546"/>
      <c r="B15" s="186" t="str">
        <f>IF(A15&lt;&gt;"",INDEX('Base de données'!A$4:L$990,MATCH(A15,'Base de données'!A$4:A$990,0),2),"")</f>
        <v/>
      </c>
      <c r="C15" s="186" t="str">
        <f>IF(A15&lt;&gt;"",INDEX('Base de données'!A$4:L$990,MATCH(A15,'Base de données'!A$4:A$990,0),12),"")</f>
        <v/>
      </c>
      <c r="D15" s="547"/>
      <c r="E15" s="546"/>
    </row>
    <row r="16" spans="1:13" x14ac:dyDescent="0.25">
      <c r="A16" s="546"/>
      <c r="B16" s="186" t="str">
        <f>IF(A16&lt;&gt;"",INDEX('Base de données'!A$4:L$990,MATCH(A16,'Base de données'!A$4:A$990,0),2),"")</f>
        <v/>
      </c>
      <c r="C16" s="186" t="str">
        <f>IF(A16&lt;&gt;"",INDEX('Base de données'!A$4:L$990,MATCH(A16,'Base de données'!A$4:A$990,0),12),"")</f>
        <v/>
      </c>
      <c r="D16" s="547"/>
      <c r="E16" s="546"/>
    </row>
    <row r="17" spans="1:5" x14ac:dyDescent="0.25">
      <c r="A17" s="546"/>
      <c r="B17" s="186" t="str">
        <f>IF(A17&lt;&gt;"",INDEX('Base de données'!A$4:L$990,MATCH(A17,'Base de données'!A$4:A$990,0),2),"")</f>
        <v/>
      </c>
      <c r="C17" s="186" t="str">
        <f>IF(A17&lt;&gt;"",INDEX('Base de données'!A$4:L$990,MATCH(A17,'Base de données'!A$4:A$990,0),12),"")</f>
        <v/>
      </c>
      <c r="D17" s="547"/>
      <c r="E17" s="546"/>
    </row>
    <row r="18" spans="1:5" x14ac:dyDescent="0.25">
      <c r="A18" s="546"/>
      <c r="B18" s="186" t="str">
        <f>IF(A18&lt;&gt;"",INDEX('Base de données'!A$4:L$990,MATCH(A18,'Base de données'!A$4:A$990,0),2),"")</f>
        <v/>
      </c>
      <c r="C18" s="186" t="str">
        <f>IF(A18&lt;&gt;"",INDEX('Base de données'!A$4:L$990,MATCH(A18,'Base de données'!A$4:A$990,0),12),"")</f>
        <v/>
      </c>
      <c r="D18" s="547"/>
      <c r="E18" s="546"/>
    </row>
    <row r="19" spans="1:5" x14ac:dyDescent="0.25">
      <c r="A19" s="546"/>
      <c r="B19" s="186" t="str">
        <f>IF(A19&lt;&gt;"",INDEX('Base de données'!A$4:L$990,MATCH(A19,'Base de données'!A$4:A$990,0),2),"")</f>
        <v/>
      </c>
      <c r="C19" s="186" t="str">
        <f>IF(A19&lt;&gt;"",INDEX('Base de données'!A$4:L$990,MATCH(A19,'Base de données'!A$4:A$990,0),12),"")</f>
        <v/>
      </c>
      <c r="D19" s="547"/>
      <c r="E19" s="546"/>
    </row>
    <row r="20" spans="1:5" x14ac:dyDescent="0.25">
      <c r="A20" s="546"/>
      <c r="B20" s="186" t="str">
        <f>IF(A20&lt;&gt;"",INDEX('Base de données'!A$4:L$990,MATCH(A20,'Base de données'!A$4:A$990,0),2),"")</f>
        <v/>
      </c>
      <c r="C20" s="186" t="str">
        <f>IF(A20&lt;&gt;"",INDEX('Base de données'!A$4:L$990,MATCH(A20,'Base de données'!A$4:A$990,0),12),"")</f>
        <v/>
      </c>
      <c r="D20" s="547"/>
      <c r="E20" s="546"/>
    </row>
    <row r="21" spans="1:5" x14ac:dyDescent="0.25">
      <c r="A21" s="546"/>
      <c r="B21" s="186" t="str">
        <f>IF(A21&lt;&gt;"",INDEX('Base de données'!A$4:L$990,MATCH(A21,'Base de données'!A$4:A$990,0),2),"")</f>
        <v/>
      </c>
      <c r="C21" s="186" t="str">
        <f>IF(A21&lt;&gt;"",INDEX('Base de données'!A$4:L$990,MATCH(A21,'Base de données'!A$4:A$990,0),12),"")</f>
        <v/>
      </c>
      <c r="D21" s="547"/>
      <c r="E21" s="546"/>
    </row>
    <row r="22" spans="1:5" x14ac:dyDescent="0.25">
      <c r="A22" s="546"/>
      <c r="B22" s="186" t="str">
        <f>IF(A22&lt;&gt;"",INDEX('Base de données'!A$4:L$990,MATCH(A22,'Base de données'!A$4:A$990,0),2),"")</f>
        <v/>
      </c>
      <c r="C22" s="186" t="str">
        <f>IF(A22&lt;&gt;"",INDEX('Base de données'!A$4:L$990,MATCH(A22,'Base de données'!A$4:A$990,0),12),"")</f>
        <v/>
      </c>
      <c r="D22" s="547"/>
      <c r="E22" s="546"/>
    </row>
    <row r="23" spans="1:5" x14ac:dyDescent="0.25">
      <c r="A23" s="546"/>
      <c r="B23" s="186" t="str">
        <f>IF(A23&lt;&gt;"",INDEX('Base de données'!A$4:L$990,MATCH(A23,'Base de données'!A$4:A$990,0),2),"")</f>
        <v/>
      </c>
      <c r="C23" s="186" t="str">
        <f>IF(A23&lt;&gt;"",INDEX('Base de données'!A$4:L$990,MATCH(A23,'Base de données'!A$4:A$990,0),12),"")</f>
        <v/>
      </c>
      <c r="D23" s="547"/>
      <c r="E23" s="546"/>
    </row>
    <row r="24" spans="1:5" x14ac:dyDescent="0.25">
      <c r="A24" s="546"/>
      <c r="B24" s="186" t="str">
        <f>IF(A24&lt;&gt;"",INDEX('Base de données'!A$4:L$990,MATCH(A24,'Base de données'!A$4:A$990,0),2),"")</f>
        <v/>
      </c>
      <c r="C24" s="186" t="str">
        <f>IF(A24&lt;&gt;"",INDEX('Base de données'!A$4:L$990,MATCH(A24,'Base de données'!A$4:A$990,0),12),"")</f>
        <v/>
      </c>
      <c r="D24" s="547"/>
      <c r="E24" s="546"/>
    </row>
    <row r="25" spans="1:5" x14ac:dyDescent="0.25">
      <c r="A25" s="546"/>
      <c r="B25" s="186" t="str">
        <f>IF(A25&lt;&gt;"",INDEX('Base de données'!A$4:L$990,MATCH(A25,'Base de données'!A$4:A$990,0),2),"")</f>
        <v/>
      </c>
      <c r="C25" s="186" t="str">
        <f>IF(A25&lt;&gt;"",INDEX('Base de données'!A$4:L$990,MATCH(A25,'Base de données'!A$4:A$990,0),12),"")</f>
        <v/>
      </c>
      <c r="D25" s="547"/>
      <c r="E25" s="546"/>
    </row>
    <row r="26" spans="1:5" x14ac:dyDescent="0.25">
      <c r="A26" s="546"/>
      <c r="B26" s="186" t="str">
        <f>IF(A26&lt;&gt;"",INDEX('Base de données'!A$4:L$990,MATCH(A26,'Base de données'!A$4:A$990,0),2),"")</f>
        <v/>
      </c>
      <c r="C26" s="186" t="str">
        <f>IF(A26&lt;&gt;"",INDEX('Base de données'!A$4:L$990,MATCH(A26,'Base de données'!A$4:A$990,0),12),"")</f>
        <v/>
      </c>
      <c r="D26" s="547"/>
      <c r="E26" s="546"/>
    </row>
    <row r="27" spans="1:5" x14ac:dyDescent="0.25">
      <c r="A27" s="546"/>
      <c r="B27" s="186" t="str">
        <f>IF(A27&lt;&gt;"",INDEX('Base de données'!A$4:L$990,MATCH(A27,'Base de données'!A$4:A$990,0),2),"")</f>
        <v/>
      </c>
      <c r="C27" s="186" t="str">
        <f>IF(A27&lt;&gt;"",INDEX('Base de données'!A$4:L$990,MATCH(A27,'Base de données'!A$4:A$990,0),12),"")</f>
        <v/>
      </c>
      <c r="D27" s="547"/>
      <c r="E27" s="546"/>
    </row>
    <row r="28" spans="1:5" x14ac:dyDescent="0.25">
      <c r="A28" s="546"/>
      <c r="B28" s="186" t="str">
        <f>IF(A28&lt;&gt;"",INDEX('Base de données'!A$4:L$990,MATCH(A28,'Base de données'!A$4:A$990,0),2),"")</f>
        <v/>
      </c>
      <c r="C28" s="186" t="str">
        <f>IF(A28&lt;&gt;"",INDEX('Base de données'!A$4:L$990,MATCH(A28,'Base de données'!A$4:A$990,0),12),"")</f>
        <v/>
      </c>
      <c r="D28" s="547"/>
      <c r="E28" s="546"/>
    </row>
    <row r="29" spans="1:5" x14ac:dyDescent="0.25">
      <c r="A29" s="546"/>
      <c r="B29" s="186" t="str">
        <f>IF(A29&lt;&gt;"",INDEX('Base de données'!A$4:L$990,MATCH(A29,'Base de données'!A$4:A$990,0),2),"")</f>
        <v/>
      </c>
      <c r="C29" s="186" t="str">
        <f>IF(A29&lt;&gt;"",INDEX('Base de données'!A$4:L$990,MATCH(A29,'Base de données'!A$4:A$990,0),12),"")</f>
        <v/>
      </c>
      <c r="D29" s="547"/>
      <c r="E29" s="546"/>
    </row>
    <row r="30" spans="1:5" x14ac:dyDescent="0.25">
      <c r="A30" s="546"/>
      <c r="B30" s="186" t="str">
        <f>IF(A30&lt;&gt;"",INDEX('Base de données'!A$4:L$990,MATCH(A30,'Base de données'!A$4:A$990,0),2),"")</f>
        <v/>
      </c>
      <c r="C30" s="186" t="str">
        <f>IF(A30&lt;&gt;"",INDEX('Base de données'!A$4:L$990,MATCH(A30,'Base de données'!A$4:A$990,0),12),"")</f>
        <v/>
      </c>
      <c r="D30" s="547"/>
      <c r="E30" s="546"/>
    </row>
    <row r="31" spans="1:5" x14ac:dyDescent="0.25">
      <c r="A31" s="546"/>
      <c r="B31" s="186" t="str">
        <f>IF(A31&lt;&gt;"",INDEX('Base de données'!A$4:L$990,MATCH(A31,'Base de données'!A$4:A$990,0),2),"")</f>
        <v/>
      </c>
      <c r="C31" s="186" t="str">
        <f>IF(A31&lt;&gt;"",INDEX('Base de données'!A$4:L$990,MATCH(A31,'Base de données'!A$4:A$990,0),12),"")</f>
        <v/>
      </c>
      <c r="D31" s="547"/>
      <c r="E31" s="546"/>
    </row>
    <row r="32" spans="1:5" x14ac:dyDescent="0.25">
      <c r="A32" s="546"/>
      <c r="B32" s="186" t="str">
        <f>IF(A32&lt;&gt;"",INDEX('Base de données'!A$4:L$990,MATCH(A32,'Base de données'!A$4:A$990,0),2),"")</f>
        <v/>
      </c>
      <c r="C32" s="186" t="str">
        <f>IF(A32&lt;&gt;"",INDEX('Base de données'!A$4:L$990,MATCH(A32,'Base de données'!A$4:A$990,0),12),"")</f>
        <v/>
      </c>
      <c r="D32" s="547"/>
      <c r="E32" s="546"/>
    </row>
    <row r="33" spans="1:5" x14ac:dyDescent="0.25">
      <c r="A33" s="546"/>
      <c r="B33" s="186" t="str">
        <f>IF(A33&lt;&gt;"",INDEX('Base de données'!A$4:L$990,MATCH(A33,'Base de données'!A$4:A$990,0),2),"")</f>
        <v/>
      </c>
      <c r="C33" s="186" t="str">
        <f>IF(A33&lt;&gt;"",INDEX('Base de données'!A$4:L$990,MATCH(A33,'Base de données'!A$4:A$990,0),12),"")</f>
        <v/>
      </c>
      <c r="D33" s="547"/>
      <c r="E33" s="546"/>
    </row>
    <row r="34" spans="1:5" x14ac:dyDescent="0.25">
      <c r="A34" s="546"/>
      <c r="B34" s="186" t="str">
        <f>IF(A34&lt;&gt;"",INDEX('Base de données'!A$4:L$990,MATCH(A34,'Base de données'!A$4:A$990,0),2),"")</f>
        <v/>
      </c>
      <c r="C34" s="186" t="str">
        <f>IF(A34&lt;&gt;"",INDEX('Base de données'!A$4:L$990,MATCH(A34,'Base de données'!A$4:A$990,0),12),"")</f>
        <v/>
      </c>
      <c r="D34" s="547"/>
      <c r="E34" s="546"/>
    </row>
    <row r="35" spans="1:5" x14ac:dyDescent="0.25">
      <c r="A35" s="546"/>
      <c r="B35" s="186" t="str">
        <f>IF(A35&lt;&gt;"",INDEX('Base de données'!A$4:L$990,MATCH(A35,'Base de données'!A$4:A$990,0),2),"")</f>
        <v/>
      </c>
      <c r="C35" s="186" t="str">
        <f>IF(A35&lt;&gt;"",INDEX('Base de données'!A$4:L$990,MATCH(A35,'Base de données'!A$4:A$990,0),12),"")</f>
        <v/>
      </c>
      <c r="D35" s="547"/>
      <c r="E35" s="546"/>
    </row>
    <row r="36" spans="1:5" x14ac:dyDescent="0.25">
      <c r="A36" s="546"/>
      <c r="B36" s="186" t="str">
        <f>IF(A36&lt;&gt;"",INDEX('Base de données'!A$4:L$990,MATCH(A36,'Base de données'!A$4:A$990,0),2),"")</f>
        <v/>
      </c>
      <c r="C36" s="186" t="str">
        <f>IF(A36&lt;&gt;"",INDEX('Base de données'!A$4:L$990,MATCH(A36,'Base de données'!A$4:A$990,0),12),"")</f>
        <v/>
      </c>
      <c r="D36" s="547"/>
      <c r="E36" s="546"/>
    </row>
    <row r="37" spans="1:5" x14ac:dyDescent="0.25">
      <c r="A37" s="546"/>
      <c r="B37" s="186" t="str">
        <f>IF(A37&lt;&gt;"",INDEX('Base de données'!A$4:L$990,MATCH(A37,'Base de données'!A$4:A$990,0),2),"")</f>
        <v/>
      </c>
      <c r="C37" s="186" t="str">
        <f>IF(A37&lt;&gt;"",INDEX('Base de données'!A$4:L$990,MATCH(A37,'Base de données'!A$4:A$990,0),12),"")</f>
        <v/>
      </c>
      <c r="D37" s="547"/>
      <c r="E37" s="546"/>
    </row>
    <row r="38" spans="1:5" x14ac:dyDescent="0.25">
      <c r="A38" s="546"/>
      <c r="B38" s="186" t="str">
        <f>IF(A38&lt;&gt;"",INDEX('Base de données'!A$4:L$990,MATCH(A38,'Base de données'!A$4:A$990,0),2),"")</f>
        <v/>
      </c>
      <c r="C38" s="186" t="str">
        <f>IF(A38&lt;&gt;"",INDEX('Base de données'!A$4:L$990,MATCH(A38,'Base de données'!A$4:A$990,0),12),"")</f>
        <v/>
      </c>
      <c r="D38" s="547"/>
      <c r="E38" s="546"/>
    </row>
    <row r="39" spans="1:5" x14ac:dyDescent="0.25">
      <c r="A39" s="546"/>
      <c r="B39" s="186" t="str">
        <f>IF(A39&lt;&gt;"",INDEX('Base de données'!A$4:L$990,MATCH(A39,'Base de données'!A$4:A$990,0),2),"")</f>
        <v/>
      </c>
      <c r="C39" s="186" t="str">
        <f>IF(A39&lt;&gt;"",INDEX('Base de données'!A$4:L$990,MATCH(A39,'Base de données'!A$4:A$990,0),12),"")</f>
        <v/>
      </c>
      <c r="D39" s="547"/>
      <c r="E39" s="546"/>
    </row>
    <row r="40" spans="1:5" x14ac:dyDescent="0.25">
      <c r="A40" s="546"/>
      <c r="B40" s="186" t="str">
        <f>IF(A40&lt;&gt;"",INDEX('Base de données'!A$4:L$990,MATCH(A40,'Base de données'!A$4:A$990,0),2),"")</f>
        <v/>
      </c>
      <c r="C40" s="186" t="str">
        <f>IF(A40&lt;&gt;"",INDEX('Base de données'!A$4:L$990,MATCH(A40,'Base de données'!A$4:A$990,0),12),"")</f>
        <v/>
      </c>
      <c r="D40" s="547"/>
      <c r="E40" s="546"/>
    </row>
    <row r="41" spans="1:5" x14ac:dyDescent="0.25">
      <c r="A41" s="546"/>
      <c r="B41" s="186" t="str">
        <f>IF(A41&lt;&gt;"",INDEX('Base de données'!A$4:L$990,MATCH(A41,'Base de données'!A$4:A$990,0),2),"")</f>
        <v/>
      </c>
      <c r="C41" s="186" t="str">
        <f>IF(A41&lt;&gt;"",INDEX('Base de données'!A$4:L$990,MATCH(A41,'Base de données'!A$4:A$990,0),12),"")</f>
        <v/>
      </c>
      <c r="D41" s="547"/>
      <c r="E41" s="546"/>
    </row>
    <row r="42" spans="1:5" x14ac:dyDescent="0.25">
      <c r="A42" s="546"/>
      <c r="B42" s="186" t="str">
        <f>IF(A42&lt;&gt;"",INDEX('Base de données'!A$4:L$990,MATCH(A42,'Base de données'!A$4:A$990,0),2),"")</f>
        <v/>
      </c>
      <c r="C42" s="186" t="str">
        <f>IF(A42&lt;&gt;"",INDEX('Base de données'!A$4:L$990,MATCH(A42,'Base de données'!A$4:A$990,0),12),"")</f>
        <v/>
      </c>
      <c r="D42" s="547"/>
      <c r="E42" s="546"/>
    </row>
    <row r="43" spans="1:5" x14ac:dyDescent="0.25">
      <c r="A43" s="546"/>
      <c r="B43" s="186" t="str">
        <f>IF(A43&lt;&gt;"",INDEX('Base de données'!A$4:L$990,MATCH(A43,'Base de données'!A$4:A$990,0),2),"")</f>
        <v/>
      </c>
      <c r="C43" s="186" t="str">
        <f>IF(A43&lt;&gt;"",INDEX('Base de données'!A$4:L$990,MATCH(A43,'Base de données'!A$4:A$990,0),12),"")</f>
        <v/>
      </c>
      <c r="D43" s="547"/>
      <c r="E43" s="546"/>
    </row>
    <row r="44" spans="1:5" x14ac:dyDescent="0.25">
      <c r="A44" s="546"/>
      <c r="B44" s="186" t="str">
        <f>IF(A44&lt;&gt;"",INDEX('Base de données'!A$4:L$990,MATCH(A44,'Base de données'!A$4:A$990,0),2),"")</f>
        <v/>
      </c>
      <c r="C44" s="186" t="str">
        <f>IF(A44&lt;&gt;"",INDEX('Base de données'!A$4:L$990,MATCH(A44,'Base de données'!A$4:A$990,0),12),"")</f>
        <v/>
      </c>
      <c r="D44" s="547"/>
      <c r="E44" s="546"/>
    </row>
    <row r="45" spans="1:5" x14ac:dyDescent="0.25">
      <c r="A45" s="546"/>
      <c r="B45" s="186" t="str">
        <f>IF(A45&lt;&gt;"",INDEX('Base de données'!A$4:L$990,MATCH(A45,'Base de données'!A$4:A$990,0),2),"")</f>
        <v/>
      </c>
      <c r="C45" s="186" t="str">
        <f>IF(A45&lt;&gt;"",INDEX('Base de données'!A$4:L$990,MATCH(A45,'Base de données'!A$4:A$990,0),12),"")</f>
        <v/>
      </c>
      <c r="D45" s="547"/>
      <c r="E45" s="546"/>
    </row>
    <row r="46" spans="1:5" x14ac:dyDescent="0.25">
      <c r="A46" s="546"/>
      <c r="B46" s="186" t="str">
        <f>IF(A46&lt;&gt;"",INDEX('Base de données'!A$4:L$990,MATCH(A46,'Base de données'!A$4:A$990,0),2),"")</f>
        <v/>
      </c>
      <c r="C46" s="186" t="str">
        <f>IF(A46&lt;&gt;"",INDEX('Base de données'!A$4:L$990,MATCH(A46,'Base de données'!A$4:A$990,0),12),"")</f>
        <v/>
      </c>
      <c r="D46" s="546"/>
      <c r="E46" s="546"/>
    </row>
    <row r="47" spans="1:5" x14ac:dyDescent="0.25">
      <c r="A47" s="546"/>
      <c r="B47" s="186" t="str">
        <f>IF(A47&lt;&gt;"",INDEX('Base de données'!A$4:L$990,MATCH(A47,'Base de données'!A$4:A$990,0),2),"")</f>
        <v/>
      </c>
      <c r="C47" s="186" t="str">
        <f>IF(A47&lt;&gt;"",INDEX('Base de données'!A$4:L$990,MATCH(A47,'Base de données'!A$4:A$990,0),12),"")</f>
        <v/>
      </c>
      <c r="D47" s="546"/>
      <c r="E47" s="546"/>
    </row>
    <row r="48" spans="1:5" x14ac:dyDescent="0.25">
      <c r="A48" s="546"/>
      <c r="B48" s="186" t="str">
        <f>IF(A48&lt;&gt;"",INDEX('Base de données'!A$4:L$990,MATCH(A48,'Base de données'!A$4:A$990,0),2),"")</f>
        <v/>
      </c>
      <c r="C48" s="186" t="str">
        <f>IF(A48&lt;&gt;"",INDEX('Base de données'!A$4:L$990,MATCH(A48,'Base de données'!A$4:A$990,0),12),"")</f>
        <v/>
      </c>
      <c r="D48" s="546"/>
      <c r="E48" s="546"/>
    </row>
    <row r="49" spans="1:5" x14ac:dyDescent="0.25">
      <c r="A49" s="546"/>
      <c r="B49" s="186" t="str">
        <f>IF(A49&lt;&gt;"",INDEX('Base de données'!A$4:L$990,MATCH(A49,'Base de données'!A$4:A$990,0),2),"")</f>
        <v/>
      </c>
      <c r="C49" s="186" t="str">
        <f>IF(A49&lt;&gt;"",INDEX('Base de données'!A$4:L$990,MATCH(A49,'Base de données'!A$4:A$990,0),12),"")</f>
        <v/>
      </c>
      <c r="D49" s="546"/>
      <c r="E49" s="546"/>
    </row>
    <row r="50" spans="1:5" x14ac:dyDescent="0.25">
      <c r="A50" s="546"/>
      <c r="B50" s="186" t="str">
        <f>IF(A50&lt;&gt;"",INDEX('Base de données'!A$4:L$990,MATCH(A50,'Base de données'!A$4:A$990,0),2),"")</f>
        <v/>
      </c>
      <c r="C50" s="186" t="str">
        <f>IF(A50&lt;&gt;"",INDEX('Base de données'!A$4:L$990,MATCH(A50,'Base de données'!A$4:A$990,0),12),"")</f>
        <v/>
      </c>
      <c r="D50" s="546"/>
      <c r="E50" s="546"/>
    </row>
    <row r="51" spans="1:5" x14ac:dyDescent="0.25">
      <c r="A51" s="546"/>
      <c r="B51" s="186" t="str">
        <f>IF(A51&lt;&gt;"",INDEX('Base de données'!A$4:L$990,MATCH(A51,'Base de données'!A$4:A$990,0),2),"")</f>
        <v/>
      </c>
      <c r="C51" s="186" t="str">
        <f>IF(A51&lt;&gt;"",INDEX('Base de données'!A$4:L$990,MATCH(A51,'Base de données'!A$4:A$990,0),12),"")</f>
        <v/>
      </c>
      <c r="D51" s="546"/>
      <c r="E51" s="546"/>
    </row>
    <row r="52" spans="1:5" x14ac:dyDescent="0.25">
      <c r="A52" s="546"/>
      <c r="B52" s="186" t="str">
        <f>IF(A52&lt;&gt;"",INDEX('Base de données'!A$4:L$990,MATCH(A52,'Base de données'!A$4:A$990,0),2),"")</f>
        <v/>
      </c>
      <c r="C52" s="186" t="str">
        <f>IF(A52&lt;&gt;"",INDEX('Base de données'!A$4:L$990,MATCH(A52,'Base de données'!A$4:A$990,0),12),"")</f>
        <v/>
      </c>
      <c r="D52" s="546"/>
      <c r="E52" s="546"/>
    </row>
    <row r="53" spans="1:5" x14ac:dyDescent="0.25">
      <c r="A53" s="546"/>
      <c r="B53" s="186" t="str">
        <f>IF(A53&lt;&gt;"",INDEX('Base de données'!A$4:L$990,MATCH(A53,'Base de données'!A$4:A$990,0),2),"")</f>
        <v/>
      </c>
      <c r="C53" s="186" t="str">
        <f>IF(A53&lt;&gt;"",INDEX('Base de données'!A$4:L$990,MATCH(A53,'Base de données'!A$4:A$990,0),12),"")</f>
        <v/>
      </c>
      <c r="D53" s="546"/>
      <c r="E53" s="546"/>
    </row>
    <row r="54" spans="1:5" x14ac:dyDescent="0.25">
      <c r="A54" s="546"/>
      <c r="B54" s="186" t="str">
        <f>IF(A54&lt;&gt;"",INDEX('Base de données'!A$4:L$990,MATCH(A54,'Base de données'!A$4:A$990,0),2),"")</f>
        <v/>
      </c>
      <c r="C54" s="186" t="str">
        <f>IF(A54&lt;&gt;"",INDEX('Base de données'!A$4:L$990,MATCH(A54,'Base de données'!A$4:A$990,0),12),"")</f>
        <v/>
      </c>
      <c r="D54" s="546"/>
      <c r="E54" s="546"/>
    </row>
    <row r="55" spans="1:5" x14ac:dyDescent="0.25">
      <c r="A55" s="546"/>
      <c r="B55" s="186" t="str">
        <f>IF(A55&lt;&gt;"",INDEX('Base de données'!A$4:L$990,MATCH(A55,'Base de données'!A$4:A$990,0),2),"")</f>
        <v/>
      </c>
      <c r="C55" s="186" t="str">
        <f>IF(A55&lt;&gt;"",INDEX('Base de données'!A$4:L$990,MATCH(A55,'Base de données'!A$4:A$990,0),12),"")</f>
        <v/>
      </c>
      <c r="D55" s="546"/>
      <c r="E55" s="546"/>
    </row>
    <row r="56" spans="1:5" x14ac:dyDescent="0.25">
      <c r="A56" s="546"/>
      <c r="B56" s="186" t="str">
        <f>IF(A56&lt;&gt;"",INDEX('Base de données'!A$4:L$990,MATCH(A56,'Base de données'!A$4:A$990,0),2),"")</f>
        <v/>
      </c>
      <c r="C56" s="186" t="str">
        <f>IF(A56&lt;&gt;"",INDEX('Base de données'!A$4:L$990,MATCH(A56,'Base de données'!A$4:A$990,0),12),"")</f>
        <v/>
      </c>
      <c r="D56" s="546"/>
      <c r="E56" s="546"/>
    </row>
    <row r="57" spans="1:5" x14ac:dyDescent="0.25">
      <c r="A57" s="546"/>
      <c r="B57" s="186" t="str">
        <f>IF(A57&lt;&gt;"",INDEX('Base de données'!A$4:L$990,MATCH(A57,'Base de données'!A$4:A$990,0),2),"")</f>
        <v/>
      </c>
      <c r="C57" s="186" t="str">
        <f>IF(A57&lt;&gt;"",INDEX('Base de données'!A$4:L$990,MATCH(A57,'Base de données'!A$4:A$990,0),12),"")</f>
        <v/>
      </c>
      <c r="D57" s="546"/>
      <c r="E57" s="546"/>
    </row>
    <row r="58" spans="1:5" x14ac:dyDescent="0.25">
      <c r="A58" s="546"/>
      <c r="B58" s="186" t="str">
        <f>IF(A58&lt;&gt;"",INDEX('Base de données'!A$4:L$990,MATCH(A58,'Base de données'!A$4:A$990,0),2),"")</f>
        <v/>
      </c>
      <c r="C58" s="186" t="str">
        <f>IF(A58&lt;&gt;"",INDEX('Base de données'!A$4:L$990,MATCH(A58,'Base de données'!A$4:A$990,0),12),"")</f>
        <v/>
      </c>
      <c r="D58" s="546"/>
      <c r="E58" s="546"/>
    </row>
    <row r="59" spans="1:5" x14ac:dyDescent="0.25">
      <c r="A59" s="546"/>
      <c r="B59" s="186" t="str">
        <f>IF(A59&lt;&gt;"",INDEX('Base de données'!A$4:L$990,MATCH(A59,'Base de données'!A$4:A$990,0),2),"")</f>
        <v/>
      </c>
      <c r="C59" s="186" t="str">
        <f>IF(A59&lt;&gt;"",INDEX('Base de données'!A$4:L$990,MATCH(A59,'Base de données'!A$4:A$990,0),12),"")</f>
        <v/>
      </c>
      <c r="D59" s="546"/>
      <c r="E59" s="546"/>
    </row>
    <row r="60" spans="1:5" x14ac:dyDescent="0.25">
      <c r="A60" s="546"/>
      <c r="B60" s="186" t="str">
        <f>IF(A60&lt;&gt;"",INDEX('Base de données'!A$4:L$990,MATCH(A60,'Base de données'!A$4:A$990,0),2),"")</f>
        <v/>
      </c>
      <c r="C60" s="186" t="str">
        <f>IF(A60&lt;&gt;"",INDEX('Base de données'!A$4:L$990,MATCH(A60,'Base de données'!A$4:A$990,0),12),"")</f>
        <v/>
      </c>
      <c r="D60" s="546"/>
      <c r="E60" s="546"/>
    </row>
    <row r="61" spans="1:5" x14ac:dyDescent="0.25">
      <c r="A61" s="546"/>
      <c r="B61" s="186" t="str">
        <f>IF(A61&lt;&gt;"",INDEX('Base de données'!A$4:L$990,MATCH(A61,'Base de données'!A$4:A$990,0),2),"")</f>
        <v/>
      </c>
      <c r="C61" s="186" t="str">
        <f>IF(A61&lt;&gt;"",INDEX('Base de données'!A$4:L$990,MATCH(A61,'Base de données'!A$4:A$990,0),12),"")</f>
        <v/>
      </c>
      <c r="D61" s="546"/>
      <c r="E61" s="546"/>
    </row>
    <row r="62" spans="1:5" x14ac:dyDescent="0.25">
      <c r="A62" s="546"/>
      <c r="B62" s="186" t="str">
        <f>IF(A62&lt;&gt;"",INDEX('Base de données'!A$4:L$990,MATCH(A62,'Base de données'!A$4:A$990,0),2),"")</f>
        <v/>
      </c>
      <c r="C62" s="186" t="str">
        <f>IF(A62&lt;&gt;"",INDEX('Base de données'!A$4:L$990,MATCH(A62,'Base de données'!A$4:A$990,0),12),"")</f>
        <v/>
      </c>
      <c r="D62" s="546"/>
      <c r="E62" s="546"/>
    </row>
    <row r="63" spans="1:5" x14ac:dyDescent="0.25">
      <c r="A63" s="546"/>
      <c r="B63" s="186" t="str">
        <f>IF(A63&lt;&gt;"",INDEX('Base de données'!A$4:L$990,MATCH(A63,'Base de données'!A$4:A$990,0),2),"")</f>
        <v/>
      </c>
      <c r="C63" s="186" t="str">
        <f>IF(A63&lt;&gt;"",INDEX('Base de données'!A$4:L$990,MATCH(A63,'Base de données'!A$4:A$990,0),12),"")</f>
        <v/>
      </c>
      <c r="D63" s="546"/>
      <c r="E63" s="546"/>
    </row>
    <row r="64" spans="1:5" x14ac:dyDescent="0.25">
      <c r="A64" s="546"/>
      <c r="B64" s="186" t="str">
        <f>IF(A64&lt;&gt;"",INDEX('Base de données'!A$4:L$990,MATCH(A64,'Base de données'!A$4:A$990,0),2),"")</f>
        <v/>
      </c>
      <c r="C64" s="186" t="str">
        <f>IF(A64&lt;&gt;"",INDEX('Base de données'!A$4:L$990,MATCH(A64,'Base de données'!A$4:A$990,0),12),"")</f>
        <v/>
      </c>
      <c r="D64" s="546"/>
      <c r="E64" s="546"/>
    </row>
    <row r="65" spans="1:5" x14ac:dyDescent="0.25">
      <c r="A65" s="546"/>
      <c r="B65" s="186" t="str">
        <f>IF(A65&lt;&gt;"",INDEX('Base de données'!A$4:L$990,MATCH(A65,'Base de données'!A$4:A$990,0),2),"")</f>
        <v/>
      </c>
      <c r="C65" s="186" t="str">
        <f>IF(A65&lt;&gt;"",INDEX('Base de données'!A$4:L$990,MATCH(A65,'Base de données'!A$4:A$990,0),12),"")</f>
        <v/>
      </c>
      <c r="D65" s="546"/>
      <c r="E65" s="546"/>
    </row>
    <row r="66" spans="1:5" x14ac:dyDescent="0.25">
      <c r="A66" s="546"/>
      <c r="B66" s="186" t="str">
        <f>IF(A66&lt;&gt;"",INDEX('Base de données'!A$4:L$990,MATCH(A66,'Base de données'!A$4:A$990,0),2),"")</f>
        <v/>
      </c>
      <c r="C66" s="186" t="str">
        <f>IF(A66&lt;&gt;"",INDEX('Base de données'!A$4:L$990,MATCH(A66,'Base de données'!A$4:A$990,0),12),"")</f>
        <v/>
      </c>
      <c r="D66" s="546"/>
      <c r="E66" s="546"/>
    </row>
    <row r="67" spans="1:5" x14ac:dyDescent="0.25">
      <c r="A67" s="546"/>
      <c r="B67" s="186" t="str">
        <f>IF(A67&lt;&gt;"",INDEX('Base de données'!A$4:L$990,MATCH(A67,'Base de données'!A$4:A$990,0),2),"")</f>
        <v/>
      </c>
      <c r="C67" s="186" t="str">
        <f>IF(A67&lt;&gt;"",INDEX('Base de données'!A$4:L$990,MATCH(A67,'Base de données'!A$4:A$990,0),12),"")</f>
        <v/>
      </c>
      <c r="D67" s="546"/>
      <c r="E67" s="546"/>
    </row>
    <row r="68" spans="1:5" x14ac:dyDescent="0.25">
      <c r="A68" s="546"/>
      <c r="B68" s="186" t="str">
        <f>IF(A68&lt;&gt;"",INDEX('Base de données'!A$4:L$990,MATCH(A68,'Base de données'!A$4:A$990,0),2),"")</f>
        <v/>
      </c>
      <c r="C68" s="186" t="str">
        <f>IF(A68&lt;&gt;"",INDEX('Base de données'!A$4:L$990,MATCH(A68,'Base de données'!A$4:A$990,0),12),"")</f>
        <v/>
      </c>
      <c r="D68" s="546"/>
      <c r="E68" s="546"/>
    </row>
    <row r="69" spans="1:5" x14ac:dyDescent="0.25">
      <c r="A69" s="546"/>
      <c r="B69" s="186" t="str">
        <f>IF(A69&lt;&gt;"",INDEX('Base de données'!A$4:L$990,MATCH(A69,'Base de données'!A$4:A$990,0),2),"")</f>
        <v/>
      </c>
      <c r="C69" s="186" t="str">
        <f>IF(A69&lt;&gt;"",INDEX('Base de données'!A$4:L$990,MATCH(A69,'Base de données'!A$4:A$990,0),12),"")</f>
        <v/>
      </c>
      <c r="D69" s="546"/>
      <c r="E69" s="546"/>
    </row>
    <row r="70" spans="1:5" x14ac:dyDescent="0.25">
      <c r="A70" s="546"/>
      <c r="B70" s="186" t="str">
        <f>IF(A70&lt;&gt;"",INDEX('Base de données'!A$4:L$990,MATCH(A70,'Base de données'!A$4:A$990,0),2),"")</f>
        <v/>
      </c>
      <c r="C70" s="186" t="str">
        <f>IF(A70&lt;&gt;"",INDEX('Base de données'!A$4:L$990,MATCH(A70,'Base de données'!A$4:A$990,0),12),"")</f>
        <v/>
      </c>
      <c r="D70" s="546"/>
      <c r="E70" s="546"/>
    </row>
    <row r="71" spans="1:5" x14ac:dyDescent="0.25">
      <c r="A71" s="546"/>
      <c r="B71" s="186" t="str">
        <f>IF(A71&lt;&gt;"",INDEX('Base de données'!A$4:L$990,MATCH(A71,'Base de données'!A$4:A$990,0),2),"")</f>
        <v/>
      </c>
      <c r="C71" s="186" t="str">
        <f>IF(A71&lt;&gt;"",INDEX('Base de données'!A$4:L$990,MATCH(A71,'Base de données'!A$4:A$990,0),12),"")</f>
        <v/>
      </c>
      <c r="D71" s="546"/>
      <c r="E71" s="546"/>
    </row>
    <row r="72" spans="1:5" x14ac:dyDescent="0.25">
      <c r="A72" s="546"/>
      <c r="B72" s="186" t="str">
        <f>IF(A72&lt;&gt;"",INDEX('Base de données'!A$4:L$990,MATCH(A72,'Base de données'!A$4:A$990,0),2),"")</f>
        <v/>
      </c>
      <c r="C72" s="186" t="str">
        <f>IF(A72&lt;&gt;"",INDEX('Base de données'!A$4:L$990,MATCH(A72,'Base de données'!A$4:A$990,0),12),"")</f>
        <v/>
      </c>
      <c r="D72" s="546"/>
      <c r="E72" s="546"/>
    </row>
    <row r="73" spans="1:5" x14ac:dyDescent="0.25">
      <c r="A73" s="546"/>
      <c r="B73" s="186" t="str">
        <f>IF(A73&lt;&gt;"",INDEX('Base de données'!A$4:L$990,MATCH(A73,'Base de données'!A$4:A$990,0),2),"")</f>
        <v/>
      </c>
      <c r="C73" s="186" t="str">
        <f>IF(A73&lt;&gt;"",INDEX('Base de données'!A$4:L$990,MATCH(A73,'Base de données'!A$4:A$990,0),12),"")</f>
        <v/>
      </c>
      <c r="D73" s="546"/>
      <c r="E73" s="546"/>
    </row>
    <row r="74" spans="1:5" x14ac:dyDescent="0.25">
      <c r="A74" s="546"/>
      <c r="B74" s="186" t="str">
        <f>IF(A74&lt;&gt;"",INDEX('Base de données'!A$4:L$990,MATCH(A74,'Base de données'!A$4:A$990,0),2),"")</f>
        <v/>
      </c>
      <c r="C74" s="186" t="str">
        <f>IF(A74&lt;&gt;"",INDEX('Base de données'!A$4:L$990,MATCH(A74,'Base de données'!A$4:A$990,0),12),"")</f>
        <v/>
      </c>
      <c r="D74" s="546"/>
      <c r="E74" s="546"/>
    </row>
    <row r="75" spans="1:5" x14ac:dyDescent="0.25">
      <c r="A75" s="546"/>
      <c r="B75" s="186" t="str">
        <f>IF(A75&lt;&gt;"",INDEX('Base de données'!A$4:L$990,MATCH(A75,'Base de données'!A$4:A$990,0),2),"")</f>
        <v/>
      </c>
      <c r="C75" s="186" t="str">
        <f>IF(A75&lt;&gt;"",INDEX('Base de données'!A$4:L$990,MATCH(A75,'Base de données'!A$4:A$990,0),12),"")</f>
        <v/>
      </c>
      <c r="D75" s="546"/>
      <c r="E75" s="546"/>
    </row>
    <row r="76" spans="1:5" x14ac:dyDescent="0.25">
      <c r="A76" s="546"/>
      <c r="B76" s="186" t="str">
        <f>IF(A76&lt;&gt;"",INDEX('Base de données'!A$4:L$990,MATCH(A76,'Base de données'!A$4:A$990,0),2),"")</f>
        <v/>
      </c>
      <c r="C76" s="186" t="str">
        <f>IF(A76&lt;&gt;"",INDEX('Base de données'!A$4:L$990,MATCH(A76,'Base de données'!A$4:A$990,0),12),"")</f>
        <v/>
      </c>
      <c r="D76" s="546"/>
      <c r="E76" s="546"/>
    </row>
    <row r="77" spans="1:5" x14ac:dyDescent="0.25">
      <c r="A77" s="546"/>
      <c r="B77" s="186" t="str">
        <f>IF(A77&lt;&gt;"",INDEX('Base de données'!A$4:L$990,MATCH(A77,'Base de données'!A$4:A$990,0),2),"")</f>
        <v/>
      </c>
      <c r="C77" s="186" t="str">
        <f>IF(A77&lt;&gt;"",INDEX('Base de données'!A$4:L$990,MATCH(A77,'Base de données'!A$4:A$990,0),12),"")</f>
        <v/>
      </c>
      <c r="D77" s="546"/>
      <c r="E77" s="546"/>
    </row>
    <row r="78" spans="1:5" x14ac:dyDescent="0.25">
      <c r="A78" s="546"/>
      <c r="B78" s="186" t="str">
        <f>IF(A78&lt;&gt;"",INDEX('Base de données'!A$4:L$990,MATCH(A78,'Base de données'!A$4:A$990,0),2),"")</f>
        <v/>
      </c>
      <c r="C78" s="186" t="str">
        <f>IF(A78&lt;&gt;"",INDEX('Base de données'!A$4:L$990,MATCH(A78,'Base de données'!A$4:A$990,0),12),"")</f>
        <v/>
      </c>
      <c r="D78" s="546"/>
      <c r="E78" s="546"/>
    </row>
    <row r="79" spans="1:5" x14ac:dyDescent="0.25">
      <c r="A79" s="546"/>
      <c r="B79" s="186" t="str">
        <f>IF(A79&lt;&gt;"",INDEX('Base de données'!A$4:L$990,MATCH(A79,'Base de données'!A$4:A$990,0),2),"")</f>
        <v/>
      </c>
      <c r="C79" s="186" t="str">
        <f>IF(A79&lt;&gt;"",INDEX('Base de données'!A$4:L$990,MATCH(A79,'Base de données'!A$4:A$990,0),12),"")</f>
        <v/>
      </c>
      <c r="D79" s="546"/>
      <c r="E79" s="546"/>
    </row>
    <row r="80" spans="1:5" x14ac:dyDescent="0.25">
      <c r="A80" s="546"/>
      <c r="B80" s="186" t="str">
        <f>IF(A80&lt;&gt;"",INDEX('Base de données'!A$4:L$990,MATCH(A80,'Base de données'!A$4:A$990,0),2),"")</f>
        <v/>
      </c>
      <c r="C80" s="186" t="str">
        <f>IF(A80&lt;&gt;"",INDEX('Base de données'!A$4:L$990,MATCH(A80,'Base de données'!A$4:A$990,0),12),"")</f>
        <v/>
      </c>
      <c r="D80" s="546"/>
      <c r="E80" s="546"/>
    </row>
    <row r="81" spans="1:5" x14ac:dyDescent="0.25">
      <c r="A81" s="546"/>
      <c r="B81" s="186" t="str">
        <f>IF(A81&lt;&gt;"",INDEX('Base de données'!A$4:L$990,MATCH(A81,'Base de données'!A$4:A$990,0),2),"")</f>
        <v/>
      </c>
      <c r="C81" s="186" t="str">
        <f>IF(A81&lt;&gt;"",INDEX('Base de données'!A$4:L$990,MATCH(A81,'Base de données'!A$4:A$990,0),12),"")</f>
        <v/>
      </c>
      <c r="D81" s="546"/>
      <c r="E81" s="546"/>
    </row>
    <row r="82" spans="1:5" x14ac:dyDescent="0.25">
      <c r="A82" s="546"/>
      <c r="B82" s="186" t="str">
        <f>IF(A82&lt;&gt;"",INDEX('Base de données'!A$4:L$990,MATCH(A82,'Base de données'!A$4:A$990,0),2),"")</f>
        <v/>
      </c>
      <c r="C82" s="186" t="str">
        <f>IF(A82&lt;&gt;"",INDEX('Base de données'!A$4:L$990,MATCH(A82,'Base de données'!A$4:A$990,0),12),"")</f>
        <v/>
      </c>
      <c r="D82" s="546"/>
      <c r="E82" s="546"/>
    </row>
    <row r="83" spans="1:5" x14ac:dyDescent="0.25">
      <c r="A83" s="546"/>
      <c r="B83" s="186" t="str">
        <f>IF(A83&lt;&gt;"",INDEX('Base de données'!A$4:L$990,MATCH(A83,'Base de données'!A$4:A$990,0),2),"")</f>
        <v/>
      </c>
      <c r="C83" s="186" t="str">
        <f>IF(A83&lt;&gt;"",INDEX('Base de données'!A$4:L$990,MATCH(A83,'Base de données'!A$4:A$990,0),12),"")</f>
        <v/>
      </c>
      <c r="D83" s="546"/>
      <c r="E83" s="546"/>
    </row>
    <row r="84" spans="1:5" x14ac:dyDescent="0.25">
      <c r="A84" s="546"/>
      <c r="B84" s="186" t="str">
        <f>IF(A84&lt;&gt;"",INDEX('Base de données'!A$4:L$990,MATCH(A84,'Base de données'!A$4:A$990,0),2),"")</f>
        <v/>
      </c>
      <c r="C84" s="186" t="str">
        <f>IF(A84&lt;&gt;"",INDEX('Base de données'!A$4:L$990,MATCH(A84,'Base de données'!A$4:A$990,0),12),"")</f>
        <v/>
      </c>
      <c r="D84" s="546"/>
      <c r="E84" s="546"/>
    </row>
    <row r="85" spans="1:5" x14ac:dyDescent="0.25">
      <c r="A85" s="546"/>
      <c r="B85" s="186" t="str">
        <f>IF(A85&lt;&gt;"",INDEX('Base de données'!A$4:L$990,MATCH(A85,'Base de données'!A$4:A$990,0),2),"")</f>
        <v/>
      </c>
      <c r="C85" s="186" t="str">
        <f>IF(A85&lt;&gt;"",INDEX('Base de données'!A$4:L$990,MATCH(A85,'Base de données'!A$4:A$990,0),12),"")</f>
        <v/>
      </c>
      <c r="D85" s="546"/>
      <c r="E85" s="546"/>
    </row>
    <row r="86" spans="1:5" x14ac:dyDescent="0.25">
      <c r="A86" s="546"/>
      <c r="B86" s="186" t="str">
        <f>IF(A86&lt;&gt;"",INDEX('Base de données'!A$4:L$990,MATCH(A86,'Base de données'!A$4:A$990,0),2),"")</f>
        <v/>
      </c>
      <c r="C86" s="186" t="str">
        <f>IF(A86&lt;&gt;"",INDEX('Base de données'!A$4:L$990,MATCH(A86,'Base de données'!A$4:A$990,0),12),"")</f>
        <v/>
      </c>
      <c r="D86" s="546"/>
      <c r="E86" s="546"/>
    </row>
    <row r="87" spans="1:5" x14ac:dyDescent="0.25">
      <c r="A87" s="546"/>
      <c r="B87" s="186" t="str">
        <f>IF(A87&lt;&gt;"",INDEX('Base de données'!A$4:L$990,MATCH(A87,'Base de données'!A$4:A$990,0),2),"")</f>
        <v/>
      </c>
      <c r="C87" s="186" t="str">
        <f>IF(A87&lt;&gt;"",INDEX('Base de données'!A$4:L$990,MATCH(A87,'Base de données'!A$4:A$990,0),12),"")</f>
        <v/>
      </c>
      <c r="D87" s="546"/>
      <c r="E87" s="546"/>
    </row>
    <row r="88" spans="1:5" x14ac:dyDescent="0.25">
      <c r="A88" s="546"/>
      <c r="B88" s="186" t="str">
        <f>IF(A88&lt;&gt;"",INDEX('Base de données'!A$4:L$990,MATCH(A88,'Base de données'!A$4:A$990,0),2),"")</f>
        <v/>
      </c>
      <c r="C88" s="186" t="str">
        <f>IF(A88&lt;&gt;"",INDEX('Base de données'!A$4:L$990,MATCH(A88,'Base de données'!A$4:A$990,0),12),"")</f>
        <v/>
      </c>
      <c r="D88" s="546"/>
      <c r="E88" s="546"/>
    </row>
    <row r="89" spans="1:5" x14ac:dyDescent="0.25">
      <c r="A89" s="546"/>
      <c r="B89" s="186" t="str">
        <f>IF(A89&lt;&gt;"",INDEX('Base de données'!A$4:L$990,MATCH(A89,'Base de données'!A$4:A$990,0),2),"")</f>
        <v/>
      </c>
      <c r="C89" s="186" t="str">
        <f>IF(A89&lt;&gt;"",INDEX('Base de données'!A$4:L$990,MATCH(A89,'Base de données'!A$4:A$990,0),12),"")</f>
        <v/>
      </c>
      <c r="D89" s="546"/>
      <c r="E89" s="546"/>
    </row>
    <row r="90" spans="1:5" x14ac:dyDescent="0.25">
      <c r="A90" s="546"/>
      <c r="B90" s="186" t="str">
        <f>IF(A90&lt;&gt;"",INDEX('Base de données'!A$4:L$990,MATCH(A90,'Base de données'!A$4:A$990,0),2),"")</f>
        <v/>
      </c>
      <c r="C90" s="186" t="str">
        <f>IF(A90&lt;&gt;"",INDEX('Base de données'!A$4:L$990,MATCH(A90,'Base de données'!A$4:A$990,0),12),"")</f>
        <v/>
      </c>
      <c r="D90" s="546"/>
      <c r="E90" s="546"/>
    </row>
    <row r="91" spans="1:5" x14ac:dyDescent="0.25">
      <c r="A91" s="546"/>
      <c r="B91" s="186" t="str">
        <f>IF(A91&lt;&gt;"",INDEX('Base de données'!A$4:L$990,MATCH(A91,'Base de données'!A$4:A$990,0),2),"")</f>
        <v/>
      </c>
      <c r="C91" s="186" t="str">
        <f>IF(A91&lt;&gt;"",INDEX('Base de données'!A$4:L$990,MATCH(A91,'Base de données'!A$4:A$990,0),12),"")</f>
        <v/>
      </c>
      <c r="D91" s="546"/>
      <c r="E91" s="546"/>
    </row>
    <row r="92" spans="1:5" x14ac:dyDescent="0.25">
      <c r="A92" s="546"/>
      <c r="B92" s="186" t="str">
        <f>IF(A92&lt;&gt;"",INDEX('Base de données'!A$4:L$990,MATCH(A92,'Base de données'!A$4:A$990,0),2),"")</f>
        <v/>
      </c>
      <c r="C92" s="186" t="str">
        <f>IF(A92&lt;&gt;"",INDEX('Base de données'!A$4:L$990,MATCH(A92,'Base de données'!A$4:A$990,0),12),"")</f>
        <v/>
      </c>
      <c r="D92" s="546"/>
      <c r="E92" s="546"/>
    </row>
    <row r="93" spans="1:5" x14ac:dyDescent="0.25">
      <c r="A93" s="546"/>
      <c r="B93" s="186" t="str">
        <f>IF(A93&lt;&gt;"",INDEX('Base de données'!A$4:L$990,MATCH(A93,'Base de données'!A$4:A$990,0),2),"")</f>
        <v/>
      </c>
      <c r="C93" s="186" t="str">
        <f>IF(A93&lt;&gt;"",INDEX('Base de données'!A$4:L$990,MATCH(A93,'Base de données'!A$4:A$990,0),12),"")</f>
        <v/>
      </c>
      <c r="D93" s="546"/>
      <c r="E93" s="546"/>
    </row>
    <row r="94" spans="1:5" x14ac:dyDescent="0.25">
      <c r="A94" s="546"/>
      <c r="B94" s="186" t="str">
        <f>IF(A94&lt;&gt;"",INDEX('Base de données'!A$4:L$990,MATCH(A94,'Base de données'!A$4:A$990,0),2),"")</f>
        <v/>
      </c>
      <c r="C94" s="186" t="str">
        <f>IF(A94&lt;&gt;"",INDEX('Base de données'!A$4:L$990,MATCH(A94,'Base de données'!A$4:A$990,0),12),"")</f>
        <v/>
      </c>
      <c r="D94" s="546"/>
      <c r="E94" s="546"/>
    </row>
    <row r="95" spans="1:5" x14ac:dyDescent="0.25">
      <c r="A95" s="546"/>
      <c r="B95" s="186" t="str">
        <f>IF(A95&lt;&gt;"",INDEX('Base de données'!A$4:L$990,MATCH(A95,'Base de données'!A$4:A$990,0),2),"")</f>
        <v/>
      </c>
      <c r="C95" s="186" t="str">
        <f>IF(A95&lt;&gt;"",INDEX('Base de données'!A$4:L$990,MATCH(A95,'Base de données'!A$4:A$990,0),12),"")</f>
        <v/>
      </c>
      <c r="D95" s="546"/>
      <c r="E95" s="546"/>
    </row>
    <row r="96" spans="1:5" x14ac:dyDescent="0.25">
      <c r="A96" s="546"/>
      <c r="B96" s="186" t="str">
        <f>IF(A96&lt;&gt;"",INDEX('Base de données'!A$4:L$990,MATCH(A96,'Base de données'!A$4:A$990,0),2),"")</f>
        <v/>
      </c>
      <c r="C96" s="186" t="str">
        <f>IF(A96&lt;&gt;"",INDEX('Base de données'!A$4:L$990,MATCH(A96,'Base de données'!A$4:A$990,0),12),"")</f>
        <v/>
      </c>
      <c r="D96" s="546"/>
      <c r="E96" s="546"/>
    </row>
    <row r="97" spans="1:5" x14ac:dyDescent="0.25">
      <c r="A97" s="546"/>
      <c r="B97" s="186" t="str">
        <f>IF(A97&lt;&gt;"",INDEX('Base de données'!A$4:L$990,MATCH(A97,'Base de données'!A$4:A$990,0),2),"")</f>
        <v/>
      </c>
      <c r="C97" s="186" t="str">
        <f>IF(A97&lt;&gt;"",INDEX('Base de données'!A$4:L$990,MATCH(A97,'Base de données'!A$4:A$990,0),12),"")</f>
        <v/>
      </c>
      <c r="D97" s="546"/>
      <c r="E97" s="546"/>
    </row>
    <row r="98" spans="1:5" x14ac:dyDescent="0.25">
      <c r="A98" s="546"/>
      <c r="B98" s="186" t="str">
        <f>IF(A98&lt;&gt;"",INDEX('Base de données'!A$4:L$990,MATCH(A98,'Base de données'!A$4:A$990,0),2),"")</f>
        <v/>
      </c>
      <c r="C98" s="186" t="str">
        <f>IF(A98&lt;&gt;"",INDEX('Base de données'!A$4:L$990,MATCH(A98,'Base de données'!A$4:A$990,0),12),"")</f>
        <v/>
      </c>
      <c r="D98" s="546"/>
      <c r="E98" s="546"/>
    </row>
    <row r="99" spans="1:5" x14ac:dyDescent="0.25">
      <c r="A99" s="546"/>
      <c r="B99" s="186" t="str">
        <f>IF(A99&lt;&gt;"",INDEX('Base de données'!A$4:L$990,MATCH(A99,'Base de données'!A$4:A$990,0),2),"")</f>
        <v/>
      </c>
      <c r="C99" s="186" t="str">
        <f>IF(A99&lt;&gt;"",INDEX('Base de données'!A$4:L$990,MATCH(A99,'Base de données'!A$4:A$990,0),12),"")</f>
        <v/>
      </c>
      <c r="D99" s="546"/>
      <c r="E99" s="546"/>
    </row>
    <row r="100" spans="1:5" x14ac:dyDescent="0.25">
      <c r="A100" s="546"/>
      <c r="B100" s="186" t="str">
        <f>IF(A100&lt;&gt;"",INDEX('Base de données'!A$4:L$990,MATCH(A100,'Base de données'!A$4:A$990,0),2),"")</f>
        <v/>
      </c>
      <c r="C100" s="186" t="str">
        <f>IF(A100&lt;&gt;"",INDEX('Base de données'!A$4:L$990,MATCH(A100,'Base de données'!A$4:A$990,0),12),"")</f>
        <v/>
      </c>
      <c r="D100" s="546"/>
      <c r="E100" s="546"/>
    </row>
    <row r="101" spans="1:5" x14ac:dyDescent="0.25">
      <c r="A101" s="546"/>
      <c r="B101" s="186" t="str">
        <f>IF(A101&lt;&gt;"",INDEX('Base de données'!A$4:L$990,MATCH(A101,'Base de données'!A$4:A$990,0),2),"")</f>
        <v/>
      </c>
      <c r="C101" s="186" t="str">
        <f>IF(A101&lt;&gt;"",INDEX('Base de données'!A$4:L$990,MATCH(A101,'Base de données'!A$4:A$990,0),12),"")</f>
        <v/>
      </c>
      <c r="D101" s="546"/>
      <c r="E101" s="546"/>
    </row>
    <row r="102" spans="1:5" x14ac:dyDescent="0.25">
      <c r="A102" s="546"/>
      <c r="B102" s="186" t="str">
        <f>IF(A102&lt;&gt;"",INDEX('Base de données'!A$4:L$990,MATCH(A102,'Base de données'!A$4:A$990,0),2),"")</f>
        <v/>
      </c>
      <c r="C102" s="186" t="str">
        <f>IF(A102&lt;&gt;"",INDEX('Base de données'!A$4:L$990,MATCH(A102,'Base de données'!A$4:A$990,0),12),"")</f>
        <v/>
      </c>
      <c r="D102" s="546"/>
      <c r="E102" s="546"/>
    </row>
    <row r="103" spans="1:5" x14ac:dyDescent="0.25">
      <c r="A103" s="546"/>
      <c r="B103" s="186" t="str">
        <f>IF(A103&lt;&gt;"",INDEX('Base de données'!A$4:L$990,MATCH(A103,'Base de données'!A$4:A$990,0),2),"")</f>
        <v/>
      </c>
      <c r="C103" s="186" t="str">
        <f>IF(A103&lt;&gt;"",INDEX('Base de données'!A$4:L$990,MATCH(A103,'Base de données'!A$4:A$990,0),12),"")</f>
        <v/>
      </c>
      <c r="D103" s="546"/>
      <c r="E103" s="546"/>
    </row>
    <row r="104" spans="1:5" x14ac:dyDescent="0.25">
      <c r="A104" s="546"/>
      <c r="B104" s="186" t="str">
        <f>IF(A104&lt;&gt;"",INDEX('Base de données'!A$4:L$990,MATCH(A104,'Base de données'!A$4:A$990,0),2),"")</f>
        <v/>
      </c>
      <c r="C104" s="186" t="str">
        <f>IF(A104&lt;&gt;"",INDEX('Base de données'!A$4:L$990,MATCH(A104,'Base de données'!A$4:A$990,0),12),"")</f>
        <v/>
      </c>
      <c r="D104" s="546"/>
      <c r="E104" s="546"/>
    </row>
    <row r="105" spans="1:5" x14ac:dyDescent="0.25">
      <c r="A105" s="546"/>
      <c r="B105" s="186" t="str">
        <f>IF(A105&lt;&gt;"",INDEX('Base de données'!A$4:L$990,MATCH(A105,'Base de données'!A$4:A$990,0),2),"")</f>
        <v/>
      </c>
      <c r="C105" s="186" t="str">
        <f>IF(A105&lt;&gt;"",INDEX('Base de données'!A$4:L$990,MATCH(A105,'Base de données'!A$4:A$990,0),12),"")</f>
        <v/>
      </c>
      <c r="D105" s="546"/>
      <c r="E105" s="546"/>
    </row>
    <row r="106" spans="1:5" x14ac:dyDescent="0.25">
      <c r="A106" s="546"/>
      <c r="B106" s="186" t="str">
        <f>IF(A106&lt;&gt;"",INDEX('Base de données'!A$4:L$990,MATCH(A106,'Base de données'!A$4:A$990,0),2),"")</f>
        <v/>
      </c>
      <c r="C106" s="186" t="str">
        <f>IF(A106&lt;&gt;"",INDEX('Base de données'!A$4:L$990,MATCH(A106,'Base de données'!A$4:A$990,0),12),"")</f>
        <v/>
      </c>
      <c r="D106" s="546"/>
      <c r="E106" s="546"/>
    </row>
    <row r="107" spans="1:5" x14ac:dyDescent="0.25">
      <c r="A107" s="546"/>
      <c r="B107" s="186" t="str">
        <f>IF(A107&lt;&gt;"",INDEX('Base de données'!A$4:L$990,MATCH(A107,'Base de données'!A$4:A$990,0),2),"")</f>
        <v/>
      </c>
      <c r="C107" s="186" t="str">
        <f>IF(A107&lt;&gt;"",INDEX('Base de données'!A$4:L$990,MATCH(A107,'Base de données'!A$4:A$990,0),12),"")</f>
        <v/>
      </c>
      <c r="D107" s="546"/>
      <c r="E107" s="546"/>
    </row>
    <row r="108" spans="1:5" x14ac:dyDescent="0.25">
      <c r="A108" s="546"/>
      <c r="B108" s="186" t="str">
        <f>IF(A108&lt;&gt;"",INDEX('Base de données'!A$4:L$990,MATCH(A108,'Base de données'!A$4:A$990,0),2),"")</f>
        <v/>
      </c>
      <c r="C108" s="186" t="str">
        <f>IF(A108&lt;&gt;"",INDEX('Base de données'!A$4:L$990,MATCH(A108,'Base de données'!A$4:A$990,0),12),"")</f>
        <v/>
      </c>
      <c r="D108" s="546"/>
      <c r="E108" s="546"/>
    </row>
    <row r="109" spans="1:5" x14ac:dyDescent="0.25">
      <c r="A109" s="546"/>
      <c r="B109" s="186" t="str">
        <f>IF(A109&lt;&gt;"",INDEX('Base de données'!A$4:L$990,MATCH(A109,'Base de données'!A$4:A$990,0),2),"")</f>
        <v/>
      </c>
      <c r="C109" s="186" t="str">
        <f>IF(A109&lt;&gt;"",INDEX('Base de données'!A$4:L$990,MATCH(A109,'Base de données'!A$4:A$990,0),12),"")</f>
        <v/>
      </c>
      <c r="D109" s="546"/>
      <c r="E109" s="546"/>
    </row>
    <row r="110" spans="1:5" x14ac:dyDescent="0.25">
      <c r="A110" s="546"/>
      <c r="B110" s="186" t="str">
        <f>IF(A110&lt;&gt;"",INDEX('Base de données'!A$4:L$990,MATCH(A110,'Base de données'!A$4:A$990,0),2),"")</f>
        <v/>
      </c>
      <c r="C110" s="186" t="str">
        <f>IF(A110&lt;&gt;"",INDEX('Base de données'!A$4:L$990,MATCH(A110,'Base de données'!A$4:A$990,0),12),"")</f>
        <v/>
      </c>
      <c r="D110" s="546"/>
      <c r="E110" s="546"/>
    </row>
    <row r="111" spans="1:5" x14ac:dyDescent="0.25">
      <c r="A111" s="546"/>
      <c r="B111" s="186" t="str">
        <f>IF(A111&lt;&gt;"",INDEX('Base de données'!A$4:L$990,MATCH(A111,'Base de données'!A$4:A$990,0),2),"")</f>
        <v/>
      </c>
      <c r="C111" s="186" t="str">
        <f>IF(A111&lt;&gt;"",INDEX('Base de données'!A$4:L$990,MATCH(A111,'Base de données'!A$4:A$990,0),12),"")</f>
        <v/>
      </c>
      <c r="D111" s="546"/>
      <c r="E111" s="546"/>
    </row>
    <row r="112" spans="1:5" x14ac:dyDescent="0.25">
      <c r="A112" s="546"/>
      <c r="B112" s="186" t="str">
        <f>IF(A112&lt;&gt;"",INDEX('Base de données'!A$4:L$990,MATCH(A112,'Base de données'!A$4:A$990,0),2),"")</f>
        <v/>
      </c>
      <c r="C112" s="186" t="str">
        <f>IF(A112&lt;&gt;"",INDEX('Base de données'!A$4:L$990,MATCH(A112,'Base de données'!A$4:A$990,0),12),"")</f>
        <v/>
      </c>
      <c r="D112" s="546"/>
      <c r="E112" s="546"/>
    </row>
    <row r="113" spans="1:5" x14ac:dyDescent="0.25">
      <c r="A113" s="546"/>
      <c r="B113" s="186" t="str">
        <f>IF(A113&lt;&gt;"",INDEX('Base de données'!A$4:L$990,MATCH(A113,'Base de données'!A$4:A$990,0),2),"")</f>
        <v/>
      </c>
      <c r="C113" s="186" t="str">
        <f>IF(A113&lt;&gt;"",INDEX('Base de données'!A$4:L$990,MATCH(A113,'Base de données'!A$4:A$990,0),12),"")</f>
        <v/>
      </c>
      <c r="D113" s="546"/>
      <c r="E113" s="546"/>
    </row>
    <row r="114" spans="1:5" x14ac:dyDescent="0.25">
      <c r="A114" s="546"/>
      <c r="B114" s="186" t="str">
        <f>IF(A114&lt;&gt;"",INDEX('Base de données'!A$4:L$990,MATCH(A114,'Base de données'!A$4:A$990,0),2),"")</f>
        <v/>
      </c>
      <c r="C114" s="186" t="str">
        <f>IF(A114&lt;&gt;"",INDEX('Base de données'!A$4:L$990,MATCH(A114,'Base de données'!A$4:A$990,0),12),"")</f>
        <v/>
      </c>
      <c r="D114" s="546"/>
      <c r="E114" s="546"/>
    </row>
    <row r="115" spans="1:5" x14ac:dyDescent="0.25">
      <c r="A115" s="546"/>
      <c r="B115" s="186" t="str">
        <f>IF(A115&lt;&gt;"",INDEX('Base de données'!A$4:L$990,MATCH(A115,'Base de données'!A$4:A$990,0),2),"")</f>
        <v/>
      </c>
      <c r="C115" s="186" t="str">
        <f>IF(A115&lt;&gt;"",INDEX('Base de données'!A$4:L$990,MATCH(A115,'Base de données'!A$4:A$990,0),12),"")</f>
        <v/>
      </c>
      <c r="D115" s="546"/>
      <c r="E115" s="546"/>
    </row>
    <row r="116" spans="1:5" x14ac:dyDescent="0.25">
      <c r="A116" s="546"/>
      <c r="B116" s="186" t="str">
        <f>IF(A116&lt;&gt;"",INDEX('Base de données'!A$4:L$990,MATCH(A116,'Base de données'!A$4:A$990,0),2),"")</f>
        <v/>
      </c>
      <c r="C116" s="186" t="str">
        <f>IF(A116&lt;&gt;"",INDEX('Base de données'!A$4:L$990,MATCH(A116,'Base de données'!A$4:A$990,0),12),"")</f>
        <v/>
      </c>
      <c r="D116" s="546"/>
      <c r="E116" s="546"/>
    </row>
    <row r="117" spans="1:5" x14ac:dyDescent="0.25">
      <c r="A117" s="546"/>
      <c r="B117" s="186" t="str">
        <f>IF(A117&lt;&gt;"",INDEX('Base de données'!A$4:L$990,MATCH(A117,'Base de données'!A$4:A$990,0),2),"")</f>
        <v/>
      </c>
      <c r="C117" s="186" t="str">
        <f>IF(A117&lt;&gt;"",INDEX('Base de données'!A$4:L$990,MATCH(A117,'Base de données'!A$4:A$990,0),12),"")</f>
        <v/>
      </c>
      <c r="D117" s="546"/>
      <c r="E117" s="546"/>
    </row>
    <row r="118" spans="1:5" x14ac:dyDescent="0.25">
      <c r="A118" s="546"/>
      <c r="B118" s="186" t="str">
        <f>IF(A118&lt;&gt;"",INDEX('Base de données'!A$4:L$990,MATCH(A118,'Base de données'!A$4:A$990,0),2),"")</f>
        <v/>
      </c>
      <c r="C118" s="186" t="str">
        <f>IF(A118&lt;&gt;"",INDEX('Base de données'!A$4:L$990,MATCH(A118,'Base de données'!A$4:A$990,0),12),"")</f>
        <v/>
      </c>
      <c r="D118" s="546"/>
      <c r="E118" s="546"/>
    </row>
    <row r="119" spans="1:5" x14ac:dyDescent="0.25">
      <c r="A119" s="546"/>
      <c r="B119" s="186" t="str">
        <f>IF(A119&lt;&gt;"",INDEX('Base de données'!A$4:L$990,MATCH(A119,'Base de données'!A$4:A$990,0),2),"")</f>
        <v/>
      </c>
      <c r="C119" s="186" t="str">
        <f>IF(A119&lt;&gt;"",INDEX('Base de données'!A$4:L$990,MATCH(A119,'Base de données'!A$4:A$990,0),12),"")</f>
        <v/>
      </c>
      <c r="D119" s="546"/>
      <c r="E119" s="546"/>
    </row>
    <row r="120" spans="1:5" x14ac:dyDescent="0.25">
      <c r="A120" s="546"/>
      <c r="B120" s="186" t="str">
        <f>IF(A120&lt;&gt;"",INDEX('Base de données'!A$4:L$990,MATCH(A120,'Base de données'!A$4:A$990,0),2),"")</f>
        <v/>
      </c>
      <c r="C120" s="186" t="str">
        <f>IF(A120&lt;&gt;"",INDEX('Base de données'!A$4:L$990,MATCH(A120,'Base de données'!A$4:A$990,0),12),"")</f>
        <v/>
      </c>
      <c r="D120" s="546"/>
      <c r="E120" s="546"/>
    </row>
    <row r="121" spans="1:5" x14ac:dyDescent="0.25">
      <c r="A121" s="546"/>
      <c r="B121" s="186" t="str">
        <f>IF(A121&lt;&gt;"",INDEX('Base de données'!A$4:L$990,MATCH(A121,'Base de données'!A$4:A$990,0),2),"")</f>
        <v/>
      </c>
      <c r="C121" s="186" t="str">
        <f>IF(A121&lt;&gt;"",INDEX('Base de données'!A$4:L$990,MATCH(A121,'Base de données'!A$4:A$990,0),12),"")</f>
        <v/>
      </c>
      <c r="D121" s="546"/>
      <c r="E121" s="546"/>
    </row>
    <row r="122" spans="1:5" x14ac:dyDescent="0.25">
      <c r="A122" s="546"/>
      <c r="B122" s="186" t="str">
        <f>IF(A122&lt;&gt;"",INDEX('Base de données'!A$4:L$990,MATCH(A122,'Base de données'!A$4:A$990,0),2),"")</f>
        <v/>
      </c>
      <c r="C122" s="186" t="str">
        <f>IF(A122&lt;&gt;"",INDEX('Base de données'!A$4:L$990,MATCH(A122,'Base de données'!A$4:A$990,0),12),"")</f>
        <v/>
      </c>
      <c r="D122" s="546"/>
      <c r="E122" s="546"/>
    </row>
    <row r="123" spans="1:5" x14ac:dyDescent="0.25">
      <c r="A123" s="546"/>
      <c r="B123" s="186" t="str">
        <f>IF(A123&lt;&gt;"",INDEX('Base de données'!A$4:L$990,MATCH(A123,'Base de données'!A$4:A$990,0),2),"")</f>
        <v/>
      </c>
      <c r="C123" s="186" t="str">
        <f>IF(A123&lt;&gt;"",INDEX('Base de données'!A$4:L$990,MATCH(A123,'Base de données'!A$4:A$990,0),12),"")</f>
        <v/>
      </c>
      <c r="D123" s="546"/>
      <c r="E123" s="546"/>
    </row>
    <row r="124" spans="1:5" x14ac:dyDescent="0.25">
      <c r="A124" s="546"/>
      <c r="B124" s="186" t="str">
        <f>IF(A124&lt;&gt;"",INDEX('Base de données'!A$4:L$990,MATCH(A124,'Base de données'!A$4:A$990,0),2),"")</f>
        <v/>
      </c>
      <c r="C124" s="186" t="str">
        <f>IF(A124&lt;&gt;"",INDEX('Base de données'!A$4:L$990,MATCH(A124,'Base de données'!A$4:A$990,0),12),"")</f>
        <v/>
      </c>
      <c r="D124" s="546"/>
      <c r="E124" s="546"/>
    </row>
    <row r="125" spans="1:5" x14ac:dyDescent="0.25">
      <c r="A125" s="546"/>
      <c r="B125" s="186" t="str">
        <f>IF(A125&lt;&gt;"",INDEX('Base de données'!A$4:L$990,MATCH(A125,'Base de données'!A$4:A$990,0),2),"")</f>
        <v/>
      </c>
      <c r="C125" s="186" t="str">
        <f>IF(A125&lt;&gt;"",INDEX('Base de données'!A$4:L$990,MATCH(A125,'Base de données'!A$4:A$990,0),12),"")</f>
        <v/>
      </c>
      <c r="D125" s="546"/>
      <c r="E125" s="546"/>
    </row>
    <row r="126" spans="1:5" x14ac:dyDescent="0.25">
      <c r="A126" s="546"/>
      <c r="B126" s="186" t="str">
        <f>IF(A126&lt;&gt;"",INDEX('Base de données'!A$4:L$990,MATCH(A126,'Base de données'!A$4:A$990,0),2),"")</f>
        <v/>
      </c>
      <c r="C126" s="186" t="str">
        <f>IF(A126&lt;&gt;"",INDEX('Base de données'!A$4:L$990,MATCH(A126,'Base de données'!A$4:A$990,0),12),"")</f>
        <v/>
      </c>
      <c r="D126" s="546"/>
      <c r="E126" s="546"/>
    </row>
    <row r="127" spans="1:5" x14ac:dyDescent="0.25">
      <c r="A127" s="546"/>
      <c r="B127" s="186" t="str">
        <f>IF(A127&lt;&gt;"",INDEX('Base de données'!A$4:L$990,MATCH(A127,'Base de données'!A$4:A$990,0),2),"")</f>
        <v/>
      </c>
      <c r="C127" s="186" t="str">
        <f>IF(A127&lt;&gt;"",INDEX('Base de données'!A$4:L$990,MATCH(A127,'Base de données'!A$4:A$990,0),12),"")</f>
        <v/>
      </c>
      <c r="D127" s="546"/>
      <c r="E127" s="546"/>
    </row>
    <row r="128" spans="1:5" x14ac:dyDescent="0.25">
      <c r="A128" s="546"/>
      <c r="B128" s="186" t="str">
        <f>IF(A128&lt;&gt;"",INDEX('Base de données'!A$4:L$990,MATCH(A128,'Base de données'!A$4:A$990,0),2),"")</f>
        <v/>
      </c>
      <c r="C128" s="186" t="str">
        <f>IF(A128&lt;&gt;"",INDEX('Base de données'!A$4:L$990,MATCH(A128,'Base de données'!A$4:A$990,0),12),"")</f>
        <v/>
      </c>
      <c r="D128" s="546"/>
      <c r="E128" s="546"/>
    </row>
    <row r="129" spans="1:5" x14ac:dyDescent="0.25">
      <c r="A129" s="546"/>
      <c r="B129" s="186" t="str">
        <f>IF(A129&lt;&gt;"",INDEX('Base de données'!A$4:L$990,MATCH(A129,'Base de données'!A$4:A$990,0),2),"")</f>
        <v/>
      </c>
      <c r="C129" s="186" t="str">
        <f>IF(A129&lt;&gt;"",INDEX('Base de données'!A$4:L$990,MATCH(A129,'Base de données'!A$4:A$990,0),12),"")</f>
        <v/>
      </c>
      <c r="D129" s="546"/>
      <c r="E129" s="546"/>
    </row>
    <row r="130" spans="1:5" x14ac:dyDescent="0.25">
      <c r="A130" s="546"/>
      <c r="B130" s="186" t="str">
        <f>IF(A130&lt;&gt;"",INDEX('Base de données'!A$4:L$990,MATCH(A130,'Base de données'!A$4:A$990,0),2),"")</f>
        <v/>
      </c>
      <c r="C130" s="186" t="str">
        <f>IF(A130&lt;&gt;"",INDEX('Base de données'!A$4:L$990,MATCH(A130,'Base de données'!A$4:A$990,0),12),"")</f>
        <v/>
      </c>
      <c r="D130" s="546"/>
      <c r="E130" s="546"/>
    </row>
    <row r="131" spans="1:5" x14ac:dyDescent="0.25">
      <c r="A131" s="546"/>
      <c r="B131" s="186" t="str">
        <f>IF(A131&lt;&gt;"",INDEX('Base de données'!A$4:L$990,MATCH(A131,'Base de données'!A$4:A$990,0),2),"")</f>
        <v/>
      </c>
      <c r="C131" s="186" t="str">
        <f>IF(A131&lt;&gt;"",INDEX('Base de données'!A$4:L$990,MATCH(A131,'Base de données'!A$4:A$990,0),12),"")</f>
        <v/>
      </c>
      <c r="D131" s="546"/>
      <c r="E131" s="546"/>
    </row>
    <row r="132" spans="1:5" x14ac:dyDescent="0.25">
      <c r="A132" s="546"/>
      <c r="B132" s="186" t="str">
        <f>IF(A132&lt;&gt;"",INDEX('Base de données'!A$4:L$990,MATCH(A132,'Base de données'!A$4:A$990,0),2),"")</f>
        <v/>
      </c>
      <c r="C132" s="186" t="str">
        <f>IF(A132&lt;&gt;"",INDEX('Base de données'!A$4:L$990,MATCH(A132,'Base de données'!A$4:A$990,0),12),"")</f>
        <v/>
      </c>
      <c r="D132" s="546"/>
      <c r="E132" s="546"/>
    </row>
    <row r="133" spans="1:5" x14ac:dyDescent="0.25">
      <c r="A133" s="546"/>
      <c r="B133" s="186" t="str">
        <f>IF(A133&lt;&gt;"",INDEX('Base de données'!A$4:L$990,MATCH(A133,'Base de données'!A$4:A$990,0),2),"")</f>
        <v/>
      </c>
      <c r="C133" s="186" t="str">
        <f>IF(A133&lt;&gt;"",INDEX('Base de données'!A$4:L$990,MATCH(A133,'Base de données'!A$4:A$990,0),12),"")</f>
        <v/>
      </c>
      <c r="D133" s="546"/>
      <c r="E133" s="546"/>
    </row>
    <row r="134" spans="1:5" x14ac:dyDescent="0.25">
      <c r="A134" s="546"/>
      <c r="B134" s="186" t="str">
        <f>IF(A134&lt;&gt;"",INDEX('Base de données'!A$4:L$990,MATCH(A134,'Base de données'!A$4:A$990,0),2),"")</f>
        <v/>
      </c>
      <c r="C134" s="186" t="str">
        <f>IF(A134&lt;&gt;"",INDEX('Base de données'!A$4:L$990,MATCH(A134,'Base de données'!A$4:A$990,0),12),"")</f>
        <v/>
      </c>
      <c r="D134" s="546"/>
      <c r="E134" s="546"/>
    </row>
    <row r="135" spans="1:5" x14ac:dyDescent="0.25">
      <c r="A135" s="546"/>
      <c r="B135" s="186" t="str">
        <f>IF(A135&lt;&gt;"",INDEX('Base de données'!A$4:L$990,MATCH(A135,'Base de données'!A$4:A$990,0),2),"")</f>
        <v/>
      </c>
      <c r="C135" s="186" t="str">
        <f>IF(A135&lt;&gt;"",INDEX('Base de données'!A$4:L$990,MATCH(A135,'Base de données'!A$4:A$990,0),12),"")</f>
        <v/>
      </c>
      <c r="D135" s="546"/>
      <c r="E135" s="546"/>
    </row>
    <row r="136" spans="1:5" x14ac:dyDescent="0.25">
      <c r="A136" s="546"/>
      <c r="B136" s="186" t="str">
        <f>IF(A136&lt;&gt;"",INDEX('Base de données'!A$4:L$990,MATCH(A136,'Base de données'!A$4:A$990,0),2),"")</f>
        <v/>
      </c>
      <c r="C136" s="186" t="str">
        <f>IF(A136&lt;&gt;"",INDEX('Base de données'!A$4:L$990,MATCH(A136,'Base de données'!A$4:A$990,0),12),"")</f>
        <v/>
      </c>
      <c r="D136" s="546"/>
      <c r="E136" s="546"/>
    </row>
    <row r="137" spans="1:5" x14ac:dyDescent="0.25">
      <c r="A137" s="546"/>
      <c r="B137" s="186" t="str">
        <f>IF(A137&lt;&gt;"",INDEX('Base de données'!A$4:L$990,MATCH(A137,'Base de données'!A$4:A$990,0),2),"")</f>
        <v/>
      </c>
      <c r="C137" s="186" t="str">
        <f>IF(A137&lt;&gt;"",INDEX('Base de données'!A$4:L$990,MATCH(A137,'Base de données'!A$4:A$990,0),12),"")</f>
        <v/>
      </c>
      <c r="D137" s="546"/>
      <c r="E137" s="546"/>
    </row>
    <row r="138" spans="1:5" x14ac:dyDescent="0.25">
      <c r="A138" s="546"/>
      <c r="B138" s="186" t="str">
        <f>IF(A138&lt;&gt;"",INDEX('Base de données'!A$4:L$990,MATCH(A138,'Base de données'!A$4:A$990,0),2),"")</f>
        <v/>
      </c>
      <c r="C138" s="186" t="str">
        <f>IF(A138&lt;&gt;"",INDEX('Base de données'!A$4:L$990,MATCH(A138,'Base de données'!A$4:A$990,0),12),"")</f>
        <v/>
      </c>
      <c r="D138" s="546"/>
      <c r="E138" s="546"/>
    </row>
    <row r="139" spans="1:5" x14ac:dyDescent="0.25">
      <c r="A139" s="546"/>
      <c r="B139" s="186" t="str">
        <f>IF(A139&lt;&gt;"",INDEX('Base de données'!A$4:L$990,MATCH(A139,'Base de données'!A$4:A$990,0),2),"")</f>
        <v/>
      </c>
      <c r="C139" s="186" t="str">
        <f>IF(A139&lt;&gt;"",INDEX('Base de données'!A$4:L$990,MATCH(A139,'Base de données'!A$4:A$990,0),12),"")</f>
        <v/>
      </c>
      <c r="D139" s="546"/>
      <c r="E139" s="546"/>
    </row>
    <row r="140" spans="1:5" x14ac:dyDescent="0.25">
      <c r="A140" s="546"/>
      <c r="B140" s="186" t="str">
        <f>IF(A140&lt;&gt;"",INDEX('Base de données'!A$4:L$990,MATCH(A140,'Base de données'!A$4:A$990,0),2),"")</f>
        <v/>
      </c>
      <c r="C140" s="186" t="str">
        <f>IF(A140&lt;&gt;"",INDEX('Base de données'!A$4:L$990,MATCH(A140,'Base de données'!A$4:A$990,0),12),"")</f>
        <v/>
      </c>
      <c r="D140" s="546"/>
      <c r="E140" s="546"/>
    </row>
    <row r="141" spans="1:5" x14ac:dyDescent="0.25">
      <c r="A141" s="546"/>
      <c r="B141" s="186" t="str">
        <f>IF(A141&lt;&gt;"",INDEX('Base de données'!A$4:L$990,MATCH(A141,'Base de données'!A$4:A$990,0),2),"")</f>
        <v/>
      </c>
      <c r="C141" s="186" t="str">
        <f>IF(A141&lt;&gt;"",INDEX('Base de données'!A$4:L$990,MATCH(A141,'Base de données'!A$4:A$990,0),12),"")</f>
        <v/>
      </c>
      <c r="D141" s="546"/>
      <c r="E141" s="546"/>
    </row>
    <row r="142" spans="1:5" x14ac:dyDescent="0.25">
      <c r="A142" s="546"/>
      <c r="B142" s="186" t="str">
        <f>IF(A142&lt;&gt;"",INDEX('Base de données'!A$4:L$990,MATCH(A142,'Base de données'!A$4:A$990,0),2),"")</f>
        <v/>
      </c>
      <c r="C142" s="186" t="str">
        <f>IF(A142&lt;&gt;"",INDEX('Base de données'!A$4:L$990,MATCH(A142,'Base de données'!A$4:A$990,0),12),"")</f>
        <v/>
      </c>
      <c r="D142" s="546"/>
      <c r="E142" s="546"/>
    </row>
    <row r="143" spans="1:5" x14ac:dyDescent="0.25">
      <c r="A143" s="546"/>
      <c r="B143" s="186" t="str">
        <f>IF(A143&lt;&gt;"",INDEX('Base de données'!A$4:L$990,MATCH(A143,'Base de données'!A$4:A$990,0),2),"")</f>
        <v/>
      </c>
      <c r="C143" s="186" t="str">
        <f>IF(A143&lt;&gt;"",INDEX('Base de données'!A$4:L$990,MATCH(A143,'Base de données'!A$4:A$990,0),12),"")</f>
        <v/>
      </c>
      <c r="D143" s="546"/>
      <c r="E143" s="546"/>
    </row>
    <row r="144" spans="1:5" x14ac:dyDescent="0.25">
      <c r="A144" s="546"/>
      <c r="B144" s="186" t="str">
        <f>IF(A144&lt;&gt;"",INDEX('Base de données'!A$4:L$990,MATCH(A144,'Base de données'!A$4:A$990,0),2),"")</f>
        <v/>
      </c>
      <c r="C144" s="186" t="str">
        <f>IF(A144&lt;&gt;"",INDEX('Base de données'!A$4:L$990,MATCH(A144,'Base de données'!A$4:A$990,0),12),"")</f>
        <v/>
      </c>
      <c r="D144" s="546"/>
      <c r="E144" s="546"/>
    </row>
    <row r="145" spans="1:5" x14ac:dyDescent="0.25">
      <c r="A145" s="546"/>
      <c r="B145" s="186" t="str">
        <f>IF(A145&lt;&gt;"",INDEX('Base de données'!A$4:L$990,MATCH(A145,'Base de données'!A$4:A$990,0),2),"")</f>
        <v/>
      </c>
      <c r="C145" s="186" t="str">
        <f>IF(A145&lt;&gt;"",INDEX('Base de données'!A$4:L$990,MATCH(A145,'Base de données'!A$4:A$990,0),12),"")</f>
        <v/>
      </c>
      <c r="D145" s="546"/>
      <c r="E145" s="546"/>
    </row>
    <row r="146" spans="1:5" x14ac:dyDescent="0.25">
      <c r="A146" s="546"/>
      <c r="B146" s="186" t="str">
        <f>IF(A146&lt;&gt;"",INDEX('Base de données'!A$4:L$990,MATCH(A146,'Base de données'!A$4:A$990,0),2),"")</f>
        <v/>
      </c>
      <c r="C146" s="186" t="str">
        <f>IF(A146&lt;&gt;"",INDEX('Base de données'!A$4:L$990,MATCH(A146,'Base de données'!A$4:A$990,0),12),"")</f>
        <v/>
      </c>
      <c r="D146" s="546"/>
      <c r="E146" s="546"/>
    </row>
    <row r="147" spans="1:5" x14ac:dyDescent="0.25">
      <c r="A147" s="546"/>
      <c r="B147" s="186" t="str">
        <f>IF(A147&lt;&gt;"",INDEX('Base de données'!A$4:L$990,MATCH(A147,'Base de données'!A$4:A$990,0),2),"")</f>
        <v/>
      </c>
      <c r="C147" s="186" t="str">
        <f>IF(A147&lt;&gt;"",INDEX('Base de données'!A$4:L$990,MATCH(A147,'Base de données'!A$4:A$990,0),12),"")</f>
        <v/>
      </c>
      <c r="D147" s="546"/>
      <c r="E147" s="546"/>
    </row>
    <row r="148" spans="1:5" x14ac:dyDescent="0.25">
      <c r="A148" s="546"/>
      <c r="B148" s="186" t="str">
        <f>IF(A148&lt;&gt;"",INDEX('Base de données'!A$4:L$990,MATCH(A148,'Base de données'!A$4:A$990,0),2),"")</f>
        <v/>
      </c>
      <c r="C148" s="186" t="str">
        <f>IF(A148&lt;&gt;"",INDEX('Base de données'!A$4:L$990,MATCH(A148,'Base de données'!A$4:A$990,0),12),"")</f>
        <v/>
      </c>
      <c r="D148" s="546"/>
      <c r="E148" s="546"/>
    </row>
    <row r="149" spans="1:5" x14ac:dyDescent="0.25">
      <c r="A149" s="546"/>
      <c r="B149" s="186" t="str">
        <f>IF(A149&lt;&gt;"",INDEX('Base de données'!A$4:L$990,MATCH(A149,'Base de données'!A$4:A$990,0),2),"")</f>
        <v/>
      </c>
      <c r="C149" s="186" t="str">
        <f>IF(A149&lt;&gt;"",INDEX('Base de données'!A$4:L$990,MATCH(A149,'Base de données'!A$4:A$990,0),12),"")</f>
        <v/>
      </c>
      <c r="D149" s="546"/>
      <c r="E149" s="546"/>
    </row>
    <row r="150" spans="1:5" x14ac:dyDescent="0.25">
      <c r="A150" s="546"/>
      <c r="B150" s="186" t="str">
        <f>IF(A150&lt;&gt;"",INDEX('Base de données'!A$4:L$990,MATCH(A150,'Base de données'!A$4:A$990,0),2),"")</f>
        <v/>
      </c>
      <c r="C150" s="186" t="str">
        <f>IF(A150&lt;&gt;"",INDEX('Base de données'!A$4:L$990,MATCH(A150,'Base de données'!A$4:A$990,0),12),"")</f>
        <v/>
      </c>
      <c r="D150" s="546"/>
      <c r="E150" s="546"/>
    </row>
    <row r="151" spans="1:5" x14ac:dyDescent="0.25">
      <c r="A151" s="546"/>
      <c r="B151" s="186" t="str">
        <f>IF(A151&lt;&gt;"",INDEX('Base de données'!A$4:L$990,MATCH(A151,'Base de données'!A$4:A$990,0),2),"")</f>
        <v/>
      </c>
      <c r="C151" s="186" t="str">
        <f>IF(A151&lt;&gt;"",INDEX('Base de données'!A$4:L$990,MATCH(A151,'Base de données'!A$4:A$990,0),12),"")</f>
        <v/>
      </c>
      <c r="D151" s="546"/>
      <c r="E151" s="546"/>
    </row>
    <row r="152" spans="1:5" x14ac:dyDescent="0.25">
      <c r="A152" s="546"/>
      <c r="B152" s="186" t="str">
        <f>IF(A152&lt;&gt;"",INDEX('Base de données'!A$4:L$990,MATCH(A152,'Base de données'!A$4:A$990,0),2),"")</f>
        <v/>
      </c>
      <c r="C152" s="186" t="str">
        <f>IF(A152&lt;&gt;"",INDEX('Base de données'!A$4:L$990,MATCH(A152,'Base de données'!A$4:A$990,0),12),"")</f>
        <v/>
      </c>
      <c r="D152" s="546"/>
      <c r="E152" s="546"/>
    </row>
    <row r="153" spans="1:5" x14ac:dyDescent="0.25">
      <c r="A153" s="546"/>
      <c r="B153" s="186" t="str">
        <f>IF(A153&lt;&gt;"",INDEX('Base de données'!A$4:L$990,MATCH(A153,'Base de données'!A$4:A$990,0),2),"")</f>
        <v/>
      </c>
      <c r="C153" s="186" t="str">
        <f>IF(A153&lt;&gt;"",INDEX('Base de données'!A$4:L$990,MATCH(A153,'Base de données'!A$4:A$990,0),12),"")</f>
        <v/>
      </c>
      <c r="D153" s="546"/>
      <c r="E153" s="546"/>
    </row>
    <row r="154" spans="1:5" x14ac:dyDescent="0.25">
      <c r="A154" s="546"/>
      <c r="B154" s="186" t="str">
        <f>IF(A154&lt;&gt;"",INDEX('Base de données'!A$4:L$990,MATCH(A154,'Base de données'!A$4:A$990,0),2),"")</f>
        <v/>
      </c>
      <c r="C154" s="186" t="str">
        <f>IF(A154&lt;&gt;"",INDEX('Base de données'!A$4:L$990,MATCH(A154,'Base de données'!A$4:A$990,0),12),"")</f>
        <v/>
      </c>
      <c r="D154" s="546"/>
      <c r="E154" s="546"/>
    </row>
    <row r="155" spans="1:5" x14ac:dyDescent="0.25">
      <c r="A155" s="546"/>
      <c r="B155" s="186" t="str">
        <f>IF(A155&lt;&gt;"",INDEX('Base de données'!A$4:L$990,MATCH(A155,'Base de données'!A$4:A$990,0),2),"")</f>
        <v/>
      </c>
      <c r="C155" s="186" t="str">
        <f>IF(A155&lt;&gt;"",INDEX('Base de données'!A$4:L$990,MATCH(A155,'Base de données'!A$4:A$990,0),12),"")</f>
        <v/>
      </c>
      <c r="D155" s="546"/>
      <c r="E155" s="546"/>
    </row>
    <row r="156" spans="1:5" x14ac:dyDescent="0.25">
      <c r="A156" s="546"/>
      <c r="B156" s="186" t="str">
        <f>IF(A156&lt;&gt;"",INDEX('Base de données'!A$4:L$990,MATCH(A156,'Base de données'!A$4:A$990,0),2),"")</f>
        <v/>
      </c>
      <c r="C156" s="186" t="str">
        <f>IF(A156&lt;&gt;"",INDEX('Base de données'!A$4:L$990,MATCH(A156,'Base de données'!A$4:A$990,0),12),"")</f>
        <v/>
      </c>
      <c r="D156" s="546"/>
      <c r="E156" s="546"/>
    </row>
    <row r="157" spans="1:5" x14ac:dyDescent="0.25">
      <c r="A157" s="546"/>
      <c r="B157" s="186" t="str">
        <f>IF(A157&lt;&gt;"",INDEX('Base de données'!A$4:L$990,MATCH(A157,'Base de données'!A$4:A$990,0),2),"")</f>
        <v/>
      </c>
      <c r="C157" s="186" t="str">
        <f>IF(A157&lt;&gt;"",INDEX('Base de données'!A$4:L$990,MATCH(A157,'Base de données'!A$4:A$990,0),12),"")</f>
        <v/>
      </c>
      <c r="D157" s="546"/>
      <c r="E157" s="546"/>
    </row>
    <row r="158" spans="1:5" x14ac:dyDescent="0.25">
      <c r="A158" s="546"/>
      <c r="B158" s="186" t="str">
        <f>IF(A158&lt;&gt;"",INDEX('Base de données'!A$4:L$990,MATCH(A158,'Base de données'!A$4:A$990,0),2),"")</f>
        <v/>
      </c>
      <c r="C158" s="186" t="str">
        <f>IF(A158&lt;&gt;"",INDEX('Base de données'!A$4:L$990,MATCH(A158,'Base de données'!A$4:A$990,0),12),"")</f>
        <v/>
      </c>
      <c r="D158" s="546"/>
      <c r="E158" s="546"/>
    </row>
    <row r="159" spans="1:5" x14ac:dyDescent="0.25">
      <c r="A159" s="546"/>
      <c r="B159" s="186" t="str">
        <f>IF(A159&lt;&gt;"",INDEX('Base de données'!A$4:L$990,MATCH(A159,'Base de données'!A$4:A$990,0),2),"")</f>
        <v/>
      </c>
      <c r="C159" s="186" t="str">
        <f>IF(A159&lt;&gt;"",INDEX('Base de données'!A$4:L$990,MATCH(A159,'Base de données'!A$4:A$990,0),12),"")</f>
        <v/>
      </c>
      <c r="D159" s="546"/>
      <c r="E159" s="546"/>
    </row>
    <row r="160" spans="1:5" x14ac:dyDescent="0.25">
      <c r="A160" s="546"/>
      <c r="B160" s="186" t="str">
        <f>IF(A160&lt;&gt;"",INDEX('Base de données'!A$4:L$990,MATCH(A160,'Base de données'!A$4:A$990,0),2),"")</f>
        <v/>
      </c>
      <c r="C160" s="186" t="str">
        <f>IF(A160&lt;&gt;"",INDEX('Base de données'!A$4:L$990,MATCH(A160,'Base de données'!A$4:A$990,0),12),"")</f>
        <v/>
      </c>
      <c r="D160" s="546"/>
      <c r="E160" s="546"/>
    </row>
    <row r="161" spans="1:5" x14ac:dyDescent="0.25">
      <c r="A161" s="546"/>
      <c r="B161" s="186" t="str">
        <f>IF(A161&lt;&gt;"",INDEX('Base de données'!A$4:L$990,MATCH(A161,'Base de données'!A$4:A$990,0),2),"")</f>
        <v/>
      </c>
      <c r="C161" s="186" t="str">
        <f>IF(A161&lt;&gt;"",INDEX('Base de données'!A$4:L$990,MATCH(A161,'Base de données'!A$4:A$990,0),12),"")</f>
        <v/>
      </c>
      <c r="D161" s="546"/>
      <c r="E161" s="546"/>
    </row>
    <row r="162" spans="1:5" x14ac:dyDescent="0.25">
      <c r="A162" s="546"/>
      <c r="B162" s="186" t="str">
        <f>IF(A162&lt;&gt;"",INDEX('Base de données'!A$4:L$990,MATCH(A162,'Base de données'!A$4:A$990,0),2),"")</f>
        <v/>
      </c>
      <c r="C162" s="186" t="str">
        <f>IF(A162&lt;&gt;"",INDEX('Base de données'!A$4:L$990,MATCH(A162,'Base de données'!A$4:A$990,0),12),"")</f>
        <v/>
      </c>
      <c r="D162" s="546"/>
      <c r="E162" s="546"/>
    </row>
    <row r="163" spans="1:5" x14ac:dyDescent="0.25">
      <c r="A163" s="546"/>
      <c r="B163" s="186" t="str">
        <f>IF(A163&lt;&gt;"",INDEX('Base de données'!A$4:L$990,MATCH(A163,'Base de données'!A$4:A$990,0),2),"")</f>
        <v/>
      </c>
      <c r="C163" s="186" t="str">
        <f>IF(A163&lt;&gt;"",INDEX('Base de données'!A$4:L$990,MATCH(A163,'Base de données'!A$4:A$990,0),12),"")</f>
        <v/>
      </c>
      <c r="D163" s="546"/>
      <c r="E163" s="546"/>
    </row>
    <row r="164" spans="1:5" x14ac:dyDescent="0.25">
      <c r="A164" s="546"/>
      <c r="B164" s="186" t="str">
        <f>IF(A164&lt;&gt;"",INDEX('Base de données'!A$4:L$990,MATCH(A164,'Base de données'!A$4:A$990,0),2),"")</f>
        <v/>
      </c>
      <c r="C164" s="186" t="str">
        <f>IF(A164&lt;&gt;"",INDEX('Base de données'!A$4:L$990,MATCH(A164,'Base de données'!A$4:A$990,0),12),"")</f>
        <v/>
      </c>
      <c r="D164" s="546"/>
      <c r="E164" s="546"/>
    </row>
    <row r="165" spans="1:5" x14ac:dyDescent="0.25">
      <c r="A165" s="546"/>
      <c r="B165" s="186" t="str">
        <f>IF(A165&lt;&gt;"",INDEX('Base de données'!A$4:L$990,MATCH(A165,'Base de données'!A$4:A$990,0),2),"")</f>
        <v/>
      </c>
      <c r="C165" s="186" t="str">
        <f>IF(A165&lt;&gt;"",INDEX('Base de données'!A$4:L$990,MATCH(A165,'Base de données'!A$4:A$990,0),12),"")</f>
        <v/>
      </c>
      <c r="D165" s="546"/>
      <c r="E165" s="546"/>
    </row>
    <row r="166" spans="1:5" x14ac:dyDescent="0.25">
      <c r="A166" s="546"/>
      <c r="B166" s="186" t="str">
        <f>IF(A166&lt;&gt;"",INDEX('Base de données'!A$4:L$990,MATCH(A166,'Base de données'!A$4:A$990,0),2),"")</f>
        <v/>
      </c>
      <c r="C166" s="186" t="str">
        <f>IF(A166&lt;&gt;"",INDEX('Base de données'!A$4:L$990,MATCH(A166,'Base de données'!A$4:A$990,0),12),"")</f>
        <v/>
      </c>
      <c r="D166" s="546"/>
      <c r="E166" s="546"/>
    </row>
    <row r="167" spans="1:5" x14ac:dyDescent="0.25">
      <c r="A167" s="546"/>
      <c r="B167" s="186" t="str">
        <f>IF(A167&lt;&gt;"",INDEX('Base de données'!A$4:L$990,MATCH(A167,'Base de données'!A$4:A$990,0),2),"")</f>
        <v/>
      </c>
      <c r="C167" s="186" t="str">
        <f>IF(A167&lt;&gt;"",INDEX('Base de données'!A$4:L$990,MATCH(A167,'Base de données'!A$4:A$990,0),12),"")</f>
        <v/>
      </c>
      <c r="D167" s="546"/>
      <c r="E167" s="546"/>
    </row>
    <row r="168" spans="1:5" x14ac:dyDescent="0.25">
      <c r="A168" s="546"/>
      <c r="B168" s="186" t="str">
        <f>IF(A168&lt;&gt;"",INDEX('Base de données'!A$4:L$990,MATCH(A168,'Base de données'!A$4:A$990,0),2),"")</f>
        <v/>
      </c>
      <c r="C168" s="186" t="str">
        <f>IF(A168&lt;&gt;"",INDEX('Base de données'!A$4:L$990,MATCH(A168,'Base de données'!A$4:A$990,0),12),"")</f>
        <v/>
      </c>
      <c r="D168" s="546"/>
      <c r="E168" s="546"/>
    </row>
    <row r="169" spans="1:5" x14ac:dyDescent="0.25">
      <c r="A169" s="546"/>
      <c r="B169" s="186" t="str">
        <f>IF(A169&lt;&gt;"",INDEX('Base de données'!A$4:L$990,MATCH(A169,'Base de données'!A$4:A$990,0),2),"")</f>
        <v/>
      </c>
      <c r="C169" s="186" t="str">
        <f>IF(A169&lt;&gt;"",INDEX('Base de données'!A$4:L$990,MATCH(A169,'Base de données'!A$4:A$990,0),12),"")</f>
        <v/>
      </c>
      <c r="D169" s="546"/>
      <c r="E169" s="546"/>
    </row>
    <row r="170" spans="1:5" x14ac:dyDescent="0.25">
      <c r="A170" s="546"/>
      <c r="B170" s="186" t="str">
        <f>IF(A170&lt;&gt;"",INDEX('Base de données'!A$4:L$990,MATCH(A170,'Base de données'!A$4:A$990,0),2),"")</f>
        <v/>
      </c>
      <c r="C170" s="186" t="str">
        <f>IF(A170&lt;&gt;"",INDEX('Base de données'!A$4:L$990,MATCH(A170,'Base de données'!A$4:A$990,0),12),"")</f>
        <v/>
      </c>
      <c r="D170" s="546"/>
      <c r="E170" s="546"/>
    </row>
    <row r="171" spans="1:5" x14ac:dyDescent="0.25">
      <c r="A171" s="546"/>
      <c r="B171" s="186" t="str">
        <f>IF(A171&lt;&gt;"",INDEX('Base de données'!A$4:L$990,MATCH(A171,'Base de données'!A$4:A$990,0),2),"")</f>
        <v/>
      </c>
      <c r="C171" s="186" t="str">
        <f>IF(A171&lt;&gt;"",INDEX('Base de données'!A$4:L$990,MATCH(A171,'Base de données'!A$4:A$990,0),12),"")</f>
        <v/>
      </c>
      <c r="D171" s="546"/>
      <c r="E171" s="546"/>
    </row>
    <row r="172" spans="1:5" x14ac:dyDescent="0.25">
      <c r="A172" s="546"/>
      <c r="B172" s="186" t="str">
        <f>IF(A172&lt;&gt;"",INDEX('Base de données'!A$4:L$990,MATCH(A172,'Base de données'!A$4:A$990,0),2),"")</f>
        <v/>
      </c>
      <c r="C172" s="186" t="str">
        <f>IF(A172&lt;&gt;"",INDEX('Base de données'!A$4:L$990,MATCH(A172,'Base de données'!A$4:A$990,0),12),"")</f>
        <v/>
      </c>
      <c r="D172" s="546"/>
      <c r="E172" s="546"/>
    </row>
    <row r="173" spans="1:5" x14ac:dyDescent="0.25">
      <c r="A173" s="546"/>
      <c r="B173" s="186" t="str">
        <f>IF(A173&lt;&gt;"",INDEX('Base de données'!A$4:L$990,MATCH(A173,'Base de données'!A$4:A$990,0),2),"")</f>
        <v/>
      </c>
      <c r="C173" s="186" t="str">
        <f>IF(A173&lt;&gt;"",INDEX('Base de données'!A$4:L$990,MATCH(A173,'Base de données'!A$4:A$990,0),12),"")</f>
        <v/>
      </c>
      <c r="D173" s="546"/>
      <c r="E173" s="546"/>
    </row>
    <row r="174" spans="1:5" x14ac:dyDescent="0.25">
      <c r="A174" s="546"/>
      <c r="B174" s="186" t="str">
        <f>IF(A174&lt;&gt;"",INDEX('Base de données'!A$4:L$990,MATCH(A174,'Base de données'!A$4:A$990,0),2),"")</f>
        <v/>
      </c>
      <c r="C174" s="186" t="str">
        <f>IF(A174&lt;&gt;"",INDEX('Base de données'!A$4:L$990,MATCH(A174,'Base de données'!A$4:A$990,0),12),"")</f>
        <v/>
      </c>
      <c r="D174" s="546"/>
      <c r="E174" s="546"/>
    </row>
    <row r="175" spans="1:5" x14ac:dyDescent="0.25">
      <c r="A175" s="546"/>
      <c r="B175" s="186" t="str">
        <f>IF(A175&lt;&gt;"",INDEX('Base de données'!A$4:L$990,MATCH(A175,'Base de données'!A$4:A$990,0),2),"")</f>
        <v/>
      </c>
      <c r="C175" s="186" t="str">
        <f>IF(A175&lt;&gt;"",INDEX('Base de données'!A$4:L$990,MATCH(A175,'Base de données'!A$4:A$990,0),12),"")</f>
        <v/>
      </c>
      <c r="D175" s="546"/>
      <c r="E175" s="546"/>
    </row>
    <row r="176" spans="1:5" x14ac:dyDescent="0.25">
      <c r="A176" s="546"/>
      <c r="B176" s="186" t="str">
        <f>IF(A176&lt;&gt;"",INDEX('Base de données'!A$4:L$990,MATCH(A176,'Base de données'!A$4:A$990,0),2),"")</f>
        <v/>
      </c>
      <c r="C176" s="186" t="str">
        <f>IF(A176&lt;&gt;"",INDEX('Base de données'!A$4:L$990,MATCH(A176,'Base de données'!A$4:A$990,0),12),"")</f>
        <v/>
      </c>
      <c r="D176" s="546"/>
      <c r="E176" s="546"/>
    </row>
    <row r="177" spans="1:5" x14ac:dyDescent="0.25">
      <c r="A177" s="546"/>
      <c r="B177" s="186" t="str">
        <f>IF(A177&lt;&gt;"",INDEX('Base de données'!A$4:L$990,MATCH(A177,'Base de données'!A$4:A$990,0),2),"")</f>
        <v/>
      </c>
      <c r="C177" s="186" t="str">
        <f>IF(A177&lt;&gt;"",INDEX('Base de données'!A$4:L$990,MATCH(A177,'Base de données'!A$4:A$990,0),12),"")</f>
        <v/>
      </c>
      <c r="D177" s="546"/>
      <c r="E177" s="546"/>
    </row>
    <row r="178" spans="1:5" x14ac:dyDescent="0.25">
      <c r="A178" s="546"/>
      <c r="B178" s="186" t="str">
        <f>IF(A178&lt;&gt;"",INDEX('Base de données'!A$4:L$990,MATCH(A178,'Base de données'!A$4:A$990,0),2),"")</f>
        <v/>
      </c>
      <c r="C178" s="186" t="str">
        <f>IF(A178&lt;&gt;"",INDEX('Base de données'!A$4:L$990,MATCH(A178,'Base de données'!A$4:A$990,0),12),"")</f>
        <v/>
      </c>
      <c r="D178" s="546"/>
      <c r="E178" s="546"/>
    </row>
    <row r="179" spans="1:5" x14ac:dyDescent="0.25">
      <c r="A179" s="546"/>
      <c r="B179" s="186" t="str">
        <f>IF(A179&lt;&gt;"",INDEX('Base de données'!A$4:L$990,MATCH(A179,'Base de données'!A$4:A$990,0),2),"")</f>
        <v/>
      </c>
      <c r="C179" s="186" t="str">
        <f>IF(A179&lt;&gt;"",INDEX('Base de données'!A$4:L$990,MATCH(A179,'Base de données'!A$4:A$990,0),12),"")</f>
        <v/>
      </c>
      <c r="D179" s="546"/>
      <c r="E179" s="546"/>
    </row>
    <row r="180" spans="1:5" x14ac:dyDescent="0.25">
      <c r="A180" s="546"/>
      <c r="B180" s="186" t="str">
        <f>IF(A180&lt;&gt;"",INDEX('Base de données'!A$4:L$990,MATCH(A180,'Base de données'!A$4:A$990,0),2),"")</f>
        <v/>
      </c>
      <c r="C180" s="186" t="str">
        <f>IF(A180&lt;&gt;"",INDEX('Base de données'!A$4:L$990,MATCH(A180,'Base de données'!A$4:A$990,0),12),"")</f>
        <v/>
      </c>
      <c r="D180" s="546"/>
      <c r="E180" s="546"/>
    </row>
    <row r="181" spans="1:5" x14ac:dyDescent="0.25">
      <c r="A181" s="546"/>
      <c r="B181" s="186" t="str">
        <f>IF(A181&lt;&gt;"",INDEX('Base de données'!A$4:L$990,MATCH(A181,'Base de données'!A$4:A$990,0),2),"")</f>
        <v/>
      </c>
      <c r="C181" s="186" t="str">
        <f>IF(A181&lt;&gt;"",INDEX('Base de données'!A$4:L$990,MATCH(A181,'Base de données'!A$4:A$990,0),12),"")</f>
        <v/>
      </c>
      <c r="D181" s="546"/>
      <c r="E181" s="546"/>
    </row>
    <row r="182" spans="1:5" x14ac:dyDescent="0.25">
      <c r="A182" s="546"/>
      <c r="B182" s="186" t="str">
        <f>IF(A182&lt;&gt;"",INDEX('Base de données'!A$4:L$990,MATCH(A182,'Base de données'!A$4:A$990,0),2),"")</f>
        <v/>
      </c>
      <c r="C182" s="186" t="str">
        <f>IF(A182&lt;&gt;"",INDEX('Base de données'!A$4:L$990,MATCH(A182,'Base de données'!A$4:A$990,0),12),"")</f>
        <v/>
      </c>
      <c r="D182" s="546"/>
      <c r="E182" s="546"/>
    </row>
    <row r="183" spans="1:5" x14ac:dyDescent="0.25">
      <c r="A183" s="546"/>
      <c r="B183" s="186" t="str">
        <f>IF(A183&lt;&gt;"",INDEX('Base de données'!A$4:L$990,MATCH(A183,'Base de données'!A$4:A$990,0),2),"")</f>
        <v/>
      </c>
      <c r="C183" s="186" t="str">
        <f>IF(A183&lt;&gt;"",INDEX('Base de données'!A$4:L$990,MATCH(A183,'Base de données'!A$4:A$990,0),12),"")</f>
        <v/>
      </c>
      <c r="D183" s="546"/>
      <c r="E183" s="546"/>
    </row>
    <row r="184" spans="1:5" x14ac:dyDescent="0.25">
      <c r="A184" s="546"/>
      <c r="B184" s="186" t="str">
        <f>IF(A184&lt;&gt;"",INDEX('Base de données'!A$4:L$990,MATCH(A184,'Base de données'!A$4:A$990,0),2),"")</f>
        <v/>
      </c>
      <c r="C184" s="186" t="str">
        <f>IF(A184&lt;&gt;"",INDEX('Base de données'!A$4:L$990,MATCH(A184,'Base de données'!A$4:A$990,0),12),"")</f>
        <v/>
      </c>
      <c r="D184" s="546"/>
      <c r="E184" s="546"/>
    </row>
    <row r="185" spans="1:5" x14ac:dyDescent="0.25">
      <c r="A185" s="546"/>
      <c r="B185" s="186" t="str">
        <f>IF(A185&lt;&gt;"",INDEX('Base de données'!A$4:L$990,MATCH(A185,'Base de données'!A$4:A$990,0),2),"")</f>
        <v/>
      </c>
      <c r="C185" s="186" t="str">
        <f>IF(A185&lt;&gt;"",INDEX('Base de données'!A$4:L$990,MATCH(A185,'Base de données'!A$4:A$990,0),12),"")</f>
        <v/>
      </c>
      <c r="D185" s="546"/>
      <c r="E185" s="546"/>
    </row>
    <row r="186" spans="1:5" x14ac:dyDescent="0.25">
      <c r="A186" s="546"/>
      <c r="B186" s="186" t="str">
        <f>IF(A186&lt;&gt;"",INDEX('Base de données'!A$4:L$990,MATCH(A186,'Base de données'!A$4:A$990,0),2),"")</f>
        <v/>
      </c>
      <c r="C186" s="186" t="str">
        <f>IF(A186&lt;&gt;"",INDEX('Base de données'!A$4:L$990,MATCH(A186,'Base de données'!A$4:A$990,0),12),"")</f>
        <v/>
      </c>
      <c r="D186" s="546"/>
      <c r="E186" s="546"/>
    </row>
    <row r="187" spans="1:5" x14ac:dyDescent="0.25">
      <c r="A187" s="546"/>
      <c r="B187" s="186" t="str">
        <f>IF(A187&lt;&gt;"",INDEX('Base de données'!A$4:L$990,MATCH(A187,'Base de données'!A$4:A$990,0),2),"")</f>
        <v/>
      </c>
      <c r="C187" s="186" t="str">
        <f>IF(A187&lt;&gt;"",INDEX('Base de données'!A$4:L$990,MATCH(A187,'Base de données'!A$4:A$990,0),12),"")</f>
        <v/>
      </c>
      <c r="D187" s="546"/>
      <c r="E187" s="546"/>
    </row>
    <row r="188" spans="1:5" x14ac:dyDescent="0.25">
      <c r="A188" s="546"/>
      <c r="B188" s="186" t="str">
        <f>IF(A188&lt;&gt;"",INDEX('Base de données'!A$4:L$990,MATCH(A188,'Base de données'!A$4:A$990,0),2),"")</f>
        <v/>
      </c>
      <c r="C188" s="186" t="str">
        <f>IF(A188&lt;&gt;"",INDEX('Base de données'!A$4:L$990,MATCH(A188,'Base de données'!A$4:A$990,0),12),"")</f>
        <v/>
      </c>
      <c r="D188" s="546"/>
      <c r="E188" s="546"/>
    </row>
    <row r="189" spans="1:5" x14ac:dyDescent="0.25">
      <c r="A189" s="546"/>
      <c r="B189" s="186" t="str">
        <f>IF(A189&lt;&gt;"",INDEX('Base de données'!A$4:L$990,MATCH(A189,'Base de données'!A$4:A$990,0),2),"")</f>
        <v/>
      </c>
      <c r="C189" s="186" t="str">
        <f>IF(A189&lt;&gt;"",INDEX('Base de données'!A$4:L$990,MATCH(A189,'Base de données'!A$4:A$990,0),12),"")</f>
        <v/>
      </c>
      <c r="D189" s="546"/>
      <c r="E189" s="546"/>
    </row>
    <row r="190" spans="1:5" x14ac:dyDescent="0.25">
      <c r="A190" s="546"/>
      <c r="B190" s="186" t="str">
        <f>IF(A190&lt;&gt;"",INDEX('Base de données'!A$4:L$990,MATCH(A190,'Base de données'!A$4:A$990,0),2),"")</f>
        <v/>
      </c>
      <c r="C190" s="186" t="str">
        <f>IF(A190&lt;&gt;"",INDEX('Base de données'!A$4:L$990,MATCH(A190,'Base de données'!A$4:A$990,0),12),"")</f>
        <v/>
      </c>
      <c r="D190" s="546"/>
      <c r="E190" s="546"/>
    </row>
    <row r="191" spans="1:5" x14ac:dyDescent="0.25">
      <c r="A191" s="546"/>
      <c r="B191" s="186" t="str">
        <f>IF(A191&lt;&gt;"",INDEX('Base de données'!A$4:L$990,MATCH(A191,'Base de données'!A$4:A$990,0),2),"")</f>
        <v/>
      </c>
      <c r="C191" s="186" t="str">
        <f>IF(A191&lt;&gt;"",INDEX('Base de données'!A$4:L$990,MATCH(A191,'Base de données'!A$4:A$990,0),12),"")</f>
        <v/>
      </c>
      <c r="D191" s="546"/>
      <c r="E191" s="546"/>
    </row>
    <row r="192" spans="1:5" x14ac:dyDescent="0.25">
      <c r="A192" s="546"/>
      <c r="B192" s="186" t="str">
        <f>IF(A192&lt;&gt;"",INDEX('Base de données'!A$4:L$990,MATCH(A192,'Base de données'!A$4:A$990,0),2),"")</f>
        <v/>
      </c>
      <c r="C192" s="186" t="str">
        <f>IF(A192&lt;&gt;"",INDEX('Base de données'!A$4:L$990,MATCH(A192,'Base de données'!A$4:A$990,0),12),"")</f>
        <v/>
      </c>
      <c r="D192" s="546"/>
      <c r="E192" s="546"/>
    </row>
    <row r="193" spans="1:5" x14ac:dyDescent="0.25">
      <c r="A193" s="546"/>
      <c r="B193" s="186" t="str">
        <f>IF(A193&lt;&gt;"",INDEX('Base de données'!A$4:L$990,MATCH(A193,'Base de données'!A$4:A$990,0),2),"")</f>
        <v/>
      </c>
      <c r="C193" s="186" t="str">
        <f>IF(A193&lt;&gt;"",INDEX('Base de données'!A$4:L$990,MATCH(A193,'Base de données'!A$4:A$990,0),12),"")</f>
        <v/>
      </c>
      <c r="D193" s="546"/>
      <c r="E193" s="546"/>
    </row>
    <row r="194" spans="1:5" x14ac:dyDescent="0.25">
      <c r="A194" s="546"/>
      <c r="B194" s="186" t="str">
        <f>IF(A194&lt;&gt;"",INDEX('Base de données'!A$4:L$990,MATCH(A194,'Base de données'!A$4:A$990,0),2),"")</f>
        <v/>
      </c>
      <c r="C194" s="186" t="str">
        <f>IF(A194&lt;&gt;"",INDEX('Base de données'!A$4:L$990,MATCH(A194,'Base de données'!A$4:A$990,0),12),"")</f>
        <v/>
      </c>
      <c r="D194" s="546"/>
      <c r="E194" s="546"/>
    </row>
    <row r="195" spans="1:5" x14ac:dyDescent="0.25">
      <c r="A195" s="546"/>
      <c r="B195" s="186" t="str">
        <f>IF(A195&lt;&gt;"",INDEX('Base de données'!A$4:L$990,MATCH(A195,'Base de données'!A$4:A$990,0),2),"")</f>
        <v/>
      </c>
      <c r="C195" s="186" t="str">
        <f>IF(A195&lt;&gt;"",INDEX('Base de données'!A$4:L$990,MATCH(A195,'Base de données'!A$4:A$990,0),12),"")</f>
        <v/>
      </c>
      <c r="D195" s="546"/>
      <c r="E195" s="546"/>
    </row>
    <row r="196" spans="1:5" x14ac:dyDescent="0.25">
      <c r="A196" s="546"/>
      <c r="B196" s="186" t="str">
        <f>IF(A196&lt;&gt;"",INDEX('Base de données'!A$4:L$990,MATCH(A196,'Base de données'!A$4:A$990,0),2),"")</f>
        <v/>
      </c>
      <c r="C196" s="186" t="str">
        <f>IF(A196&lt;&gt;"",INDEX('Base de données'!A$4:L$990,MATCH(A196,'Base de données'!A$4:A$990,0),12),"")</f>
        <v/>
      </c>
      <c r="D196" s="546"/>
      <c r="E196" s="546"/>
    </row>
    <row r="197" spans="1:5" x14ac:dyDescent="0.25">
      <c r="A197" s="546"/>
      <c r="B197" s="186" t="str">
        <f>IF(A197&lt;&gt;"",INDEX('Base de données'!A$4:L$990,MATCH(A197,'Base de données'!A$4:A$990,0),2),"")</f>
        <v/>
      </c>
      <c r="C197" s="186" t="str">
        <f>IF(A197&lt;&gt;"",INDEX('Base de données'!A$4:L$990,MATCH(A197,'Base de données'!A$4:A$990,0),12),"")</f>
        <v/>
      </c>
      <c r="D197" s="546"/>
      <c r="E197" s="546"/>
    </row>
    <row r="198" spans="1:5" x14ac:dyDescent="0.25">
      <c r="A198" s="546"/>
      <c r="B198" s="186" t="str">
        <f>IF(A198&lt;&gt;"",INDEX('Base de données'!A$4:L$990,MATCH(A198,'Base de données'!A$4:A$990,0),2),"")</f>
        <v/>
      </c>
      <c r="C198" s="186" t="str">
        <f>IF(A198&lt;&gt;"",INDEX('Base de données'!A$4:L$990,MATCH(A198,'Base de données'!A$4:A$990,0),12),"")</f>
        <v/>
      </c>
      <c r="D198" s="546"/>
      <c r="E198" s="546"/>
    </row>
    <row r="199" spans="1:5" x14ac:dyDescent="0.25">
      <c r="A199" s="546"/>
      <c r="B199" s="186" t="str">
        <f>IF(A199&lt;&gt;"",INDEX('Base de données'!A$4:L$990,MATCH(A199,'Base de données'!A$4:A$990,0),2),"")</f>
        <v/>
      </c>
      <c r="C199" s="186" t="str">
        <f>IF(A199&lt;&gt;"",INDEX('Base de données'!A$4:L$990,MATCH(A199,'Base de données'!A$4:A$990,0),12),"")</f>
        <v/>
      </c>
      <c r="D199" s="546"/>
      <c r="E199" s="546"/>
    </row>
    <row r="200" spans="1:5" x14ac:dyDescent="0.25">
      <c r="A200" s="546"/>
      <c r="B200" s="186" t="str">
        <f>IF(A200&lt;&gt;"",INDEX('Base de données'!A$4:L$990,MATCH(A200,'Base de données'!A$4:A$990,0),2),"")</f>
        <v/>
      </c>
      <c r="C200" s="186" t="str">
        <f>IF(A200&lt;&gt;"",INDEX('Base de données'!A$4:L$990,MATCH(A200,'Base de données'!A$4:A$990,0),12),"")</f>
        <v/>
      </c>
      <c r="D200" s="546"/>
      <c r="E200" s="546"/>
    </row>
    <row r="201" spans="1:5" x14ac:dyDescent="0.25">
      <c r="A201" s="546"/>
      <c r="B201" s="186" t="str">
        <f>IF(A201&lt;&gt;"",INDEX('Base de données'!A$4:L$990,MATCH(A201,'Base de données'!A$4:A$990,0),2),"")</f>
        <v/>
      </c>
      <c r="C201" s="186" t="str">
        <f>IF(A201&lt;&gt;"",INDEX('Base de données'!A$4:L$990,MATCH(A201,'Base de données'!A$4:A$990,0),12),"")</f>
        <v/>
      </c>
      <c r="D201" s="546"/>
      <c r="E201" s="546"/>
    </row>
    <row r="202" spans="1:5" x14ac:dyDescent="0.25">
      <c r="A202" s="546"/>
      <c r="B202" s="186" t="str">
        <f>IF(A202&lt;&gt;"",INDEX('Base de données'!A$4:L$990,MATCH(A202,'Base de données'!A$4:A$990,0),2),"")</f>
        <v/>
      </c>
      <c r="C202" s="186" t="str">
        <f>IF(A202&lt;&gt;"",INDEX('Base de données'!A$4:L$990,MATCH(A202,'Base de données'!A$4:A$990,0),12),"")</f>
        <v/>
      </c>
      <c r="D202" s="546"/>
      <c r="E202" s="546"/>
    </row>
    <row r="203" spans="1:5" x14ac:dyDescent="0.25">
      <c r="A203" s="546"/>
      <c r="B203" s="186" t="str">
        <f>IF(A203&lt;&gt;"",INDEX('Base de données'!A$4:L$990,MATCH(A203,'Base de données'!A$4:A$990,0),2),"")</f>
        <v/>
      </c>
      <c r="C203" s="186" t="str">
        <f>IF(A203&lt;&gt;"",INDEX('Base de données'!A$4:L$990,MATCH(A203,'Base de données'!A$4:A$990,0),12),"")</f>
        <v/>
      </c>
      <c r="D203" s="546"/>
      <c r="E203" s="546"/>
    </row>
    <row r="204" spans="1:5" x14ac:dyDescent="0.25">
      <c r="A204" s="546"/>
      <c r="B204" s="186" t="str">
        <f>IF(A204&lt;&gt;"",INDEX('Base de données'!A$4:L$990,MATCH(A204,'Base de données'!A$4:A$990,0),2),"")</f>
        <v/>
      </c>
      <c r="C204" s="186" t="str">
        <f>IF(A204&lt;&gt;"",INDEX('Base de données'!A$4:L$990,MATCH(A204,'Base de données'!A$4:A$990,0),12),"")</f>
        <v/>
      </c>
      <c r="D204" s="546"/>
      <c r="E204" s="546"/>
    </row>
    <row r="205" spans="1:5" x14ac:dyDescent="0.25">
      <c r="A205" s="546"/>
      <c r="B205" s="186" t="str">
        <f>IF(A205&lt;&gt;"",INDEX('Base de données'!A$4:L$990,MATCH(A205,'Base de données'!A$4:A$990,0),2),"")</f>
        <v/>
      </c>
      <c r="C205" s="186" t="str">
        <f>IF(A205&lt;&gt;"",INDEX('Base de données'!A$4:L$990,MATCH(A205,'Base de données'!A$4:A$990,0),12),"")</f>
        <v/>
      </c>
      <c r="D205" s="546"/>
      <c r="E205" s="546"/>
    </row>
    <row r="206" spans="1:5" x14ac:dyDescent="0.25">
      <c r="A206" s="546"/>
      <c r="B206" s="186" t="str">
        <f>IF(A206&lt;&gt;"",INDEX('Base de données'!A$4:L$990,MATCH(A206,'Base de données'!A$4:A$990,0),2),"")</f>
        <v/>
      </c>
      <c r="C206" s="186" t="str">
        <f>IF(A206&lt;&gt;"",INDEX('Base de données'!A$4:L$990,MATCH(A206,'Base de données'!A$4:A$990,0),12),"")</f>
        <v/>
      </c>
      <c r="D206" s="546"/>
      <c r="E206" s="546"/>
    </row>
    <row r="207" spans="1:5" x14ac:dyDescent="0.25">
      <c r="A207" s="546"/>
      <c r="B207" s="186" t="str">
        <f>IF(A207&lt;&gt;"",INDEX('Base de données'!A$4:L$990,MATCH(A207,'Base de données'!A$4:A$990,0),2),"")</f>
        <v/>
      </c>
      <c r="C207" s="186" t="str">
        <f>IF(A207&lt;&gt;"",INDEX('Base de données'!A$4:L$990,MATCH(A207,'Base de données'!A$4:A$990,0),12),"")</f>
        <v/>
      </c>
      <c r="D207" s="546"/>
      <c r="E207" s="546"/>
    </row>
    <row r="208" spans="1:5" x14ac:dyDescent="0.25">
      <c r="A208" s="546"/>
      <c r="B208" s="186" t="str">
        <f>IF(A208&lt;&gt;"",INDEX('Base de données'!A$4:L$990,MATCH(A208,'Base de données'!A$4:A$990,0),2),"")</f>
        <v/>
      </c>
      <c r="C208" s="186" t="str">
        <f>IF(A208&lt;&gt;"",INDEX('Base de données'!A$4:L$990,MATCH(A208,'Base de données'!A$4:A$990,0),12),"")</f>
        <v/>
      </c>
      <c r="D208" s="546"/>
      <c r="E208" s="546"/>
    </row>
    <row r="209" spans="1:5" x14ac:dyDescent="0.25">
      <c r="A209" s="546"/>
      <c r="B209" s="186" t="str">
        <f>IF(A209&lt;&gt;"",INDEX('Base de données'!A$4:L$990,MATCH(A209,'Base de données'!A$4:A$990,0),2),"")</f>
        <v/>
      </c>
      <c r="C209" s="186" t="str">
        <f>IF(A209&lt;&gt;"",INDEX('Base de données'!A$4:L$990,MATCH(A209,'Base de données'!A$4:A$990,0),12),"")</f>
        <v/>
      </c>
      <c r="D209" s="546"/>
      <c r="E209" s="546"/>
    </row>
    <row r="210" spans="1:5" x14ac:dyDescent="0.25">
      <c r="A210" s="546"/>
      <c r="B210" s="186" t="str">
        <f>IF(A210&lt;&gt;"",INDEX('Base de données'!A$4:L$990,MATCH(A210,'Base de données'!A$4:A$990,0),2),"")</f>
        <v/>
      </c>
      <c r="C210" s="186" t="str">
        <f>IF(A210&lt;&gt;"",INDEX('Base de données'!A$4:L$990,MATCH(A210,'Base de données'!A$4:A$990,0),12),"")</f>
        <v/>
      </c>
      <c r="D210" s="546"/>
      <c r="E210" s="546"/>
    </row>
    <row r="211" spans="1:5" x14ac:dyDescent="0.25">
      <c r="A211" s="546"/>
      <c r="B211" s="186" t="str">
        <f>IF(A211&lt;&gt;"",INDEX('Base de données'!A$4:L$990,MATCH(A211,'Base de données'!A$4:A$990,0),2),"")</f>
        <v/>
      </c>
      <c r="C211" s="186" t="str">
        <f>IF(A211&lt;&gt;"",INDEX('Base de données'!A$4:L$990,MATCH(A211,'Base de données'!A$4:A$990,0),12),"")</f>
        <v/>
      </c>
      <c r="D211" s="546"/>
      <c r="E211" s="546"/>
    </row>
    <row r="212" spans="1:5" x14ac:dyDescent="0.25">
      <c r="A212" s="546"/>
      <c r="B212" s="186" t="str">
        <f>IF(A212&lt;&gt;"",INDEX('Base de données'!A$4:L$990,MATCH(A212,'Base de données'!A$4:A$990,0),2),"")</f>
        <v/>
      </c>
      <c r="C212" s="186" t="str">
        <f>IF(A212&lt;&gt;"",INDEX('Base de données'!A$4:L$990,MATCH(A212,'Base de données'!A$4:A$990,0),12),"")</f>
        <v/>
      </c>
      <c r="D212" s="546"/>
      <c r="E212" s="546"/>
    </row>
    <row r="213" spans="1:5" x14ac:dyDescent="0.25">
      <c r="A213" s="546"/>
      <c r="B213" s="186" t="str">
        <f>IF(A213&lt;&gt;"",INDEX('Base de données'!A$4:L$990,MATCH(A213,'Base de données'!A$4:A$990,0),2),"")</f>
        <v/>
      </c>
      <c r="C213" s="186" t="str">
        <f>IF(A213&lt;&gt;"",INDEX('Base de données'!A$4:L$990,MATCH(A213,'Base de données'!A$4:A$990,0),12),"")</f>
        <v/>
      </c>
      <c r="D213" s="546"/>
      <c r="E213" s="546"/>
    </row>
    <row r="214" spans="1:5" x14ac:dyDescent="0.25">
      <c r="A214" s="546"/>
      <c r="B214" s="186" t="str">
        <f>IF(A214&lt;&gt;"",INDEX('Base de données'!A$4:L$990,MATCH(A214,'Base de données'!A$4:A$990,0),2),"")</f>
        <v/>
      </c>
      <c r="C214" s="186" t="str">
        <f>IF(A214&lt;&gt;"",INDEX('Base de données'!A$4:L$990,MATCH(A214,'Base de données'!A$4:A$990,0),12),"")</f>
        <v/>
      </c>
      <c r="D214" s="546"/>
      <c r="E214" s="546"/>
    </row>
    <row r="215" spans="1:5" x14ac:dyDescent="0.25">
      <c r="A215" s="546"/>
      <c r="B215" s="186" t="str">
        <f>IF(A215&lt;&gt;"",INDEX('Base de données'!A$4:L$990,MATCH(A215,'Base de données'!A$4:A$990,0),2),"")</f>
        <v/>
      </c>
      <c r="C215" s="186" t="str">
        <f>IF(A215&lt;&gt;"",INDEX('Base de données'!A$4:L$990,MATCH(A215,'Base de données'!A$4:A$990,0),12),"")</f>
        <v/>
      </c>
      <c r="D215" s="546"/>
      <c r="E215" s="546"/>
    </row>
    <row r="216" spans="1:5" x14ac:dyDescent="0.25">
      <c r="A216" s="546"/>
      <c r="B216" s="186" t="str">
        <f>IF(A216&lt;&gt;"",INDEX('Base de données'!A$4:L$990,MATCH(A216,'Base de données'!A$4:A$990,0),2),"")</f>
        <v/>
      </c>
      <c r="C216" s="186" t="str">
        <f>IF(A216&lt;&gt;"",INDEX('Base de données'!A$4:L$990,MATCH(A216,'Base de données'!A$4:A$990,0),12),"")</f>
        <v/>
      </c>
      <c r="D216" s="546"/>
      <c r="E216" s="546"/>
    </row>
    <row r="217" spans="1:5" x14ac:dyDescent="0.25">
      <c r="A217" s="546"/>
      <c r="B217" s="186" t="str">
        <f>IF(A217&lt;&gt;"",INDEX('Base de données'!A$4:L$990,MATCH(A217,'Base de données'!A$4:A$990,0),2),"")</f>
        <v/>
      </c>
      <c r="C217" s="186" t="str">
        <f>IF(A217&lt;&gt;"",INDEX('Base de données'!A$4:L$990,MATCH(A217,'Base de données'!A$4:A$990,0),12),"")</f>
        <v/>
      </c>
      <c r="D217" s="546"/>
      <c r="E217" s="546"/>
    </row>
    <row r="218" spans="1:5" x14ac:dyDescent="0.25">
      <c r="A218" s="546"/>
      <c r="B218" s="186" t="str">
        <f>IF(A218&lt;&gt;"",INDEX('Base de données'!A$4:L$990,MATCH(A218,'Base de données'!A$4:A$990,0),2),"")</f>
        <v/>
      </c>
      <c r="C218" s="186" t="str">
        <f>IF(A218&lt;&gt;"",INDEX('Base de données'!A$4:L$990,MATCH(A218,'Base de données'!A$4:A$990,0),12),"")</f>
        <v/>
      </c>
      <c r="D218" s="546"/>
      <c r="E218" s="546"/>
    </row>
    <row r="219" spans="1:5" x14ac:dyDescent="0.25">
      <c r="A219" s="546"/>
      <c r="B219" s="186" t="str">
        <f>IF(A219&lt;&gt;"",INDEX('Base de données'!A$4:L$990,MATCH(A219,'Base de données'!A$4:A$990,0),2),"")</f>
        <v/>
      </c>
      <c r="C219" s="186" t="str">
        <f>IF(A219&lt;&gt;"",INDEX('Base de données'!A$4:L$990,MATCH(A219,'Base de données'!A$4:A$990,0),12),"")</f>
        <v/>
      </c>
      <c r="D219" s="546"/>
      <c r="E219" s="546"/>
    </row>
    <row r="220" spans="1:5" x14ac:dyDescent="0.25">
      <c r="A220" s="546"/>
      <c r="B220" s="186" t="str">
        <f>IF(A220&lt;&gt;"",INDEX('Base de données'!A$4:L$990,MATCH(A220,'Base de données'!A$4:A$990,0),2),"")</f>
        <v/>
      </c>
      <c r="C220" s="186" t="str">
        <f>IF(A220&lt;&gt;"",INDEX('Base de données'!A$4:L$990,MATCH(A220,'Base de données'!A$4:A$990,0),12),"")</f>
        <v/>
      </c>
      <c r="D220" s="546"/>
      <c r="E220" s="546"/>
    </row>
    <row r="221" spans="1:5" x14ac:dyDescent="0.25">
      <c r="A221" s="546"/>
      <c r="B221" s="186" t="str">
        <f>IF(A221&lt;&gt;"",INDEX('Base de données'!A$4:L$990,MATCH(A221,'Base de données'!A$4:A$990,0),2),"")</f>
        <v/>
      </c>
      <c r="C221" s="186" t="str">
        <f>IF(A221&lt;&gt;"",INDEX('Base de données'!A$4:L$990,MATCH(A221,'Base de données'!A$4:A$990,0),12),"")</f>
        <v/>
      </c>
      <c r="D221" s="546"/>
      <c r="E221" s="546"/>
    </row>
    <row r="222" spans="1:5" x14ac:dyDescent="0.25">
      <c r="A222" s="546"/>
      <c r="B222" s="186" t="str">
        <f>IF(A222&lt;&gt;"",INDEX('Base de données'!A$4:L$990,MATCH(A222,'Base de données'!A$4:A$990,0),2),"")</f>
        <v/>
      </c>
      <c r="C222" s="186" t="str">
        <f>IF(A222&lt;&gt;"",INDEX('Base de données'!A$4:L$990,MATCH(A222,'Base de données'!A$4:A$990,0),12),"")</f>
        <v/>
      </c>
      <c r="D222" s="546"/>
      <c r="E222" s="546"/>
    </row>
    <row r="223" spans="1:5" x14ac:dyDescent="0.25">
      <c r="A223" s="546"/>
      <c r="B223" s="186" t="str">
        <f>IF(A223&lt;&gt;"",INDEX('Base de données'!A$4:L$990,MATCH(A223,'Base de données'!A$4:A$990,0),2),"")</f>
        <v/>
      </c>
      <c r="C223" s="186" t="str">
        <f>IF(A223&lt;&gt;"",INDEX('Base de données'!A$4:L$990,MATCH(A223,'Base de données'!A$4:A$990,0),12),"")</f>
        <v/>
      </c>
      <c r="D223" s="546"/>
      <c r="E223" s="546"/>
    </row>
    <row r="224" spans="1:5" x14ac:dyDescent="0.25">
      <c r="A224" s="546"/>
      <c r="B224" s="186" t="str">
        <f>IF(A224&lt;&gt;"",INDEX('Base de données'!A$4:L$990,MATCH(A224,'Base de données'!A$4:A$990,0),2),"")</f>
        <v/>
      </c>
      <c r="C224" s="186" t="str">
        <f>IF(A224&lt;&gt;"",INDEX('Base de données'!A$4:L$990,MATCH(A224,'Base de données'!A$4:A$990,0),12),"")</f>
        <v/>
      </c>
      <c r="D224" s="546"/>
      <c r="E224" s="546"/>
    </row>
    <row r="225" spans="1:5" x14ac:dyDescent="0.25">
      <c r="A225" s="546"/>
      <c r="B225" s="186" t="str">
        <f>IF(A225&lt;&gt;"",INDEX('Base de données'!A$4:L$990,MATCH(A225,'Base de données'!A$4:A$990,0),2),"")</f>
        <v/>
      </c>
      <c r="C225" s="186" t="str">
        <f>IF(A225&lt;&gt;"",INDEX('Base de données'!A$4:L$990,MATCH(A225,'Base de données'!A$4:A$990,0),12),"")</f>
        <v/>
      </c>
      <c r="D225" s="546"/>
      <c r="E225" s="546"/>
    </row>
    <row r="226" spans="1:5" x14ac:dyDescent="0.25">
      <c r="A226" s="546"/>
      <c r="B226" s="186" t="str">
        <f>IF(A226&lt;&gt;"",INDEX('Base de données'!A$4:L$990,MATCH(A226,'Base de données'!A$4:A$990,0),2),"")</f>
        <v/>
      </c>
      <c r="C226" s="186" t="str">
        <f>IF(A226&lt;&gt;"",INDEX('Base de données'!A$4:L$990,MATCH(A226,'Base de données'!A$4:A$990,0),12),"")</f>
        <v/>
      </c>
      <c r="D226" s="546"/>
      <c r="E226" s="546"/>
    </row>
    <row r="227" spans="1:5" x14ac:dyDescent="0.25">
      <c r="A227" s="546"/>
      <c r="B227" s="186" t="str">
        <f>IF(A227&lt;&gt;"",INDEX('Base de données'!A$4:L$990,MATCH(A227,'Base de données'!A$4:A$990,0),2),"")</f>
        <v/>
      </c>
      <c r="C227" s="186" t="str">
        <f>IF(A227&lt;&gt;"",INDEX('Base de données'!A$4:L$990,MATCH(A227,'Base de données'!A$4:A$990,0),12),"")</f>
        <v/>
      </c>
      <c r="D227" s="546"/>
      <c r="E227" s="546"/>
    </row>
    <row r="228" spans="1:5" x14ac:dyDescent="0.25">
      <c r="A228" s="546"/>
      <c r="B228" s="186" t="str">
        <f>IF(A228&lt;&gt;"",INDEX('Base de données'!A$4:L$990,MATCH(A228,'Base de données'!A$4:A$990,0),2),"")</f>
        <v/>
      </c>
      <c r="C228" s="186" t="str">
        <f>IF(A228&lt;&gt;"",INDEX('Base de données'!A$4:L$990,MATCH(A228,'Base de données'!A$4:A$990,0),12),"")</f>
        <v/>
      </c>
      <c r="D228" s="546"/>
      <c r="E228" s="546"/>
    </row>
    <row r="229" spans="1:5" x14ac:dyDescent="0.25">
      <c r="A229" s="546"/>
      <c r="B229" s="186" t="str">
        <f>IF(A229&lt;&gt;"",INDEX('Base de données'!A$4:L$990,MATCH(A229,'Base de données'!A$4:A$990,0),2),"")</f>
        <v/>
      </c>
      <c r="C229" s="186" t="str">
        <f>IF(A229&lt;&gt;"",INDEX('Base de données'!A$4:L$990,MATCH(A229,'Base de données'!A$4:A$990,0),12),"")</f>
        <v/>
      </c>
      <c r="D229" s="546"/>
      <c r="E229" s="546"/>
    </row>
    <row r="230" spans="1:5" x14ac:dyDescent="0.25">
      <c r="A230" s="546"/>
      <c r="B230" s="186" t="str">
        <f>IF(A230&lt;&gt;"",INDEX('Base de données'!A$4:L$990,MATCH(A230,'Base de données'!A$4:A$990,0),2),"")</f>
        <v/>
      </c>
      <c r="C230" s="186" t="str">
        <f>IF(A230&lt;&gt;"",INDEX('Base de données'!A$4:L$990,MATCH(A230,'Base de données'!A$4:A$990,0),12),"")</f>
        <v/>
      </c>
      <c r="D230" s="546"/>
      <c r="E230" s="546"/>
    </row>
    <row r="231" spans="1:5" x14ac:dyDescent="0.25">
      <c r="A231" s="546"/>
      <c r="B231" s="186" t="str">
        <f>IF(A231&lt;&gt;"",INDEX('Base de données'!A$4:L$990,MATCH(A231,'Base de données'!A$4:A$990,0),2),"")</f>
        <v/>
      </c>
      <c r="C231" s="186" t="str">
        <f>IF(A231&lt;&gt;"",INDEX('Base de données'!A$4:L$990,MATCH(A231,'Base de données'!A$4:A$990,0),12),"")</f>
        <v/>
      </c>
      <c r="D231" s="546"/>
      <c r="E231" s="546"/>
    </row>
    <row r="232" spans="1:5" x14ac:dyDescent="0.25">
      <c r="A232" s="546"/>
      <c r="B232" s="186" t="str">
        <f>IF(A232&lt;&gt;"",INDEX('Base de données'!A$4:L$990,MATCH(A232,'Base de données'!A$4:A$990,0),2),"")</f>
        <v/>
      </c>
      <c r="C232" s="186" t="str">
        <f>IF(A232&lt;&gt;"",INDEX('Base de données'!A$4:L$990,MATCH(A232,'Base de données'!A$4:A$990,0),12),"")</f>
        <v/>
      </c>
      <c r="D232" s="546"/>
      <c r="E232" s="546"/>
    </row>
    <row r="233" spans="1:5" x14ac:dyDescent="0.25">
      <c r="A233" s="546"/>
      <c r="B233" s="186" t="str">
        <f>IF(A233&lt;&gt;"",INDEX('Base de données'!A$4:L$990,MATCH(A233,'Base de données'!A$4:A$990,0),2),"")</f>
        <v/>
      </c>
      <c r="C233" s="186" t="str">
        <f>IF(A233&lt;&gt;"",INDEX('Base de données'!A$4:L$990,MATCH(A233,'Base de données'!A$4:A$990,0),12),"")</f>
        <v/>
      </c>
      <c r="D233" s="546"/>
      <c r="E233" s="546"/>
    </row>
    <row r="234" spans="1:5" x14ac:dyDescent="0.25">
      <c r="A234" s="546"/>
      <c r="B234" s="186" t="str">
        <f>IF(A234&lt;&gt;"",INDEX('Base de données'!A$4:L$990,MATCH(A234,'Base de données'!A$4:A$990,0),2),"")</f>
        <v/>
      </c>
      <c r="C234" s="186" t="str">
        <f>IF(A234&lt;&gt;"",INDEX('Base de données'!A$4:L$990,MATCH(A234,'Base de données'!A$4:A$990,0),12),"")</f>
        <v/>
      </c>
      <c r="D234" s="546"/>
      <c r="E234" s="546"/>
    </row>
    <row r="235" spans="1:5" x14ac:dyDescent="0.25">
      <c r="A235" s="546"/>
      <c r="B235" s="186" t="str">
        <f>IF(A235&lt;&gt;"",INDEX('Base de données'!A$4:L$990,MATCH(A235,'Base de données'!A$4:A$990,0),2),"")</f>
        <v/>
      </c>
      <c r="C235" s="186" t="str">
        <f>IF(A235&lt;&gt;"",INDEX('Base de données'!A$4:L$990,MATCH(A235,'Base de données'!A$4:A$990,0),12),"")</f>
        <v/>
      </c>
      <c r="D235" s="546"/>
      <c r="E235" s="546"/>
    </row>
    <row r="236" spans="1:5" x14ac:dyDescent="0.25">
      <c r="A236" s="546"/>
      <c r="B236" s="186" t="str">
        <f>IF(A236&lt;&gt;"",INDEX('Base de données'!A$4:L$990,MATCH(A236,'Base de données'!A$4:A$990,0),2),"")</f>
        <v/>
      </c>
      <c r="C236" s="186" t="str">
        <f>IF(A236&lt;&gt;"",INDEX('Base de données'!A$4:L$990,MATCH(A236,'Base de données'!A$4:A$990,0),12),"")</f>
        <v/>
      </c>
      <c r="D236" s="546"/>
      <c r="E236" s="546"/>
    </row>
    <row r="237" spans="1:5" x14ac:dyDescent="0.25">
      <c r="A237" s="546"/>
      <c r="B237" s="186" t="str">
        <f>IF(A237&lt;&gt;"",INDEX('Base de données'!A$4:L$990,MATCH(A237,'Base de données'!A$4:A$990,0),2),"")</f>
        <v/>
      </c>
      <c r="C237" s="186" t="str">
        <f>IF(A237&lt;&gt;"",INDEX('Base de données'!A$4:L$990,MATCH(A237,'Base de données'!A$4:A$990,0),12),"")</f>
        <v/>
      </c>
      <c r="D237" s="546"/>
      <c r="E237" s="546"/>
    </row>
    <row r="238" spans="1:5" x14ac:dyDescent="0.25">
      <c r="A238" s="546"/>
      <c r="B238" s="186" t="str">
        <f>IF(A238&lt;&gt;"",INDEX('Base de données'!A$4:L$990,MATCH(A238,'Base de données'!A$4:A$990,0),2),"")</f>
        <v/>
      </c>
      <c r="C238" s="186" t="str">
        <f>IF(A238&lt;&gt;"",INDEX('Base de données'!A$4:L$990,MATCH(A238,'Base de données'!A$4:A$990,0),12),"")</f>
        <v/>
      </c>
      <c r="D238" s="546"/>
      <c r="E238" s="546"/>
    </row>
    <row r="239" spans="1:5" x14ac:dyDescent="0.25">
      <c r="A239" s="546"/>
      <c r="B239" s="186" t="str">
        <f>IF(A239&lt;&gt;"",INDEX('Base de données'!A$4:L$990,MATCH(A239,'Base de données'!A$4:A$990,0),2),"")</f>
        <v/>
      </c>
      <c r="C239" s="186" t="str">
        <f>IF(A239&lt;&gt;"",INDEX('Base de données'!A$4:L$990,MATCH(A239,'Base de données'!A$4:A$990,0),12),"")</f>
        <v/>
      </c>
      <c r="D239" s="546"/>
      <c r="E239" s="546"/>
    </row>
    <row r="240" spans="1:5" x14ac:dyDescent="0.25">
      <c r="A240" s="546"/>
      <c r="B240" s="186" t="str">
        <f>IF(A240&lt;&gt;"",INDEX('Base de données'!A$4:L$990,MATCH(A240,'Base de données'!A$4:A$990,0),2),"")</f>
        <v/>
      </c>
      <c r="C240" s="186" t="str">
        <f>IF(A240&lt;&gt;"",INDEX('Base de données'!A$4:L$990,MATCH(A240,'Base de données'!A$4:A$990,0),12),"")</f>
        <v/>
      </c>
      <c r="D240" s="546"/>
      <c r="E240" s="546"/>
    </row>
    <row r="241" spans="1:5" x14ac:dyDescent="0.25">
      <c r="A241" s="546"/>
      <c r="B241" s="186" t="str">
        <f>IF(A241&lt;&gt;"",INDEX('Base de données'!A$4:L$990,MATCH(A241,'Base de données'!A$4:A$990,0),2),"")</f>
        <v/>
      </c>
      <c r="C241" s="186" t="str">
        <f>IF(A241&lt;&gt;"",INDEX('Base de données'!A$4:L$990,MATCH(A241,'Base de données'!A$4:A$990,0),12),"")</f>
        <v/>
      </c>
      <c r="D241" s="546"/>
      <c r="E241" s="546"/>
    </row>
    <row r="242" spans="1:5" x14ac:dyDescent="0.25">
      <c r="A242" s="546"/>
      <c r="B242" s="186" t="str">
        <f>IF(A242&lt;&gt;"",INDEX('Base de données'!A$4:L$990,MATCH(A242,'Base de données'!A$4:A$990,0),2),"")</f>
        <v/>
      </c>
      <c r="C242" s="186" t="str">
        <f>IF(A242&lt;&gt;"",INDEX('Base de données'!A$4:L$990,MATCH(A242,'Base de données'!A$4:A$990,0),12),"")</f>
        <v/>
      </c>
      <c r="D242" s="546"/>
      <c r="E242" s="546"/>
    </row>
    <row r="243" spans="1:5" x14ac:dyDescent="0.25">
      <c r="A243" s="546"/>
      <c r="B243" s="186" t="str">
        <f>IF(A243&lt;&gt;"",INDEX('Base de données'!A$4:L$990,MATCH(A243,'Base de données'!A$4:A$990,0),2),"")</f>
        <v/>
      </c>
      <c r="C243" s="186" t="str">
        <f>IF(A243&lt;&gt;"",INDEX('Base de données'!A$4:L$990,MATCH(A243,'Base de données'!A$4:A$990,0),12),"")</f>
        <v/>
      </c>
      <c r="D243" s="546"/>
      <c r="E243" s="546"/>
    </row>
    <row r="244" spans="1:5" x14ac:dyDescent="0.25">
      <c r="A244" s="546"/>
      <c r="B244" s="186" t="str">
        <f>IF(A244&lt;&gt;"",INDEX('Base de données'!A$4:L$990,MATCH(A244,'Base de données'!A$4:A$990,0),2),"")</f>
        <v/>
      </c>
      <c r="C244" s="186" t="str">
        <f>IF(A244&lt;&gt;"",INDEX('Base de données'!A$4:L$990,MATCH(A244,'Base de données'!A$4:A$990,0),12),"")</f>
        <v/>
      </c>
      <c r="D244" s="546"/>
      <c r="E244" s="546"/>
    </row>
    <row r="245" spans="1:5" x14ac:dyDescent="0.25">
      <c r="A245" s="546"/>
      <c r="B245" s="186" t="str">
        <f>IF(A245&lt;&gt;"",INDEX('Base de données'!A$4:L$990,MATCH(A245,'Base de données'!A$4:A$990,0),2),"")</f>
        <v/>
      </c>
      <c r="C245" s="186" t="str">
        <f>IF(A245&lt;&gt;"",INDEX('Base de données'!A$4:L$990,MATCH(A245,'Base de données'!A$4:A$990,0),12),"")</f>
        <v/>
      </c>
      <c r="D245" s="546"/>
      <c r="E245" s="546"/>
    </row>
    <row r="246" spans="1:5" x14ac:dyDescent="0.25">
      <c r="A246" s="546"/>
      <c r="B246" s="186" t="str">
        <f>IF(A246&lt;&gt;"",INDEX('Base de données'!A$4:L$990,MATCH(A246,'Base de données'!A$4:A$990,0),2),"")</f>
        <v/>
      </c>
      <c r="C246" s="186" t="str">
        <f>IF(A246&lt;&gt;"",INDEX('Base de données'!A$4:L$990,MATCH(A246,'Base de données'!A$4:A$990,0),12),"")</f>
        <v/>
      </c>
      <c r="D246" s="546"/>
      <c r="E246" s="546"/>
    </row>
    <row r="247" spans="1:5" x14ac:dyDescent="0.25">
      <c r="A247" s="546"/>
      <c r="B247" s="186" t="str">
        <f>IF(A247&lt;&gt;"",INDEX('Base de données'!A$4:L$990,MATCH(A247,'Base de données'!A$4:A$990,0),2),"")</f>
        <v/>
      </c>
      <c r="C247" s="186" t="str">
        <f>IF(A247&lt;&gt;"",INDEX('Base de données'!A$4:L$990,MATCH(A247,'Base de données'!A$4:A$990,0),12),"")</f>
        <v/>
      </c>
      <c r="D247" s="546"/>
      <c r="E247" s="546"/>
    </row>
    <row r="248" spans="1:5" x14ac:dyDescent="0.25">
      <c r="A248" s="546"/>
      <c r="B248" s="186" t="str">
        <f>IF(A248&lt;&gt;"",INDEX('Base de données'!A$4:L$990,MATCH(A248,'Base de données'!A$4:A$990,0),2),"")</f>
        <v/>
      </c>
      <c r="C248" s="186" t="str">
        <f>IF(A248&lt;&gt;"",INDEX('Base de données'!A$4:L$990,MATCH(A248,'Base de données'!A$4:A$990,0),12),"")</f>
        <v/>
      </c>
      <c r="D248" s="546"/>
      <c r="E248" s="546"/>
    </row>
    <row r="249" spans="1:5" x14ac:dyDescent="0.25">
      <c r="A249" s="546"/>
      <c r="B249" s="186" t="str">
        <f>IF(A249&lt;&gt;"",INDEX('Base de données'!A$4:L$990,MATCH(A249,'Base de données'!A$4:A$990,0),2),"")</f>
        <v/>
      </c>
      <c r="C249" s="186" t="str">
        <f>IF(A249&lt;&gt;"",INDEX('Base de données'!A$4:L$990,MATCH(A249,'Base de données'!A$4:A$990,0),12),"")</f>
        <v/>
      </c>
      <c r="D249" s="546"/>
      <c r="E249" s="546"/>
    </row>
    <row r="250" spans="1:5" x14ac:dyDescent="0.25">
      <c r="A250" s="546"/>
      <c r="B250" s="186" t="str">
        <f>IF(A250&lt;&gt;"",INDEX('Base de données'!A$4:L$990,MATCH(A250,'Base de données'!A$4:A$990,0),2),"")</f>
        <v/>
      </c>
      <c r="C250" s="186" t="str">
        <f>IF(A250&lt;&gt;"",INDEX('Base de données'!A$4:L$990,MATCH(A250,'Base de données'!A$4:A$990,0),12),"")</f>
        <v/>
      </c>
      <c r="D250" s="546"/>
      <c r="E250" s="546"/>
    </row>
    <row r="251" spans="1:5" x14ac:dyDescent="0.25">
      <c r="A251" s="546"/>
      <c r="B251" s="186" t="str">
        <f>IF(A251&lt;&gt;"",INDEX('Base de données'!A$4:L$990,MATCH(A251,'Base de données'!A$4:A$990,0),2),"")</f>
        <v/>
      </c>
      <c r="C251" s="186" t="str">
        <f>IF(A251&lt;&gt;"",INDEX('Base de données'!A$4:L$990,MATCH(A251,'Base de données'!A$4:A$990,0),12),"")</f>
        <v/>
      </c>
      <c r="D251" s="546"/>
      <c r="E251" s="546"/>
    </row>
    <row r="252" spans="1:5" x14ac:dyDescent="0.25">
      <c r="A252" s="546"/>
      <c r="B252" s="186" t="str">
        <f>IF(A252&lt;&gt;"",INDEX('Base de données'!A$4:L$990,MATCH(A252,'Base de données'!A$4:A$990,0),2),"")</f>
        <v/>
      </c>
      <c r="C252" s="186" t="str">
        <f>IF(A252&lt;&gt;"",INDEX('Base de données'!A$4:L$990,MATCH(A252,'Base de données'!A$4:A$990,0),12),"")</f>
        <v/>
      </c>
      <c r="D252" s="546"/>
      <c r="E252" s="546"/>
    </row>
    <row r="253" spans="1:5" x14ac:dyDescent="0.25">
      <c r="A253" s="546"/>
      <c r="B253" s="186" t="str">
        <f>IF(A253&lt;&gt;"",INDEX('Base de données'!A$4:L$990,MATCH(A253,'Base de données'!A$4:A$990,0),2),"")</f>
        <v/>
      </c>
      <c r="C253" s="186" t="str">
        <f>IF(A253&lt;&gt;"",INDEX('Base de données'!A$4:L$990,MATCH(A253,'Base de données'!A$4:A$990,0),12),"")</f>
        <v/>
      </c>
      <c r="D253" s="546"/>
      <c r="E253" s="546"/>
    </row>
    <row r="254" spans="1:5" x14ac:dyDescent="0.25">
      <c r="A254" s="546"/>
      <c r="B254" s="186" t="str">
        <f>IF(A254&lt;&gt;"",INDEX('Base de données'!A$4:L$990,MATCH(A254,'Base de données'!A$4:A$990,0),2),"")</f>
        <v/>
      </c>
      <c r="C254" s="186" t="str">
        <f>IF(A254&lt;&gt;"",INDEX('Base de données'!A$4:L$990,MATCH(A254,'Base de données'!A$4:A$990,0),12),"")</f>
        <v/>
      </c>
      <c r="D254" s="546"/>
      <c r="E254" s="546"/>
    </row>
    <row r="255" spans="1:5" x14ac:dyDescent="0.25">
      <c r="A255" s="546"/>
      <c r="B255" s="186" t="str">
        <f>IF(A255&lt;&gt;"",INDEX('Base de données'!A$4:L$990,MATCH(A255,'Base de données'!A$4:A$990,0),2),"")</f>
        <v/>
      </c>
      <c r="C255" s="186" t="str">
        <f>IF(A255&lt;&gt;"",INDEX('Base de données'!A$4:L$990,MATCH(A255,'Base de données'!A$4:A$990,0),12),"")</f>
        <v/>
      </c>
      <c r="D255" s="546"/>
      <c r="E255" s="546"/>
    </row>
    <row r="256" spans="1:5" x14ac:dyDescent="0.25">
      <c r="A256" s="546"/>
      <c r="B256" s="186" t="str">
        <f>IF(A256&lt;&gt;"",INDEX('Base de données'!A$4:L$990,MATCH(A256,'Base de données'!A$4:A$990,0),2),"")</f>
        <v/>
      </c>
      <c r="C256" s="186" t="str">
        <f>IF(A256&lt;&gt;"",INDEX('Base de données'!A$4:L$990,MATCH(A256,'Base de données'!A$4:A$990,0),12),"")</f>
        <v/>
      </c>
      <c r="D256" s="546"/>
      <c r="E256" s="546"/>
    </row>
    <row r="257" spans="1:5" x14ac:dyDescent="0.25">
      <c r="A257" s="546"/>
      <c r="B257" s="186" t="str">
        <f>IF(A257&lt;&gt;"",INDEX('Base de données'!A$4:L$990,MATCH(A257,'Base de données'!A$4:A$990,0),2),"")</f>
        <v/>
      </c>
      <c r="C257" s="186" t="str">
        <f>IF(A257&lt;&gt;"",INDEX('Base de données'!A$4:L$990,MATCH(A257,'Base de données'!A$4:A$990,0),12),"")</f>
        <v/>
      </c>
      <c r="D257" s="546"/>
      <c r="E257" s="546"/>
    </row>
    <row r="258" spans="1:5" x14ac:dyDescent="0.25">
      <c r="A258" s="546"/>
      <c r="B258" s="186" t="str">
        <f>IF(A258&lt;&gt;"",INDEX('Base de données'!A$4:L$990,MATCH(A258,'Base de données'!A$4:A$990,0),2),"")</f>
        <v/>
      </c>
      <c r="C258" s="186" t="str">
        <f>IF(A258&lt;&gt;"",INDEX('Base de données'!A$4:L$990,MATCH(A258,'Base de données'!A$4:A$990,0),12),"")</f>
        <v/>
      </c>
      <c r="D258" s="546"/>
      <c r="E258" s="546"/>
    </row>
    <row r="259" spans="1:5" x14ac:dyDescent="0.25">
      <c r="A259" s="546"/>
      <c r="B259" s="186" t="str">
        <f>IF(A259&lt;&gt;"",INDEX('Base de données'!A$4:L$990,MATCH(A259,'Base de données'!A$4:A$990,0),2),"")</f>
        <v/>
      </c>
      <c r="C259" s="186" t="str">
        <f>IF(A259&lt;&gt;"",INDEX('Base de données'!A$4:L$990,MATCH(A259,'Base de données'!A$4:A$990,0),12),"")</f>
        <v/>
      </c>
      <c r="D259" s="546"/>
      <c r="E259" s="546"/>
    </row>
    <row r="260" spans="1:5" x14ac:dyDescent="0.25">
      <c r="A260" s="546"/>
      <c r="B260" s="186" t="str">
        <f>IF(A260&lt;&gt;"",INDEX('Base de données'!A$4:L$990,MATCH(A260,'Base de données'!A$4:A$990,0),2),"")</f>
        <v/>
      </c>
      <c r="C260" s="186" t="str">
        <f>IF(A260&lt;&gt;"",INDEX('Base de données'!A$4:L$990,MATCH(A260,'Base de données'!A$4:A$990,0),12),"")</f>
        <v/>
      </c>
      <c r="D260" s="546"/>
      <c r="E260" s="546"/>
    </row>
    <row r="261" spans="1:5" x14ac:dyDescent="0.25">
      <c r="A261" s="546"/>
      <c r="B261" s="186" t="str">
        <f>IF(A261&lt;&gt;"",INDEX('Base de données'!A$4:L$990,MATCH(A261,'Base de données'!A$4:A$990,0),2),"")</f>
        <v/>
      </c>
      <c r="C261" s="186" t="str">
        <f>IF(A261&lt;&gt;"",INDEX('Base de données'!A$4:L$990,MATCH(A261,'Base de données'!A$4:A$990,0),12),"")</f>
        <v/>
      </c>
      <c r="D261" s="546"/>
      <c r="E261" s="546"/>
    </row>
    <row r="262" spans="1:5" x14ac:dyDescent="0.25">
      <c r="A262" s="546"/>
      <c r="B262" s="186" t="str">
        <f>IF(A262&lt;&gt;"",INDEX('Base de données'!A$4:L$990,MATCH(A262,'Base de données'!A$4:A$990,0),2),"")</f>
        <v/>
      </c>
      <c r="C262" s="186" t="str">
        <f>IF(A262&lt;&gt;"",INDEX('Base de données'!A$4:L$990,MATCH(A262,'Base de données'!A$4:A$990,0),12),"")</f>
        <v/>
      </c>
      <c r="D262" s="546"/>
      <c r="E262" s="546"/>
    </row>
    <row r="263" spans="1:5" x14ac:dyDescent="0.25">
      <c r="A263" s="546"/>
      <c r="B263" s="186" t="str">
        <f>IF(A263&lt;&gt;"",INDEX('Base de données'!A$4:L$990,MATCH(A263,'Base de données'!A$4:A$990,0),2),"")</f>
        <v/>
      </c>
      <c r="C263" s="186" t="str">
        <f>IF(A263&lt;&gt;"",INDEX('Base de données'!A$4:L$990,MATCH(A263,'Base de données'!A$4:A$990,0),12),"")</f>
        <v/>
      </c>
      <c r="D263" s="546"/>
      <c r="E263" s="546"/>
    </row>
    <row r="264" spans="1:5" x14ac:dyDescent="0.25">
      <c r="A264" s="546"/>
      <c r="B264" s="186" t="str">
        <f>IF(A264&lt;&gt;"",INDEX('Base de données'!A$4:L$990,MATCH(A264,'Base de données'!A$4:A$990,0),2),"")</f>
        <v/>
      </c>
      <c r="C264" s="186" t="str">
        <f>IF(A264&lt;&gt;"",INDEX('Base de données'!A$4:L$990,MATCH(A264,'Base de données'!A$4:A$990,0),12),"")</f>
        <v/>
      </c>
      <c r="D264" s="546"/>
      <c r="E264" s="546"/>
    </row>
    <row r="265" spans="1:5" x14ac:dyDescent="0.25">
      <c r="A265" s="546"/>
      <c r="B265" s="186" t="str">
        <f>IF(A265&lt;&gt;"",INDEX('Base de données'!A$4:L$990,MATCH(A265,'Base de données'!A$4:A$990,0),2),"")</f>
        <v/>
      </c>
      <c r="C265" s="186" t="str">
        <f>IF(A265&lt;&gt;"",INDEX('Base de données'!A$4:L$990,MATCH(A265,'Base de données'!A$4:A$990,0),12),"")</f>
        <v/>
      </c>
      <c r="D265" s="546"/>
      <c r="E265" s="546"/>
    </row>
    <row r="266" spans="1:5" x14ac:dyDescent="0.25">
      <c r="A266" s="546"/>
      <c r="B266" s="186" t="str">
        <f>IF(A266&lt;&gt;"",INDEX('Base de données'!A$4:L$990,MATCH(A266,'Base de données'!A$4:A$990,0),2),"")</f>
        <v/>
      </c>
      <c r="C266" s="186" t="str">
        <f>IF(A266&lt;&gt;"",INDEX('Base de données'!A$4:L$990,MATCH(A266,'Base de données'!A$4:A$990,0),12),"")</f>
        <v/>
      </c>
      <c r="D266" s="546"/>
      <c r="E266" s="546"/>
    </row>
    <row r="267" spans="1:5" x14ac:dyDescent="0.25">
      <c r="A267" s="546"/>
      <c r="B267" s="186" t="str">
        <f>IF(A267&lt;&gt;"",INDEX('Base de données'!A$4:L$990,MATCH(A267,'Base de données'!A$4:A$990,0),2),"")</f>
        <v/>
      </c>
      <c r="C267" s="186" t="str">
        <f>IF(A267&lt;&gt;"",INDEX('Base de données'!A$4:L$990,MATCH(A267,'Base de données'!A$4:A$990,0),12),"")</f>
        <v/>
      </c>
      <c r="D267" s="546"/>
      <c r="E267" s="546"/>
    </row>
    <row r="268" spans="1:5" x14ac:dyDescent="0.25">
      <c r="A268" s="546"/>
      <c r="B268" s="186" t="str">
        <f>IF(A268&lt;&gt;"",INDEX('Base de données'!A$4:L$990,MATCH(A268,'Base de données'!A$4:A$990,0),2),"")</f>
        <v/>
      </c>
      <c r="C268" s="186" t="str">
        <f>IF(A268&lt;&gt;"",INDEX('Base de données'!A$4:L$990,MATCH(A268,'Base de données'!A$4:A$990,0),12),"")</f>
        <v/>
      </c>
      <c r="D268" s="546"/>
      <c r="E268" s="546"/>
    </row>
    <row r="269" spans="1:5" x14ac:dyDescent="0.25">
      <c r="A269" s="546"/>
      <c r="B269" s="186" t="str">
        <f>IF(A269&lt;&gt;"",INDEX('Base de données'!A$4:L$990,MATCH(A269,'Base de données'!A$4:A$990,0),2),"")</f>
        <v/>
      </c>
      <c r="C269" s="186" t="str">
        <f>IF(A269&lt;&gt;"",INDEX('Base de données'!A$4:L$990,MATCH(A269,'Base de données'!A$4:A$990,0),12),"")</f>
        <v/>
      </c>
      <c r="D269" s="546"/>
      <c r="E269" s="546"/>
    </row>
    <row r="270" spans="1:5" x14ac:dyDescent="0.25">
      <c r="A270" s="546"/>
      <c r="B270" s="186" t="str">
        <f>IF(A270&lt;&gt;"",INDEX('Base de données'!A$4:L$990,MATCH(A270,'Base de données'!A$4:A$990,0),2),"")</f>
        <v/>
      </c>
      <c r="C270" s="186" t="str">
        <f>IF(A270&lt;&gt;"",INDEX('Base de données'!A$4:L$990,MATCH(A270,'Base de données'!A$4:A$990,0),12),"")</f>
        <v/>
      </c>
      <c r="D270" s="546"/>
      <c r="E270" s="546"/>
    </row>
    <row r="271" spans="1:5" x14ac:dyDescent="0.25">
      <c r="A271" s="546"/>
      <c r="B271" s="186" t="str">
        <f>IF(A271&lt;&gt;"",INDEX('Base de données'!A$4:L$990,MATCH(A271,'Base de données'!A$4:A$990,0),2),"")</f>
        <v/>
      </c>
      <c r="C271" s="186" t="str">
        <f>IF(A271&lt;&gt;"",INDEX('Base de données'!A$4:L$990,MATCH(A271,'Base de données'!A$4:A$990,0),12),"")</f>
        <v/>
      </c>
      <c r="D271" s="546"/>
      <c r="E271" s="546"/>
    </row>
    <row r="272" spans="1:5" x14ac:dyDescent="0.25">
      <c r="A272" s="546"/>
      <c r="B272" s="186" t="str">
        <f>IF(A272&lt;&gt;"",INDEX('Base de données'!A$4:L$990,MATCH(A272,'Base de données'!A$4:A$990,0),2),"")</f>
        <v/>
      </c>
      <c r="C272" s="186" t="str">
        <f>IF(A272&lt;&gt;"",INDEX('Base de données'!A$4:L$990,MATCH(A272,'Base de données'!A$4:A$990,0),12),"")</f>
        <v/>
      </c>
      <c r="D272" s="546"/>
      <c r="E272" s="546"/>
    </row>
    <row r="273" spans="1:5" x14ac:dyDescent="0.25">
      <c r="A273" s="546"/>
      <c r="B273" s="186" t="str">
        <f>IF(A273&lt;&gt;"",INDEX('Base de données'!A$4:L$990,MATCH(A273,'Base de données'!A$4:A$990,0),2),"")</f>
        <v/>
      </c>
      <c r="C273" s="186" t="str">
        <f>IF(A273&lt;&gt;"",INDEX('Base de données'!A$4:L$990,MATCH(A273,'Base de données'!A$4:A$990,0),12),"")</f>
        <v/>
      </c>
      <c r="D273" s="546"/>
      <c r="E273" s="546"/>
    </row>
    <row r="274" spans="1:5" x14ac:dyDescent="0.25">
      <c r="A274" s="546"/>
      <c r="B274" s="186" t="str">
        <f>IF(A274&lt;&gt;"",INDEX('Base de données'!A$4:L$990,MATCH(A274,'Base de données'!A$4:A$990,0),2),"")</f>
        <v/>
      </c>
      <c r="C274" s="186" t="str">
        <f>IF(A274&lt;&gt;"",INDEX('Base de données'!A$4:L$990,MATCH(A274,'Base de données'!A$4:A$990,0),12),"")</f>
        <v/>
      </c>
      <c r="D274" s="546"/>
      <c r="E274" s="546"/>
    </row>
    <row r="275" spans="1:5" x14ac:dyDescent="0.25">
      <c r="A275" s="546"/>
      <c r="B275" s="186" t="str">
        <f>IF(A275&lt;&gt;"",INDEX('Base de données'!A$4:L$990,MATCH(A275,'Base de données'!A$4:A$990,0),2),"")</f>
        <v/>
      </c>
      <c r="C275" s="186" t="str">
        <f>IF(A275&lt;&gt;"",INDEX('Base de données'!A$4:L$990,MATCH(A275,'Base de données'!A$4:A$990,0),12),"")</f>
        <v/>
      </c>
      <c r="D275" s="546"/>
      <c r="E275" s="546"/>
    </row>
    <row r="276" spans="1:5" x14ac:dyDescent="0.25">
      <c r="A276" s="546"/>
      <c r="B276" s="186" t="str">
        <f>IF(A276&lt;&gt;"",INDEX('Base de données'!A$4:L$990,MATCH(A276,'Base de données'!A$4:A$990,0),2),"")</f>
        <v/>
      </c>
      <c r="C276" s="186" t="str">
        <f>IF(A276&lt;&gt;"",INDEX('Base de données'!A$4:L$990,MATCH(A276,'Base de données'!A$4:A$990,0),12),"")</f>
        <v/>
      </c>
      <c r="D276" s="546"/>
      <c r="E276" s="546"/>
    </row>
    <row r="277" spans="1:5" x14ac:dyDescent="0.25">
      <c r="A277" s="546"/>
      <c r="B277" s="186" t="str">
        <f>IF(A277&lt;&gt;"",INDEX('Base de données'!A$4:L$990,MATCH(A277,'Base de données'!A$4:A$990,0),2),"")</f>
        <v/>
      </c>
      <c r="C277" s="186" t="str">
        <f>IF(A277&lt;&gt;"",INDEX('Base de données'!A$4:L$990,MATCH(A277,'Base de données'!A$4:A$990,0),12),"")</f>
        <v/>
      </c>
      <c r="D277" s="546"/>
      <c r="E277" s="546"/>
    </row>
    <row r="278" spans="1:5" x14ac:dyDescent="0.25">
      <c r="A278" s="546"/>
      <c r="B278" s="186" t="str">
        <f>IF(A278&lt;&gt;"",INDEX('Base de données'!A$4:L$990,MATCH(A278,'Base de données'!A$4:A$990,0),2),"")</f>
        <v/>
      </c>
      <c r="C278" s="186" t="str">
        <f>IF(A278&lt;&gt;"",INDEX('Base de données'!A$4:L$990,MATCH(A278,'Base de données'!A$4:A$990,0),12),"")</f>
        <v/>
      </c>
      <c r="D278" s="546"/>
      <c r="E278" s="546"/>
    </row>
    <row r="279" spans="1:5" x14ac:dyDescent="0.25">
      <c r="A279" s="546"/>
      <c r="B279" s="186" t="str">
        <f>IF(A279&lt;&gt;"",INDEX('Base de données'!A$4:L$990,MATCH(A279,'Base de données'!A$4:A$990,0),2),"")</f>
        <v/>
      </c>
      <c r="C279" s="186" t="str">
        <f>IF(A279&lt;&gt;"",INDEX('Base de données'!A$4:L$990,MATCH(A279,'Base de données'!A$4:A$990,0),12),"")</f>
        <v/>
      </c>
      <c r="D279" s="546"/>
      <c r="E279" s="546"/>
    </row>
    <row r="280" spans="1:5" x14ac:dyDescent="0.25">
      <c r="A280" s="546"/>
      <c r="B280" s="186" t="str">
        <f>IF(A280&lt;&gt;"",INDEX('Base de données'!A$4:L$990,MATCH(A280,'Base de données'!A$4:A$990,0),2),"")</f>
        <v/>
      </c>
      <c r="C280" s="186" t="str">
        <f>IF(A280&lt;&gt;"",INDEX('Base de données'!A$4:L$990,MATCH(A280,'Base de données'!A$4:A$990,0),12),"")</f>
        <v/>
      </c>
      <c r="D280" s="546"/>
      <c r="E280" s="546"/>
    </row>
    <row r="281" spans="1:5" x14ac:dyDescent="0.25">
      <c r="A281" s="546"/>
      <c r="B281" s="186" t="str">
        <f>IF(A281&lt;&gt;"",INDEX('Base de données'!A$4:L$990,MATCH(A281,'Base de données'!A$4:A$990,0),2),"")</f>
        <v/>
      </c>
      <c r="C281" s="186" t="str">
        <f>IF(A281&lt;&gt;"",INDEX('Base de données'!A$4:L$990,MATCH(A281,'Base de données'!A$4:A$990,0),12),"")</f>
        <v/>
      </c>
      <c r="D281" s="546"/>
      <c r="E281" s="546"/>
    </row>
    <row r="282" spans="1:5" x14ac:dyDescent="0.25">
      <c r="A282" s="546"/>
      <c r="B282" s="186" t="str">
        <f>IF(A282&lt;&gt;"",INDEX('Base de données'!A$4:L$990,MATCH(A282,'Base de données'!A$4:A$990,0),2),"")</f>
        <v/>
      </c>
      <c r="C282" s="186" t="str">
        <f>IF(A282&lt;&gt;"",INDEX('Base de données'!A$4:L$990,MATCH(A282,'Base de données'!A$4:A$990,0),12),"")</f>
        <v/>
      </c>
      <c r="D282" s="546"/>
      <c r="E282" s="546"/>
    </row>
    <row r="283" spans="1:5" x14ac:dyDescent="0.25">
      <c r="A283" s="546"/>
      <c r="B283" s="186" t="str">
        <f>IF(A283&lt;&gt;"",INDEX('Base de données'!A$4:L$990,MATCH(A283,'Base de données'!A$4:A$990,0),2),"")</f>
        <v/>
      </c>
      <c r="C283" s="186" t="str">
        <f>IF(A283&lt;&gt;"",INDEX('Base de données'!A$4:L$990,MATCH(A283,'Base de données'!A$4:A$990,0),12),"")</f>
        <v/>
      </c>
      <c r="D283" s="546"/>
      <c r="E283" s="546"/>
    </row>
    <row r="284" spans="1:5" x14ac:dyDescent="0.25">
      <c r="A284" s="546"/>
      <c r="B284" s="186" t="str">
        <f>IF(A284&lt;&gt;"",INDEX('Base de données'!A$4:L$990,MATCH(A284,'Base de données'!A$4:A$990,0),2),"")</f>
        <v/>
      </c>
      <c r="C284" s="186" t="str">
        <f>IF(A284&lt;&gt;"",INDEX('Base de données'!A$4:L$990,MATCH(A284,'Base de données'!A$4:A$990,0),12),"")</f>
        <v/>
      </c>
      <c r="D284" s="546"/>
      <c r="E284" s="546"/>
    </row>
    <row r="285" spans="1:5" x14ac:dyDescent="0.25">
      <c r="A285" s="546"/>
      <c r="B285" s="186" t="str">
        <f>IF(A285&lt;&gt;"",INDEX('Base de données'!A$4:L$990,MATCH(A285,'Base de données'!A$4:A$990,0),2),"")</f>
        <v/>
      </c>
      <c r="C285" s="186" t="str">
        <f>IF(A285&lt;&gt;"",INDEX('Base de données'!A$4:L$990,MATCH(A285,'Base de données'!A$4:A$990,0),12),"")</f>
        <v/>
      </c>
      <c r="D285" s="546"/>
      <c r="E285" s="546"/>
    </row>
    <row r="286" spans="1:5" x14ac:dyDescent="0.25">
      <c r="A286" s="546"/>
      <c r="B286" s="186" t="str">
        <f>IF(A286&lt;&gt;"",INDEX('Base de données'!A$4:L$990,MATCH(A286,'Base de données'!A$4:A$990,0),2),"")</f>
        <v/>
      </c>
      <c r="C286" s="186" t="str">
        <f>IF(A286&lt;&gt;"",INDEX('Base de données'!A$4:L$990,MATCH(A286,'Base de données'!A$4:A$990,0),12),"")</f>
        <v/>
      </c>
      <c r="D286" s="546"/>
      <c r="E286" s="546"/>
    </row>
    <row r="287" spans="1:5" x14ac:dyDescent="0.25">
      <c r="A287" s="546"/>
      <c r="B287" s="186" t="str">
        <f>IF(A287&lt;&gt;"",INDEX('Base de données'!A$4:L$990,MATCH(A287,'Base de données'!A$4:A$990,0),2),"")</f>
        <v/>
      </c>
      <c r="C287" s="186" t="str">
        <f>IF(A287&lt;&gt;"",INDEX('Base de données'!A$4:L$990,MATCH(A287,'Base de données'!A$4:A$990,0),12),"")</f>
        <v/>
      </c>
      <c r="D287" s="546"/>
      <c r="E287" s="546"/>
    </row>
    <row r="288" spans="1:5" x14ac:dyDescent="0.25">
      <c r="A288" s="546"/>
      <c r="B288" s="186" t="str">
        <f>IF(A288&lt;&gt;"",INDEX('Base de données'!A$4:L$990,MATCH(A288,'Base de données'!A$4:A$990,0),2),"")</f>
        <v/>
      </c>
      <c r="C288" s="186" t="str">
        <f>IF(A288&lt;&gt;"",INDEX('Base de données'!A$4:L$990,MATCH(A288,'Base de données'!A$4:A$990,0),12),"")</f>
        <v/>
      </c>
      <c r="D288" s="546"/>
      <c r="E288" s="546"/>
    </row>
    <row r="289" spans="1:5" x14ac:dyDescent="0.25">
      <c r="A289" s="546"/>
      <c r="B289" s="186" t="str">
        <f>IF(A289&lt;&gt;"",INDEX('Base de données'!A$4:L$990,MATCH(A289,'Base de données'!A$4:A$990,0),2),"")</f>
        <v/>
      </c>
      <c r="C289" s="186" t="str">
        <f>IF(A289&lt;&gt;"",INDEX('Base de données'!A$4:L$990,MATCH(A289,'Base de données'!A$4:A$990,0),12),"")</f>
        <v/>
      </c>
      <c r="D289" s="546"/>
      <c r="E289" s="546"/>
    </row>
    <row r="290" spans="1:5" x14ac:dyDescent="0.25">
      <c r="A290" s="546"/>
      <c r="B290" s="186" t="str">
        <f>IF(A290&lt;&gt;"",INDEX('Base de données'!A$4:L$990,MATCH(A290,'Base de données'!A$4:A$990,0),2),"")</f>
        <v/>
      </c>
      <c r="C290" s="186" t="str">
        <f>IF(A290&lt;&gt;"",INDEX('Base de données'!A$4:L$990,MATCH(A290,'Base de données'!A$4:A$990,0),12),"")</f>
        <v/>
      </c>
      <c r="D290" s="546"/>
      <c r="E290" s="546"/>
    </row>
    <row r="291" spans="1:5" x14ac:dyDescent="0.25">
      <c r="A291" s="546"/>
      <c r="B291" s="186" t="str">
        <f>IF(A291&lt;&gt;"",INDEX('Base de données'!A$4:L$990,MATCH(A291,'Base de données'!A$4:A$990,0),2),"")</f>
        <v/>
      </c>
      <c r="C291" s="186" t="str">
        <f>IF(A291&lt;&gt;"",INDEX('Base de données'!A$4:L$990,MATCH(A291,'Base de données'!A$4:A$990,0),12),"")</f>
        <v/>
      </c>
      <c r="D291" s="546"/>
      <c r="E291" s="546"/>
    </row>
    <row r="292" spans="1:5" x14ac:dyDescent="0.25">
      <c r="A292" s="546"/>
      <c r="B292" s="186" t="str">
        <f>IF(A292&lt;&gt;"",INDEX('Base de données'!A$4:L$990,MATCH(A292,'Base de données'!A$4:A$990,0),2),"")</f>
        <v/>
      </c>
      <c r="C292" s="186" t="str">
        <f>IF(A292&lt;&gt;"",INDEX('Base de données'!A$4:L$990,MATCH(A292,'Base de données'!A$4:A$990,0),12),"")</f>
        <v/>
      </c>
      <c r="D292" s="546"/>
      <c r="E292" s="546"/>
    </row>
    <row r="293" spans="1:5" x14ac:dyDescent="0.25">
      <c r="A293" s="546"/>
      <c r="B293" s="186" t="str">
        <f>IF(A293&lt;&gt;"",INDEX('Base de données'!A$4:L$990,MATCH(A293,'Base de données'!A$4:A$990,0),2),"")</f>
        <v/>
      </c>
      <c r="C293" s="186" t="str">
        <f>IF(A293&lt;&gt;"",INDEX('Base de données'!A$4:L$990,MATCH(A293,'Base de données'!A$4:A$990,0),12),"")</f>
        <v/>
      </c>
      <c r="D293" s="546"/>
      <c r="E293" s="546"/>
    </row>
    <row r="294" spans="1:5" x14ac:dyDescent="0.25">
      <c r="A294" s="546"/>
      <c r="B294" s="186" t="str">
        <f>IF(A294&lt;&gt;"",INDEX('Base de données'!A$4:L$990,MATCH(A294,'Base de données'!A$4:A$990,0),2),"")</f>
        <v/>
      </c>
      <c r="C294" s="186" t="str">
        <f>IF(A294&lt;&gt;"",INDEX('Base de données'!A$4:L$990,MATCH(A294,'Base de données'!A$4:A$990,0),12),"")</f>
        <v/>
      </c>
      <c r="D294" s="546"/>
      <c r="E294" s="546"/>
    </row>
    <row r="295" spans="1:5" x14ac:dyDescent="0.25">
      <c r="A295" s="546"/>
      <c r="B295" s="186" t="str">
        <f>IF(A295&lt;&gt;"",INDEX('Base de données'!A$4:L$990,MATCH(A295,'Base de données'!A$4:A$990,0),2),"")</f>
        <v/>
      </c>
      <c r="C295" s="186" t="str">
        <f>IF(A295&lt;&gt;"",INDEX('Base de données'!A$4:L$990,MATCH(A295,'Base de données'!A$4:A$990,0),12),"")</f>
        <v/>
      </c>
      <c r="D295" s="546"/>
      <c r="E295" s="546"/>
    </row>
    <row r="296" spans="1:5" x14ac:dyDescent="0.25">
      <c r="A296" s="546"/>
      <c r="B296" s="186" t="str">
        <f>IF(A296&lt;&gt;"",INDEX('Base de données'!A$4:L$990,MATCH(A296,'Base de données'!A$4:A$990,0),2),"")</f>
        <v/>
      </c>
      <c r="C296" s="186" t="str">
        <f>IF(A296&lt;&gt;"",INDEX('Base de données'!A$4:L$990,MATCH(A296,'Base de données'!A$4:A$990,0),12),"")</f>
        <v/>
      </c>
      <c r="D296" s="546"/>
      <c r="E296" s="546"/>
    </row>
    <row r="297" spans="1:5" x14ac:dyDescent="0.25">
      <c r="A297" s="546"/>
      <c r="B297" s="186" t="str">
        <f>IF(A297&lt;&gt;"",INDEX('Base de données'!A$4:L$990,MATCH(A297,'Base de données'!A$4:A$990,0),2),"")</f>
        <v/>
      </c>
      <c r="C297" s="186" t="str">
        <f>IF(A297&lt;&gt;"",INDEX('Base de données'!A$4:L$990,MATCH(A297,'Base de données'!A$4:A$990,0),12),"")</f>
        <v/>
      </c>
      <c r="D297" s="546"/>
      <c r="E297" s="546"/>
    </row>
    <row r="298" spans="1:5" x14ac:dyDescent="0.25">
      <c r="A298" s="546"/>
      <c r="B298" s="186" t="str">
        <f>IF(A298&lt;&gt;"",INDEX('Base de données'!A$4:L$990,MATCH(A298,'Base de données'!A$4:A$990,0),2),"")</f>
        <v/>
      </c>
      <c r="C298" s="186" t="str">
        <f>IF(A298&lt;&gt;"",INDEX('Base de données'!A$4:L$990,MATCH(A298,'Base de données'!A$4:A$990,0),12),"")</f>
        <v/>
      </c>
      <c r="D298" s="546"/>
      <c r="E298" s="546"/>
    </row>
    <row r="299" spans="1:5" x14ac:dyDescent="0.25">
      <c r="A299" s="546"/>
      <c r="B299" s="186" t="str">
        <f>IF(A299&lt;&gt;"",INDEX('Base de données'!A$4:L$990,MATCH(A299,'Base de données'!A$4:A$990,0),2),"")</f>
        <v/>
      </c>
      <c r="C299" s="186" t="str">
        <f>IF(A299&lt;&gt;"",INDEX('Base de données'!A$4:L$990,MATCH(A299,'Base de données'!A$4:A$990,0),12),"")</f>
        <v/>
      </c>
      <c r="D299" s="546"/>
      <c r="E299" s="546"/>
    </row>
    <row r="300" spans="1:5" x14ac:dyDescent="0.25">
      <c r="A300" s="546"/>
      <c r="B300" s="186" t="str">
        <f>IF(A300&lt;&gt;"",INDEX('Base de données'!A$4:L$990,MATCH(A300,'Base de données'!A$4:A$990,0),2),"")</f>
        <v/>
      </c>
      <c r="C300" s="186" t="str">
        <f>IF(A300&lt;&gt;"",INDEX('Base de données'!A$4:L$990,MATCH(A300,'Base de données'!A$4:A$990,0),12),"")</f>
        <v/>
      </c>
      <c r="D300" s="546"/>
      <c r="E300" s="546"/>
    </row>
    <row r="301" spans="1:5" x14ac:dyDescent="0.25">
      <c r="A301" s="546"/>
      <c r="B301" s="186" t="str">
        <f>IF(A301&lt;&gt;"",INDEX('Base de données'!A$4:L$990,MATCH(A301,'Base de données'!A$4:A$990,0),2),"")</f>
        <v/>
      </c>
      <c r="C301" s="186" t="str">
        <f>IF(A301&lt;&gt;"",INDEX('Base de données'!A$4:L$990,MATCH(A301,'Base de données'!A$4:A$990,0),12),"")</f>
        <v/>
      </c>
      <c r="D301" s="546"/>
      <c r="E301" s="546"/>
    </row>
    <row r="302" spans="1:5" x14ac:dyDescent="0.25">
      <c r="A302" s="546"/>
      <c r="B302" s="186" t="str">
        <f>IF(A302&lt;&gt;"",INDEX('Base de données'!A$4:L$990,MATCH(A302,'Base de données'!A$4:A$990,0),2),"")</f>
        <v/>
      </c>
      <c r="C302" s="186" t="str">
        <f>IF(A302&lt;&gt;"",INDEX('Base de données'!A$4:L$990,MATCH(A302,'Base de données'!A$4:A$990,0),12),"")</f>
        <v/>
      </c>
      <c r="D302" s="546"/>
      <c r="E302" s="546"/>
    </row>
    <row r="303" spans="1:5" x14ac:dyDescent="0.25">
      <c r="A303" s="546"/>
      <c r="B303" s="186" t="str">
        <f>IF(A303&lt;&gt;"",INDEX('Base de données'!A$4:L$990,MATCH(A303,'Base de données'!A$4:A$990,0),2),"")</f>
        <v/>
      </c>
      <c r="C303" s="186" t="str">
        <f>IF(A303&lt;&gt;"",INDEX('Base de données'!A$4:L$990,MATCH(A303,'Base de données'!A$4:A$990,0),12),"")</f>
        <v/>
      </c>
      <c r="D303" s="546"/>
      <c r="E303" s="546"/>
    </row>
    <row r="304" spans="1:5" x14ac:dyDescent="0.25">
      <c r="A304" s="546"/>
      <c r="B304" s="186" t="str">
        <f>IF(A304&lt;&gt;"",INDEX('Base de données'!A$4:L$990,MATCH(A304,'Base de données'!A$4:A$990,0),2),"")</f>
        <v/>
      </c>
      <c r="C304" s="186" t="str">
        <f>IF(A304&lt;&gt;"",INDEX('Base de données'!A$4:L$990,MATCH(A304,'Base de données'!A$4:A$990,0),12),"")</f>
        <v/>
      </c>
      <c r="D304" s="546"/>
      <c r="E304" s="546"/>
    </row>
    <row r="305" spans="1:5" x14ac:dyDescent="0.25">
      <c r="A305" s="546"/>
      <c r="B305" s="186" t="str">
        <f>IF(A305&lt;&gt;"",INDEX('Base de données'!A$4:L$990,MATCH(A305,'Base de données'!A$4:A$990,0),2),"")</f>
        <v/>
      </c>
      <c r="C305" s="186" t="str">
        <f>IF(A305&lt;&gt;"",INDEX('Base de données'!A$4:L$990,MATCH(A305,'Base de données'!A$4:A$990,0),12),"")</f>
        <v/>
      </c>
      <c r="D305" s="546"/>
      <c r="E305" s="546"/>
    </row>
    <row r="306" spans="1:5" x14ac:dyDescent="0.25">
      <c r="A306" s="546"/>
      <c r="B306" s="186" t="str">
        <f>IF(A306&lt;&gt;"",INDEX('Base de données'!A$4:L$990,MATCH(A306,'Base de données'!A$4:A$990,0),2),"")</f>
        <v/>
      </c>
      <c r="C306" s="186" t="str">
        <f>IF(A306&lt;&gt;"",INDEX('Base de données'!A$4:L$990,MATCH(A306,'Base de données'!A$4:A$990,0),12),"")</f>
        <v/>
      </c>
      <c r="D306" s="546"/>
      <c r="E306" s="546"/>
    </row>
    <row r="307" spans="1:5" x14ac:dyDescent="0.25">
      <c r="A307" s="546"/>
      <c r="B307" s="186" t="str">
        <f>IF(A307&lt;&gt;"",INDEX('Base de données'!A$4:L$990,MATCH(A307,'Base de données'!A$4:A$990,0),2),"")</f>
        <v/>
      </c>
      <c r="C307" s="186" t="str">
        <f>IF(A307&lt;&gt;"",INDEX('Base de données'!A$4:L$990,MATCH(A307,'Base de données'!A$4:A$990,0),12),"")</f>
        <v/>
      </c>
      <c r="D307" s="546"/>
      <c r="E307" s="546"/>
    </row>
    <row r="308" spans="1:5" x14ac:dyDescent="0.25">
      <c r="A308" s="546"/>
      <c r="B308" s="186" t="str">
        <f>IF(A308&lt;&gt;"",INDEX('Base de données'!A$4:L$990,MATCH(A308,'Base de données'!A$4:A$990,0),2),"")</f>
        <v/>
      </c>
      <c r="C308" s="186" t="str">
        <f>IF(A308&lt;&gt;"",INDEX('Base de données'!A$4:L$990,MATCH(A308,'Base de données'!A$4:A$990,0),12),"")</f>
        <v/>
      </c>
      <c r="D308" s="546"/>
      <c r="E308" s="546"/>
    </row>
    <row r="309" spans="1:5" x14ac:dyDescent="0.25">
      <c r="A309" s="546"/>
      <c r="B309" s="186" t="str">
        <f>IF(A309&lt;&gt;"",INDEX('Base de données'!A$4:L$990,MATCH(A309,'Base de données'!A$4:A$990,0),2),"")</f>
        <v/>
      </c>
      <c r="C309" s="186" t="str">
        <f>IF(A309&lt;&gt;"",INDEX('Base de données'!A$4:L$990,MATCH(A309,'Base de données'!A$4:A$990,0),12),"")</f>
        <v/>
      </c>
      <c r="D309" s="546"/>
      <c r="E309" s="546"/>
    </row>
    <row r="310" spans="1:5" x14ac:dyDescent="0.25">
      <c r="A310" s="546"/>
      <c r="B310" s="186" t="str">
        <f>IF(A310&lt;&gt;"",INDEX('Base de données'!A$4:L$990,MATCH(A310,'Base de données'!A$4:A$990,0),2),"")</f>
        <v/>
      </c>
      <c r="C310" s="186" t="str">
        <f>IF(A310&lt;&gt;"",INDEX('Base de données'!A$4:L$990,MATCH(A310,'Base de données'!A$4:A$990,0),12),"")</f>
        <v/>
      </c>
      <c r="D310" s="546"/>
      <c r="E310" s="546"/>
    </row>
    <row r="311" spans="1:5" x14ac:dyDescent="0.25">
      <c r="A311" s="546"/>
      <c r="B311" s="186" t="str">
        <f>IF(A311&lt;&gt;"",INDEX('Base de données'!A$4:L$990,MATCH(A311,'Base de données'!A$4:A$990,0),2),"")</f>
        <v/>
      </c>
      <c r="C311" s="186" t="str">
        <f>IF(A311&lt;&gt;"",INDEX('Base de données'!A$4:L$990,MATCH(A311,'Base de données'!A$4:A$990,0),12),"")</f>
        <v/>
      </c>
      <c r="D311" s="546"/>
      <c r="E311" s="546"/>
    </row>
    <row r="312" spans="1:5" x14ac:dyDescent="0.25">
      <c r="A312" s="546"/>
      <c r="B312" s="186" t="str">
        <f>IF(A312&lt;&gt;"",INDEX('Base de données'!A$4:L$990,MATCH(A312,'Base de données'!A$4:A$990,0),2),"")</f>
        <v/>
      </c>
      <c r="C312" s="186" t="str">
        <f>IF(A312&lt;&gt;"",INDEX('Base de données'!A$4:L$990,MATCH(A312,'Base de données'!A$4:A$990,0),12),"")</f>
        <v/>
      </c>
      <c r="D312" s="546"/>
      <c r="E312" s="546"/>
    </row>
    <row r="313" spans="1:5" x14ac:dyDescent="0.25">
      <c r="A313" s="546"/>
      <c r="B313" s="186" t="str">
        <f>IF(A313&lt;&gt;"",INDEX('Base de données'!A$4:L$990,MATCH(A313,'Base de données'!A$4:A$990,0),2),"")</f>
        <v/>
      </c>
      <c r="C313" s="186" t="str">
        <f>IF(A313&lt;&gt;"",INDEX('Base de données'!A$4:L$990,MATCH(A313,'Base de données'!A$4:A$990,0),12),"")</f>
        <v/>
      </c>
      <c r="D313" s="546"/>
      <c r="E313" s="546"/>
    </row>
    <row r="314" spans="1:5" x14ac:dyDescent="0.25">
      <c r="A314" s="546"/>
      <c r="B314" s="186" t="str">
        <f>IF(A314&lt;&gt;"",INDEX('Base de données'!A$4:L$990,MATCH(A314,'Base de données'!A$4:A$990,0),2),"")</f>
        <v/>
      </c>
      <c r="C314" s="186" t="str">
        <f>IF(A314&lt;&gt;"",INDEX('Base de données'!A$4:L$990,MATCH(A314,'Base de données'!A$4:A$990,0),12),"")</f>
        <v/>
      </c>
      <c r="D314" s="546"/>
      <c r="E314" s="546"/>
    </row>
    <row r="315" spans="1:5" x14ac:dyDescent="0.25">
      <c r="A315" s="546"/>
      <c r="B315" s="186" t="str">
        <f>IF(A315&lt;&gt;"",INDEX('Base de données'!A$4:L$990,MATCH(A315,'Base de données'!A$4:A$990,0),2),"")</f>
        <v/>
      </c>
      <c r="C315" s="186" t="str">
        <f>IF(A315&lt;&gt;"",INDEX('Base de données'!A$4:L$990,MATCH(A315,'Base de données'!A$4:A$990,0),12),"")</f>
        <v/>
      </c>
      <c r="D315" s="546"/>
      <c r="E315" s="546"/>
    </row>
    <row r="316" spans="1:5" x14ac:dyDescent="0.25">
      <c r="A316" s="546"/>
      <c r="B316" s="186" t="str">
        <f>IF(A316&lt;&gt;"",INDEX('Base de données'!A$4:L$990,MATCH(A316,'Base de données'!A$4:A$990,0),2),"")</f>
        <v/>
      </c>
      <c r="C316" s="186" t="str">
        <f>IF(A316&lt;&gt;"",INDEX('Base de données'!A$4:L$990,MATCH(A316,'Base de données'!A$4:A$990,0),12),"")</f>
        <v/>
      </c>
      <c r="D316" s="546"/>
      <c r="E316" s="546"/>
    </row>
    <row r="317" spans="1:5" x14ac:dyDescent="0.25">
      <c r="A317" s="546"/>
      <c r="B317" s="186" t="str">
        <f>IF(A317&lt;&gt;"",INDEX('Base de données'!A$4:L$990,MATCH(A317,'Base de données'!A$4:A$990,0),2),"")</f>
        <v/>
      </c>
      <c r="C317" s="186" t="str">
        <f>IF(A317&lt;&gt;"",INDEX('Base de données'!A$4:L$990,MATCH(A317,'Base de données'!A$4:A$990,0),12),"")</f>
        <v/>
      </c>
      <c r="D317" s="546"/>
      <c r="E317" s="546"/>
    </row>
    <row r="318" spans="1:5" x14ac:dyDescent="0.25">
      <c r="A318" s="546"/>
      <c r="B318" s="186" t="str">
        <f>IF(A318&lt;&gt;"",INDEX('Base de données'!A$4:L$990,MATCH(A318,'Base de données'!A$4:A$990,0),2),"")</f>
        <v/>
      </c>
      <c r="C318" s="186" t="str">
        <f>IF(A318&lt;&gt;"",INDEX('Base de données'!A$4:L$990,MATCH(A318,'Base de données'!A$4:A$990,0),12),"")</f>
        <v/>
      </c>
      <c r="D318" s="546"/>
      <c r="E318" s="546"/>
    </row>
    <row r="319" spans="1:5" x14ac:dyDescent="0.25">
      <c r="A319" s="412"/>
    </row>
  </sheetData>
  <sheetProtection sheet="1" objects="1" scenarios="1" deleteColumns="0" deleteRows="0" selectLockedCells="1" autoFilter="0"/>
  <autoFilter ref="A5:E5"/>
  <conditionalFormatting sqref="A6:A318">
    <cfRule type="duplicateValues" dxfId="11" priority="3"/>
  </conditionalFormatting>
  <dataValidations count="1">
    <dataValidation type="list" allowBlank="1" showInputMessage="1" sqref="J5">
      <formula1>"KHAMISSA HDIMANE,DAOUD ISSKELA,RACHID NAAIMI ,FATIMA EZZAHRA JAIZI,NAJAT SAOUD,MOHAMED ESSAID,Med EGHIZ,HALIMA OUIJANE,FATIMA EZZAHRA AIT AHMED,ZINEB ELKHOUDARI,"</formula1>
    </dataValidation>
  </dataValidation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" operator="greaterThan" id="{0D1CAF1F-9E6A-42D8-AF4B-82CF15E7D482}">
            <xm:f>'Calendrier fiscal'!$E$35</xm:f>
            <x14:dxf>
              <fill>
                <patternFill>
                  <bgColor rgb="FFFF0000"/>
                </patternFill>
              </fill>
            </x14:dxf>
          </x14:cfRule>
          <xm:sqref>D6:D318</xm:sqref>
        </x14:conditionalFormatting>
        <x14:conditionalFormatting xmlns:xm="http://schemas.microsoft.com/office/excel/2006/main">
          <x14:cfRule type="expression" priority="2" id="{CFD53C07-B8C8-43B5-94B8-FD4D9846809B}">
            <xm:f>AND(#REF!="P. Physique",D7&gt;'Calendrier fiscal'!$D$35)</xm:f>
            <x14:dxf>
              <fill>
                <patternFill>
                  <bgColor theme="9"/>
                </patternFill>
              </fill>
            </x14:dxf>
          </x14:cfRule>
          <xm:sqref>D14</xm:sqref>
        </x14:conditionalFormatting>
        <x14:conditionalFormatting xmlns:xm="http://schemas.microsoft.com/office/excel/2006/main">
          <x14:cfRule type="expression" priority="1" id="{A5644304-B019-45F0-A71C-9EA42A8E571D}">
            <xm:f>AND(#REF!="P. Physique",D12&gt;'Calendrier fiscal'!$D$35)</xm:f>
            <x14:dxf>
              <fill>
                <patternFill>
                  <bgColor theme="9"/>
                </patternFill>
              </fill>
            </x14:dxf>
          </x14:cfRule>
          <xm:sqref>D19:D24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">
    <tabColor theme="9" tint="0.39997558519241921"/>
  </sheetPr>
  <dimension ref="A1:M318"/>
  <sheetViews>
    <sheetView showGridLines="0" showRowColHeaders="0" zoomScale="90" zoomScaleNormal="90" workbookViewId="0">
      <pane xSplit="3" ySplit="5" topLeftCell="D6" activePane="bottomRight" state="frozen"/>
      <selection pane="topRight" activeCell="D1" sqref="D1"/>
      <selection pane="bottomLeft" activeCell="A6" sqref="A6"/>
      <selection pane="bottomRight" activeCell="E18" sqref="E18"/>
    </sheetView>
  </sheetViews>
  <sheetFormatPr baseColWidth="10" defaultColWidth="11.42578125" defaultRowHeight="15" x14ac:dyDescent="0.25"/>
  <cols>
    <col min="1" max="1" width="11.42578125" style="55"/>
    <col min="2" max="2" width="24.140625" style="55" bestFit="1" customWidth="1"/>
    <col min="3" max="3" width="26.28515625" style="55" customWidth="1"/>
    <col min="4" max="5" width="19.28515625" style="55" customWidth="1"/>
    <col min="6" max="7" width="7" style="55" customWidth="1"/>
    <col min="8" max="8" width="14.5703125" style="55" customWidth="1"/>
    <col min="9" max="9" width="15.140625" style="55" customWidth="1"/>
    <col min="10" max="10" width="13.85546875" style="55" customWidth="1"/>
    <col min="11" max="16384" width="11.42578125" style="55"/>
  </cols>
  <sheetData>
    <row r="1" spans="1:13" s="147" customFormat="1" ht="21" customHeight="1" x14ac:dyDescent="0.25">
      <c r="E1" s="54">
        <v>70</v>
      </c>
      <c r="F1" s="54">
        <f>COUNTA(D6:D318)</f>
        <v>0</v>
      </c>
      <c r="G1" s="54"/>
    </row>
    <row r="2" spans="1:13" s="147" customFormat="1" ht="20.25" customHeight="1" x14ac:dyDescent="0.25">
      <c r="E2" s="54">
        <v>20</v>
      </c>
      <c r="F2" s="54">
        <f>COUNTIF(D6:D318,"&lt;"&amp;'Calendrier fiscal'!G36)</f>
        <v>0</v>
      </c>
      <c r="G2" s="54">
        <f>COUNTIF(D6:D318,"&lt;"&amp;'Calendrier fiscal'!G35)</f>
        <v>0</v>
      </c>
    </row>
    <row r="3" spans="1:13" s="147" customFormat="1" ht="21.75" customHeight="1" x14ac:dyDescent="0.25">
      <c r="E3" s="54">
        <v>10</v>
      </c>
      <c r="F3" s="72" t="e">
        <f>F2/F1</f>
        <v>#DIV/0!</v>
      </c>
      <c r="G3" s="72" t="e">
        <f>G2/F1</f>
        <v>#DIV/0!</v>
      </c>
      <c r="H3" s="148"/>
    </row>
    <row r="4" spans="1:13" s="147" customFormat="1" ht="21" customHeight="1" thickBot="1" x14ac:dyDescent="0.3">
      <c r="D4" s="178"/>
      <c r="E4" s="76">
        <f>SUM(E1:E3)</f>
        <v>100</v>
      </c>
      <c r="F4" s="72" t="e">
        <f>F3</f>
        <v>#DIV/0!</v>
      </c>
      <c r="G4" s="72"/>
      <c r="H4" s="148"/>
    </row>
    <row r="5" spans="1:13" ht="30.75" thickBot="1" x14ac:dyDescent="0.3">
      <c r="A5" s="191" t="s">
        <v>478</v>
      </c>
      <c r="B5" s="191" t="s">
        <v>479</v>
      </c>
      <c r="C5" s="191" t="s">
        <v>480</v>
      </c>
      <c r="D5" s="191" t="s">
        <v>482</v>
      </c>
      <c r="E5" s="191" t="s">
        <v>483</v>
      </c>
      <c r="F5" s="72">
        <v>0.02</v>
      </c>
      <c r="G5" s="72"/>
      <c r="H5" s="72"/>
      <c r="I5" s="135" t="s">
        <v>617</v>
      </c>
      <c r="J5" s="134" t="s">
        <v>603</v>
      </c>
    </row>
    <row r="6" spans="1:13" x14ac:dyDescent="0.25">
      <c r="A6" s="548"/>
      <c r="B6" s="192" t="str">
        <f>IF(A6&lt;&gt;"",INDEX('Base de données'!A$4:L$990,MATCH(A6,'Base de données'!A$4:A$990,0),2),"")</f>
        <v/>
      </c>
      <c r="C6" s="192" t="str">
        <f>IF(A6&lt;&gt;"",INDEX('Base de données'!A$4:L$990,MATCH(A6,'Base de données'!A$4:A$990,0),12),"")</f>
        <v/>
      </c>
      <c r="D6" s="549"/>
      <c r="E6" s="549"/>
      <c r="F6" s="72" t="e">
        <f>F7-SUM(F4:F5)</f>
        <v>#DIV/0!</v>
      </c>
      <c r="G6" s="72"/>
      <c r="H6" s="72"/>
    </row>
    <row r="7" spans="1:13" x14ac:dyDescent="0.25">
      <c r="A7" s="548"/>
      <c r="B7" s="192" t="str">
        <f>IF(A7&lt;&gt;"",INDEX('Base de données'!A$4:L$990,MATCH(A7,'Base de données'!A$4:A$990,0),2),"")</f>
        <v/>
      </c>
      <c r="C7" s="192" t="str">
        <f>IF(A7&lt;&gt;"",INDEX('Base de données'!A$4:L$990,MATCH(A7,'Base de données'!A$4:A$990,0),12),"")</f>
        <v/>
      </c>
      <c r="D7" s="549"/>
      <c r="E7" s="549"/>
      <c r="F7" s="72">
        <f>1.02</f>
        <v>1.02</v>
      </c>
      <c r="G7" s="72"/>
      <c r="H7" s="349" t="s">
        <v>605</v>
      </c>
      <c r="I7" s="350" t="s">
        <v>610</v>
      </c>
      <c r="J7" s="349" t="s">
        <v>611</v>
      </c>
      <c r="K7" s="349" t="s">
        <v>609</v>
      </c>
      <c r="L7" s="349" t="s">
        <v>621</v>
      </c>
      <c r="M7" s="349" t="s">
        <v>639</v>
      </c>
    </row>
    <row r="8" spans="1:13" x14ac:dyDescent="0.25">
      <c r="A8" s="548"/>
      <c r="B8" s="192" t="str">
        <f>IF(A8&lt;&gt;"",INDEX('Base de données'!A$4:L$990,MATCH(A8,'Base de données'!A$4:A$990,0),2),"")</f>
        <v/>
      </c>
      <c r="C8" s="192" t="str">
        <f>IF(A8&lt;&gt;"",INDEX('Base de données'!A$4:L$990,MATCH(A8,'Base de données'!A$4:A$990,0),12),"")</f>
        <v/>
      </c>
      <c r="D8" s="549"/>
      <c r="E8" s="549"/>
      <c r="F8" s="147"/>
      <c r="G8" s="147"/>
      <c r="H8" s="351">
        <f>COUNTIFS(C6:C318,J5,D6:D318,"&lt;&gt;"&amp;"")</f>
        <v>0</v>
      </c>
      <c r="I8" s="351">
        <f>COUNTIFS(C6:C318,J5,D6:D318,"&lt;="&amp;'Calendrier fiscal'!G36)</f>
        <v>0</v>
      </c>
      <c r="J8" s="351">
        <f>COUNTIFS(C6:C318,J5,D6:D318,"&lt;="&amp;'Calendrier fiscal'!G35)</f>
        <v>0</v>
      </c>
      <c r="K8" s="351">
        <f>H8-J8</f>
        <v>0</v>
      </c>
      <c r="L8" s="352" t="str">
        <f>IF(H8&lt;&gt;0,I8/H8,"")</f>
        <v/>
      </c>
      <c r="M8" s="352" t="str">
        <f>IF(H8&lt;&gt;0,J8/H8,"")</f>
        <v/>
      </c>
    </row>
    <row r="9" spans="1:13" x14ac:dyDescent="0.25">
      <c r="A9" s="548"/>
      <c r="B9" s="192" t="str">
        <f>IF(A9&lt;&gt;"",INDEX('Base de données'!A$4:L$990,MATCH(A9,'Base de données'!A$4:A$990,0),2),"")</f>
        <v/>
      </c>
      <c r="C9" s="192" t="str">
        <f>IF(A9&lt;&gt;"",INDEX('Base de données'!A$4:L$990,MATCH(A9,'Base de données'!A$4:A$990,0),12),"")</f>
        <v/>
      </c>
      <c r="D9" s="549"/>
      <c r="E9" s="549"/>
      <c r="H9" s="179"/>
      <c r="I9" s="181"/>
      <c r="J9" s="181"/>
      <c r="K9" s="181"/>
      <c r="L9" s="181"/>
      <c r="M9" s="348"/>
    </row>
    <row r="10" spans="1:13" x14ac:dyDescent="0.25">
      <c r="A10" s="548"/>
      <c r="B10" s="192" t="str">
        <f>IF(A10&lt;&gt;"",INDEX('Base de données'!A$4:L$990,MATCH(A10,'Base de données'!A$4:A$990,0),2),"")</f>
        <v/>
      </c>
      <c r="C10" s="192" t="str">
        <f>IF(A10&lt;&gt;"",INDEX('Base de données'!A$4:L$990,MATCH(A10,'Base de données'!A$4:A$990,0),12),"")</f>
        <v/>
      </c>
      <c r="D10" s="549"/>
      <c r="E10" s="549"/>
      <c r="H10" s="179"/>
      <c r="I10" s="181"/>
      <c r="J10" s="181"/>
      <c r="K10" s="181"/>
      <c r="L10" s="181"/>
      <c r="M10" s="181"/>
    </row>
    <row r="11" spans="1:13" x14ac:dyDescent="0.25">
      <c r="A11" s="548"/>
      <c r="B11" s="192" t="str">
        <f>IF(A11&lt;&gt;"",INDEX('Base de données'!A$4:L$990,MATCH(A11,'Base de données'!A$4:A$990,0),2),"")</f>
        <v/>
      </c>
      <c r="C11" s="192" t="str">
        <f>IF(A11&lt;&gt;"",INDEX('Base de données'!A$4:L$990,MATCH(A11,'Base de données'!A$4:A$990,0),12),"")</f>
        <v/>
      </c>
      <c r="D11" s="549"/>
      <c r="E11" s="548"/>
      <c r="I11" s="181"/>
      <c r="J11" s="181"/>
      <c r="K11" s="181"/>
      <c r="L11" s="181"/>
      <c r="M11" s="181"/>
    </row>
    <row r="12" spans="1:13" x14ac:dyDescent="0.25">
      <c r="A12" s="548"/>
      <c r="B12" s="192" t="str">
        <f>IF(A12&lt;&gt;"",INDEX('Base de données'!A$4:L$990,MATCH(A12,'Base de données'!A$4:A$990,0),2),"")</f>
        <v/>
      </c>
      <c r="C12" s="192" t="str">
        <f>IF(A12&lt;&gt;"",INDEX('Base de données'!A$4:L$990,MATCH(A12,'Base de données'!A$4:A$990,0),12),"")</f>
        <v/>
      </c>
      <c r="D12" s="549"/>
      <c r="E12" s="548"/>
      <c r="I12" s="181"/>
      <c r="J12" s="181"/>
      <c r="K12" s="181"/>
      <c r="L12" s="181"/>
      <c r="M12" s="181"/>
    </row>
    <row r="13" spans="1:13" x14ac:dyDescent="0.25">
      <c r="A13" s="548"/>
      <c r="B13" s="192" t="str">
        <f>IF(A13&lt;&gt;"",INDEX('Base de données'!A$4:L$990,MATCH(A13,'Base de données'!A$4:A$990,0),2),"")</f>
        <v/>
      </c>
      <c r="C13" s="192" t="str">
        <f>IF(A13&lt;&gt;"",INDEX('Base de données'!A$4:L$990,MATCH(A13,'Base de données'!A$4:A$990,0),12),"")</f>
        <v/>
      </c>
      <c r="D13" s="549"/>
      <c r="E13" s="548"/>
      <c r="I13" s="181"/>
      <c r="J13" s="181"/>
      <c r="K13" s="181"/>
      <c r="L13" s="181"/>
      <c r="M13" s="181"/>
    </row>
    <row r="14" spans="1:13" x14ac:dyDescent="0.25">
      <c r="A14" s="548"/>
      <c r="B14" s="192" t="str">
        <f>IF(A14&lt;&gt;"",INDEX('Base de données'!A$4:L$990,MATCH(A14,'Base de données'!A$4:A$990,0),2),"")</f>
        <v/>
      </c>
      <c r="C14" s="192" t="str">
        <f>IF(A14&lt;&gt;"",INDEX('Base de données'!A$4:L$990,MATCH(A14,'Base de données'!A$4:A$990,0),12),"")</f>
        <v/>
      </c>
      <c r="D14" s="548"/>
      <c r="E14" s="548"/>
      <c r="I14" s="181"/>
      <c r="J14" s="181"/>
      <c r="K14" s="181"/>
      <c r="L14" s="181"/>
      <c r="M14" s="181"/>
    </row>
    <row r="15" spans="1:13" x14ac:dyDescent="0.25">
      <c r="A15" s="548"/>
      <c r="B15" s="192" t="str">
        <f>IF(A15&lt;&gt;"",INDEX('Base de données'!A$4:L$990,MATCH(A15,'Base de données'!A$4:A$990,0),2),"")</f>
        <v/>
      </c>
      <c r="C15" s="192" t="str">
        <f>IF(A15&lt;&gt;"",INDEX('Base de données'!A$4:L$990,MATCH(A15,'Base de données'!A$4:A$990,0),12),"")</f>
        <v/>
      </c>
      <c r="D15" s="548"/>
      <c r="E15" s="548"/>
    </row>
    <row r="16" spans="1:13" x14ac:dyDescent="0.25">
      <c r="A16" s="548"/>
      <c r="B16" s="192" t="str">
        <f>IF(A16&lt;&gt;"",INDEX('Base de données'!A$4:L$990,MATCH(A16,'Base de données'!A$4:A$990,0),2),"")</f>
        <v/>
      </c>
      <c r="C16" s="192" t="str">
        <f>IF(A16&lt;&gt;"",INDEX('Base de données'!A$4:L$990,MATCH(A16,'Base de données'!A$4:A$990,0),12),"")</f>
        <v/>
      </c>
      <c r="D16" s="548"/>
      <c r="E16" s="548"/>
    </row>
    <row r="17" spans="1:5" x14ac:dyDescent="0.25">
      <c r="A17" s="548"/>
      <c r="B17" s="192" t="str">
        <f>IF(A17&lt;&gt;"",INDEX('Base de données'!A$4:L$990,MATCH(A17,'Base de données'!A$4:A$990,0),2),"")</f>
        <v/>
      </c>
      <c r="C17" s="192" t="str">
        <f>IF(A17&lt;&gt;"",INDEX('Base de données'!A$4:L$990,MATCH(A17,'Base de données'!A$4:A$990,0),12),"")</f>
        <v/>
      </c>
      <c r="D17" s="548"/>
      <c r="E17" s="548"/>
    </row>
    <row r="18" spans="1:5" x14ac:dyDescent="0.25">
      <c r="A18" s="548"/>
      <c r="B18" s="192" t="str">
        <f>IF(A18&lt;&gt;"",INDEX('Base de données'!A$4:L$990,MATCH(A18,'Base de données'!A$4:A$990,0),2),"")</f>
        <v/>
      </c>
      <c r="C18" s="192" t="str">
        <f>IF(A18&lt;&gt;"",INDEX('Base de données'!A$4:L$990,MATCH(A18,'Base de données'!A$4:A$990,0),12),"")</f>
        <v/>
      </c>
      <c r="D18" s="548"/>
      <c r="E18" s="548"/>
    </row>
    <row r="19" spans="1:5" x14ac:dyDescent="0.25">
      <c r="A19" s="548"/>
      <c r="B19" s="192" t="str">
        <f>IF(A19&lt;&gt;"",INDEX('Base de données'!A$4:L$990,MATCH(A19,'Base de données'!A$4:A$990,0),2),"")</f>
        <v/>
      </c>
      <c r="C19" s="192" t="str">
        <f>IF(A19&lt;&gt;"",INDEX('Base de données'!A$4:L$990,MATCH(A19,'Base de données'!A$4:A$990,0),12),"")</f>
        <v/>
      </c>
      <c r="D19" s="548"/>
      <c r="E19" s="548"/>
    </row>
    <row r="20" spans="1:5" x14ac:dyDescent="0.25">
      <c r="A20" s="548"/>
      <c r="B20" s="192" t="str">
        <f>IF(A20&lt;&gt;"",INDEX('Base de données'!A$4:L$990,MATCH(A20,'Base de données'!A$4:A$990,0),2),"")</f>
        <v/>
      </c>
      <c r="C20" s="192" t="str">
        <f>IF(A20&lt;&gt;"",INDEX('Base de données'!A$4:L$990,MATCH(A20,'Base de données'!A$4:A$990,0),12),"")</f>
        <v/>
      </c>
      <c r="D20" s="548"/>
      <c r="E20" s="548"/>
    </row>
    <row r="21" spans="1:5" x14ac:dyDescent="0.25">
      <c r="A21" s="548"/>
      <c r="B21" s="192" t="str">
        <f>IF(A21&lt;&gt;"",INDEX('Base de données'!A$4:L$990,MATCH(A21,'Base de données'!A$4:A$990,0),2),"")</f>
        <v/>
      </c>
      <c r="C21" s="192" t="str">
        <f>IF(A21&lt;&gt;"",INDEX('Base de données'!A$4:L$990,MATCH(A21,'Base de données'!A$4:A$990,0),12),"")</f>
        <v/>
      </c>
      <c r="D21" s="548"/>
      <c r="E21" s="548"/>
    </row>
    <row r="22" spans="1:5" x14ac:dyDescent="0.25">
      <c r="A22" s="548"/>
      <c r="B22" s="192" t="str">
        <f>IF(A22&lt;&gt;"",INDEX('Base de données'!A$4:L$990,MATCH(A22,'Base de données'!A$4:A$990,0),2),"")</f>
        <v/>
      </c>
      <c r="C22" s="192" t="str">
        <f>IF(A22&lt;&gt;"",INDEX('Base de données'!A$4:L$990,MATCH(A22,'Base de données'!A$4:A$990,0),12),"")</f>
        <v/>
      </c>
      <c r="D22" s="548"/>
      <c r="E22" s="548"/>
    </row>
    <row r="23" spans="1:5" x14ac:dyDescent="0.25">
      <c r="A23" s="548"/>
      <c r="B23" s="192" t="str">
        <f>IF(A23&lt;&gt;"",INDEX('Base de données'!A$4:L$990,MATCH(A23,'Base de données'!A$4:A$990,0),2),"")</f>
        <v/>
      </c>
      <c r="C23" s="192" t="str">
        <f>IF(A23&lt;&gt;"",INDEX('Base de données'!A$4:L$990,MATCH(A23,'Base de données'!A$4:A$990,0),12),"")</f>
        <v/>
      </c>
      <c r="D23" s="548"/>
      <c r="E23" s="548"/>
    </row>
    <row r="24" spans="1:5" x14ac:dyDescent="0.25">
      <c r="A24" s="548"/>
      <c r="B24" s="192" t="str">
        <f>IF(A24&lt;&gt;"",INDEX('Base de données'!A$4:L$990,MATCH(A24,'Base de données'!A$4:A$990,0),2),"")</f>
        <v/>
      </c>
      <c r="C24" s="192" t="str">
        <f>IF(A24&lt;&gt;"",INDEX('Base de données'!A$4:L$990,MATCH(A24,'Base de données'!A$4:A$990,0),12),"")</f>
        <v/>
      </c>
      <c r="D24" s="548"/>
      <c r="E24" s="548"/>
    </row>
    <row r="25" spans="1:5" x14ac:dyDescent="0.25">
      <c r="A25" s="548"/>
      <c r="B25" s="192" t="str">
        <f>IF(A25&lt;&gt;"",INDEX('Base de données'!A$4:L$990,MATCH(A25,'Base de données'!A$4:A$990,0),2),"")</f>
        <v/>
      </c>
      <c r="C25" s="192" t="str">
        <f>IF(A25&lt;&gt;"",INDEX('Base de données'!A$4:L$990,MATCH(A25,'Base de données'!A$4:A$990,0),12),"")</f>
        <v/>
      </c>
      <c r="D25" s="548"/>
      <c r="E25" s="548"/>
    </row>
    <row r="26" spans="1:5" x14ac:dyDescent="0.25">
      <c r="A26" s="548"/>
      <c r="B26" s="192" t="str">
        <f>IF(A26&lt;&gt;"",INDEX('Base de données'!A$4:L$990,MATCH(A26,'Base de données'!A$4:A$990,0),2),"")</f>
        <v/>
      </c>
      <c r="C26" s="192" t="str">
        <f>IF(A26&lt;&gt;"",INDEX('Base de données'!A$4:L$990,MATCH(A26,'Base de données'!A$4:A$990,0),12),"")</f>
        <v/>
      </c>
      <c r="D26" s="548"/>
      <c r="E26" s="548"/>
    </row>
    <row r="27" spans="1:5" x14ac:dyDescent="0.25">
      <c r="A27" s="548"/>
      <c r="B27" s="192" t="str">
        <f>IF(A27&lt;&gt;"",INDEX('Base de données'!A$4:L$990,MATCH(A27,'Base de données'!A$4:A$990,0),2),"")</f>
        <v/>
      </c>
      <c r="C27" s="192" t="str">
        <f>IF(A27&lt;&gt;"",INDEX('Base de données'!A$4:L$990,MATCH(A27,'Base de données'!A$4:A$990,0),12),"")</f>
        <v/>
      </c>
      <c r="D27" s="548"/>
      <c r="E27" s="548"/>
    </row>
    <row r="28" spans="1:5" x14ac:dyDescent="0.25">
      <c r="A28" s="548"/>
      <c r="B28" s="192" t="str">
        <f>IF(A28&lt;&gt;"",INDEX('Base de données'!A$4:L$990,MATCH(A28,'Base de données'!A$4:A$990,0),2),"")</f>
        <v/>
      </c>
      <c r="C28" s="192" t="str">
        <f>IF(A28&lt;&gt;"",INDEX('Base de données'!A$4:L$990,MATCH(A28,'Base de données'!A$4:A$990,0),12),"")</f>
        <v/>
      </c>
      <c r="D28" s="548"/>
      <c r="E28" s="548"/>
    </row>
    <row r="29" spans="1:5" x14ac:dyDescent="0.25">
      <c r="A29" s="548"/>
      <c r="B29" s="192" t="str">
        <f>IF(A29&lt;&gt;"",INDEX('Base de données'!A$4:L$990,MATCH(A29,'Base de données'!A$4:A$990,0),2),"")</f>
        <v/>
      </c>
      <c r="C29" s="192" t="str">
        <f>IF(A29&lt;&gt;"",INDEX('Base de données'!A$4:L$990,MATCH(A29,'Base de données'!A$4:A$990,0),12),"")</f>
        <v/>
      </c>
      <c r="D29" s="548"/>
      <c r="E29" s="548"/>
    </row>
    <row r="30" spans="1:5" x14ac:dyDescent="0.25">
      <c r="A30" s="548"/>
      <c r="B30" s="192" t="str">
        <f>IF(A30&lt;&gt;"",INDEX('Base de données'!A$4:L$990,MATCH(A30,'Base de données'!A$4:A$990,0),2),"")</f>
        <v/>
      </c>
      <c r="C30" s="192" t="str">
        <f>IF(A30&lt;&gt;"",INDEX('Base de données'!A$4:L$990,MATCH(A30,'Base de données'!A$4:A$990,0),12),"")</f>
        <v/>
      </c>
      <c r="D30" s="548"/>
      <c r="E30" s="548"/>
    </row>
    <row r="31" spans="1:5" x14ac:dyDescent="0.25">
      <c r="A31" s="548"/>
      <c r="B31" s="192" t="str">
        <f>IF(A31&lt;&gt;"",INDEX('Base de données'!A$4:L$990,MATCH(A31,'Base de données'!A$4:A$990,0),2),"")</f>
        <v/>
      </c>
      <c r="C31" s="192" t="str">
        <f>IF(A31&lt;&gt;"",INDEX('Base de données'!A$4:L$990,MATCH(A31,'Base de données'!A$4:A$990,0),12),"")</f>
        <v/>
      </c>
      <c r="D31" s="548"/>
      <c r="E31" s="548"/>
    </row>
    <row r="32" spans="1:5" x14ac:dyDescent="0.25">
      <c r="A32" s="548"/>
      <c r="B32" s="192" t="str">
        <f>IF(A32&lt;&gt;"",INDEX('Base de données'!A$4:L$990,MATCH(A32,'Base de données'!A$4:A$990,0),2),"")</f>
        <v/>
      </c>
      <c r="C32" s="192" t="str">
        <f>IF(A32&lt;&gt;"",INDEX('Base de données'!A$4:L$990,MATCH(A32,'Base de données'!A$4:A$990,0),12),"")</f>
        <v/>
      </c>
      <c r="D32" s="548"/>
      <c r="E32" s="548"/>
    </row>
    <row r="33" spans="1:5" x14ac:dyDescent="0.25">
      <c r="A33" s="548"/>
      <c r="B33" s="192" t="str">
        <f>IF(A33&lt;&gt;"",INDEX('Base de données'!A$4:L$990,MATCH(A33,'Base de données'!A$4:A$990,0),2),"")</f>
        <v/>
      </c>
      <c r="C33" s="192" t="str">
        <f>IF(A33&lt;&gt;"",INDEX('Base de données'!A$4:L$990,MATCH(A33,'Base de données'!A$4:A$990,0),12),"")</f>
        <v/>
      </c>
      <c r="D33" s="548"/>
      <c r="E33" s="548"/>
    </row>
    <row r="34" spans="1:5" x14ac:dyDescent="0.25">
      <c r="A34" s="548"/>
      <c r="B34" s="192" t="str">
        <f>IF(A34&lt;&gt;"",INDEX('Base de données'!A$4:L$990,MATCH(A34,'Base de données'!A$4:A$990,0),2),"")</f>
        <v/>
      </c>
      <c r="C34" s="192" t="str">
        <f>IF(A34&lt;&gt;"",INDEX('Base de données'!A$4:L$990,MATCH(A34,'Base de données'!A$4:A$990,0),12),"")</f>
        <v/>
      </c>
      <c r="D34" s="548"/>
      <c r="E34" s="548"/>
    </row>
    <row r="35" spans="1:5" x14ac:dyDescent="0.25">
      <c r="A35" s="548"/>
      <c r="B35" s="192" t="str">
        <f>IF(A35&lt;&gt;"",INDEX('Base de données'!A$4:L$990,MATCH(A35,'Base de données'!A$4:A$990,0),2),"")</f>
        <v/>
      </c>
      <c r="C35" s="192" t="str">
        <f>IF(A35&lt;&gt;"",INDEX('Base de données'!A$4:L$990,MATCH(A35,'Base de données'!A$4:A$990,0),12),"")</f>
        <v/>
      </c>
      <c r="D35" s="548"/>
      <c r="E35" s="548"/>
    </row>
    <row r="36" spans="1:5" x14ac:dyDescent="0.25">
      <c r="A36" s="548"/>
      <c r="B36" s="192" t="str">
        <f>IF(A36&lt;&gt;"",INDEX('Base de données'!A$4:L$990,MATCH(A36,'Base de données'!A$4:A$990,0),2),"")</f>
        <v/>
      </c>
      <c r="C36" s="192" t="str">
        <f>IF(A36&lt;&gt;"",INDEX('Base de données'!A$4:L$990,MATCH(A36,'Base de données'!A$4:A$990,0),12),"")</f>
        <v/>
      </c>
      <c r="D36" s="548"/>
      <c r="E36" s="548"/>
    </row>
    <row r="37" spans="1:5" x14ac:dyDescent="0.25">
      <c r="A37" s="548"/>
      <c r="B37" s="192" t="str">
        <f>IF(A37&lt;&gt;"",INDEX('Base de données'!A$4:L$990,MATCH(A37,'Base de données'!A$4:A$990,0),2),"")</f>
        <v/>
      </c>
      <c r="C37" s="192" t="str">
        <f>IF(A37&lt;&gt;"",INDEX('Base de données'!A$4:L$990,MATCH(A37,'Base de données'!A$4:A$990,0),12),"")</f>
        <v/>
      </c>
      <c r="D37" s="548"/>
      <c r="E37" s="548"/>
    </row>
    <row r="38" spans="1:5" x14ac:dyDescent="0.25">
      <c r="A38" s="548"/>
      <c r="B38" s="192" t="str">
        <f>IF(A38&lt;&gt;"",INDEX('Base de données'!A$4:L$990,MATCH(A38,'Base de données'!A$4:A$990,0),2),"")</f>
        <v/>
      </c>
      <c r="C38" s="192" t="str">
        <f>IF(A38&lt;&gt;"",INDEX('Base de données'!A$4:L$990,MATCH(A38,'Base de données'!A$4:A$990,0),12),"")</f>
        <v/>
      </c>
      <c r="D38" s="548"/>
      <c r="E38" s="548"/>
    </row>
    <row r="39" spans="1:5" x14ac:dyDescent="0.25">
      <c r="A39" s="548"/>
      <c r="B39" s="192" t="str">
        <f>IF(A39&lt;&gt;"",INDEX('Base de données'!A$4:L$990,MATCH(A39,'Base de données'!A$4:A$990,0),2),"")</f>
        <v/>
      </c>
      <c r="C39" s="192" t="str">
        <f>IF(A39&lt;&gt;"",INDEX('Base de données'!A$4:L$990,MATCH(A39,'Base de données'!A$4:A$990,0),12),"")</f>
        <v/>
      </c>
      <c r="D39" s="548"/>
      <c r="E39" s="548"/>
    </row>
    <row r="40" spans="1:5" x14ac:dyDescent="0.25">
      <c r="A40" s="548"/>
      <c r="B40" s="192" t="str">
        <f>IF(A40&lt;&gt;"",INDEX('Base de données'!A$4:L$990,MATCH(A40,'Base de données'!A$4:A$990,0),2),"")</f>
        <v/>
      </c>
      <c r="C40" s="192" t="str">
        <f>IF(A40&lt;&gt;"",INDEX('Base de données'!A$4:L$990,MATCH(A40,'Base de données'!A$4:A$990,0),12),"")</f>
        <v/>
      </c>
      <c r="D40" s="548"/>
      <c r="E40" s="548"/>
    </row>
    <row r="41" spans="1:5" x14ac:dyDescent="0.25">
      <c r="A41" s="548"/>
      <c r="B41" s="192" t="str">
        <f>IF(A41&lt;&gt;"",INDEX('Base de données'!A$4:L$990,MATCH(A41,'Base de données'!A$4:A$990,0),2),"")</f>
        <v/>
      </c>
      <c r="C41" s="192" t="str">
        <f>IF(A41&lt;&gt;"",INDEX('Base de données'!A$4:L$990,MATCH(A41,'Base de données'!A$4:A$990,0),12),"")</f>
        <v/>
      </c>
      <c r="D41" s="548"/>
      <c r="E41" s="548"/>
    </row>
    <row r="42" spans="1:5" x14ac:dyDescent="0.25">
      <c r="A42" s="548"/>
      <c r="B42" s="192" t="str">
        <f>IF(A42&lt;&gt;"",INDEX('Base de données'!A$4:L$990,MATCH(A42,'Base de données'!A$4:A$990,0),2),"")</f>
        <v/>
      </c>
      <c r="C42" s="192" t="str">
        <f>IF(A42&lt;&gt;"",INDEX('Base de données'!A$4:L$990,MATCH(A42,'Base de données'!A$4:A$990,0),12),"")</f>
        <v/>
      </c>
      <c r="D42" s="548"/>
      <c r="E42" s="548"/>
    </row>
    <row r="43" spans="1:5" x14ac:dyDescent="0.25">
      <c r="A43" s="548"/>
      <c r="B43" s="192" t="str">
        <f>IF(A43&lt;&gt;"",INDEX('Base de données'!A$4:L$990,MATCH(A43,'Base de données'!A$4:A$990,0),2),"")</f>
        <v/>
      </c>
      <c r="C43" s="192" t="str">
        <f>IF(A43&lt;&gt;"",INDEX('Base de données'!A$4:L$990,MATCH(A43,'Base de données'!A$4:A$990,0),12),"")</f>
        <v/>
      </c>
      <c r="D43" s="548"/>
      <c r="E43" s="548"/>
    </row>
    <row r="44" spans="1:5" x14ac:dyDescent="0.25">
      <c r="A44" s="548"/>
      <c r="B44" s="192" t="str">
        <f>IF(A44&lt;&gt;"",INDEX('Base de données'!A$4:L$990,MATCH(A44,'Base de données'!A$4:A$990,0),2),"")</f>
        <v/>
      </c>
      <c r="C44" s="192" t="str">
        <f>IF(A44&lt;&gt;"",INDEX('Base de données'!A$4:L$990,MATCH(A44,'Base de données'!A$4:A$990,0),12),"")</f>
        <v/>
      </c>
      <c r="D44" s="548"/>
      <c r="E44" s="548"/>
    </row>
    <row r="45" spans="1:5" x14ac:dyDescent="0.25">
      <c r="A45" s="548"/>
      <c r="B45" s="192" t="str">
        <f>IF(A45&lt;&gt;"",INDEX('Base de données'!A$4:L$990,MATCH(A45,'Base de données'!A$4:A$990,0),2),"")</f>
        <v/>
      </c>
      <c r="C45" s="192" t="str">
        <f>IF(A45&lt;&gt;"",INDEX('Base de données'!A$4:L$990,MATCH(A45,'Base de données'!A$4:A$990,0),12),"")</f>
        <v/>
      </c>
      <c r="D45" s="548"/>
      <c r="E45" s="548"/>
    </row>
    <row r="46" spans="1:5" x14ac:dyDescent="0.25">
      <c r="A46" s="548"/>
      <c r="B46" s="192" t="str">
        <f>IF(A46&lt;&gt;"",INDEX('Base de données'!A$4:L$990,MATCH(A46,'Base de données'!A$4:A$990,0),2),"")</f>
        <v/>
      </c>
      <c r="C46" s="192" t="str">
        <f>IF(A46&lt;&gt;"",INDEX('Base de données'!A$4:L$990,MATCH(A46,'Base de données'!A$4:A$990,0),12),"")</f>
        <v/>
      </c>
      <c r="D46" s="548"/>
      <c r="E46" s="548"/>
    </row>
    <row r="47" spans="1:5" x14ac:dyDescent="0.25">
      <c r="A47" s="548"/>
      <c r="B47" s="192" t="str">
        <f>IF(A47&lt;&gt;"",INDEX('Base de données'!A$4:L$990,MATCH(A47,'Base de données'!A$4:A$990,0),2),"")</f>
        <v/>
      </c>
      <c r="C47" s="192" t="str">
        <f>IF(A47&lt;&gt;"",INDEX('Base de données'!A$4:L$990,MATCH(A47,'Base de données'!A$4:A$990,0),12),"")</f>
        <v/>
      </c>
      <c r="D47" s="548"/>
      <c r="E47" s="548"/>
    </row>
    <row r="48" spans="1:5" x14ac:dyDescent="0.25">
      <c r="A48" s="548"/>
      <c r="B48" s="192" t="str">
        <f>IF(A48&lt;&gt;"",INDEX('Base de données'!A$4:L$990,MATCH(A48,'Base de données'!A$4:A$990,0),2),"")</f>
        <v/>
      </c>
      <c r="C48" s="192" t="str">
        <f>IF(A48&lt;&gt;"",INDEX('Base de données'!A$4:L$990,MATCH(A48,'Base de données'!A$4:A$990,0),12),"")</f>
        <v/>
      </c>
      <c r="D48" s="548"/>
      <c r="E48" s="548"/>
    </row>
    <row r="49" spans="1:5" x14ac:dyDescent="0.25">
      <c r="A49" s="548"/>
      <c r="B49" s="192" t="str">
        <f>IF(A49&lt;&gt;"",INDEX('Base de données'!A$4:L$990,MATCH(A49,'Base de données'!A$4:A$990,0),2),"")</f>
        <v/>
      </c>
      <c r="C49" s="192" t="str">
        <f>IF(A49&lt;&gt;"",INDEX('Base de données'!A$4:L$990,MATCH(A49,'Base de données'!A$4:A$990,0),12),"")</f>
        <v/>
      </c>
      <c r="D49" s="548"/>
      <c r="E49" s="548"/>
    </row>
    <row r="50" spans="1:5" x14ac:dyDescent="0.25">
      <c r="A50" s="548"/>
      <c r="B50" s="192" t="str">
        <f>IF(A50&lt;&gt;"",INDEX('Base de données'!A$4:L$990,MATCH(A50,'Base de données'!A$4:A$990,0),2),"")</f>
        <v/>
      </c>
      <c r="C50" s="192" t="str">
        <f>IF(A50&lt;&gt;"",INDEX('Base de données'!A$4:L$990,MATCH(A50,'Base de données'!A$4:A$990,0),12),"")</f>
        <v/>
      </c>
      <c r="D50" s="548"/>
      <c r="E50" s="548"/>
    </row>
    <row r="51" spans="1:5" x14ac:dyDescent="0.25">
      <c r="A51" s="548"/>
      <c r="B51" s="192" t="str">
        <f>IF(A51&lt;&gt;"",INDEX('Base de données'!A$4:L$990,MATCH(A51,'Base de données'!A$4:A$990,0),2),"")</f>
        <v/>
      </c>
      <c r="C51" s="192" t="str">
        <f>IF(A51&lt;&gt;"",INDEX('Base de données'!A$4:L$990,MATCH(A51,'Base de données'!A$4:A$990,0),12),"")</f>
        <v/>
      </c>
      <c r="D51" s="548"/>
      <c r="E51" s="548"/>
    </row>
    <row r="52" spans="1:5" x14ac:dyDescent="0.25">
      <c r="A52" s="548"/>
      <c r="B52" s="192" t="str">
        <f>IF(A52&lt;&gt;"",INDEX('Base de données'!A$4:L$990,MATCH(A52,'Base de données'!A$4:A$990,0),2),"")</f>
        <v/>
      </c>
      <c r="C52" s="192" t="str">
        <f>IF(A52&lt;&gt;"",INDEX('Base de données'!A$4:L$990,MATCH(A52,'Base de données'!A$4:A$990,0),12),"")</f>
        <v/>
      </c>
      <c r="D52" s="548"/>
      <c r="E52" s="548"/>
    </row>
    <row r="53" spans="1:5" x14ac:dyDescent="0.25">
      <c r="A53" s="548"/>
      <c r="B53" s="192" t="str">
        <f>IF(A53&lt;&gt;"",INDEX('Base de données'!A$4:L$990,MATCH(A53,'Base de données'!A$4:A$990,0),2),"")</f>
        <v/>
      </c>
      <c r="C53" s="192" t="str">
        <f>IF(A53&lt;&gt;"",INDEX('Base de données'!A$4:L$990,MATCH(A53,'Base de données'!A$4:A$990,0),12),"")</f>
        <v/>
      </c>
      <c r="D53" s="548"/>
      <c r="E53" s="548"/>
    </row>
    <row r="54" spans="1:5" x14ac:dyDescent="0.25">
      <c r="A54" s="548"/>
      <c r="B54" s="192" t="str">
        <f>IF(A54&lt;&gt;"",INDEX('Base de données'!A$4:L$990,MATCH(A54,'Base de données'!A$4:A$990,0),2),"")</f>
        <v/>
      </c>
      <c r="C54" s="192" t="str">
        <f>IF(A54&lt;&gt;"",INDEX('Base de données'!A$4:L$990,MATCH(A54,'Base de données'!A$4:A$990,0),12),"")</f>
        <v/>
      </c>
      <c r="D54" s="548"/>
      <c r="E54" s="548"/>
    </row>
    <row r="55" spans="1:5" x14ac:dyDescent="0.25">
      <c r="A55" s="548"/>
      <c r="B55" s="192" t="str">
        <f>IF(A55&lt;&gt;"",INDEX('Base de données'!A$4:L$990,MATCH(A55,'Base de données'!A$4:A$990,0),2),"")</f>
        <v/>
      </c>
      <c r="C55" s="192" t="str">
        <f>IF(A55&lt;&gt;"",INDEX('Base de données'!A$4:L$990,MATCH(A55,'Base de données'!A$4:A$990,0),12),"")</f>
        <v/>
      </c>
      <c r="D55" s="548"/>
      <c r="E55" s="548"/>
    </row>
    <row r="56" spans="1:5" x14ac:dyDescent="0.25">
      <c r="A56" s="548"/>
      <c r="B56" s="192" t="str">
        <f>IF(A56&lt;&gt;"",INDEX('Base de données'!A$4:L$990,MATCH(A56,'Base de données'!A$4:A$990,0),2),"")</f>
        <v/>
      </c>
      <c r="C56" s="192" t="str">
        <f>IF(A56&lt;&gt;"",INDEX('Base de données'!A$4:L$990,MATCH(A56,'Base de données'!A$4:A$990,0),12),"")</f>
        <v/>
      </c>
      <c r="D56" s="548"/>
      <c r="E56" s="548"/>
    </row>
    <row r="57" spans="1:5" x14ac:dyDescent="0.25">
      <c r="A57" s="548"/>
      <c r="B57" s="192" t="str">
        <f>IF(A57&lt;&gt;"",INDEX('Base de données'!A$4:L$990,MATCH(A57,'Base de données'!A$4:A$990,0),2),"")</f>
        <v/>
      </c>
      <c r="C57" s="192" t="str">
        <f>IF(A57&lt;&gt;"",INDEX('Base de données'!A$4:L$990,MATCH(A57,'Base de données'!A$4:A$990,0),12),"")</f>
        <v/>
      </c>
      <c r="D57" s="548"/>
      <c r="E57" s="548"/>
    </row>
    <row r="58" spans="1:5" x14ac:dyDescent="0.25">
      <c r="A58" s="548"/>
      <c r="B58" s="192" t="str">
        <f>IF(A58&lt;&gt;"",INDEX('Base de données'!A$4:L$990,MATCH(A58,'Base de données'!A$4:A$990,0),2),"")</f>
        <v/>
      </c>
      <c r="C58" s="192" t="str">
        <f>IF(A58&lt;&gt;"",INDEX('Base de données'!A$4:L$990,MATCH(A58,'Base de données'!A$4:A$990,0),12),"")</f>
        <v/>
      </c>
      <c r="D58" s="548"/>
      <c r="E58" s="548"/>
    </row>
    <row r="59" spans="1:5" x14ac:dyDescent="0.25">
      <c r="A59" s="548"/>
      <c r="B59" s="192" t="str">
        <f>IF(A59&lt;&gt;"",INDEX('Base de données'!A$4:L$990,MATCH(A59,'Base de données'!A$4:A$990,0),2),"")</f>
        <v/>
      </c>
      <c r="C59" s="192" t="str">
        <f>IF(A59&lt;&gt;"",INDEX('Base de données'!A$4:L$990,MATCH(A59,'Base de données'!A$4:A$990,0),12),"")</f>
        <v/>
      </c>
      <c r="D59" s="548"/>
      <c r="E59" s="548"/>
    </row>
    <row r="60" spans="1:5" x14ac:dyDescent="0.25">
      <c r="A60" s="548"/>
      <c r="B60" s="192" t="str">
        <f>IF(A60&lt;&gt;"",INDEX('Base de données'!A$4:L$990,MATCH(A60,'Base de données'!A$4:A$990,0),2),"")</f>
        <v/>
      </c>
      <c r="C60" s="192" t="str">
        <f>IF(A60&lt;&gt;"",INDEX('Base de données'!A$4:L$990,MATCH(A60,'Base de données'!A$4:A$990,0),12),"")</f>
        <v/>
      </c>
      <c r="D60" s="548"/>
      <c r="E60" s="548"/>
    </row>
    <row r="61" spans="1:5" x14ac:dyDescent="0.25">
      <c r="A61" s="548"/>
      <c r="B61" s="192" t="str">
        <f>IF(A61&lt;&gt;"",INDEX('Base de données'!A$4:L$990,MATCH(A61,'Base de données'!A$4:A$990,0),2),"")</f>
        <v/>
      </c>
      <c r="C61" s="192" t="str">
        <f>IF(A61&lt;&gt;"",INDEX('Base de données'!A$4:L$990,MATCH(A61,'Base de données'!A$4:A$990,0),12),"")</f>
        <v/>
      </c>
      <c r="D61" s="548"/>
      <c r="E61" s="548"/>
    </row>
    <row r="62" spans="1:5" x14ac:dyDescent="0.25">
      <c r="A62" s="548"/>
      <c r="B62" s="192" t="str">
        <f>IF(A62&lt;&gt;"",INDEX('Base de données'!A$4:L$990,MATCH(A62,'Base de données'!A$4:A$990,0),2),"")</f>
        <v/>
      </c>
      <c r="C62" s="192" t="str">
        <f>IF(A62&lt;&gt;"",INDEX('Base de données'!A$4:L$990,MATCH(A62,'Base de données'!A$4:A$990,0),12),"")</f>
        <v/>
      </c>
      <c r="D62" s="548"/>
      <c r="E62" s="548"/>
    </row>
    <row r="63" spans="1:5" x14ac:dyDescent="0.25">
      <c r="A63" s="548"/>
      <c r="B63" s="192" t="str">
        <f>IF(A63&lt;&gt;"",INDEX('Base de données'!A$4:L$990,MATCH(A63,'Base de données'!A$4:A$990,0),2),"")</f>
        <v/>
      </c>
      <c r="C63" s="192" t="str">
        <f>IF(A63&lt;&gt;"",INDEX('Base de données'!A$4:L$990,MATCH(A63,'Base de données'!A$4:A$990,0),12),"")</f>
        <v/>
      </c>
      <c r="D63" s="548"/>
      <c r="E63" s="548"/>
    </row>
    <row r="64" spans="1:5" x14ac:dyDescent="0.25">
      <c r="A64" s="548"/>
      <c r="B64" s="192" t="str">
        <f>IF(A64&lt;&gt;"",INDEX('Base de données'!A$4:L$990,MATCH(A64,'Base de données'!A$4:A$990,0),2),"")</f>
        <v/>
      </c>
      <c r="C64" s="192" t="str">
        <f>IF(A64&lt;&gt;"",INDEX('Base de données'!A$4:L$990,MATCH(A64,'Base de données'!A$4:A$990,0),12),"")</f>
        <v/>
      </c>
      <c r="D64" s="548"/>
      <c r="E64" s="548"/>
    </row>
    <row r="65" spans="1:5" x14ac:dyDescent="0.25">
      <c r="A65" s="548"/>
      <c r="B65" s="192" t="str">
        <f>IF(A65&lt;&gt;"",INDEX('Base de données'!A$4:L$990,MATCH(A65,'Base de données'!A$4:A$990,0),2),"")</f>
        <v/>
      </c>
      <c r="C65" s="192" t="str">
        <f>IF(A65&lt;&gt;"",INDEX('Base de données'!A$4:L$990,MATCH(A65,'Base de données'!A$4:A$990,0),12),"")</f>
        <v/>
      </c>
      <c r="D65" s="548"/>
      <c r="E65" s="548"/>
    </row>
    <row r="66" spans="1:5" x14ac:dyDescent="0.25">
      <c r="A66" s="548"/>
      <c r="B66" s="192" t="str">
        <f>IF(A66&lt;&gt;"",INDEX('Base de données'!A$4:L$990,MATCH(A66,'Base de données'!A$4:A$990,0),2),"")</f>
        <v/>
      </c>
      <c r="C66" s="192" t="str">
        <f>IF(A66&lt;&gt;"",INDEX('Base de données'!A$4:L$990,MATCH(A66,'Base de données'!A$4:A$990,0),12),"")</f>
        <v/>
      </c>
      <c r="D66" s="548"/>
      <c r="E66" s="548"/>
    </row>
    <row r="67" spans="1:5" x14ac:dyDescent="0.25">
      <c r="A67" s="548"/>
      <c r="B67" s="192" t="str">
        <f>IF(A67&lt;&gt;"",INDEX('Base de données'!A$4:L$990,MATCH(A67,'Base de données'!A$4:A$990,0),2),"")</f>
        <v/>
      </c>
      <c r="C67" s="192" t="str">
        <f>IF(A67&lt;&gt;"",INDEX('Base de données'!A$4:L$990,MATCH(A67,'Base de données'!A$4:A$990,0),12),"")</f>
        <v/>
      </c>
      <c r="D67" s="548"/>
      <c r="E67" s="548"/>
    </row>
    <row r="68" spans="1:5" x14ac:dyDescent="0.25">
      <c r="A68" s="548"/>
      <c r="B68" s="192" t="str">
        <f>IF(A68&lt;&gt;"",INDEX('Base de données'!A$4:L$990,MATCH(A68,'Base de données'!A$4:A$990,0),2),"")</f>
        <v/>
      </c>
      <c r="C68" s="192" t="str">
        <f>IF(A68&lt;&gt;"",INDEX('Base de données'!A$4:L$990,MATCH(A68,'Base de données'!A$4:A$990,0),12),"")</f>
        <v/>
      </c>
      <c r="D68" s="548"/>
      <c r="E68" s="548"/>
    </row>
    <row r="69" spans="1:5" x14ac:dyDescent="0.25">
      <c r="A69" s="548"/>
      <c r="B69" s="192" t="str">
        <f>IF(A69&lt;&gt;"",INDEX('Base de données'!A$4:L$990,MATCH(A69,'Base de données'!A$4:A$990,0),2),"")</f>
        <v/>
      </c>
      <c r="C69" s="192" t="str">
        <f>IF(A69&lt;&gt;"",INDEX('Base de données'!A$4:L$990,MATCH(A69,'Base de données'!A$4:A$990,0),12),"")</f>
        <v/>
      </c>
      <c r="D69" s="548"/>
      <c r="E69" s="548"/>
    </row>
    <row r="70" spans="1:5" x14ac:dyDescent="0.25">
      <c r="A70" s="548"/>
      <c r="B70" s="192" t="str">
        <f>IF(A70&lt;&gt;"",INDEX('Base de données'!A$4:L$990,MATCH(A70,'Base de données'!A$4:A$990,0),2),"")</f>
        <v/>
      </c>
      <c r="C70" s="192" t="str">
        <f>IF(A70&lt;&gt;"",INDEX('Base de données'!A$4:L$990,MATCH(A70,'Base de données'!A$4:A$990,0),12),"")</f>
        <v/>
      </c>
      <c r="D70" s="548"/>
      <c r="E70" s="548"/>
    </row>
    <row r="71" spans="1:5" x14ac:dyDescent="0.25">
      <c r="A71" s="548"/>
      <c r="B71" s="192" t="str">
        <f>IF(A71&lt;&gt;"",INDEX('Base de données'!A$4:L$990,MATCH(A71,'Base de données'!A$4:A$990,0),2),"")</f>
        <v/>
      </c>
      <c r="C71" s="192" t="str">
        <f>IF(A71&lt;&gt;"",INDEX('Base de données'!A$4:L$990,MATCH(A71,'Base de données'!A$4:A$990,0),12),"")</f>
        <v/>
      </c>
      <c r="D71" s="548"/>
      <c r="E71" s="548"/>
    </row>
    <row r="72" spans="1:5" x14ac:dyDescent="0.25">
      <c r="A72" s="548"/>
      <c r="B72" s="192" t="str">
        <f>IF(A72&lt;&gt;"",INDEX('Base de données'!A$4:L$990,MATCH(A72,'Base de données'!A$4:A$990,0),2),"")</f>
        <v/>
      </c>
      <c r="C72" s="192" t="str">
        <f>IF(A72&lt;&gt;"",INDEX('Base de données'!A$4:L$990,MATCH(A72,'Base de données'!A$4:A$990,0),12),"")</f>
        <v/>
      </c>
      <c r="D72" s="548"/>
      <c r="E72" s="548"/>
    </row>
    <row r="73" spans="1:5" x14ac:dyDescent="0.25">
      <c r="A73" s="548"/>
      <c r="B73" s="192" t="str">
        <f>IF(A73&lt;&gt;"",INDEX('Base de données'!A$4:L$990,MATCH(A73,'Base de données'!A$4:A$990,0),2),"")</f>
        <v/>
      </c>
      <c r="C73" s="192" t="str">
        <f>IF(A73&lt;&gt;"",INDEX('Base de données'!A$4:L$990,MATCH(A73,'Base de données'!A$4:A$990,0),12),"")</f>
        <v/>
      </c>
      <c r="D73" s="548"/>
      <c r="E73" s="548"/>
    </row>
    <row r="74" spans="1:5" x14ac:dyDescent="0.25">
      <c r="A74" s="548"/>
      <c r="B74" s="192" t="str">
        <f>IF(A74&lt;&gt;"",INDEX('Base de données'!A$4:L$990,MATCH(A74,'Base de données'!A$4:A$990,0),2),"")</f>
        <v/>
      </c>
      <c r="C74" s="192" t="str">
        <f>IF(A74&lt;&gt;"",INDEX('Base de données'!A$4:L$990,MATCH(A74,'Base de données'!A$4:A$990,0),12),"")</f>
        <v/>
      </c>
      <c r="D74" s="548"/>
      <c r="E74" s="548"/>
    </row>
    <row r="75" spans="1:5" x14ac:dyDescent="0.25">
      <c r="A75" s="548"/>
      <c r="B75" s="192" t="str">
        <f>IF(A75&lt;&gt;"",INDEX('Base de données'!A$4:L$990,MATCH(A75,'Base de données'!A$4:A$990,0),2),"")</f>
        <v/>
      </c>
      <c r="C75" s="192" t="str">
        <f>IF(A75&lt;&gt;"",INDEX('Base de données'!A$4:L$990,MATCH(A75,'Base de données'!A$4:A$990,0),12),"")</f>
        <v/>
      </c>
      <c r="D75" s="548"/>
      <c r="E75" s="548"/>
    </row>
    <row r="76" spans="1:5" x14ac:dyDescent="0.25">
      <c r="A76" s="548"/>
      <c r="B76" s="192" t="str">
        <f>IF(A76&lt;&gt;"",INDEX('Base de données'!A$4:L$990,MATCH(A76,'Base de données'!A$4:A$990,0),2),"")</f>
        <v/>
      </c>
      <c r="C76" s="192" t="str">
        <f>IF(A76&lt;&gt;"",INDEX('Base de données'!A$4:L$990,MATCH(A76,'Base de données'!A$4:A$990,0),12),"")</f>
        <v/>
      </c>
      <c r="D76" s="548"/>
      <c r="E76" s="548"/>
    </row>
    <row r="77" spans="1:5" x14ac:dyDescent="0.25">
      <c r="A77" s="548"/>
      <c r="B77" s="192" t="str">
        <f>IF(A77&lt;&gt;"",INDEX('Base de données'!A$4:L$990,MATCH(A77,'Base de données'!A$4:A$990,0),2),"")</f>
        <v/>
      </c>
      <c r="C77" s="192" t="str">
        <f>IF(A77&lt;&gt;"",INDEX('Base de données'!A$4:L$990,MATCH(A77,'Base de données'!A$4:A$990,0),12),"")</f>
        <v/>
      </c>
      <c r="D77" s="548"/>
      <c r="E77" s="548"/>
    </row>
    <row r="78" spans="1:5" x14ac:dyDescent="0.25">
      <c r="A78" s="548"/>
      <c r="B78" s="192" t="str">
        <f>IF(A78&lt;&gt;"",INDEX('Base de données'!A$4:L$990,MATCH(A78,'Base de données'!A$4:A$990,0),2),"")</f>
        <v/>
      </c>
      <c r="C78" s="192" t="str">
        <f>IF(A78&lt;&gt;"",INDEX('Base de données'!A$4:L$990,MATCH(A78,'Base de données'!A$4:A$990,0),12),"")</f>
        <v/>
      </c>
      <c r="D78" s="548"/>
      <c r="E78" s="548"/>
    </row>
    <row r="79" spans="1:5" x14ac:dyDescent="0.25">
      <c r="A79" s="548"/>
      <c r="B79" s="192" t="str">
        <f>IF(A79&lt;&gt;"",INDEX('Base de données'!A$4:L$990,MATCH(A79,'Base de données'!A$4:A$990,0),2),"")</f>
        <v/>
      </c>
      <c r="C79" s="192" t="str">
        <f>IF(A79&lt;&gt;"",INDEX('Base de données'!A$4:L$990,MATCH(A79,'Base de données'!A$4:A$990,0),12),"")</f>
        <v/>
      </c>
      <c r="D79" s="548"/>
      <c r="E79" s="548"/>
    </row>
    <row r="80" spans="1:5" x14ac:dyDescent="0.25">
      <c r="A80" s="548"/>
      <c r="B80" s="192" t="str">
        <f>IF(A80&lt;&gt;"",INDEX('Base de données'!A$4:L$990,MATCH(A80,'Base de données'!A$4:A$990,0),2),"")</f>
        <v/>
      </c>
      <c r="C80" s="192" t="str">
        <f>IF(A80&lt;&gt;"",INDEX('Base de données'!A$4:L$990,MATCH(A80,'Base de données'!A$4:A$990,0),12),"")</f>
        <v/>
      </c>
      <c r="D80" s="548"/>
      <c r="E80" s="548"/>
    </row>
    <row r="81" spans="1:5" x14ac:dyDescent="0.25">
      <c r="A81" s="548"/>
      <c r="B81" s="192" t="str">
        <f>IF(A81&lt;&gt;"",INDEX('Base de données'!A$4:L$990,MATCH(A81,'Base de données'!A$4:A$990,0),2),"")</f>
        <v/>
      </c>
      <c r="C81" s="192" t="str">
        <f>IF(A81&lt;&gt;"",INDEX('Base de données'!A$4:L$990,MATCH(A81,'Base de données'!A$4:A$990,0),12),"")</f>
        <v/>
      </c>
      <c r="D81" s="548"/>
      <c r="E81" s="548"/>
    </row>
    <row r="82" spans="1:5" x14ac:dyDescent="0.25">
      <c r="A82" s="548"/>
      <c r="B82" s="192" t="str">
        <f>IF(A82&lt;&gt;"",INDEX('Base de données'!A$4:L$990,MATCH(A82,'Base de données'!A$4:A$990,0),2),"")</f>
        <v/>
      </c>
      <c r="C82" s="192" t="str">
        <f>IF(A82&lt;&gt;"",INDEX('Base de données'!A$4:L$990,MATCH(A82,'Base de données'!A$4:A$990,0),12),"")</f>
        <v/>
      </c>
      <c r="D82" s="548"/>
      <c r="E82" s="548"/>
    </row>
    <row r="83" spans="1:5" x14ac:dyDescent="0.25">
      <c r="A83" s="548"/>
      <c r="B83" s="192" t="str">
        <f>IF(A83&lt;&gt;"",INDEX('Base de données'!A$4:L$990,MATCH(A83,'Base de données'!A$4:A$990,0),2),"")</f>
        <v/>
      </c>
      <c r="C83" s="192" t="str">
        <f>IF(A83&lt;&gt;"",INDEX('Base de données'!A$4:L$990,MATCH(A83,'Base de données'!A$4:A$990,0),12),"")</f>
        <v/>
      </c>
      <c r="D83" s="548"/>
      <c r="E83" s="548"/>
    </row>
    <row r="84" spans="1:5" x14ac:dyDescent="0.25">
      <c r="A84" s="548"/>
      <c r="B84" s="192" t="str">
        <f>IF(A84&lt;&gt;"",INDEX('Base de données'!A$4:L$990,MATCH(A84,'Base de données'!A$4:A$990,0),2),"")</f>
        <v/>
      </c>
      <c r="C84" s="192" t="str">
        <f>IF(A84&lt;&gt;"",INDEX('Base de données'!A$4:L$990,MATCH(A84,'Base de données'!A$4:A$990,0),12),"")</f>
        <v/>
      </c>
      <c r="D84" s="548"/>
      <c r="E84" s="548"/>
    </row>
    <row r="85" spans="1:5" x14ac:dyDescent="0.25">
      <c r="A85" s="548"/>
      <c r="B85" s="192" t="str">
        <f>IF(A85&lt;&gt;"",INDEX('Base de données'!A$4:L$990,MATCH(A85,'Base de données'!A$4:A$990,0),2),"")</f>
        <v/>
      </c>
      <c r="C85" s="192" t="str">
        <f>IF(A85&lt;&gt;"",INDEX('Base de données'!A$4:L$990,MATCH(A85,'Base de données'!A$4:A$990,0),12),"")</f>
        <v/>
      </c>
      <c r="D85" s="548"/>
      <c r="E85" s="548"/>
    </row>
    <row r="86" spans="1:5" x14ac:dyDescent="0.25">
      <c r="A86" s="548"/>
      <c r="B86" s="192" t="str">
        <f>IF(A86&lt;&gt;"",INDEX('Base de données'!A$4:L$990,MATCH(A86,'Base de données'!A$4:A$990,0),2),"")</f>
        <v/>
      </c>
      <c r="C86" s="192" t="str">
        <f>IF(A86&lt;&gt;"",INDEX('Base de données'!A$4:L$990,MATCH(A86,'Base de données'!A$4:A$990,0),12),"")</f>
        <v/>
      </c>
      <c r="D86" s="548"/>
      <c r="E86" s="548"/>
    </row>
    <row r="87" spans="1:5" x14ac:dyDescent="0.25">
      <c r="A87" s="548"/>
      <c r="B87" s="192" t="str">
        <f>IF(A87&lt;&gt;"",INDEX('Base de données'!A$4:L$990,MATCH(A87,'Base de données'!A$4:A$990,0),2),"")</f>
        <v/>
      </c>
      <c r="C87" s="192" t="str">
        <f>IF(A87&lt;&gt;"",INDEX('Base de données'!A$4:L$990,MATCH(A87,'Base de données'!A$4:A$990,0),12),"")</f>
        <v/>
      </c>
      <c r="D87" s="548"/>
      <c r="E87" s="548"/>
    </row>
    <row r="88" spans="1:5" x14ac:dyDescent="0.25">
      <c r="A88" s="548"/>
      <c r="B88" s="192" t="str">
        <f>IF(A88&lt;&gt;"",INDEX('Base de données'!A$4:L$990,MATCH(A88,'Base de données'!A$4:A$990,0),2),"")</f>
        <v/>
      </c>
      <c r="C88" s="192" t="str">
        <f>IF(A88&lt;&gt;"",INDEX('Base de données'!A$4:L$990,MATCH(A88,'Base de données'!A$4:A$990,0),12),"")</f>
        <v/>
      </c>
      <c r="D88" s="548"/>
      <c r="E88" s="548"/>
    </row>
    <row r="89" spans="1:5" x14ac:dyDescent="0.25">
      <c r="A89" s="548"/>
      <c r="B89" s="192" t="str">
        <f>IF(A89&lt;&gt;"",INDEX('Base de données'!A$4:L$990,MATCH(A89,'Base de données'!A$4:A$990,0),2),"")</f>
        <v/>
      </c>
      <c r="C89" s="192" t="str">
        <f>IF(A89&lt;&gt;"",INDEX('Base de données'!A$4:L$990,MATCH(A89,'Base de données'!A$4:A$990,0),12),"")</f>
        <v/>
      </c>
      <c r="D89" s="548"/>
      <c r="E89" s="548"/>
    </row>
    <row r="90" spans="1:5" x14ac:dyDescent="0.25">
      <c r="A90" s="548"/>
      <c r="B90" s="192" t="str">
        <f>IF(A90&lt;&gt;"",INDEX('Base de données'!A$4:L$990,MATCH(A90,'Base de données'!A$4:A$990,0),2),"")</f>
        <v/>
      </c>
      <c r="C90" s="192" t="str">
        <f>IF(A90&lt;&gt;"",INDEX('Base de données'!A$4:L$990,MATCH(A90,'Base de données'!A$4:A$990,0),12),"")</f>
        <v/>
      </c>
      <c r="D90" s="548"/>
      <c r="E90" s="548"/>
    </row>
    <row r="91" spans="1:5" x14ac:dyDescent="0.25">
      <c r="A91" s="548"/>
      <c r="B91" s="192" t="str">
        <f>IF(A91&lt;&gt;"",INDEX('Base de données'!A$4:L$990,MATCH(A91,'Base de données'!A$4:A$990,0),2),"")</f>
        <v/>
      </c>
      <c r="C91" s="192" t="str">
        <f>IF(A91&lt;&gt;"",INDEX('Base de données'!A$4:L$990,MATCH(A91,'Base de données'!A$4:A$990,0),12),"")</f>
        <v/>
      </c>
      <c r="D91" s="548"/>
      <c r="E91" s="548"/>
    </row>
    <row r="92" spans="1:5" x14ac:dyDescent="0.25">
      <c r="A92" s="548"/>
      <c r="B92" s="192" t="str">
        <f>IF(A92&lt;&gt;"",INDEX('Base de données'!A$4:L$990,MATCH(A92,'Base de données'!A$4:A$990,0),2),"")</f>
        <v/>
      </c>
      <c r="C92" s="192" t="str">
        <f>IF(A92&lt;&gt;"",INDEX('Base de données'!A$4:L$990,MATCH(A92,'Base de données'!A$4:A$990,0),12),"")</f>
        <v/>
      </c>
      <c r="D92" s="548"/>
      <c r="E92" s="548"/>
    </row>
    <row r="93" spans="1:5" x14ac:dyDescent="0.25">
      <c r="A93" s="548"/>
      <c r="B93" s="192" t="str">
        <f>IF(A93&lt;&gt;"",INDEX('Base de données'!A$4:L$990,MATCH(A93,'Base de données'!A$4:A$990,0),2),"")</f>
        <v/>
      </c>
      <c r="C93" s="192" t="str">
        <f>IF(A93&lt;&gt;"",INDEX('Base de données'!A$4:L$990,MATCH(A93,'Base de données'!A$4:A$990,0),12),"")</f>
        <v/>
      </c>
      <c r="D93" s="548"/>
      <c r="E93" s="548"/>
    </row>
    <row r="94" spans="1:5" x14ac:dyDescent="0.25">
      <c r="A94" s="548"/>
      <c r="B94" s="192" t="str">
        <f>IF(A94&lt;&gt;"",INDEX('Base de données'!A$4:L$990,MATCH(A94,'Base de données'!A$4:A$990,0),2),"")</f>
        <v/>
      </c>
      <c r="C94" s="192" t="str">
        <f>IF(A94&lt;&gt;"",INDEX('Base de données'!A$4:L$990,MATCH(A94,'Base de données'!A$4:A$990,0),12),"")</f>
        <v/>
      </c>
      <c r="D94" s="548"/>
      <c r="E94" s="548"/>
    </row>
    <row r="95" spans="1:5" x14ac:dyDescent="0.25">
      <c r="A95" s="548"/>
      <c r="B95" s="192" t="str">
        <f>IF(A95&lt;&gt;"",INDEX('Base de données'!A$4:L$990,MATCH(A95,'Base de données'!A$4:A$990,0),2),"")</f>
        <v/>
      </c>
      <c r="C95" s="192" t="str">
        <f>IF(A95&lt;&gt;"",INDEX('Base de données'!A$4:L$990,MATCH(A95,'Base de données'!A$4:A$990,0),12),"")</f>
        <v/>
      </c>
      <c r="D95" s="548"/>
      <c r="E95" s="548"/>
    </row>
    <row r="96" spans="1:5" x14ac:dyDescent="0.25">
      <c r="A96" s="548"/>
      <c r="B96" s="192" t="str">
        <f>IF(A96&lt;&gt;"",INDEX('Base de données'!A$4:L$990,MATCH(A96,'Base de données'!A$4:A$990,0),2),"")</f>
        <v/>
      </c>
      <c r="C96" s="192" t="str">
        <f>IF(A96&lt;&gt;"",INDEX('Base de données'!A$4:L$990,MATCH(A96,'Base de données'!A$4:A$990,0),12),"")</f>
        <v/>
      </c>
      <c r="D96" s="548"/>
      <c r="E96" s="548"/>
    </row>
    <row r="97" spans="1:5" x14ac:dyDescent="0.25">
      <c r="A97" s="548"/>
      <c r="B97" s="192" t="str">
        <f>IF(A97&lt;&gt;"",INDEX('Base de données'!A$4:L$990,MATCH(A97,'Base de données'!A$4:A$990,0),2),"")</f>
        <v/>
      </c>
      <c r="C97" s="192" t="str">
        <f>IF(A97&lt;&gt;"",INDEX('Base de données'!A$4:L$990,MATCH(A97,'Base de données'!A$4:A$990,0),12),"")</f>
        <v/>
      </c>
      <c r="D97" s="548"/>
      <c r="E97" s="548"/>
    </row>
    <row r="98" spans="1:5" x14ac:dyDescent="0.25">
      <c r="A98" s="548"/>
      <c r="B98" s="192" t="str">
        <f>IF(A98&lt;&gt;"",INDEX('Base de données'!A$4:L$990,MATCH(A98,'Base de données'!A$4:A$990,0),2),"")</f>
        <v/>
      </c>
      <c r="C98" s="192" t="str">
        <f>IF(A98&lt;&gt;"",INDEX('Base de données'!A$4:L$990,MATCH(A98,'Base de données'!A$4:A$990,0),12),"")</f>
        <v/>
      </c>
      <c r="D98" s="548"/>
      <c r="E98" s="548"/>
    </row>
    <row r="99" spans="1:5" x14ac:dyDescent="0.25">
      <c r="A99" s="548"/>
      <c r="B99" s="192" t="str">
        <f>IF(A99&lt;&gt;"",INDEX('Base de données'!A$4:L$990,MATCH(A99,'Base de données'!A$4:A$990,0),2),"")</f>
        <v/>
      </c>
      <c r="C99" s="192" t="str">
        <f>IF(A99&lt;&gt;"",INDEX('Base de données'!A$4:L$990,MATCH(A99,'Base de données'!A$4:A$990,0),12),"")</f>
        <v/>
      </c>
      <c r="D99" s="548"/>
      <c r="E99" s="548"/>
    </row>
    <row r="100" spans="1:5" x14ac:dyDescent="0.25">
      <c r="A100" s="548"/>
      <c r="B100" s="192" t="str">
        <f>IF(A100&lt;&gt;"",INDEX('Base de données'!A$4:L$990,MATCH(A100,'Base de données'!A$4:A$990,0),2),"")</f>
        <v/>
      </c>
      <c r="C100" s="192" t="str">
        <f>IF(A100&lt;&gt;"",INDEX('Base de données'!A$4:L$990,MATCH(A100,'Base de données'!A$4:A$990,0),12),"")</f>
        <v/>
      </c>
      <c r="D100" s="548"/>
      <c r="E100" s="548"/>
    </row>
    <row r="101" spans="1:5" x14ac:dyDescent="0.25">
      <c r="A101" s="548"/>
      <c r="B101" s="192" t="str">
        <f>IF(A101&lt;&gt;"",INDEX('Base de données'!A$4:L$990,MATCH(A101,'Base de données'!A$4:A$990,0),2),"")</f>
        <v/>
      </c>
      <c r="C101" s="192" t="str">
        <f>IF(A101&lt;&gt;"",INDEX('Base de données'!A$4:L$990,MATCH(A101,'Base de données'!A$4:A$990,0),12),"")</f>
        <v/>
      </c>
      <c r="D101" s="548"/>
      <c r="E101" s="548"/>
    </row>
    <row r="102" spans="1:5" x14ac:dyDescent="0.25">
      <c r="A102" s="548"/>
      <c r="B102" s="192" t="str">
        <f>IF(A102&lt;&gt;"",INDEX('Base de données'!A$4:L$990,MATCH(A102,'Base de données'!A$4:A$990,0),2),"")</f>
        <v/>
      </c>
      <c r="C102" s="192" t="str">
        <f>IF(A102&lt;&gt;"",INDEX('Base de données'!A$4:L$990,MATCH(A102,'Base de données'!A$4:A$990,0),12),"")</f>
        <v/>
      </c>
      <c r="D102" s="548"/>
      <c r="E102" s="548"/>
    </row>
    <row r="103" spans="1:5" x14ac:dyDescent="0.25">
      <c r="A103" s="548"/>
      <c r="B103" s="192" t="str">
        <f>IF(A103&lt;&gt;"",INDEX('Base de données'!A$4:L$990,MATCH(A103,'Base de données'!A$4:A$990,0),2),"")</f>
        <v/>
      </c>
      <c r="C103" s="192" t="str">
        <f>IF(A103&lt;&gt;"",INDEX('Base de données'!A$4:L$990,MATCH(A103,'Base de données'!A$4:A$990,0),12),"")</f>
        <v/>
      </c>
      <c r="D103" s="548"/>
      <c r="E103" s="548"/>
    </row>
    <row r="104" spans="1:5" x14ac:dyDescent="0.25">
      <c r="A104" s="548"/>
      <c r="B104" s="192" t="str">
        <f>IF(A104&lt;&gt;"",INDEX('Base de données'!A$4:L$990,MATCH(A104,'Base de données'!A$4:A$990,0),2),"")</f>
        <v/>
      </c>
      <c r="C104" s="192" t="str">
        <f>IF(A104&lt;&gt;"",INDEX('Base de données'!A$4:L$990,MATCH(A104,'Base de données'!A$4:A$990,0),12),"")</f>
        <v/>
      </c>
      <c r="D104" s="548"/>
      <c r="E104" s="548"/>
    </row>
    <row r="105" spans="1:5" x14ac:dyDescent="0.25">
      <c r="A105" s="548"/>
      <c r="B105" s="192" t="str">
        <f>IF(A105&lt;&gt;"",INDEX('Base de données'!A$4:L$990,MATCH(A105,'Base de données'!A$4:A$990,0),2),"")</f>
        <v/>
      </c>
      <c r="C105" s="192" t="str">
        <f>IF(A105&lt;&gt;"",INDEX('Base de données'!A$4:L$990,MATCH(A105,'Base de données'!A$4:A$990,0),12),"")</f>
        <v/>
      </c>
      <c r="D105" s="548"/>
      <c r="E105" s="548"/>
    </row>
    <row r="106" spans="1:5" x14ac:dyDescent="0.25">
      <c r="A106" s="548"/>
      <c r="B106" s="192" t="str">
        <f>IF(A106&lt;&gt;"",INDEX('Base de données'!A$4:L$990,MATCH(A106,'Base de données'!A$4:A$990,0),2),"")</f>
        <v/>
      </c>
      <c r="C106" s="192" t="str">
        <f>IF(A106&lt;&gt;"",INDEX('Base de données'!A$4:L$990,MATCH(A106,'Base de données'!A$4:A$990,0),12),"")</f>
        <v/>
      </c>
      <c r="D106" s="548"/>
      <c r="E106" s="548"/>
    </row>
    <row r="107" spans="1:5" x14ac:dyDescent="0.25">
      <c r="A107" s="548"/>
      <c r="B107" s="192" t="str">
        <f>IF(A107&lt;&gt;"",INDEX('Base de données'!A$4:L$990,MATCH(A107,'Base de données'!A$4:A$990,0),2),"")</f>
        <v/>
      </c>
      <c r="C107" s="192" t="str">
        <f>IF(A107&lt;&gt;"",INDEX('Base de données'!A$4:L$990,MATCH(A107,'Base de données'!A$4:A$990,0),12),"")</f>
        <v/>
      </c>
      <c r="D107" s="548"/>
      <c r="E107" s="548"/>
    </row>
    <row r="108" spans="1:5" x14ac:dyDescent="0.25">
      <c r="A108" s="548"/>
      <c r="B108" s="192" t="str">
        <f>IF(A108&lt;&gt;"",INDEX('Base de données'!A$4:L$990,MATCH(A108,'Base de données'!A$4:A$990,0),2),"")</f>
        <v/>
      </c>
      <c r="C108" s="192" t="str">
        <f>IF(A108&lt;&gt;"",INDEX('Base de données'!A$4:L$990,MATCH(A108,'Base de données'!A$4:A$990,0),12),"")</f>
        <v/>
      </c>
      <c r="D108" s="548"/>
      <c r="E108" s="548"/>
    </row>
    <row r="109" spans="1:5" x14ac:dyDescent="0.25">
      <c r="A109" s="548"/>
      <c r="B109" s="192" t="str">
        <f>IF(A109&lt;&gt;"",INDEX('Base de données'!A$4:L$990,MATCH(A109,'Base de données'!A$4:A$990,0),2),"")</f>
        <v/>
      </c>
      <c r="C109" s="192" t="str">
        <f>IF(A109&lt;&gt;"",INDEX('Base de données'!A$4:L$990,MATCH(A109,'Base de données'!A$4:A$990,0),12),"")</f>
        <v/>
      </c>
      <c r="D109" s="548"/>
      <c r="E109" s="548"/>
    </row>
    <row r="110" spans="1:5" x14ac:dyDescent="0.25">
      <c r="A110" s="548"/>
      <c r="B110" s="192" t="str">
        <f>IF(A110&lt;&gt;"",INDEX('Base de données'!A$4:L$990,MATCH(A110,'Base de données'!A$4:A$990,0),2),"")</f>
        <v/>
      </c>
      <c r="C110" s="192" t="str">
        <f>IF(A110&lt;&gt;"",INDEX('Base de données'!A$4:L$990,MATCH(A110,'Base de données'!A$4:A$990,0),12),"")</f>
        <v/>
      </c>
      <c r="D110" s="548"/>
      <c r="E110" s="548"/>
    </row>
    <row r="111" spans="1:5" x14ac:dyDescent="0.25">
      <c r="A111" s="548"/>
      <c r="B111" s="192" t="str">
        <f>IF(A111&lt;&gt;"",INDEX('Base de données'!A$4:L$990,MATCH(A111,'Base de données'!A$4:A$990,0),2),"")</f>
        <v/>
      </c>
      <c r="C111" s="192" t="str">
        <f>IF(A111&lt;&gt;"",INDEX('Base de données'!A$4:L$990,MATCH(A111,'Base de données'!A$4:A$990,0),12),"")</f>
        <v/>
      </c>
      <c r="D111" s="548"/>
      <c r="E111" s="548"/>
    </row>
    <row r="112" spans="1:5" x14ac:dyDescent="0.25">
      <c r="A112" s="548"/>
      <c r="B112" s="192" t="str">
        <f>IF(A112&lt;&gt;"",INDEX('Base de données'!A$4:L$990,MATCH(A112,'Base de données'!A$4:A$990,0),2),"")</f>
        <v/>
      </c>
      <c r="C112" s="192" t="str">
        <f>IF(A112&lt;&gt;"",INDEX('Base de données'!A$4:L$990,MATCH(A112,'Base de données'!A$4:A$990,0),12),"")</f>
        <v/>
      </c>
      <c r="D112" s="548"/>
      <c r="E112" s="548"/>
    </row>
    <row r="113" spans="1:5" x14ac:dyDescent="0.25">
      <c r="A113" s="548"/>
      <c r="B113" s="192" t="str">
        <f>IF(A113&lt;&gt;"",INDEX('Base de données'!A$4:L$990,MATCH(A113,'Base de données'!A$4:A$990,0),2),"")</f>
        <v/>
      </c>
      <c r="C113" s="192" t="str">
        <f>IF(A113&lt;&gt;"",INDEX('Base de données'!A$4:L$990,MATCH(A113,'Base de données'!A$4:A$990,0),12),"")</f>
        <v/>
      </c>
      <c r="D113" s="548"/>
      <c r="E113" s="548"/>
    </row>
    <row r="114" spans="1:5" x14ac:dyDescent="0.25">
      <c r="A114" s="548"/>
      <c r="B114" s="192" t="str">
        <f>IF(A114&lt;&gt;"",INDEX('Base de données'!A$4:L$990,MATCH(A114,'Base de données'!A$4:A$990,0),2),"")</f>
        <v/>
      </c>
      <c r="C114" s="192" t="str">
        <f>IF(A114&lt;&gt;"",INDEX('Base de données'!A$4:L$990,MATCH(A114,'Base de données'!A$4:A$990,0),12),"")</f>
        <v/>
      </c>
      <c r="D114" s="548"/>
      <c r="E114" s="548"/>
    </row>
    <row r="115" spans="1:5" x14ac:dyDescent="0.25">
      <c r="A115" s="548"/>
      <c r="B115" s="192" t="str">
        <f>IF(A115&lt;&gt;"",INDEX('Base de données'!A$4:L$990,MATCH(A115,'Base de données'!A$4:A$990,0),2),"")</f>
        <v/>
      </c>
      <c r="C115" s="192" t="str">
        <f>IF(A115&lt;&gt;"",INDEX('Base de données'!A$4:L$990,MATCH(A115,'Base de données'!A$4:A$990,0),12),"")</f>
        <v/>
      </c>
      <c r="D115" s="548"/>
      <c r="E115" s="548"/>
    </row>
    <row r="116" spans="1:5" x14ac:dyDescent="0.25">
      <c r="A116" s="548"/>
      <c r="B116" s="192" t="str">
        <f>IF(A116&lt;&gt;"",INDEX('Base de données'!A$4:L$990,MATCH(A116,'Base de données'!A$4:A$990,0),2),"")</f>
        <v/>
      </c>
      <c r="C116" s="192" t="str">
        <f>IF(A116&lt;&gt;"",INDEX('Base de données'!A$4:L$990,MATCH(A116,'Base de données'!A$4:A$990,0),12),"")</f>
        <v/>
      </c>
      <c r="D116" s="548"/>
      <c r="E116" s="548"/>
    </row>
    <row r="117" spans="1:5" x14ac:dyDescent="0.25">
      <c r="A117" s="548"/>
      <c r="B117" s="192" t="str">
        <f>IF(A117&lt;&gt;"",INDEX('Base de données'!A$4:L$990,MATCH(A117,'Base de données'!A$4:A$990,0),2),"")</f>
        <v/>
      </c>
      <c r="C117" s="192" t="str">
        <f>IF(A117&lt;&gt;"",INDEX('Base de données'!A$4:L$990,MATCH(A117,'Base de données'!A$4:A$990,0),12),"")</f>
        <v/>
      </c>
      <c r="D117" s="548"/>
      <c r="E117" s="548"/>
    </row>
    <row r="118" spans="1:5" x14ac:dyDescent="0.25">
      <c r="A118" s="548"/>
      <c r="B118" s="192" t="str">
        <f>IF(A118&lt;&gt;"",INDEX('Base de données'!A$4:L$990,MATCH(A118,'Base de données'!A$4:A$990,0),2),"")</f>
        <v/>
      </c>
      <c r="C118" s="192" t="str">
        <f>IF(A118&lt;&gt;"",INDEX('Base de données'!A$4:L$990,MATCH(A118,'Base de données'!A$4:A$990,0),12),"")</f>
        <v/>
      </c>
      <c r="D118" s="548"/>
      <c r="E118" s="548"/>
    </row>
    <row r="119" spans="1:5" x14ac:dyDescent="0.25">
      <c r="A119" s="548"/>
      <c r="B119" s="192" t="str">
        <f>IF(A119&lt;&gt;"",INDEX('Base de données'!A$4:L$990,MATCH(A119,'Base de données'!A$4:A$990,0),2),"")</f>
        <v/>
      </c>
      <c r="C119" s="192" t="str">
        <f>IF(A119&lt;&gt;"",INDEX('Base de données'!A$4:L$990,MATCH(A119,'Base de données'!A$4:A$990,0),12),"")</f>
        <v/>
      </c>
      <c r="D119" s="548"/>
      <c r="E119" s="548"/>
    </row>
    <row r="120" spans="1:5" x14ac:dyDescent="0.25">
      <c r="A120" s="548"/>
      <c r="B120" s="192" t="str">
        <f>IF(A120&lt;&gt;"",INDEX('Base de données'!A$4:L$990,MATCH(A120,'Base de données'!A$4:A$990,0),2),"")</f>
        <v/>
      </c>
      <c r="C120" s="192" t="str">
        <f>IF(A120&lt;&gt;"",INDEX('Base de données'!A$4:L$990,MATCH(A120,'Base de données'!A$4:A$990,0),12),"")</f>
        <v/>
      </c>
      <c r="D120" s="548"/>
      <c r="E120" s="548"/>
    </row>
    <row r="121" spans="1:5" x14ac:dyDescent="0.25">
      <c r="A121" s="548"/>
      <c r="B121" s="192" t="str">
        <f>IF(A121&lt;&gt;"",INDEX('Base de données'!A$4:L$990,MATCH(A121,'Base de données'!A$4:A$990,0),2),"")</f>
        <v/>
      </c>
      <c r="C121" s="192" t="str">
        <f>IF(A121&lt;&gt;"",INDEX('Base de données'!A$4:L$990,MATCH(A121,'Base de données'!A$4:A$990,0),12),"")</f>
        <v/>
      </c>
      <c r="D121" s="548"/>
      <c r="E121" s="548"/>
    </row>
    <row r="122" spans="1:5" x14ac:dyDescent="0.25">
      <c r="A122" s="548"/>
      <c r="B122" s="192" t="str">
        <f>IF(A122&lt;&gt;"",INDEX('Base de données'!A$4:L$990,MATCH(A122,'Base de données'!A$4:A$990,0),2),"")</f>
        <v/>
      </c>
      <c r="C122" s="192" t="str">
        <f>IF(A122&lt;&gt;"",INDEX('Base de données'!A$4:L$990,MATCH(A122,'Base de données'!A$4:A$990,0),12),"")</f>
        <v/>
      </c>
      <c r="D122" s="548"/>
      <c r="E122" s="548"/>
    </row>
    <row r="123" spans="1:5" x14ac:dyDescent="0.25">
      <c r="A123" s="548"/>
      <c r="B123" s="192" t="str">
        <f>IF(A123&lt;&gt;"",INDEX('Base de données'!A$4:L$990,MATCH(A123,'Base de données'!A$4:A$990,0),2),"")</f>
        <v/>
      </c>
      <c r="C123" s="192" t="str">
        <f>IF(A123&lt;&gt;"",INDEX('Base de données'!A$4:L$990,MATCH(A123,'Base de données'!A$4:A$990,0),12),"")</f>
        <v/>
      </c>
      <c r="D123" s="548"/>
      <c r="E123" s="548"/>
    </row>
    <row r="124" spans="1:5" x14ac:dyDescent="0.25">
      <c r="A124" s="548"/>
      <c r="B124" s="192" t="str">
        <f>IF(A124&lt;&gt;"",INDEX('Base de données'!A$4:L$990,MATCH(A124,'Base de données'!A$4:A$990,0),2),"")</f>
        <v/>
      </c>
      <c r="C124" s="192" t="str">
        <f>IF(A124&lt;&gt;"",INDEX('Base de données'!A$4:L$990,MATCH(A124,'Base de données'!A$4:A$990,0),12),"")</f>
        <v/>
      </c>
      <c r="D124" s="548"/>
      <c r="E124" s="548"/>
    </row>
    <row r="125" spans="1:5" x14ac:dyDescent="0.25">
      <c r="A125" s="548"/>
      <c r="B125" s="192" t="str">
        <f>IF(A125&lt;&gt;"",INDEX('Base de données'!A$4:L$990,MATCH(A125,'Base de données'!A$4:A$990,0),2),"")</f>
        <v/>
      </c>
      <c r="C125" s="192" t="str">
        <f>IF(A125&lt;&gt;"",INDEX('Base de données'!A$4:L$990,MATCH(A125,'Base de données'!A$4:A$990,0),12),"")</f>
        <v/>
      </c>
      <c r="D125" s="548"/>
      <c r="E125" s="548"/>
    </row>
    <row r="126" spans="1:5" x14ac:dyDescent="0.25">
      <c r="A126" s="548"/>
      <c r="B126" s="192" t="str">
        <f>IF(A126&lt;&gt;"",INDEX('Base de données'!A$4:L$990,MATCH(A126,'Base de données'!A$4:A$990,0),2),"")</f>
        <v/>
      </c>
      <c r="C126" s="192" t="str">
        <f>IF(A126&lt;&gt;"",INDEX('Base de données'!A$4:L$990,MATCH(A126,'Base de données'!A$4:A$990,0),12),"")</f>
        <v/>
      </c>
      <c r="D126" s="548"/>
      <c r="E126" s="548"/>
    </row>
    <row r="127" spans="1:5" x14ac:dyDescent="0.25">
      <c r="A127" s="548"/>
      <c r="B127" s="192" t="str">
        <f>IF(A127&lt;&gt;"",INDEX('Base de données'!A$4:L$990,MATCH(A127,'Base de données'!A$4:A$990,0),2),"")</f>
        <v/>
      </c>
      <c r="C127" s="192" t="str">
        <f>IF(A127&lt;&gt;"",INDEX('Base de données'!A$4:L$990,MATCH(A127,'Base de données'!A$4:A$990,0),12),"")</f>
        <v/>
      </c>
      <c r="D127" s="548"/>
      <c r="E127" s="548"/>
    </row>
    <row r="128" spans="1:5" x14ac:dyDescent="0.25">
      <c r="A128" s="548"/>
      <c r="B128" s="192" t="str">
        <f>IF(A128&lt;&gt;"",INDEX('Base de données'!A$4:L$990,MATCH(A128,'Base de données'!A$4:A$990,0),2),"")</f>
        <v/>
      </c>
      <c r="C128" s="192" t="str">
        <f>IF(A128&lt;&gt;"",INDEX('Base de données'!A$4:L$990,MATCH(A128,'Base de données'!A$4:A$990,0),12),"")</f>
        <v/>
      </c>
      <c r="D128" s="548"/>
      <c r="E128" s="548"/>
    </row>
    <row r="129" spans="1:5" x14ac:dyDescent="0.25">
      <c r="A129" s="548"/>
      <c r="B129" s="192" t="str">
        <f>IF(A129&lt;&gt;"",INDEX('Base de données'!A$4:L$990,MATCH(A129,'Base de données'!A$4:A$990,0),2),"")</f>
        <v/>
      </c>
      <c r="C129" s="192" t="str">
        <f>IF(A129&lt;&gt;"",INDEX('Base de données'!A$4:L$990,MATCH(A129,'Base de données'!A$4:A$990,0),12),"")</f>
        <v/>
      </c>
      <c r="D129" s="548"/>
      <c r="E129" s="548"/>
    </row>
    <row r="130" spans="1:5" x14ac:dyDescent="0.25">
      <c r="A130" s="548"/>
      <c r="B130" s="192" t="str">
        <f>IF(A130&lt;&gt;"",INDEX('Base de données'!A$4:L$990,MATCH(A130,'Base de données'!A$4:A$990,0),2),"")</f>
        <v/>
      </c>
      <c r="C130" s="192" t="str">
        <f>IF(A130&lt;&gt;"",INDEX('Base de données'!A$4:L$990,MATCH(A130,'Base de données'!A$4:A$990,0),12),"")</f>
        <v/>
      </c>
      <c r="D130" s="548"/>
      <c r="E130" s="548"/>
    </row>
    <row r="131" spans="1:5" x14ac:dyDescent="0.25">
      <c r="A131" s="548"/>
      <c r="B131" s="192" t="str">
        <f>IF(A131&lt;&gt;"",INDEX('Base de données'!A$4:L$990,MATCH(A131,'Base de données'!A$4:A$990,0),2),"")</f>
        <v/>
      </c>
      <c r="C131" s="192" t="str">
        <f>IF(A131&lt;&gt;"",INDEX('Base de données'!A$4:L$990,MATCH(A131,'Base de données'!A$4:A$990,0),12),"")</f>
        <v/>
      </c>
      <c r="D131" s="548"/>
      <c r="E131" s="548"/>
    </row>
    <row r="132" spans="1:5" x14ac:dyDescent="0.25">
      <c r="A132" s="548"/>
      <c r="B132" s="192" t="str">
        <f>IF(A132&lt;&gt;"",INDEX('Base de données'!A$4:L$990,MATCH(A132,'Base de données'!A$4:A$990,0),2),"")</f>
        <v/>
      </c>
      <c r="C132" s="192" t="str">
        <f>IF(A132&lt;&gt;"",INDEX('Base de données'!A$4:L$990,MATCH(A132,'Base de données'!A$4:A$990,0),12),"")</f>
        <v/>
      </c>
      <c r="D132" s="548"/>
      <c r="E132" s="548"/>
    </row>
    <row r="133" spans="1:5" x14ac:dyDescent="0.25">
      <c r="A133" s="548"/>
      <c r="B133" s="192" t="str">
        <f>IF(A133&lt;&gt;"",INDEX('Base de données'!A$4:L$990,MATCH(A133,'Base de données'!A$4:A$990,0),2),"")</f>
        <v/>
      </c>
      <c r="C133" s="192" t="str">
        <f>IF(A133&lt;&gt;"",INDEX('Base de données'!A$4:L$990,MATCH(A133,'Base de données'!A$4:A$990,0),12),"")</f>
        <v/>
      </c>
      <c r="D133" s="548"/>
      <c r="E133" s="548"/>
    </row>
    <row r="134" spans="1:5" x14ac:dyDescent="0.25">
      <c r="A134" s="548"/>
      <c r="B134" s="192" t="str">
        <f>IF(A134&lt;&gt;"",INDEX('Base de données'!A$4:L$990,MATCH(A134,'Base de données'!A$4:A$990,0),2),"")</f>
        <v/>
      </c>
      <c r="C134" s="192" t="str">
        <f>IF(A134&lt;&gt;"",INDEX('Base de données'!A$4:L$990,MATCH(A134,'Base de données'!A$4:A$990,0),12),"")</f>
        <v/>
      </c>
      <c r="D134" s="548"/>
      <c r="E134" s="548"/>
    </row>
    <row r="135" spans="1:5" x14ac:dyDescent="0.25">
      <c r="A135" s="548"/>
      <c r="B135" s="192" t="str">
        <f>IF(A135&lt;&gt;"",INDEX('Base de données'!A$4:L$990,MATCH(A135,'Base de données'!A$4:A$990,0),2),"")</f>
        <v/>
      </c>
      <c r="C135" s="192" t="str">
        <f>IF(A135&lt;&gt;"",INDEX('Base de données'!A$4:L$990,MATCH(A135,'Base de données'!A$4:A$990,0),12),"")</f>
        <v/>
      </c>
      <c r="D135" s="548"/>
      <c r="E135" s="548"/>
    </row>
    <row r="136" spans="1:5" x14ac:dyDescent="0.25">
      <c r="A136" s="548"/>
      <c r="B136" s="192" t="str">
        <f>IF(A136&lt;&gt;"",INDEX('Base de données'!A$4:L$990,MATCH(A136,'Base de données'!A$4:A$990,0),2),"")</f>
        <v/>
      </c>
      <c r="C136" s="192" t="str">
        <f>IF(A136&lt;&gt;"",INDEX('Base de données'!A$4:L$990,MATCH(A136,'Base de données'!A$4:A$990,0),12),"")</f>
        <v/>
      </c>
      <c r="D136" s="548"/>
      <c r="E136" s="548"/>
    </row>
    <row r="137" spans="1:5" x14ac:dyDescent="0.25">
      <c r="A137" s="548"/>
      <c r="B137" s="192" t="str">
        <f>IF(A137&lt;&gt;"",INDEX('Base de données'!A$4:L$990,MATCH(A137,'Base de données'!A$4:A$990,0),2),"")</f>
        <v/>
      </c>
      <c r="C137" s="192" t="str">
        <f>IF(A137&lt;&gt;"",INDEX('Base de données'!A$4:L$990,MATCH(A137,'Base de données'!A$4:A$990,0),12),"")</f>
        <v/>
      </c>
      <c r="D137" s="548"/>
      <c r="E137" s="548"/>
    </row>
    <row r="138" spans="1:5" x14ac:dyDescent="0.25">
      <c r="A138" s="548"/>
      <c r="B138" s="192" t="str">
        <f>IF(A138&lt;&gt;"",INDEX('Base de données'!A$4:L$990,MATCH(A138,'Base de données'!A$4:A$990,0),2),"")</f>
        <v/>
      </c>
      <c r="C138" s="192" t="str">
        <f>IF(A138&lt;&gt;"",INDEX('Base de données'!A$4:L$990,MATCH(A138,'Base de données'!A$4:A$990,0),12),"")</f>
        <v/>
      </c>
      <c r="D138" s="548"/>
      <c r="E138" s="548"/>
    </row>
    <row r="139" spans="1:5" x14ac:dyDescent="0.25">
      <c r="A139" s="548"/>
      <c r="B139" s="192" t="str">
        <f>IF(A139&lt;&gt;"",INDEX('Base de données'!A$4:L$990,MATCH(A139,'Base de données'!A$4:A$990,0),2),"")</f>
        <v/>
      </c>
      <c r="C139" s="192" t="str">
        <f>IF(A139&lt;&gt;"",INDEX('Base de données'!A$4:L$990,MATCH(A139,'Base de données'!A$4:A$990,0),12),"")</f>
        <v/>
      </c>
      <c r="D139" s="548"/>
      <c r="E139" s="548"/>
    </row>
    <row r="140" spans="1:5" x14ac:dyDescent="0.25">
      <c r="A140" s="548"/>
      <c r="B140" s="192" t="str">
        <f>IF(A140&lt;&gt;"",INDEX('Base de données'!A$4:L$990,MATCH(A140,'Base de données'!A$4:A$990,0),2),"")</f>
        <v/>
      </c>
      <c r="C140" s="192" t="str">
        <f>IF(A140&lt;&gt;"",INDEX('Base de données'!A$4:L$990,MATCH(A140,'Base de données'!A$4:A$990,0),12),"")</f>
        <v/>
      </c>
      <c r="D140" s="548"/>
      <c r="E140" s="548"/>
    </row>
    <row r="141" spans="1:5" x14ac:dyDescent="0.25">
      <c r="A141" s="548"/>
      <c r="B141" s="192" t="str">
        <f>IF(A141&lt;&gt;"",INDEX('Base de données'!A$4:L$990,MATCH(A141,'Base de données'!A$4:A$990,0),2),"")</f>
        <v/>
      </c>
      <c r="C141" s="192" t="str">
        <f>IF(A141&lt;&gt;"",INDEX('Base de données'!A$4:L$990,MATCH(A141,'Base de données'!A$4:A$990,0),12),"")</f>
        <v/>
      </c>
      <c r="D141" s="548"/>
      <c r="E141" s="548"/>
    </row>
    <row r="142" spans="1:5" x14ac:dyDescent="0.25">
      <c r="A142" s="548"/>
      <c r="B142" s="192" t="str">
        <f>IF(A142&lt;&gt;"",INDEX('Base de données'!A$4:L$990,MATCH(A142,'Base de données'!A$4:A$990,0),2),"")</f>
        <v/>
      </c>
      <c r="C142" s="192" t="str">
        <f>IF(A142&lt;&gt;"",INDEX('Base de données'!A$4:L$990,MATCH(A142,'Base de données'!A$4:A$990,0),12),"")</f>
        <v/>
      </c>
      <c r="D142" s="548"/>
      <c r="E142" s="548"/>
    </row>
    <row r="143" spans="1:5" x14ac:dyDescent="0.25">
      <c r="A143" s="548"/>
      <c r="B143" s="192" t="str">
        <f>IF(A143&lt;&gt;"",INDEX('Base de données'!A$4:L$990,MATCH(A143,'Base de données'!A$4:A$990,0),2),"")</f>
        <v/>
      </c>
      <c r="C143" s="192" t="str">
        <f>IF(A143&lt;&gt;"",INDEX('Base de données'!A$4:L$990,MATCH(A143,'Base de données'!A$4:A$990,0),12),"")</f>
        <v/>
      </c>
      <c r="D143" s="548"/>
      <c r="E143" s="548"/>
    </row>
    <row r="144" spans="1:5" x14ac:dyDescent="0.25">
      <c r="A144" s="548"/>
      <c r="B144" s="192" t="str">
        <f>IF(A144&lt;&gt;"",INDEX('Base de données'!A$4:L$990,MATCH(A144,'Base de données'!A$4:A$990,0),2),"")</f>
        <v/>
      </c>
      <c r="C144" s="192" t="str">
        <f>IF(A144&lt;&gt;"",INDEX('Base de données'!A$4:L$990,MATCH(A144,'Base de données'!A$4:A$990,0),12),"")</f>
        <v/>
      </c>
      <c r="D144" s="548"/>
      <c r="E144" s="548"/>
    </row>
    <row r="145" spans="1:5" x14ac:dyDescent="0.25">
      <c r="A145" s="548"/>
      <c r="B145" s="192" t="str">
        <f>IF(A145&lt;&gt;"",INDEX('Base de données'!A$4:L$990,MATCH(A145,'Base de données'!A$4:A$990,0),2),"")</f>
        <v/>
      </c>
      <c r="C145" s="192" t="str">
        <f>IF(A145&lt;&gt;"",INDEX('Base de données'!A$4:L$990,MATCH(A145,'Base de données'!A$4:A$990,0),12),"")</f>
        <v/>
      </c>
      <c r="D145" s="548"/>
      <c r="E145" s="548"/>
    </row>
    <row r="146" spans="1:5" x14ac:dyDescent="0.25">
      <c r="A146" s="548"/>
      <c r="B146" s="192" t="str">
        <f>IF(A146&lt;&gt;"",INDEX('Base de données'!A$4:L$990,MATCH(A146,'Base de données'!A$4:A$990,0),2),"")</f>
        <v/>
      </c>
      <c r="C146" s="192" t="str">
        <f>IF(A146&lt;&gt;"",INDEX('Base de données'!A$4:L$990,MATCH(A146,'Base de données'!A$4:A$990,0),12),"")</f>
        <v/>
      </c>
      <c r="D146" s="548"/>
      <c r="E146" s="548"/>
    </row>
    <row r="147" spans="1:5" x14ac:dyDescent="0.25">
      <c r="A147" s="548"/>
      <c r="B147" s="192" t="str">
        <f>IF(A147&lt;&gt;"",INDEX('Base de données'!A$4:L$990,MATCH(A147,'Base de données'!A$4:A$990,0),2),"")</f>
        <v/>
      </c>
      <c r="C147" s="192" t="str">
        <f>IF(A147&lt;&gt;"",INDEX('Base de données'!A$4:L$990,MATCH(A147,'Base de données'!A$4:A$990,0),12),"")</f>
        <v/>
      </c>
      <c r="D147" s="548"/>
      <c r="E147" s="548"/>
    </row>
    <row r="148" spans="1:5" x14ac:dyDescent="0.25">
      <c r="A148" s="548"/>
      <c r="B148" s="192" t="str">
        <f>IF(A148&lt;&gt;"",INDEX('Base de données'!A$4:L$990,MATCH(A148,'Base de données'!A$4:A$990,0),2),"")</f>
        <v/>
      </c>
      <c r="C148" s="192" t="str">
        <f>IF(A148&lt;&gt;"",INDEX('Base de données'!A$4:L$990,MATCH(A148,'Base de données'!A$4:A$990,0),12),"")</f>
        <v/>
      </c>
      <c r="D148" s="548"/>
      <c r="E148" s="548"/>
    </row>
    <row r="149" spans="1:5" x14ac:dyDescent="0.25">
      <c r="A149" s="548"/>
      <c r="B149" s="192" t="str">
        <f>IF(A149&lt;&gt;"",INDEX('Base de données'!A$4:L$990,MATCH(A149,'Base de données'!A$4:A$990,0),2),"")</f>
        <v/>
      </c>
      <c r="C149" s="192" t="str">
        <f>IF(A149&lt;&gt;"",INDEX('Base de données'!A$4:L$990,MATCH(A149,'Base de données'!A$4:A$990,0),12),"")</f>
        <v/>
      </c>
      <c r="D149" s="548"/>
      <c r="E149" s="548"/>
    </row>
    <row r="150" spans="1:5" x14ac:dyDescent="0.25">
      <c r="A150" s="548"/>
      <c r="B150" s="192" t="str">
        <f>IF(A150&lt;&gt;"",INDEX('Base de données'!A$4:L$990,MATCH(A150,'Base de données'!A$4:A$990,0),2),"")</f>
        <v/>
      </c>
      <c r="C150" s="192" t="str">
        <f>IF(A150&lt;&gt;"",INDEX('Base de données'!A$4:L$990,MATCH(A150,'Base de données'!A$4:A$990,0),12),"")</f>
        <v/>
      </c>
      <c r="D150" s="548"/>
      <c r="E150" s="548"/>
    </row>
    <row r="151" spans="1:5" x14ac:dyDescent="0.25">
      <c r="A151" s="548"/>
      <c r="B151" s="192" t="str">
        <f>IF(A151&lt;&gt;"",INDEX('Base de données'!A$4:L$990,MATCH(A151,'Base de données'!A$4:A$990,0),2),"")</f>
        <v/>
      </c>
      <c r="C151" s="192" t="str">
        <f>IF(A151&lt;&gt;"",INDEX('Base de données'!A$4:L$990,MATCH(A151,'Base de données'!A$4:A$990,0),12),"")</f>
        <v/>
      </c>
      <c r="D151" s="548"/>
      <c r="E151" s="548"/>
    </row>
    <row r="152" spans="1:5" x14ac:dyDescent="0.25">
      <c r="A152" s="548"/>
      <c r="B152" s="192" t="str">
        <f>IF(A152&lt;&gt;"",INDEX('Base de données'!A$4:L$990,MATCH(A152,'Base de données'!A$4:A$990,0),2),"")</f>
        <v/>
      </c>
      <c r="C152" s="192" t="str">
        <f>IF(A152&lt;&gt;"",INDEX('Base de données'!A$4:L$990,MATCH(A152,'Base de données'!A$4:A$990,0),12),"")</f>
        <v/>
      </c>
      <c r="D152" s="548"/>
      <c r="E152" s="548"/>
    </row>
    <row r="153" spans="1:5" x14ac:dyDescent="0.25">
      <c r="A153" s="548"/>
      <c r="B153" s="192" t="str">
        <f>IF(A153&lt;&gt;"",INDEX('Base de données'!A$4:L$990,MATCH(A153,'Base de données'!A$4:A$990,0),2),"")</f>
        <v/>
      </c>
      <c r="C153" s="192" t="str">
        <f>IF(A153&lt;&gt;"",INDEX('Base de données'!A$4:L$990,MATCH(A153,'Base de données'!A$4:A$990,0),12),"")</f>
        <v/>
      </c>
      <c r="D153" s="548"/>
      <c r="E153" s="548"/>
    </row>
    <row r="154" spans="1:5" x14ac:dyDescent="0.25">
      <c r="A154" s="548"/>
      <c r="B154" s="192" t="str">
        <f>IF(A154&lt;&gt;"",INDEX('Base de données'!A$4:L$990,MATCH(A154,'Base de données'!A$4:A$990,0),2),"")</f>
        <v/>
      </c>
      <c r="C154" s="192" t="str">
        <f>IF(A154&lt;&gt;"",INDEX('Base de données'!A$4:L$990,MATCH(A154,'Base de données'!A$4:A$990,0),12),"")</f>
        <v/>
      </c>
      <c r="D154" s="548"/>
      <c r="E154" s="548"/>
    </row>
    <row r="155" spans="1:5" x14ac:dyDescent="0.25">
      <c r="A155" s="548"/>
      <c r="B155" s="192" t="str">
        <f>IF(A155&lt;&gt;"",INDEX('Base de données'!A$4:L$990,MATCH(A155,'Base de données'!A$4:A$990,0),2),"")</f>
        <v/>
      </c>
      <c r="C155" s="192" t="str">
        <f>IF(A155&lt;&gt;"",INDEX('Base de données'!A$4:L$990,MATCH(A155,'Base de données'!A$4:A$990,0),12),"")</f>
        <v/>
      </c>
      <c r="D155" s="548"/>
      <c r="E155" s="548"/>
    </row>
    <row r="156" spans="1:5" x14ac:dyDescent="0.25">
      <c r="A156" s="548"/>
      <c r="B156" s="192" t="str">
        <f>IF(A156&lt;&gt;"",INDEX('Base de données'!A$4:L$990,MATCH(A156,'Base de données'!A$4:A$990,0),2),"")</f>
        <v/>
      </c>
      <c r="C156" s="192" t="str">
        <f>IF(A156&lt;&gt;"",INDEX('Base de données'!A$4:L$990,MATCH(A156,'Base de données'!A$4:A$990,0),12),"")</f>
        <v/>
      </c>
      <c r="D156" s="548"/>
      <c r="E156" s="548"/>
    </row>
    <row r="157" spans="1:5" x14ac:dyDescent="0.25">
      <c r="A157" s="548"/>
      <c r="B157" s="192" t="str">
        <f>IF(A157&lt;&gt;"",INDEX('Base de données'!A$4:L$990,MATCH(A157,'Base de données'!A$4:A$990,0),2),"")</f>
        <v/>
      </c>
      <c r="C157" s="192" t="str">
        <f>IF(A157&lt;&gt;"",INDEX('Base de données'!A$4:L$990,MATCH(A157,'Base de données'!A$4:A$990,0),12),"")</f>
        <v/>
      </c>
      <c r="D157" s="548"/>
      <c r="E157" s="548"/>
    </row>
    <row r="158" spans="1:5" x14ac:dyDescent="0.25">
      <c r="A158" s="548"/>
      <c r="B158" s="192" t="str">
        <f>IF(A158&lt;&gt;"",INDEX('Base de données'!A$4:L$990,MATCH(A158,'Base de données'!A$4:A$990,0),2),"")</f>
        <v/>
      </c>
      <c r="C158" s="192" t="str">
        <f>IF(A158&lt;&gt;"",INDEX('Base de données'!A$4:L$990,MATCH(A158,'Base de données'!A$4:A$990,0),12),"")</f>
        <v/>
      </c>
      <c r="D158" s="548"/>
      <c r="E158" s="548"/>
    </row>
    <row r="159" spans="1:5" x14ac:dyDescent="0.25">
      <c r="A159" s="548"/>
      <c r="B159" s="192" t="str">
        <f>IF(A159&lt;&gt;"",INDEX('Base de données'!A$4:L$990,MATCH(A159,'Base de données'!A$4:A$990,0),2),"")</f>
        <v/>
      </c>
      <c r="C159" s="192" t="str">
        <f>IF(A159&lt;&gt;"",INDEX('Base de données'!A$4:L$990,MATCH(A159,'Base de données'!A$4:A$990,0),12),"")</f>
        <v/>
      </c>
      <c r="D159" s="548"/>
      <c r="E159" s="548"/>
    </row>
    <row r="160" spans="1:5" x14ac:dyDescent="0.25">
      <c r="A160" s="548"/>
      <c r="B160" s="192" t="str">
        <f>IF(A160&lt;&gt;"",INDEX('Base de données'!A$4:L$990,MATCH(A160,'Base de données'!A$4:A$990,0),2),"")</f>
        <v/>
      </c>
      <c r="C160" s="192" t="str">
        <f>IF(A160&lt;&gt;"",INDEX('Base de données'!A$4:L$990,MATCH(A160,'Base de données'!A$4:A$990,0),12),"")</f>
        <v/>
      </c>
      <c r="D160" s="548"/>
      <c r="E160" s="548"/>
    </row>
    <row r="161" spans="1:5" x14ac:dyDescent="0.25">
      <c r="A161" s="548"/>
      <c r="B161" s="192" t="str">
        <f>IF(A161&lt;&gt;"",INDEX('Base de données'!A$4:L$990,MATCH(A161,'Base de données'!A$4:A$990,0),2),"")</f>
        <v/>
      </c>
      <c r="C161" s="192" t="str">
        <f>IF(A161&lt;&gt;"",INDEX('Base de données'!A$4:L$990,MATCH(A161,'Base de données'!A$4:A$990,0),12),"")</f>
        <v/>
      </c>
      <c r="D161" s="548"/>
      <c r="E161" s="548"/>
    </row>
    <row r="162" spans="1:5" x14ac:dyDescent="0.25">
      <c r="A162" s="548"/>
      <c r="B162" s="192" t="str">
        <f>IF(A162&lt;&gt;"",INDEX('Base de données'!A$4:L$990,MATCH(A162,'Base de données'!A$4:A$990,0),2),"")</f>
        <v/>
      </c>
      <c r="C162" s="192" t="str">
        <f>IF(A162&lt;&gt;"",INDEX('Base de données'!A$4:L$990,MATCH(A162,'Base de données'!A$4:A$990,0),12),"")</f>
        <v/>
      </c>
      <c r="D162" s="548"/>
      <c r="E162" s="548"/>
    </row>
    <row r="163" spans="1:5" x14ac:dyDescent="0.25">
      <c r="A163" s="548"/>
      <c r="B163" s="192" t="str">
        <f>IF(A163&lt;&gt;"",INDEX('Base de données'!A$4:L$990,MATCH(A163,'Base de données'!A$4:A$990,0),2),"")</f>
        <v/>
      </c>
      <c r="C163" s="192" t="str">
        <f>IF(A163&lt;&gt;"",INDEX('Base de données'!A$4:L$990,MATCH(A163,'Base de données'!A$4:A$990,0),12),"")</f>
        <v/>
      </c>
      <c r="D163" s="548"/>
      <c r="E163" s="548"/>
    </row>
    <row r="164" spans="1:5" x14ac:dyDescent="0.25">
      <c r="A164" s="548"/>
      <c r="B164" s="192" t="str">
        <f>IF(A164&lt;&gt;"",INDEX('Base de données'!A$4:L$990,MATCH(A164,'Base de données'!A$4:A$990,0),2),"")</f>
        <v/>
      </c>
      <c r="C164" s="192" t="str">
        <f>IF(A164&lt;&gt;"",INDEX('Base de données'!A$4:L$990,MATCH(A164,'Base de données'!A$4:A$990,0),12),"")</f>
        <v/>
      </c>
      <c r="D164" s="548"/>
      <c r="E164" s="548"/>
    </row>
    <row r="165" spans="1:5" x14ac:dyDescent="0.25">
      <c r="A165" s="548"/>
      <c r="B165" s="192" t="str">
        <f>IF(A165&lt;&gt;"",INDEX('Base de données'!A$4:L$990,MATCH(A165,'Base de données'!A$4:A$990,0),2),"")</f>
        <v/>
      </c>
      <c r="C165" s="192" t="str">
        <f>IF(A165&lt;&gt;"",INDEX('Base de données'!A$4:L$990,MATCH(A165,'Base de données'!A$4:A$990,0),12),"")</f>
        <v/>
      </c>
      <c r="D165" s="548"/>
      <c r="E165" s="548"/>
    </row>
    <row r="166" spans="1:5" x14ac:dyDescent="0.25">
      <c r="A166" s="548"/>
      <c r="B166" s="192" t="str">
        <f>IF(A166&lt;&gt;"",INDEX('Base de données'!A$4:L$990,MATCH(A166,'Base de données'!A$4:A$990,0),2),"")</f>
        <v/>
      </c>
      <c r="C166" s="192" t="str">
        <f>IF(A166&lt;&gt;"",INDEX('Base de données'!A$4:L$990,MATCH(A166,'Base de données'!A$4:A$990,0),12),"")</f>
        <v/>
      </c>
      <c r="D166" s="548"/>
      <c r="E166" s="548"/>
    </row>
    <row r="167" spans="1:5" x14ac:dyDescent="0.25">
      <c r="A167" s="548"/>
      <c r="B167" s="192" t="str">
        <f>IF(A167&lt;&gt;"",INDEX('Base de données'!A$4:L$990,MATCH(A167,'Base de données'!A$4:A$990,0),2),"")</f>
        <v/>
      </c>
      <c r="C167" s="192" t="str">
        <f>IF(A167&lt;&gt;"",INDEX('Base de données'!A$4:L$990,MATCH(A167,'Base de données'!A$4:A$990,0),12),"")</f>
        <v/>
      </c>
      <c r="D167" s="548"/>
      <c r="E167" s="548"/>
    </row>
    <row r="168" spans="1:5" x14ac:dyDescent="0.25">
      <c r="A168" s="548"/>
      <c r="B168" s="192" t="str">
        <f>IF(A168&lt;&gt;"",INDEX('Base de données'!A$4:L$990,MATCH(A168,'Base de données'!A$4:A$990,0),2),"")</f>
        <v/>
      </c>
      <c r="C168" s="192" t="str">
        <f>IF(A168&lt;&gt;"",INDEX('Base de données'!A$4:L$990,MATCH(A168,'Base de données'!A$4:A$990,0),12),"")</f>
        <v/>
      </c>
      <c r="D168" s="548"/>
      <c r="E168" s="548"/>
    </row>
    <row r="169" spans="1:5" x14ac:dyDescent="0.25">
      <c r="A169" s="548"/>
      <c r="B169" s="192" t="str">
        <f>IF(A169&lt;&gt;"",INDEX('Base de données'!A$4:L$990,MATCH(A169,'Base de données'!A$4:A$990,0),2),"")</f>
        <v/>
      </c>
      <c r="C169" s="192" t="str">
        <f>IF(A169&lt;&gt;"",INDEX('Base de données'!A$4:L$990,MATCH(A169,'Base de données'!A$4:A$990,0),12),"")</f>
        <v/>
      </c>
      <c r="D169" s="548"/>
      <c r="E169" s="548"/>
    </row>
    <row r="170" spans="1:5" x14ac:dyDescent="0.25">
      <c r="A170" s="548"/>
      <c r="B170" s="192" t="str">
        <f>IF(A170&lt;&gt;"",INDEX('Base de données'!A$4:L$990,MATCH(A170,'Base de données'!A$4:A$990,0),2),"")</f>
        <v/>
      </c>
      <c r="C170" s="192" t="str">
        <f>IF(A170&lt;&gt;"",INDEX('Base de données'!A$4:L$990,MATCH(A170,'Base de données'!A$4:A$990,0),12),"")</f>
        <v/>
      </c>
      <c r="D170" s="548"/>
      <c r="E170" s="548"/>
    </row>
    <row r="171" spans="1:5" x14ac:dyDescent="0.25">
      <c r="A171" s="548"/>
      <c r="B171" s="192" t="str">
        <f>IF(A171&lt;&gt;"",INDEX('Base de données'!A$4:L$990,MATCH(A171,'Base de données'!A$4:A$990,0),2),"")</f>
        <v/>
      </c>
      <c r="C171" s="192" t="str">
        <f>IF(A171&lt;&gt;"",INDEX('Base de données'!A$4:L$990,MATCH(A171,'Base de données'!A$4:A$990,0),12),"")</f>
        <v/>
      </c>
      <c r="D171" s="548"/>
      <c r="E171" s="548"/>
    </row>
    <row r="172" spans="1:5" x14ac:dyDescent="0.25">
      <c r="A172" s="548"/>
      <c r="B172" s="192" t="str">
        <f>IF(A172&lt;&gt;"",INDEX('Base de données'!A$4:L$990,MATCH(A172,'Base de données'!A$4:A$990,0),2),"")</f>
        <v/>
      </c>
      <c r="C172" s="192" t="str">
        <f>IF(A172&lt;&gt;"",INDEX('Base de données'!A$4:L$990,MATCH(A172,'Base de données'!A$4:A$990,0),12),"")</f>
        <v/>
      </c>
      <c r="D172" s="548"/>
      <c r="E172" s="548"/>
    </row>
    <row r="173" spans="1:5" x14ac:dyDescent="0.25">
      <c r="A173" s="548"/>
      <c r="B173" s="192" t="str">
        <f>IF(A173&lt;&gt;"",INDEX('Base de données'!A$4:L$990,MATCH(A173,'Base de données'!A$4:A$990,0),2),"")</f>
        <v/>
      </c>
      <c r="C173" s="192" t="str">
        <f>IF(A173&lt;&gt;"",INDEX('Base de données'!A$4:L$990,MATCH(A173,'Base de données'!A$4:A$990,0),12),"")</f>
        <v/>
      </c>
      <c r="D173" s="548"/>
      <c r="E173" s="548"/>
    </row>
    <row r="174" spans="1:5" x14ac:dyDescent="0.25">
      <c r="A174" s="548"/>
      <c r="B174" s="192" t="str">
        <f>IF(A174&lt;&gt;"",INDEX('Base de données'!A$4:L$990,MATCH(A174,'Base de données'!A$4:A$990,0),2),"")</f>
        <v/>
      </c>
      <c r="C174" s="192" t="str">
        <f>IF(A174&lt;&gt;"",INDEX('Base de données'!A$4:L$990,MATCH(A174,'Base de données'!A$4:A$990,0),12),"")</f>
        <v/>
      </c>
      <c r="D174" s="548"/>
      <c r="E174" s="548"/>
    </row>
    <row r="175" spans="1:5" x14ac:dyDescent="0.25">
      <c r="A175" s="548"/>
      <c r="B175" s="192" t="str">
        <f>IF(A175&lt;&gt;"",INDEX('Base de données'!A$4:L$990,MATCH(A175,'Base de données'!A$4:A$990,0),2),"")</f>
        <v/>
      </c>
      <c r="C175" s="192" t="str">
        <f>IF(A175&lt;&gt;"",INDEX('Base de données'!A$4:L$990,MATCH(A175,'Base de données'!A$4:A$990,0),12),"")</f>
        <v/>
      </c>
      <c r="D175" s="548"/>
      <c r="E175" s="548"/>
    </row>
    <row r="176" spans="1:5" x14ac:dyDescent="0.25">
      <c r="A176" s="548"/>
      <c r="B176" s="192" t="str">
        <f>IF(A176&lt;&gt;"",INDEX('Base de données'!A$4:L$990,MATCH(A176,'Base de données'!A$4:A$990,0),2),"")</f>
        <v/>
      </c>
      <c r="C176" s="192" t="str">
        <f>IF(A176&lt;&gt;"",INDEX('Base de données'!A$4:L$990,MATCH(A176,'Base de données'!A$4:A$990,0),12),"")</f>
        <v/>
      </c>
      <c r="D176" s="548"/>
      <c r="E176" s="548"/>
    </row>
    <row r="177" spans="1:5" x14ac:dyDescent="0.25">
      <c r="A177" s="548"/>
      <c r="B177" s="192" t="str">
        <f>IF(A177&lt;&gt;"",INDEX('Base de données'!A$4:L$990,MATCH(A177,'Base de données'!A$4:A$990,0),2),"")</f>
        <v/>
      </c>
      <c r="C177" s="192" t="str">
        <f>IF(A177&lt;&gt;"",INDEX('Base de données'!A$4:L$990,MATCH(A177,'Base de données'!A$4:A$990,0),12),"")</f>
        <v/>
      </c>
      <c r="D177" s="548"/>
      <c r="E177" s="548"/>
    </row>
    <row r="178" spans="1:5" x14ac:dyDescent="0.25">
      <c r="A178" s="548"/>
      <c r="B178" s="192" t="str">
        <f>IF(A178&lt;&gt;"",INDEX('Base de données'!A$4:L$990,MATCH(A178,'Base de données'!A$4:A$990,0),2),"")</f>
        <v/>
      </c>
      <c r="C178" s="192" t="str">
        <f>IF(A178&lt;&gt;"",INDEX('Base de données'!A$4:L$990,MATCH(A178,'Base de données'!A$4:A$990,0),12),"")</f>
        <v/>
      </c>
      <c r="D178" s="548"/>
      <c r="E178" s="548"/>
    </row>
    <row r="179" spans="1:5" x14ac:dyDescent="0.25">
      <c r="A179" s="548"/>
      <c r="B179" s="192" t="str">
        <f>IF(A179&lt;&gt;"",INDEX('Base de données'!A$4:L$990,MATCH(A179,'Base de données'!A$4:A$990,0),2),"")</f>
        <v/>
      </c>
      <c r="C179" s="192" t="str">
        <f>IF(A179&lt;&gt;"",INDEX('Base de données'!A$4:L$990,MATCH(A179,'Base de données'!A$4:A$990,0),12),"")</f>
        <v/>
      </c>
      <c r="D179" s="548"/>
      <c r="E179" s="548"/>
    </row>
    <row r="180" spans="1:5" x14ac:dyDescent="0.25">
      <c r="A180" s="548"/>
      <c r="B180" s="192" t="str">
        <f>IF(A180&lt;&gt;"",INDEX('Base de données'!A$4:L$990,MATCH(A180,'Base de données'!A$4:A$990,0),2),"")</f>
        <v/>
      </c>
      <c r="C180" s="192" t="str">
        <f>IF(A180&lt;&gt;"",INDEX('Base de données'!A$4:L$990,MATCH(A180,'Base de données'!A$4:A$990,0),12),"")</f>
        <v/>
      </c>
      <c r="D180" s="548"/>
      <c r="E180" s="548"/>
    </row>
    <row r="181" spans="1:5" x14ac:dyDescent="0.25">
      <c r="A181" s="548"/>
      <c r="B181" s="192" t="str">
        <f>IF(A181&lt;&gt;"",INDEX('Base de données'!A$4:L$990,MATCH(A181,'Base de données'!A$4:A$990,0),2),"")</f>
        <v/>
      </c>
      <c r="C181" s="192" t="str">
        <f>IF(A181&lt;&gt;"",INDEX('Base de données'!A$4:L$990,MATCH(A181,'Base de données'!A$4:A$990,0),12),"")</f>
        <v/>
      </c>
      <c r="D181" s="548"/>
      <c r="E181" s="548"/>
    </row>
    <row r="182" spans="1:5" x14ac:dyDescent="0.25">
      <c r="A182" s="548"/>
      <c r="B182" s="192" t="str">
        <f>IF(A182&lt;&gt;"",INDEX('Base de données'!A$4:L$990,MATCH(A182,'Base de données'!A$4:A$990,0),2),"")</f>
        <v/>
      </c>
      <c r="C182" s="192" t="str">
        <f>IF(A182&lt;&gt;"",INDEX('Base de données'!A$4:L$990,MATCH(A182,'Base de données'!A$4:A$990,0),12),"")</f>
        <v/>
      </c>
      <c r="D182" s="548"/>
      <c r="E182" s="548"/>
    </row>
    <row r="183" spans="1:5" x14ac:dyDescent="0.25">
      <c r="A183" s="548"/>
      <c r="B183" s="192" t="str">
        <f>IF(A183&lt;&gt;"",INDEX('Base de données'!A$4:L$990,MATCH(A183,'Base de données'!A$4:A$990,0),2),"")</f>
        <v/>
      </c>
      <c r="C183" s="192" t="str">
        <f>IF(A183&lt;&gt;"",INDEX('Base de données'!A$4:L$990,MATCH(A183,'Base de données'!A$4:A$990,0),12),"")</f>
        <v/>
      </c>
      <c r="D183" s="548"/>
      <c r="E183" s="548"/>
    </row>
    <row r="184" spans="1:5" x14ac:dyDescent="0.25">
      <c r="A184" s="548"/>
      <c r="B184" s="192" t="str">
        <f>IF(A184&lt;&gt;"",INDEX('Base de données'!A$4:L$990,MATCH(A184,'Base de données'!A$4:A$990,0),2),"")</f>
        <v/>
      </c>
      <c r="C184" s="192" t="str">
        <f>IF(A184&lt;&gt;"",INDEX('Base de données'!A$4:L$990,MATCH(A184,'Base de données'!A$4:A$990,0),12),"")</f>
        <v/>
      </c>
      <c r="D184" s="548"/>
      <c r="E184" s="548"/>
    </row>
    <row r="185" spans="1:5" x14ac:dyDescent="0.25">
      <c r="A185" s="548"/>
      <c r="B185" s="192" t="str">
        <f>IF(A185&lt;&gt;"",INDEX('Base de données'!A$4:L$990,MATCH(A185,'Base de données'!A$4:A$990,0),2),"")</f>
        <v/>
      </c>
      <c r="C185" s="192" t="str">
        <f>IF(A185&lt;&gt;"",INDEX('Base de données'!A$4:L$990,MATCH(A185,'Base de données'!A$4:A$990,0),12),"")</f>
        <v/>
      </c>
      <c r="D185" s="548"/>
      <c r="E185" s="548"/>
    </row>
    <row r="186" spans="1:5" x14ac:dyDescent="0.25">
      <c r="A186" s="548"/>
      <c r="B186" s="192" t="str">
        <f>IF(A186&lt;&gt;"",INDEX('Base de données'!A$4:L$990,MATCH(A186,'Base de données'!A$4:A$990,0),2),"")</f>
        <v/>
      </c>
      <c r="C186" s="192" t="str">
        <f>IF(A186&lt;&gt;"",INDEX('Base de données'!A$4:L$990,MATCH(A186,'Base de données'!A$4:A$990,0),12),"")</f>
        <v/>
      </c>
      <c r="D186" s="548"/>
      <c r="E186" s="548"/>
    </row>
    <row r="187" spans="1:5" x14ac:dyDescent="0.25">
      <c r="A187" s="548"/>
      <c r="B187" s="192" t="str">
        <f>IF(A187&lt;&gt;"",INDEX('Base de données'!A$4:L$990,MATCH(A187,'Base de données'!A$4:A$990,0),2),"")</f>
        <v/>
      </c>
      <c r="C187" s="192" t="str">
        <f>IF(A187&lt;&gt;"",INDEX('Base de données'!A$4:L$990,MATCH(A187,'Base de données'!A$4:A$990,0),12),"")</f>
        <v/>
      </c>
      <c r="D187" s="548"/>
      <c r="E187" s="548"/>
    </row>
    <row r="188" spans="1:5" x14ac:dyDescent="0.25">
      <c r="A188" s="548"/>
      <c r="B188" s="192" t="str">
        <f>IF(A188&lt;&gt;"",INDEX('Base de données'!A$4:L$990,MATCH(A188,'Base de données'!A$4:A$990,0),2),"")</f>
        <v/>
      </c>
      <c r="C188" s="192" t="str">
        <f>IF(A188&lt;&gt;"",INDEX('Base de données'!A$4:L$990,MATCH(A188,'Base de données'!A$4:A$990,0),12),"")</f>
        <v/>
      </c>
      <c r="D188" s="548"/>
      <c r="E188" s="548"/>
    </row>
    <row r="189" spans="1:5" x14ac:dyDescent="0.25">
      <c r="A189" s="548"/>
      <c r="B189" s="192" t="str">
        <f>IF(A189&lt;&gt;"",INDEX('Base de données'!A$4:L$990,MATCH(A189,'Base de données'!A$4:A$990,0),2),"")</f>
        <v/>
      </c>
      <c r="C189" s="192" t="str">
        <f>IF(A189&lt;&gt;"",INDEX('Base de données'!A$4:L$990,MATCH(A189,'Base de données'!A$4:A$990,0),12),"")</f>
        <v/>
      </c>
      <c r="D189" s="548"/>
      <c r="E189" s="548"/>
    </row>
    <row r="190" spans="1:5" x14ac:dyDescent="0.25">
      <c r="A190" s="548"/>
      <c r="B190" s="192" t="str">
        <f>IF(A190&lt;&gt;"",INDEX('Base de données'!A$4:L$990,MATCH(A190,'Base de données'!A$4:A$990,0),2),"")</f>
        <v/>
      </c>
      <c r="C190" s="192" t="str">
        <f>IF(A190&lt;&gt;"",INDEX('Base de données'!A$4:L$990,MATCH(A190,'Base de données'!A$4:A$990,0),12),"")</f>
        <v/>
      </c>
      <c r="D190" s="548"/>
      <c r="E190" s="548"/>
    </row>
    <row r="191" spans="1:5" x14ac:dyDescent="0.25">
      <c r="A191" s="548"/>
      <c r="B191" s="192" t="str">
        <f>IF(A191&lt;&gt;"",INDEX('Base de données'!A$4:L$990,MATCH(A191,'Base de données'!A$4:A$990,0),2),"")</f>
        <v/>
      </c>
      <c r="C191" s="192" t="str">
        <f>IF(A191&lt;&gt;"",INDEX('Base de données'!A$4:L$990,MATCH(A191,'Base de données'!A$4:A$990,0),12),"")</f>
        <v/>
      </c>
      <c r="D191" s="548"/>
      <c r="E191" s="548"/>
    </row>
    <row r="192" spans="1:5" x14ac:dyDescent="0.25">
      <c r="A192" s="548"/>
      <c r="B192" s="192" t="str">
        <f>IF(A192&lt;&gt;"",INDEX('Base de données'!A$4:L$990,MATCH(A192,'Base de données'!A$4:A$990,0),2),"")</f>
        <v/>
      </c>
      <c r="C192" s="192" t="str">
        <f>IF(A192&lt;&gt;"",INDEX('Base de données'!A$4:L$990,MATCH(A192,'Base de données'!A$4:A$990,0),12),"")</f>
        <v/>
      </c>
      <c r="D192" s="548"/>
      <c r="E192" s="548"/>
    </row>
    <row r="193" spans="1:5" x14ac:dyDescent="0.25">
      <c r="A193" s="548"/>
      <c r="B193" s="192" t="str">
        <f>IF(A193&lt;&gt;"",INDEX('Base de données'!A$4:L$990,MATCH(A193,'Base de données'!A$4:A$990,0),2),"")</f>
        <v/>
      </c>
      <c r="C193" s="192" t="str">
        <f>IF(A193&lt;&gt;"",INDEX('Base de données'!A$4:L$990,MATCH(A193,'Base de données'!A$4:A$990,0),12),"")</f>
        <v/>
      </c>
      <c r="D193" s="548"/>
      <c r="E193" s="548"/>
    </row>
    <row r="194" spans="1:5" x14ac:dyDescent="0.25">
      <c r="A194" s="548"/>
      <c r="B194" s="192" t="str">
        <f>IF(A194&lt;&gt;"",INDEX('Base de données'!A$4:L$990,MATCH(A194,'Base de données'!A$4:A$990,0),2),"")</f>
        <v/>
      </c>
      <c r="C194" s="192" t="str">
        <f>IF(A194&lt;&gt;"",INDEX('Base de données'!A$4:L$990,MATCH(A194,'Base de données'!A$4:A$990,0),12),"")</f>
        <v/>
      </c>
      <c r="D194" s="548"/>
      <c r="E194" s="548"/>
    </row>
    <row r="195" spans="1:5" x14ac:dyDescent="0.25">
      <c r="A195" s="548"/>
      <c r="B195" s="192" t="str">
        <f>IF(A195&lt;&gt;"",INDEX('Base de données'!A$4:L$990,MATCH(A195,'Base de données'!A$4:A$990,0),2),"")</f>
        <v/>
      </c>
      <c r="C195" s="192" t="str">
        <f>IF(A195&lt;&gt;"",INDEX('Base de données'!A$4:L$990,MATCH(A195,'Base de données'!A$4:A$990,0),12),"")</f>
        <v/>
      </c>
      <c r="D195" s="548"/>
      <c r="E195" s="548"/>
    </row>
    <row r="196" spans="1:5" x14ac:dyDescent="0.25">
      <c r="A196" s="548"/>
      <c r="B196" s="192" t="str">
        <f>IF(A196&lt;&gt;"",INDEX('Base de données'!A$4:L$990,MATCH(A196,'Base de données'!A$4:A$990,0),2),"")</f>
        <v/>
      </c>
      <c r="C196" s="192" t="str">
        <f>IF(A196&lt;&gt;"",INDEX('Base de données'!A$4:L$990,MATCH(A196,'Base de données'!A$4:A$990,0),12),"")</f>
        <v/>
      </c>
      <c r="D196" s="548"/>
      <c r="E196" s="548"/>
    </row>
    <row r="197" spans="1:5" x14ac:dyDescent="0.25">
      <c r="A197" s="548"/>
      <c r="B197" s="192" t="str">
        <f>IF(A197&lt;&gt;"",INDEX('Base de données'!A$4:L$990,MATCH(A197,'Base de données'!A$4:A$990,0),2),"")</f>
        <v/>
      </c>
      <c r="C197" s="192" t="str">
        <f>IF(A197&lt;&gt;"",INDEX('Base de données'!A$4:L$990,MATCH(A197,'Base de données'!A$4:A$990,0),12),"")</f>
        <v/>
      </c>
      <c r="D197" s="548"/>
      <c r="E197" s="548"/>
    </row>
    <row r="198" spans="1:5" x14ac:dyDescent="0.25">
      <c r="A198" s="548"/>
      <c r="B198" s="192" t="str">
        <f>IF(A198&lt;&gt;"",INDEX('Base de données'!A$4:L$990,MATCH(A198,'Base de données'!A$4:A$990,0),2),"")</f>
        <v/>
      </c>
      <c r="C198" s="192" t="str">
        <f>IF(A198&lt;&gt;"",INDEX('Base de données'!A$4:L$990,MATCH(A198,'Base de données'!A$4:A$990,0),12),"")</f>
        <v/>
      </c>
      <c r="D198" s="548"/>
      <c r="E198" s="548"/>
    </row>
    <row r="199" spans="1:5" x14ac:dyDescent="0.25">
      <c r="A199" s="548"/>
      <c r="B199" s="192" t="str">
        <f>IF(A199&lt;&gt;"",INDEX('Base de données'!A$4:L$990,MATCH(A199,'Base de données'!A$4:A$990,0),2),"")</f>
        <v/>
      </c>
      <c r="C199" s="192" t="str">
        <f>IF(A199&lt;&gt;"",INDEX('Base de données'!A$4:L$990,MATCH(A199,'Base de données'!A$4:A$990,0),12),"")</f>
        <v/>
      </c>
      <c r="D199" s="548"/>
      <c r="E199" s="548"/>
    </row>
    <row r="200" spans="1:5" x14ac:dyDescent="0.25">
      <c r="A200" s="548"/>
      <c r="B200" s="192" t="str">
        <f>IF(A200&lt;&gt;"",INDEX('Base de données'!A$4:L$990,MATCH(A200,'Base de données'!A$4:A$990,0),2),"")</f>
        <v/>
      </c>
      <c r="C200" s="192" t="str">
        <f>IF(A200&lt;&gt;"",INDEX('Base de données'!A$4:L$990,MATCH(A200,'Base de données'!A$4:A$990,0),12),"")</f>
        <v/>
      </c>
      <c r="D200" s="548"/>
      <c r="E200" s="548"/>
    </row>
    <row r="201" spans="1:5" x14ac:dyDescent="0.25">
      <c r="A201" s="548"/>
      <c r="B201" s="192" t="str">
        <f>IF(A201&lt;&gt;"",INDEX('Base de données'!A$4:L$990,MATCH(A201,'Base de données'!A$4:A$990,0),2),"")</f>
        <v/>
      </c>
      <c r="C201" s="192" t="str">
        <f>IF(A201&lt;&gt;"",INDEX('Base de données'!A$4:L$990,MATCH(A201,'Base de données'!A$4:A$990,0),12),"")</f>
        <v/>
      </c>
      <c r="D201" s="548"/>
      <c r="E201" s="548"/>
    </row>
    <row r="202" spans="1:5" x14ac:dyDescent="0.25">
      <c r="A202" s="548"/>
      <c r="B202" s="192" t="str">
        <f>IF(A202&lt;&gt;"",INDEX('Base de données'!A$4:L$990,MATCH(A202,'Base de données'!A$4:A$990,0),2),"")</f>
        <v/>
      </c>
      <c r="C202" s="192" t="str">
        <f>IF(A202&lt;&gt;"",INDEX('Base de données'!A$4:L$990,MATCH(A202,'Base de données'!A$4:A$990,0),12),"")</f>
        <v/>
      </c>
      <c r="D202" s="548"/>
      <c r="E202" s="548"/>
    </row>
    <row r="203" spans="1:5" x14ac:dyDescent="0.25">
      <c r="A203" s="548"/>
      <c r="B203" s="192" t="str">
        <f>IF(A203&lt;&gt;"",INDEX('Base de données'!A$4:L$990,MATCH(A203,'Base de données'!A$4:A$990,0),2),"")</f>
        <v/>
      </c>
      <c r="C203" s="192" t="str">
        <f>IF(A203&lt;&gt;"",INDEX('Base de données'!A$4:L$990,MATCH(A203,'Base de données'!A$4:A$990,0),12),"")</f>
        <v/>
      </c>
      <c r="D203" s="548"/>
      <c r="E203" s="548"/>
    </row>
    <row r="204" spans="1:5" x14ac:dyDescent="0.25">
      <c r="A204" s="548"/>
      <c r="B204" s="192" t="str">
        <f>IF(A204&lt;&gt;"",INDEX('Base de données'!A$4:L$990,MATCH(A204,'Base de données'!A$4:A$990,0),2),"")</f>
        <v/>
      </c>
      <c r="C204" s="192" t="str">
        <f>IF(A204&lt;&gt;"",INDEX('Base de données'!A$4:L$990,MATCH(A204,'Base de données'!A$4:A$990,0),12),"")</f>
        <v/>
      </c>
      <c r="D204" s="548"/>
      <c r="E204" s="548"/>
    </row>
    <row r="205" spans="1:5" x14ac:dyDescent="0.25">
      <c r="A205" s="548"/>
      <c r="B205" s="192" t="str">
        <f>IF(A205&lt;&gt;"",INDEX('Base de données'!A$4:L$990,MATCH(A205,'Base de données'!A$4:A$990,0),2),"")</f>
        <v/>
      </c>
      <c r="C205" s="192" t="str">
        <f>IF(A205&lt;&gt;"",INDEX('Base de données'!A$4:L$990,MATCH(A205,'Base de données'!A$4:A$990,0),12),"")</f>
        <v/>
      </c>
      <c r="D205" s="548"/>
      <c r="E205" s="548"/>
    </row>
    <row r="206" spans="1:5" x14ac:dyDescent="0.25">
      <c r="A206" s="548"/>
      <c r="B206" s="192" t="str">
        <f>IF(A206&lt;&gt;"",INDEX('Base de données'!A$4:L$990,MATCH(A206,'Base de données'!A$4:A$990,0),2),"")</f>
        <v/>
      </c>
      <c r="C206" s="192" t="str">
        <f>IF(A206&lt;&gt;"",INDEX('Base de données'!A$4:L$990,MATCH(A206,'Base de données'!A$4:A$990,0),12),"")</f>
        <v/>
      </c>
      <c r="D206" s="548"/>
      <c r="E206" s="548"/>
    </row>
    <row r="207" spans="1:5" x14ac:dyDescent="0.25">
      <c r="A207" s="548"/>
      <c r="B207" s="192" t="str">
        <f>IF(A207&lt;&gt;"",INDEX('Base de données'!A$4:L$990,MATCH(A207,'Base de données'!A$4:A$990,0),2),"")</f>
        <v/>
      </c>
      <c r="C207" s="192" t="str">
        <f>IF(A207&lt;&gt;"",INDEX('Base de données'!A$4:L$990,MATCH(A207,'Base de données'!A$4:A$990,0),12),"")</f>
        <v/>
      </c>
      <c r="D207" s="548"/>
      <c r="E207" s="548"/>
    </row>
    <row r="208" spans="1:5" x14ac:dyDescent="0.25">
      <c r="A208" s="548"/>
      <c r="B208" s="192" t="str">
        <f>IF(A208&lt;&gt;"",INDEX('Base de données'!A$4:L$990,MATCH(A208,'Base de données'!A$4:A$990,0),2),"")</f>
        <v/>
      </c>
      <c r="C208" s="192" t="str">
        <f>IF(A208&lt;&gt;"",INDEX('Base de données'!A$4:L$990,MATCH(A208,'Base de données'!A$4:A$990,0),12),"")</f>
        <v/>
      </c>
      <c r="D208" s="548"/>
      <c r="E208" s="548"/>
    </row>
    <row r="209" spans="1:5" x14ac:dyDescent="0.25">
      <c r="A209" s="548"/>
      <c r="B209" s="192" t="str">
        <f>IF(A209&lt;&gt;"",INDEX('Base de données'!A$4:L$990,MATCH(A209,'Base de données'!A$4:A$990,0),2),"")</f>
        <v/>
      </c>
      <c r="C209" s="192" t="str">
        <f>IF(A209&lt;&gt;"",INDEX('Base de données'!A$4:L$990,MATCH(A209,'Base de données'!A$4:A$990,0),12),"")</f>
        <v/>
      </c>
      <c r="D209" s="548"/>
      <c r="E209" s="548"/>
    </row>
    <row r="210" spans="1:5" x14ac:dyDescent="0.25">
      <c r="A210" s="548"/>
      <c r="B210" s="192" t="str">
        <f>IF(A210&lt;&gt;"",INDEX('Base de données'!A$4:L$990,MATCH(A210,'Base de données'!A$4:A$990,0),2),"")</f>
        <v/>
      </c>
      <c r="C210" s="192" t="str">
        <f>IF(A210&lt;&gt;"",INDEX('Base de données'!A$4:L$990,MATCH(A210,'Base de données'!A$4:A$990,0),12),"")</f>
        <v/>
      </c>
      <c r="D210" s="548"/>
      <c r="E210" s="548"/>
    </row>
    <row r="211" spans="1:5" x14ac:dyDescent="0.25">
      <c r="A211" s="548"/>
      <c r="B211" s="192" t="str">
        <f>IF(A211&lt;&gt;"",INDEX('Base de données'!A$4:L$990,MATCH(A211,'Base de données'!A$4:A$990,0),2),"")</f>
        <v/>
      </c>
      <c r="C211" s="192" t="str">
        <f>IF(A211&lt;&gt;"",INDEX('Base de données'!A$4:L$990,MATCH(A211,'Base de données'!A$4:A$990,0),12),"")</f>
        <v/>
      </c>
      <c r="D211" s="548"/>
      <c r="E211" s="548"/>
    </row>
    <row r="212" spans="1:5" x14ac:dyDescent="0.25">
      <c r="A212" s="548"/>
      <c r="B212" s="192" t="str">
        <f>IF(A212&lt;&gt;"",INDEX('Base de données'!A$4:L$990,MATCH(A212,'Base de données'!A$4:A$990,0),2),"")</f>
        <v/>
      </c>
      <c r="C212" s="192" t="str">
        <f>IF(A212&lt;&gt;"",INDEX('Base de données'!A$4:L$990,MATCH(A212,'Base de données'!A$4:A$990,0),12),"")</f>
        <v/>
      </c>
      <c r="D212" s="548"/>
      <c r="E212" s="548"/>
    </row>
    <row r="213" spans="1:5" x14ac:dyDescent="0.25">
      <c r="A213" s="548"/>
      <c r="B213" s="192" t="str">
        <f>IF(A213&lt;&gt;"",INDEX('Base de données'!A$4:L$990,MATCH(A213,'Base de données'!A$4:A$990,0),2),"")</f>
        <v/>
      </c>
      <c r="C213" s="192" t="str">
        <f>IF(A213&lt;&gt;"",INDEX('Base de données'!A$4:L$990,MATCH(A213,'Base de données'!A$4:A$990,0),12),"")</f>
        <v/>
      </c>
      <c r="D213" s="548"/>
      <c r="E213" s="548"/>
    </row>
    <row r="214" spans="1:5" x14ac:dyDescent="0.25">
      <c r="A214" s="548"/>
      <c r="B214" s="192" t="str">
        <f>IF(A214&lt;&gt;"",INDEX('Base de données'!A$4:L$990,MATCH(A214,'Base de données'!A$4:A$990,0),2),"")</f>
        <v/>
      </c>
      <c r="C214" s="192" t="str">
        <f>IF(A214&lt;&gt;"",INDEX('Base de données'!A$4:L$990,MATCH(A214,'Base de données'!A$4:A$990,0),12),"")</f>
        <v/>
      </c>
      <c r="D214" s="548"/>
      <c r="E214" s="548"/>
    </row>
    <row r="215" spans="1:5" x14ac:dyDescent="0.25">
      <c r="A215" s="548"/>
      <c r="B215" s="192" t="str">
        <f>IF(A215&lt;&gt;"",INDEX('Base de données'!A$4:L$990,MATCH(A215,'Base de données'!A$4:A$990,0),2),"")</f>
        <v/>
      </c>
      <c r="C215" s="192" t="str">
        <f>IF(A215&lt;&gt;"",INDEX('Base de données'!A$4:L$990,MATCH(A215,'Base de données'!A$4:A$990,0),12),"")</f>
        <v/>
      </c>
      <c r="D215" s="548"/>
      <c r="E215" s="548"/>
    </row>
    <row r="216" spans="1:5" x14ac:dyDescent="0.25">
      <c r="A216" s="548"/>
      <c r="B216" s="192" t="str">
        <f>IF(A216&lt;&gt;"",INDEX('Base de données'!A$4:L$990,MATCH(A216,'Base de données'!A$4:A$990,0),2),"")</f>
        <v/>
      </c>
      <c r="C216" s="192" t="str">
        <f>IF(A216&lt;&gt;"",INDEX('Base de données'!A$4:L$990,MATCH(A216,'Base de données'!A$4:A$990,0),12),"")</f>
        <v/>
      </c>
      <c r="D216" s="548"/>
      <c r="E216" s="548"/>
    </row>
    <row r="217" spans="1:5" x14ac:dyDescent="0.25">
      <c r="A217" s="548"/>
      <c r="B217" s="192" t="str">
        <f>IF(A217&lt;&gt;"",INDEX('Base de données'!A$4:L$990,MATCH(A217,'Base de données'!A$4:A$990,0),2),"")</f>
        <v/>
      </c>
      <c r="C217" s="192" t="str">
        <f>IF(A217&lt;&gt;"",INDEX('Base de données'!A$4:L$990,MATCH(A217,'Base de données'!A$4:A$990,0),12),"")</f>
        <v/>
      </c>
      <c r="D217" s="548"/>
      <c r="E217" s="548"/>
    </row>
    <row r="218" spans="1:5" x14ac:dyDescent="0.25">
      <c r="A218" s="548"/>
      <c r="B218" s="192" t="str">
        <f>IF(A218&lt;&gt;"",INDEX('Base de données'!A$4:L$990,MATCH(A218,'Base de données'!A$4:A$990,0),2),"")</f>
        <v/>
      </c>
      <c r="C218" s="192" t="str">
        <f>IF(A218&lt;&gt;"",INDEX('Base de données'!A$4:L$990,MATCH(A218,'Base de données'!A$4:A$990,0),12),"")</f>
        <v/>
      </c>
      <c r="D218" s="548"/>
      <c r="E218" s="548"/>
    </row>
    <row r="219" spans="1:5" x14ac:dyDescent="0.25">
      <c r="A219" s="548"/>
      <c r="B219" s="192" t="str">
        <f>IF(A219&lt;&gt;"",INDEX('Base de données'!A$4:L$990,MATCH(A219,'Base de données'!A$4:A$990,0),2),"")</f>
        <v/>
      </c>
      <c r="C219" s="192" t="str">
        <f>IF(A219&lt;&gt;"",INDEX('Base de données'!A$4:L$990,MATCH(A219,'Base de données'!A$4:A$990,0),12),"")</f>
        <v/>
      </c>
      <c r="D219" s="548"/>
      <c r="E219" s="548"/>
    </row>
    <row r="220" spans="1:5" x14ac:dyDescent="0.25">
      <c r="A220" s="548"/>
      <c r="B220" s="192" t="str">
        <f>IF(A220&lt;&gt;"",INDEX('Base de données'!A$4:L$990,MATCH(A220,'Base de données'!A$4:A$990,0),2),"")</f>
        <v/>
      </c>
      <c r="C220" s="192" t="str">
        <f>IF(A220&lt;&gt;"",INDEX('Base de données'!A$4:L$990,MATCH(A220,'Base de données'!A$4:A$990,0),12),"")</f>
        <v/>
      </c>
      <c r="D220" s="548"/>
      <c r="E220" s="548"/>
    </row>
    <row r="221" spans="1:5" x14ac:dyDescent="0.25">
      <c r="A221" s="548"/>
      <c r="B221" s="192" t="str">
        <f>IF(A221&lt;&gt;"",INDEX('Base de données'!A$4:L$990,MATCH(A221,'Base de données'!A$4:A$990,0),2),"")</f>
        <v/>
      </c>
      <c r="C221" s="192" t="str">
        <f>IF(A221&lt;&gt;"",INDEX('Base de données'!A$4:L$990,MATCH(A221,'Base de données'!A$4:A$990,0),12),"")</f>
        <v/>
      </c>
      <c r="D221" s="548"/>
      <c r="E221" s="548"/>
    </row>
    <row r="222" spans="1:5" x14ac:dyDescent="0.25">
      <c r="A222" s="548"/>
      <c r="B222" s="192" t="str">
        <f>IF(A222&lt;&gt;"",INDEX('Base de données'!A$4:L$990,MATCH(A222,'Base de données'!A$4:A$990,0),2),"")</f>
        <v/>
      </c>
      <c r="C222" s="192" t="str">
        <f>IF(A222&lt;&gt;"",INDEX('Base de données'!A$4:L$990,MATCH(A222,'Base de données'!A$4:A$990,0),12),"")</f>
        <v/>
      </c>
      <c r="D222" s="548"/>
      <c r="E222" s="548"/>
    </row>
    <row r="223" spans="1:5" x14ac:dyDescent="0.25">
      <c r="A223" s="548"/>
      <c r="B223" s="192" t="str">
        <f>IF(A223&lt;&gt;"",INDEX('Base de données'!A$4:L$990,MATCH(A223,'Base de données'!A$4:A$990,0),2),"")</f>
        <v/>
      </c>
      <c r="C223" s="192" t="str">
        <f>IF(A223&lt;&gt;"",INDEX('Base de données'!A$4:L$990,MATCH(A223,'Base de données'!A$4:A$990,0),12),"")</f>
        <v/>
      </c>
      <c r="D223" s="548"/>
      <c r="E223" s="548"/>
    </row>
    <row r="224" spans="1:5" x14ac:dyDescent="0.25">
      <c r="A224" s="548"/>
      <c r="B224" s="192" t="str">
        <f>IF(A224&lt;&gt;"",INDEX('Base de données'!A$4:L$990,MATCH(A224,'Base de données'!A$4:A$990,0),2),"")</f>
        <v/>
      </c>
      <c r="C224" s="192" t="str">
        <f>IF(A224&lt;&gt;"",INDEX('Base de données'!A$4:L$990,MATCH(A224,'Base de données'!A$4:A$990,0),12),"")</f>
        <v/>
      </c>
      <c r="D224" s="548"/>
      <c r="E224" s="548"/>
    </row>
    <row r="225" spans="1:5" x14ac:dyDescent="0.25">
      <c r="A225" s="548"/>
      <c r="B225" s="192" t="str">
        <f>IF(A225&lt;&gt;"",INDEX('Base de données'!A$4:L$990,MATCH(A225,'Base de données'!A$4:A$990,0),2),"")</f>
        <v/>
      </c>
      <c r="C225" s="192" t="str">
        <f>IF(A225&lt;&gt;"",INDEX('Base de données'!A$4:L$990,MATCH(A225,'Base de données'!A$4:A$990,0),12),"")</f>
        <v/>
      </c>
      <c r="D225" s="548"/>
      <c r="E225" s="548"/>
    </row>
    <row r="226" spans="1:5" x14ac:dyDescent="0.25">
      <c r="A226" s="548"/>
      <c r="B226" s="192" t="str">
        <f>IF(A226&lt;&gt;"",INDEX('Base de données'!A$4:L$990,MATCH(A226,'Base de données'!A$4:A$990,0),2),"")</f>
        <v/>
      </c>
      <c r="C226" s="192" t="str">
        <f>IF(A226&lt;&gt;"",INDEX('Base de données'!A$4:L$990,MATCH(A226,'Base de données'!A$4:A$990,0),12),"")</f>
        <v/>
      </c>
      <c r="D226" s="548"/>
      <c r="E226" s="548"/>
    </row>
    <row r="227" spans="1:5" x14ac:dyDescent="0.25">
      <c r="A227" s="548"/>
      <c r="B227" s="192" t="str">
        <f>IF(A227&lt;&gt;"",INDEX('Base de données'!A$4:L$990,MATCH(A227,'Base de données'!A$4:A$990,0),2),"")</f>
        <v/>
      </c>
      <c r="C227" s="192" t="str">
        <f>IF(A227&lt;&gt;"",INDEX('Base de données'!A$4:L$990,MATCH(A227,'Base de données'!A$4:A$990,0),12),"")</f>
        <v/>
      </c>
      <c r="D227" s="548"/>
      <c r="E227" s="548"/>
    </row>
    <row r="228" spans="1:5" x14ac:dyDescent="0.25">
      <c r="A228" s="548"/>
      <c r="B228" s="192" t="str">
        <f>IF(A228&lt;&gt;"",INDEX('Base de données'!A$4:L$990,MATCH(A228,'Base de données'!A$4:A$990,0),2),"")</f>
        <v/>
      </c>
      <c r="C228" s="192" t="str">
        <f>IF(A228&lt;&gt;"",INDEX('Base de données'!A$4:L$990,MATCH(A228,'Base de données'!A$4:A$990,0),12),"")</f>
        <v/>
      </c>
      <c r="D228" s="548"/>
      <c r="E228" s="548"/>
    </row>
    <row r="229" spans="1:5" x14ac:dyDescent="0.25">
      <c r="A229" s="548"/>
      <c r="B229" s="192" t="str">
        <f>IF(A229&lt;&gt;"",INDEX('Base de données'!A$4:L$990,MATCH(A229,'Base de données'!A$4:A$990,0),2),"")</f>
        <v/>
      </c>
      <c r="C229" s="192" t="str">
        <f>IF(A229&lt;&gt;"",INDEX('Base de données'!A$4:L$990,MATCH(A229,'Base de données'!A$4:A$990,0),12),"")</f>
        <v/>
      </c>
      <c r="D229" s="548"/>
      <c r="E229" s="548"/>
    </row>
    <row r="230" spans="1:5" x14ac:dyDescent="0.25">
      <c r="A230" s="548"/>
      <c r="B230" s="192" t="str">
        <f>IF(A230&lt;&gt;"",INDEX('Base de données'!A$4:L$990,MATCH(A230,'Base de données'!A$4:A$990,0),2),"")</f>
        <v/>
      </c>
      <c r="C230" s="192" t="str">
        <f>IF(A230&lt;&gt;"",INDEX('Base de données'!A$4:L$990,MATCH(A230,'Base de données'!A$4:A$990,0),12),"")</f>
        <v/>
      </c>
      <c r="D230" s="548"/>
      <c r="E230" s="548"/>
    </row>
    <row r="231" spans="1:5" x14ac:dyDescent="0.25">
      <c r="A231" s="548"/>
      <c r="B231" s="192" t="str">
        <f>IF(A231&lt;&gt;"",INDEX('Base de données'!A$4:L$990,MATCH(A231,'Base de données'!A$4:A$990,0),2),"")</f>
        <v/>
      </c>
      <c r="C231" s="192" t="str">
        <f>IF(A231&lt;&gt;"",INDEX('Base de données'!A$4:L$990,MATCH(A231,'Base de données'!A$4:A$990,0),12),"")</f>
        <v/>
      </c>
      <c r="D231" s="548"/>
      <c r="E231" s="548"/>
    </row>
    <row r="232" spans="1:5" x14ac:dyDescent="0.25">
      <c r="A232" s="548"/>
      <c r="B232" s="192" t="str">
        <f>IF(A232&lt;&gt;"",INDEX('Base de données'!A$4:L$990,MATCH(A232,'Base de données'!A$4:A$990,0),2),"")</f>
        <v/>
      </c>
      <c r="C232" s="192" t="str">
        <f>IF(A232&lt;&gt;"",INDEX('Base de données'!A$4:L$990,MATCH(A232,'Base de données'!A$4:A$990,0),12),"")</f>
        <v/>
      </c>
      <c r="D232" s="548"/>
      <c r="E232" s="548"/>
    </row>
    <row r="233" spans="1:5" x14ac:dyDescent="0.25">
      <c r="A233" s="548"/>
      <c r="B233" s="192" t="str">
        <f>IF(A233&lt;&gt;"",INDEX('Base de données'!A$4:L$990,MATCH(A233,'Base de données'!A$4:A$990,0),2),"")</f>
        <v/>
      </c>
      <c r="C233" s="192" t="str">
        <f>IF(A233&lt;&gt;"",INDEX('Base de données'!A$4:L$990,MATCH(A233,'Base de données'!A$4:A$990,0),12),"")</f>
        <v/>
      </c>
      <c r="D233" s="548"/>
      <c r="E233" s="548"/>
    </row>
    <row r="234" spans="1:5" x14ac:dyDescent="0.25">
      <c r="A234" s="548"/>
      <c r="B234" s="192" t="str">
        <f>IF(A234&lt;&gt;"",INDEX('Base de données'!A$4:L$990,MATCH(A234,'Base de données'!A$4:A$990,0),2),"")</f>
        <v/>
      </c>
      <c r="C234" s="192" t="str">
        <f>IF(A234&lt;&gt;"",INDEX('Base de données'!A$4:L$990,MATCH(A234,'Base de données'!A$4:A$990,0),12),"")</f>
        <v/>
      </c>
      <c r="D234" s="548"/>
      <c r="E234" s="548"/>
    </row>
    <row r="235" spans="1:5" x14ac:dyDescent="0.25">
      <c r="A235" s="548"/>
      <c r="B235" s="192" t="str">
        <f>IF(A235&lt;&gt;"",INDEX('Base de données'!A$4:L$990,MATCH(A235,'Base de données'!A$4:A$990,0),2),"")</f>
        <v/>
      </c>
      <c r="C235" s="192" t="str">
        <f>IF(A235&lt;&gt;"",INDEX('Base de données'!A$4:L$990,MATCH(A235,'Base de données'!A$4:A$990,0),12),"")</f>
        <v/>
      </c>
      <c r="D235" s="548"/>
      <c r="E235" s="548"/>
    </row>
    <row r="236" spans="1:5" x14ac:dyDescent="0.25">
      <c r="A236" s="548"/>
      <c r="B236" s="192" t="str">
        <f>IF(A236&lt;&gt;"",INDEX('Base de données'!A$4:L$990,MATCH(A236,'Base de données'!A$4:A$990,0),2),"")</f>
        <v/>
      </c>
      <c r="C236" s="192" t="str">
        <f>IF(A236&lt;&gt;"",INDEX('Base de données'!A$4:L$990,MATCH(A236,'Base de données'!A$4:A$990,0),12),"")</f>
        <v/>
      </c>
      <c r="D236" s="548"/>
      <c r="E236" s="548"/>
    </row>
    <row r="237" spans="1:5" x14ac:dyDescent="0.25">
      <c r="A237" s="548"/>
      <c r="B237" s="192" t="str">
        <f>IF(A237&lt;&gt;"",INDEX('Base de données'!A$4:L$990,MATCH(A237,'Base de données'!A$4:A$990,0),2),"")</f>
        <v/>
      </c>
      <c r="C237" s="192" t="str">
        <f>IF(A237&lt;&gt;"",INDEX('Base de données'!A$4:L$990,MATCH(A237,'Base de données'!A$4:A$990,0),12),"")</f>
        <v/>
      </c>
      <c r="D237" s="548"/>
      <c r="E237" s="548"/>
    </row>
    <row r="238" spans="1:5" x14ac:dyDescent="0.25">
      <c r="A238" s="548"/>
      <c r="B238" s="192" t="str">
        <f>IF(A238&lt;&gt;"",INDEX('Base de données'!A$4:L$990,MATCH(A238,'Base de données'!A$4:A$990,0),2),"")</f>
        <v/>
      </c>
      <c r="C238" s="192" t="str">
        <f>IF(A238&lt;&gt;"",INDEX('Base de données'!A$4:L$990,MATCH(A238,'Base de données'!A$4:A$990,0),12),"")</f>
        <v/>
      </c>
      <c r="D238" s="548"/>
      <c r="E238" s="548"/>
    </row>
    <row r="239" spans="1:5" x14ac:dyDescent="0.25">
      <c r="A239" s="548"/>
      <c r="B239" s="192" t="str">
        <f>IF(A239&lt;&gt;"",INDEX('Base de données'!A$4:L$990,MATCH(A239,'Base de données'!A$4:A$990,0),2),"")</f>
        <v/>
      </c>
      <c r="C239" s="192" t="str">
        <f>IF(A239&lt;&gt;"",INDEX('Base de données'!A$4:L$990,MATCH(A239,'Base de données'!A$4:A$990,0),12),"")</f>
        <v/>
      </c>
      <c r="D239" s="548"/>
      <c r="E239" s="548"/>
    </row>
    <row r="240" spans="1:5" x14ac:dyDescent="0.25">
      <c r="A240" s="548"/>
      <c r="B240" s="192" t="str">
        <f>IF(A240&lt;&gt;"",INDEX('Base de données'!A$4:L$990,MATCH(A240,'Base de données'!A$4:A$990,0),2),"")</f>
        <v/>
      </c>
      <c r="C240" s="192" t="str">
        <f>IF(A240&lt;&gt;"",INDEX('Base de données'!A$4:L$990,MATCH(A240,'Base de données'!A$4:A$990,0),12),"")</f>
        <v/>
      </c>
      <c r="D240" s="548"/>
      <c r="E240" s="548"/>
    </row>
    <row r="241" spans="1:5" x14ac:dyDescent="0.25">
      <c r="A241" s="548"/>
      <c r="B241" s="192" t="str">
        <f>IF(A241&lt;&gt;"",INDEX('Base de données'!A$4:L$990,MATCH(A241,'Base de données'!A$4:A$990,0),2),"")</f>
        <v/>
      </c>
      <c r="C241" s="192" t="str">
        <f>IF(A241&lt;&gt;"",INDEX('Base de données'!A$4:L$990,MATCH(A241,'Base de données'!A$4:A$990,0),12),"")</f>
        <v/>
      </c>
      <c r="D241" s="548"/>
      <c r="E241" s="548"/>
    </row>
    <row r="242" spans="1:5" x14ac:dyDescent="0.25">
      <c r="A242" s="548"/>
      <c r="B242" s="192" t="str">
        <f>IF(A242&lt;&gt;"",INDEX('Base de données'!A$4:L$990,MATCH(A242,'Base de données'!A$4:A$990,0),2),"")</f>
        <v/>
      </c>
      <c r="C242" s="192" t="str">
        <f>IF(A242&lt;&gt;"",INDEX('Base de données'!A$4:L$990,MATCH(A242,'Base de données'!A$4:A$990,0),12),"")</f>
        <v/>
      </c>
      <c r="D242" s="548"/>
      <c r="E242" s="548"/>
    </row>
    <row r="243" spans="1:5" x14ac:dyDescent="0.25">
      <c r="A243" s="548"/>
      <c r="B243" s="192" t="str">
        <f>IF(A243&lt;&gt;"",INDEX('Base de données'!A$4:L$990,MATCH(A243,'Base de données'!A$4:A$990,0),2),"")</f>
        <v/>
      </c>
      <c r="C243" s="192" t="str">
        <f>IF(A243&lt;&gt;"",INDEX('Base de données'!A$4:L$990,MATCH(A243,'Base de données'!A$4:A$990,0),12),"")</f>
        <v/>
      </c>
      <c r="D243" s="548"/>
      <c r="E243" s="548"/>
    </row>
    <row r="244" spans="1:5" x14ac:dyDescent="0.25">
      <c r="A244" s="548"/>
      <c r="B244" s="192" t="str">
        <f>IF(A244&lt;&gt;"",INDEX('Base de données'!A$4:L$990,MATCH(A244,'Base de données'!A$4:A$990,0),2),"")</f>
        <v/>
      </c>
      <c r="C244" s="192" t="str">
        <f>IF(A244&lt;&gt;"",INDEX('Base de données'!A$4:L$990,MATCH(A244,'Base de données'!A$4:A$990,0),12),"")</f>
        <v/>
      </c>
      <c r="D244" s="548"/>
      <c r="E244" s="548"/>
    </row>
    <row r="245" spans="1:5" x14ac:dyDescent="0.25">
      <c r="A245" s="548"/>
      <c r="B245" s="192" t="str">
        <f>IF(A245&lt;&gt;"",INDEX('Base de données'!A$4:L$990,MATCH(A245,'Base de données'!A$4:A$990,0),2),"")</f>
        <v/>
      </c>
      <c r="C245" s="192" t="str">
        <f>IF(A245&lt;&gt;"",INDEX('Base de données'!A$4:L$990,MATCH(A245,'Base de données'!A$4:A$990,0),12),"")</f>
        <v/>
      </c>
      <c r="D245" s="548"/>
      <c r="E245" s="548"/>
    </row>
    <row r="246" spans="1:5" x14ac:dyDescent="0.25">
      <c r="A246" s="548"/>
      <c r="B246" s="192" t="str">
        <f>IF(A246&lt;&gt;"",INDEX('Base de données'!A$4:L$990,MATCH(A246,'Base de données'!A$4:A$990,0),2),"")</f>
        <v/>
      </c>
      <c r="C246" s="192" t="str">
        <f>IF(A246&lt;&gt;"",INDEX('Base de données'!A$4:L$990,MATCH(A246,'Base de données'!A$4:A$990,0),12),"")</f>
        <v/>
      </c>
      <c r="D246" s="548"/>
      <c r="E246" s="548"/>
    </row>
    <row r="247" spans="1:5" x14ac:dyDescent="0.25">
      <c r="A247" s="548"/>
      <c r="B247" s="192" t="str">
        <f>IF(A247&lt;&gt;"",INDEX('Base de données'!A$4:L$990,MATCH(A247,'Base de données'!A$4:A$990,0),2),"")</f>
        <v/>
      </c>
      <c r="C247" s="192" t="str">
        <f>IF(A247&lt;&gt;"",INDEX('Base de données'!A$4:L$990,MATCH(A247,'Base de données'!A$4:A$990,0),12),"")</f>
        <v/>
      </c>
      <c r="D247" s="548"/>
      <c r="E247" s="548"/>
    </row>
    <row r="248" spans="1:5" x14ac:dyDescent="0.25">
      <c r="A248" s="548"/>
      <c r="B248" s="192" t="str">
        <f>IF(A248&lt;&gt;"",INDEX('Base de données'!A$4:L$990,MATCH(A248,'Base de données'!A$4:A$990,0),2),"")</f>
        <v/>
      </c>
      <c r="C248" s="192" t="str">
        <f>IF(A248&lt;&gt;"",INDEX('Base de données'!A$4:L$990,MATCH(A248,'Base de données'!A$4:A$990,0),12),"")</f>
        <v/>
      </c>
      <c r="D248" s="548"/>
      <c r="E248" s="548"/>
    </row>
    <row r="249" spans="1:5" x14ac:dyDescent="0.25">
      <c r="A249" s="548"/>
      <c r="B249" s="192" t="str">
        <f>IF(A249&lt;&gt;"",INDEX('Base de données'!A$4:L$990,MATCH(A249,'Base de données'!A$4:A$990,0),2),"")</f>
        <v/>
      </c>
      <c r="C249" s="192" t="str">
        <f>IF(A249&lt;&gt;"",INDEX('Base de données'!A$4:L$990,MATCH(A249,'Base de données'!A$4:A$990,0),12),"")</f>
        <v/>
      </c>
      <c r="D249" s="548"/>
      <c r="E249" s="548"/>
    </row>
    <row r="250" spans="1:5" x14ac:dyDescent="0.25">
      <c r="A250" s="548"/>
      <c r="B250" s="192" t="str">
        <f>IF(A250&lt;&gt;"",INDEX('Base de données'!A$4:L$990,MATCH(A250,'Base de données'!A$4:A$990,0),2),"")</f>
        <v/>
      </c>
      <c r="C250" s="192" t="str">
        <f>IF(A250&lt;&gt;"",INDEX('Base de données'!A$4:L$990,MATCH(A250,'Base de données'!A$4:A$990,0),12),"")</f>
        <v/>
      </c>
      <c r="D250" s="548"/>
      <c r="E250" s="548"/>
    </row>
    <row r="251" spans="1:5" x14ac:dyDescent="0.25">
      <c r="A251" s="548"/>
      <c r="B251" s="192" t="str">
        <f>IF(A251&lt;&gt;"",INDEX('Base de données'!A$4:L$990,MATCH(A251,'Base de données'!A$4:A$990,0),2),"")</f>
        <v/>
      </c>
      <c r="C251" s="192" t="str">
        <f>IF(A251&lt;&gt;"",INDEX('Base de données'!A$4:L$990,MATCH(A251,'Base de données'!A$4:A$990,0),12),"")</f>
        <v/>
      </c>
      <c r="D251" s="548"/>
      <c r="E251" s="548"/>
    </row>
    <row r="252" spans="1:5" x14ac:dyDescent="0.25">
      <c r="A252" s="548"/>
      <c r="B252" s="192" t="str">
        <f>IF(A252&lt;&gt;"",INDEX('Base de données'!A$4:L$990,MATCH(A252,'Base de données'!A$4:A$990,0),2),"")</f>
        <v/>
      </c>
      <c r="C252" s="192" t="str">
        <f>IF(A252&lt;&gt;"",INDEX('Base de données'!A$4:L$990,MATCH(A252,'Base de données'!A$4:A$990,0),12),"")</f>
        <v/>
      </c>
      <c r="D252" s="548"/>
      <c r="E252" s="548"/>
    </row>
    <row r="253" spans="1:5" x14ac:dyDescent="0.25">
      <c r="A253" s="548"/>
      <c r="B253" s="192" t="str">
        <f>IF(A253&lt;&gt;"",INDEX('Base de données'!A$4:L$990,MATCH(A253,'Base de données'!A$4:A$990,0),2),"")</f>
        <v/>
      </c>
      <c r="C253" s="192" t="str">
        <f>IF(A253&lt;&gt;"",INDEX('Base de données'!A$4:L$990,MATCH(A253,'Base de données'!A$4:A$990,0),12),"")</f>
        <v/>
      </c>
      <c r="D253" s="548"/>
      <c r="E253" s="548"/>
    </row>
    <row r="254" spans="1:5" x14ac:dyDescent="0.25">
      <c r="A254" s="548"/>
      <c r="B254" s="192" t="str">
        <f>IF(A254&lt;&gt;"",INDEX('Base de données'!A$4:L$990,MATCH(A254,'Base de données'!A$4:A$990,0),2),"")</f>
        <v/>
      </c>
      <c r="C254" s="192" t="str">
        <f>IF(A254&lt;&gt;"",INDEX('Base de données'!A$4:L$990,MATCH(A254,'Base de données'!A$4:A$990,0),12),"")</f>
        <v/>
      </c>
      <c r="D254" s="548"/>
      <c r="E254" s="548"/>
    </row>
    <row r="255" spans="1:5" x14ac:dyDescent="0.25">
      <c r="A255" s="548"/>
      <c r="B255" s="192" t="str">
        <f>IF(A255&lt;&gt;"",INDEX('Base de données'!A$4:L$990,MATCH(A255,'Base de données'!A$4:A$990,0),2),"")</f>
        <v/>
      </c>
      <c r="C255" s="192" t="str">
        <f>IF(A255&lt;&gt;"",INDEX('Base de données'!A$4:L$990,MATCH(A255,'Base de données'!A$4:A$990,0),12),"")</f>
        <v/>
      </c>
      <c r="D255" s="548"/>
      <c r="E255" s="548"/>
    </row>
    <row r="256" spans="1:5" x14ac:dyDescent="0.25">
      <c r="A256" s="548"/>
      <c r="B256" s="192" t="str">
        <f>IF(A256&lt;&gt;"",INDEX('Base de données'!A$4:L$990,MATCH(A256,'Base de données'!A$4:A$990,0),2),"")</f>
        <v/>
      </c>
      <c r="C256" s="192" t="str">
        <f>IF(A256&lt;&gt;"",INDEX('Base de données'!A$4:L$990,MATCH(A256,'Base de données'!A$4:A$990,0),12),"")</f>
        <v/>
      </c>
      <c r="D256" s="548"/>
      <c r="E256" s="548"/>
    </row>
    <row r="257" spans="1:5" x14ac:dyDescent="0.25">
      <c r="A257" s="548"/>
      <c r="B257" s="192" t="str">
        <f>IF(A257&lt;&gt;"",INDEX('Base de données'!A$4:L$990,MATCH(A257,'Base de données'!A$4:A$990,0),2),"")</f>
        <v/>
      </c>
      <c r="C257" s="192" t="str">
        <f>IF(A257&lt;&gt;"",INDEX('Base de données'!A$4:L$990,MATCH(A257,'Base de données'!A$4:A$990,0),12),"")</f>
        <v/>
      </c>
      <c r="D257" s="548"/>
      <c r="E257" s="548"/>
    </row>
    <row r="258" spans="1:5" x14ac:dyDescent="0.25">
      <c r="A258" s="548"/>
      <c r="B258" s="192" t="str">
        <f>IF(A258&lt;&gt;"",INDEX('Base de données'!A$4:L$990,MATCH(A258,'Base de données'!A$4:A$990,0),2),"")</f>
        <v/>
      </c>
      <c r="C258" s="192" t="str">
        <f>IF(A258&lt;&gt;"",INDEX('Base de données'!A$4:L$990,MATCH(A258,'Base de données'!A$4:A$990,0),12),"")</f>
        <v/>
      </c>
      <c r="D258" s="548"/>
      <c r="E258" s="548"/>
    </row>
    <row r="259" spans="1:5" x14ac:dyDescent="0.25">
      <c r="A259" s="548"/>
      <c r="B259" s="192" t="str">
        <f>IF(A259&lt;&gt;"",INDEX('Base de données'!A$4:L$990,MATCH(A259,'Base de données'!A$4:A$990,0),2),"")</f>
        <v/>
      </c>
      <c r="C259" s="192" t="str">
        <f>IF(A259&lt;&gt;"",INDEX('Base de données'!A$4:L$990,MATCH(A259,'Base de données'!A$4:A$990,0),12),"")</f>
        <v/>
      </c>
      <c r="D259" s="548"/>
      <c r="E259" s="548"/>
    </row>
    <row r="260" spans="1:5" x14ac:dyDescent="0.25">
      <c r="A260" s="548"/>
      <c r="B260" s="192" t="str">
        <f>IF(A260&lt;&gt;"",INDEX('Base de données'!A$4:L$990,MATCH(A260,'Base de données'!A$4:A$990,0),2),"")</f>
        <v/>
      </c>
      <c r="C260" s="192" t="str">
        <f>IF(A260&lt;&gt;"",INDEX('Base de données'!A$4:L$990,MATCH(A260,'Base de données'!A$4:A$990,0),12),"")</f>
        <v/>
      </c>
      <c r="D260" s="548"/>
      <c r="E260" s="548"/>
    </row>
    <row r="261" spans="1:5" x14ac:dyDescent="0.25">
      <c r="A261" s="548"/>
      <c r="B261" s="192" t="str">
        <f>IF(A261&lt;&gt;"",INDEX('Base de données'!A$4:L$990,MATCH(A261,'Base de données'!A$4:A$990,0),2),"")</f>
        <v/>
      </c>
      <c r="C261" s="192" t="str">
        <f>IF(A261&lt;&gt;"",INDEX('Base de données'!A$4:L$990,MATCH(A261,'Base de données'!A$4:A$990,0),12),"")</f>
        <v/>
      </c>
      <c r="D261" s="548"/>
      <c r="E261" s="548"/>
    </row>
    <row r="262" spans="1:5" x14ac:dyDescent="0.25">
      <c r="A262" s="548"/>
      <c r="B262" s="192" t="str">
        <f>IF(A262&lt;&gt;"",INDEX('Base de données'!A$4:L$990,MATCH(A262,'Base de données'!A$4:A$990,0),2),"")</f>
        <v/>
      </c>
      <c r="C262" s="192" t="str">
        <f>IF(A262&lt;&gt;"",INDEX('Base de données'!A$4:L$990,MATCH(A262,'Base de données'!A$4:A$990,0),12),"")</f>
        <v/>
      </c>
      <c r="D262" s="548"/>
      <c r="E262" s="548"/>
    </row>
    <row r="263" spans="1:5" x14ac:dyDescent="0.25">
      <c r="A263" s="548"/>
      <c r="B263" s="192" t="str">
        <f>IF(A263&lt;&gt;"",INDEX('Base de données'!A$4:L$990,MATCH(A263,'Base de données'!A$4:A$990,0),2),"")</f>
        <v/>
      </c>
      <c r="C263" s="192" t="str">
        <f>IF(A263&lt;&gt;"",INDEX('Base de données'!A$4:L$990,MATCH(A263,'Base de données'!A$4:A$990,0),12),"")</f>
        <v/>
      </c>
      <c r="D263" s="548"/>
      <c r="E263" s="548"/>
    </row>
    <row r="264" spans="1:5" x14ac:dyDescent="0.25">
      <c r="A264" s="548"/>
      <c r="B264" s="192" t="str">
        <f>IF(A264&lt;&gt;"",INDEX('Base de données'!A$4:L$990,MATCH(A264,'Base de données'!A$4:A$990,0),2),"")</f>
        <v/>
      </c>
      <c r="C264" s="192" t="str">
        <f>IF(A264&lt;&gt;"",INDEX('Base de données'!A$4:L$990,MATCH(A264,'Base de données'!A$4:A$990,0),12),"")</f>
        <v/>
      </c>
      <c r="D264" s="548"/>
      <c r="E264" s="548"/>
    </row>
    <row r="265" spans="1:5" x14ac:dyDescent="0.25">
      <c r="A265" s="548"/>
      <c r="B265" s="192" t="str">
        <f>IF(A265&lt;&gt;"",INDEX('Base de données'!A$4:L$990,MATCH(A265,'Base de données'!A$4:A$990,0),2),"")</f>
        <v/>
      </c>
      <c r="C265" s="192" t="str">
        <f>IF(A265&lt;&gt;"",INDEX('Base de données'!A$4:L$990,MATCH(A265,'Base de données'!A$4:A$990,0),12),"")</f>
        <v/>
      </c>
      <c r="D265" s="548"/>
      <c r="E265" s="548"/>
    </row>
    <row r="266" spans="1:5" x14ac:dyDescent="0.25">
      <c r="A266" s="548"/>
      <c r="B266" s="192" t="str">
        <f>IF(A266&lt;&gt;"",INDEX('Base de données'!A$4:L$990,MATCH(A266,'Base de données'!A$4:A$990,0),2),"")</f>
        <v/>
      </c>
      <c r="C266" s="192" t="str">
        <f>IF(A266&lt;&gt;"",INDEX('Base de données'!A$4:L$990,MATCH(A266,'Base de données'!A$4:A$990,0),12),"")</f>
        <v/>
      </c>
      <c r="D266" s="548"/>
      <c r="E266" s="548"/>
    </row>
    <row r="267" spans="1:5" x14ac:dyDescent="0.25">
      <c r="A267" s="548"/>
      <c r="B267" s="192" t="str">
        <f>IF(A267&lt;&gt;"",INDEX('Base de données'!A$4:L$990,MATCH(A267,'Base de données'!A$4:A$990,0),2),"")</f>
        <v/>
      </c>
      <c r="C267" s="192" t="str">
        <f>IF(A267&lt;&gt;"",INDEX('Base de données'!A$4:L$990,MATCH(A267,'Base de données'!A$4:A$990,0),12),"")</f>
        <v/>
      </c>
      <c r="D267" s="548"/>
      <c r="E267" s="548"/>
    </row>
    <row r="268" spans="1:5" x14ac:dyDescent="0.25">
      <c r="A268" s="548"/>
      <c r="B268" s="192" t="str">
        <f>IF(A268&lt;&gt;"",INDEX('Base de données'!A$4:L$990,MATCH(A268,'Base de données'!A$4:A$990,0),2),"")</f>
        <v/>
      </c>
      <c r="C268" s="192" t="str">
        <f>IF(A268&lt;&gt;"",INDEX('Base de données'!A$4:L$990,MATCH(A268,'Base de données'!A$4:A$990,0),12),"")</f>
        <v/>
      </c>
      <c r="D268" s="548"/>
      <c r="E268" s="548"/>
    </row>
    <row r="269" spans="1:5" x14ac:dyDescent="0.25">
      <c r="A269" s="548"/>
      <c r="B269" s="192" t="str">
        <f>IF(A269&lt;&gt;"",INDEX('Base de données'!A$4:L$990,MATCH(A269,'Base de données'!A$4:A$990,0),2),"")</f>
        <v/>
      </c>
      <c r="C269" s="192" t="str">
        <f>IF(A269&lt;&gt;"",INDEX('Base de données'!A$4:L$990,MATCH(A269,'Base de données'!A$4:A$990,0),12),"")</f>
        <v/>
      </c>
      <c r="D269" s="548"/>
      <c r="E269" s="548"/>
    </row>
    <row r="270" spans="1:5" x14ac:dyDescent="0.25">
      <c r="A270" s="548"/>
      <c r="B270" s="192" t="str">
        <f>IF(A270&lt;&gt;"",INDEX('Base de données'!A$4:L$990,MATCH(A270,'Base de données'!A$4:A$990,0),2),"")</f>
        <v/>
      </c>
      <c r="C270" s="192" t="str">
        <f>IF(A270&lt;&gt;"",INDEX('Base de données'!A$4:L$990,MATCH(A270,'Base de données'!A$4:A$990,0),12),"")</f>
        <v/>
      </c>
      <c r="D270" s="548"/>
      <c r="E270" s="548"/>
    </row>
    <row r="271" spans="1:5" x14ac:dyDescent="0.25">
      <c r="A271" s="548"/>
      <c r="B271" s="192" t="str">
        <f>IF(A271&lt;&gt;"",INDEX('Base de données'!A$4:L$990,MATCH(A271,'Base de données'!A$4:A$990,0),2),"")</f>
        <v/>
      </c>
      <c r="C271" s="192" t="str">
        <f>IF(A271&lt;&gt;"",INDEX('Base de données'!A$4:L$990,MATCH(A271,'Base de données'!A$4:A$990,0),12),"")</f>
        <v/>
      </c>
      <c r="D271" s="548"/>
      <c r="E271" s="548"/>
    </row>
    <row r="272" spans="1:5" x14ac:dyDescent="0.25">
      <c r="A272" s="548"/>
      <c r="B272" s="192" t="str">
        <f>IF(A272&lt;&gt;"",INDEX('Base de données'!A$4:L$990,MATCH(A272,'Base de données'!A$4:A$990,0),2),"")</f>
        <v/>
      </c>
      <c r="C272" s="192" t="str">
        <f>IF(A272&lt;&gt;"",INDEX('Base de données'!A$4:L$990,MATCH(A272,'Base de données'!A$4:A$990,0),12),"")</f>
        <v/>
      </c>
      <c r="D272" s="548"/>
      <c r="E272" s="548"/>
    </row>
    <row r="273" spans="1:5" x14ac:dyDescent="0.25">
      <c r="A273" s="548"/>
      <c r="B273" s="192" t="str">
        <f>IF(A273&lt;&gt;"",INDEX('Base de données'!A$4:L$990,MATCH(A273,'Base de données'!A$4:A$990,0),2),"")</f>
        <v/>
      </c>
      <c r="C273" s="192" t="str">
        <f>IF(A273&lt;&gt;"",INDEX('Base de données'!A$4:L$990,MATCH(A273,'Base de données'!A$4:A$990,0),12),"")</f>
        <v/>
      </c>
      <c r="D273" s="548"/>
      <c r="E273" s="548"/>
    </row>
    <row r="274" spans="1:5" x14ac:dyDescent="0.25">
      <c r="A274" s="548"/>
      <c r="B274" s="192" t="str">
        <f>IF(A274&lt;&gt;"",INDEX('Base de données'!A$4:L$990,MATCH(A274,'Base de données'!A$4:A$990,0),2),"")</f>
        <v/>
      </c>
      <c r="C274" s="192" t="str">
        <f>IF(A274&lt;&gt;"",INDEX('Base de données'!A$4:L$990,MATCH(A274,'Base de données'!A$4:A$990,0),12),"")</f>
        <v/>
      </c>
      <c r="D274" s="548"/>
      <c r="E274" s="548"/>
    </row>
    <row r="275" spans="1:5" x14ac:dyDescent="0.25">
      <c r="A275" s="548"/>
      <c r="B275" s="192" t="str">
        <f>IF(A275&lt;&gt;"",INDEX('Base de données'!A$4:L$990,MATCH(A275,'Base de données'!A$4:A$990,0),2),"")</f>
        <v/>
      </c>
      <c r="C275" s="192" t="str">
        <f>IF(A275&lt;&gt;"",INDEX('Base de données'!A$4:L$990,MATCH(A275,'Base de données'!A$4:A$990,0),12),"")</f>
        <v/>
      </c>
      <c r="D275" s="548"/>
      <c r="E275" s="548"/>
    </row>
    <row r="276" spans="1:5" x14ac:dyDescent="0.25">
      <c r="A276" s="548"/>
      <c r="B276" s="192" t="str">
        <f>IF(A276&lt;&gt;"",INDEX('Base de données'!A$4:L$990,MATCH(A276,'Base de données'!A$4:A$990,0),2),"")</f>
        <v/>
      </c>
      <c r="C276" s="192" t="str">
        <f>IF(A276&lt;&gt;"",INDEX('Base de données'!A$4:L$990,MATCH(A276,'Base de données'!A$4:A$990,0),12),"")</f>
        <v/>
      </c>
      <c r="D276" s="548"/>
      <c r="E276" s="548"/>
    </row>
    <row r="277" spans="1:5" x14ac:dyDescent="0.25">
      <c r="A277" s="548"/>
      <c r="B277" s="192" t="str">
        <f>IF(A277&lt;&gt;"",INDEX('Base de données'!A$4:L$990,MATCH(A277,'Base de données'!A$4:A$990,0),2),"")</f>
        <v/>
      </c>
      <c r="C277" s="192" t="str">
        <f>IF(A277&lt;&gt;"",INDEX('Base de données'!A$4:L$990,MATCH(A277,'Base de données'!A$4:A$990,0),12),"")</f>
        <v/>
      </c>
      <c r="D277" s="548"/>
      <c r="E277" s="548"/>
    </row>
    <row r="278" spans="1:5" x14ac:dyDescent="0.25">
      <c r="A278" s="548"/>
      <c r="B278" s="192" t="str">
        <f>IF(A278&lt;&gt;"",INDEX('Base de données'!A$4:L$990,MATCH(A278,'Base de données'!A$4:A$990,0),2),"")</f>
        <v/>
      </c>
      <c r="C278" s="192" t="str">
        <f>IF(A278&lt;&gt;"",INDEX('Base de données'!A$4:L$990,MATCH(A278,'Base de données'!A$4:A$990,0),12),"")</f>
        <v/>
      </c>
      <c r="D278" s="548"/>
      <c r="E278" s="548"/>
    </row>
    <row r="279" spans="1:5" x14ac:dyDescent="0.25">
      <c r="A279" s="548"/>
      <c r="B279" s="192" t="str">
        <f>IF(A279&lt;&gt;"",INDEX('Base de données'!A$4:L$990,MATCH(A279,'Base de données'!A$4:A$990,0),2),"")</f>
        <v/>
      </c>
      <c r="C279" s="192" t="str">
        <f>IF(A279&lt;&gt;"",INDEX('Base de données'!A$4:L$990,MATCH(A279,'Base de données'!A$4:A$990,0),12),"")</f>
        <v/>
      </c>
      <c r="D279" s="548"/>
      <c r="E279" s="548"/>
    </row>
    <row r="280" spans="1:5" x14ac:dyDescent="0.25">
      <c r="A280" s="548"/>
      <c r="B280" s="192" t="str">
        <f>IF(A280&lt;&gt;"",INDEX('Base de données'!A$4:L$990,MATCH(A280,'Base de données'!A$4:A$990,0),2),"")</f>
        <v/>
      </c>
      <c r="C280" s="192" t="str">
        <f>IF(A280&lt;&gt;"",INDEX('Base de données'!A$4:L$990,MATCH(A280,'Base de données'!A$4:A$990,0),12),"")</f>
        <v/>
      </c>
      <c r="D280" s="548"/>
      <c r="E280" s="548"/>
    </row>
    <row r="281" spans="1:5" x14ac:dyDescent="0.25">
      <c r="A281" s="548"/>
      <c r="B281" s="192" t="str">
        <f>IF(A281&lt;&gt;"",INDEX('Base de données'!A$4:L$990,MATCH(A281,'Base de données'!A$4:A$990,0),2),"")</f>
        <v/>
      </c>
      <c r="C281" s="192" t="str">
        <f>IF(A281&lt;&gt;"",INDEX('Base de données'!A$4:L$990,MATCH(A281,'Base de données'!A$4:A$990,0),12),"")</f>
        <v/>
      </c>
      <c r="D281" s="548"/>
      <c r="E281" s="548"/>
    </row>
    <row r="282" spans="1:5" x14ac:dyDescent="0.25">
      <c r="A282" s="548"/>
      <c r="B282" s="192" t="str">
        <f>IF(A282&lt;&gt;"",INDEX('Base de données'!A$4:L$990,MATCH(A282,'Base de données'!A$4:A$990,0),2),"")</f>
        <v/>
      </c>
      <c r="C282" s="192" t="str">
        <f>IF(A282&lt;&gt;"",INDEX('Base de données'!A$4:L$990,MATCH(A282,'Base de données'!A$4:A$990,0),12),"")</f>
        <v/>
      </c>
      <c r="D282" s="548"/>
      <c r="E282" s="548"/>
    </row>
    <row r="283" spans="1:5" x14ac:dyDescent="0.25">
      <c r="A283" s="548"/>
      <c r="B283" s="192" t="str">
        <f>IF(A283&lt;&gt;"",INDEX('Base de données'!A$4:L$990,MATCH(A283,'Base de données'!A$4:A$990,0),2),"")</f>
        <v/>
      </c>
      <c r="C283" s="192" t="str">
        <f>IF(A283&lt;&gt;"",INDEX('Base de données'!A$4:L$990,MATCH(A283,'Base de données'!A$4:A$990,0),12),"")</f>
        <v/>
      </c>
      <c r="D283" s="548"/>
      <c r="E283" s="548"/>
    </row>
    <row r="284" spans="1:5" x14ac:dyDescent="0.25">
      <c r="A284" s="548"/>
      <c r="B284" s="192" t="str">
        <f>IF(A284&lt;&gt;"",INDEX('Base de données'!A$4:L$990,MATCH(A284,'Base de données'!A$4:A$990,0),2),"")</f>
        <v/>
      </c>
      <c r="C284" s="192" t="str">
        <f>IF(A284&lt;&gt;"",INDEX('Base de données'!A$4:L$990,MATCH(A284,'Base de données'!A$4:A$990,0),12),"")</f>
        <v/>
      </c>
      <c r="D284" s="548"/>
      <c r="E284" s="548"/>
    </row>
    <row r="285" spans="1:5" x14ac:dyDescent="0.25">
      <c r="A285" s="548"/>
      <c r="B285" s="192" t="str">
        <f>IF(A285&lt;&gt;"",INDEX('Base de données'!A$4:L$990,MATCH(A285,'Base de données'!A$4:A$990,0),2),"")</f>
        <v/>
      </c>
      <c r="C285" s="192" t="str">
        <f>IF(A285&lt;&gt;"",INDEX('Base de données'!A$4:L$990,MATCH(A285,'Base de données'!A$4:A$990,0),12),"")</f>
        <v/>
      </c>
      <c r="D285" s="548"/>
      <c r="E285" s="548"/>
    </row>
    <row r="286" spans="1:5" x14ac:dyDescent="0.25">
      <c r="A286" s="548"/>
      <c r="B286" s="192" t="str">
        <f>IF(A286&lt;&gt;"",INDEX('Base de données'!A$4:L$990,MATCH(A286,'Base de données'!A$4:A$990,0),2),"")</f>
        <v/>
      </c>
      <c r="C286" s="192" t="str">
        <f>IF(A286&lt;&gt;"",INDEX('Base de données'!A$4:L$990,MATCH(A286,'Base de données'!A$4:A$990,0),12),"")</f>
        <v/>
      </c>
      <c r="D286" s="548"/>
      <c r="E286" s="548"/>
    </row>
    <row r="287" spans="1:5" x14ac:dyDescent="0.25">
      <c r="A287" s="548"/>
      <c r="B287" s="192" t="str">
        <f>IF(A287&lt;&gt;"",INDEX('Base de données'!A$4:L$990,MATCH(A287,'Base de données'!A$4:A$990,0),2),"")</f>
        <v/>
      </c>
      <c r="C287" s="192" t="str">
        <f>IF(A287&lt;&gt;"",INDEX('Base de données'!A$4:L$990,MATCH(A287,'Base de données'!A$4:A$990,0),12),"")</f>
        <v/>
      </c>
      <c r="D287" s="548"/>
      <c r="E287" s="548"/>
    </row>
    <row r="288" spans="1:5" x14ac:dyDescent="0.25">
      <c r="A288" s="548"/>
      <c r="B288" s="192" t="str">
        <f>IF(A288&lt;&gt;"",INDEX('Base de données'!A$4:L$990,MATCH(A288,'Base de données'!A$4:A$990,0),2),"")</f>
        <v/>
      </c>
      <c r="C288" s="192" t="str">
        <f>IF(A288&lt;&gt;"",INDEX('Base de données'!A$4:L$990,MATCH(A288,'Base de données'!A$4:A$990,0),12),"")</f>
        <v/>
      </c>
      <c r="D288" s="548"/>
      <c r="E288" s="548"/>
    </row>
    <row r="289" spans="1:5" x14ac:dyDescent="0.25">
      <c r="A289" s="548"/>
      <c r="B289" s="192" t="str">
        <f>IF(A289&lt;&gt;"",INDEX('Base de données'!A$4:L$990,MATCH(A289,'Base de données'!A$4:A$990,0),2),"")</f>
        <v/>
      </c>
      <c r="C289" s="192" t="str">
        <f>IF(A289&lt;&gt;"",INDEX('Base de données'!A$4:L$990,MATCH(A289,'Base de données'!A$4:A$990,0),12),"")</f>
        <v/>
      </c>
      <c r="D289" s="548"/>
      <c r="E289" s="548"/>
    </row>
    <row r="290" spans="1:5" x14ac:dyDescent="0.25">
      <c r="A290" s="548"/>
      <c r="B290" s="192" t="str">
        <f>IF(A290&lt;&gt;"",INDEX('Base de données'!A$4:L$990,MATCH(A290,'Base de données'!A$4:A$990,0),2),"")</f>
        <v/>
      </c>
      <c r="C290" s="192" t="str">
        <f>IF(A290&lt;&gt;"",INDEX('Base de données'!A$4:L$990,MATCH(A290,'Base de données'!A$4:A$990,0),12),"")</f>
        <v/>
      </c>
      <c r="D290" s="548"/>
      <c r="E290" s="548"/>
    </row>
    <row r="291" spans="1:5" x14ac:dyDescent="0.25">
      <c r="A291" s="548"/>
      <c r="B291" s="192" t="str">
        <f>IF(A291&lt;&gt;"",INDEX('Base de données'!A$4:L$990,MATCH(A291,'Base de données'!A$4:A$990,0),2),"")</f>
        <v/>
      </c>
      <c r="C291" s="192" t="str">
        <f>IF(A291&lt;&gt;"",INDEX('Base de données'!A$4:L$990,MATCH(A291,'Base de données'!A$4:A$990,0),12),"")</f>
        <v/>
      </c>
      <c r="D291" s="548"/>
      <c r="E291" s="548"/>
    </row>
    <row r="292" spans="1:5" x14ac:dyDescent="0.25">
      <c r="A292" s="548"/>
      <c r="B292" s="192" t="str">
        <f>IF(A292&lt;&gt;"",INDEX('Base de données'!A$4:L$990,MATCH(A292,'Base de données'!A$4:A$990,0),2),"")</f>
        <v/>
      </c>
      <c r="C292" s="192" t="str">
        <f>IF(A292&lt;&gt;"",INDEX('Base de données'!A$4:L$990,MATCH(A292,'Base de données'!A$4:A$990,0),12),"")</f>
        <v/>
      </c>
      <c r="D292" s="548"/>
      <c r="E292" s="548"/>
    </row>
    <row r="293" spans="1:5" x14ac:dyDescent="0.25">
      <c r="A293" s="548"/>
      <c r="B293" s="192" t="str">
        <f>IF(A293&lt;&gt;"",INDEX('Base de données'!A$4:L$990,MATCH(A293,'Base de données'!A$4:A$990,0),2),"")</f>
        <v/>
      </c>
      <c r="C293" s="192" t="str">
        <f>IF(A293&lt;&gt;"",INDEX('Base de données'!A$4:L$990,MATCH(A293,'Base de données'!A$4:A$990,0),12),"")</f>
        <v/>
      </c>
      <c r="D293" s="548"/>
      <c r="E293" s="548"/>
    </row>
    <row r="294" spans="1:5" x14ac:dyDescent="0.25">
      <c r="A294" s="548"/>
      <c r="B294" s="192" t="str">
        <f>IF(A294&lt;&gt;"",INDEX('Base de données'!A$4:L$990,MATCH(A294,'Base de données'!A$4:A$990,0),2),"")</f>
        <v/>
      </c>
      <c r="C294" s="192" t="str">
        <f>IF(A294&lt;&gt;"",INDEX('Base de données'!A$4:L$990,MATCH(A294,'Base de données'!A$4:A$990,0),12),"")</f>
        <v/>
      </c>
      <c r="D294" s="548"/>
      <c r="E294" s="548"/>
    </row>
    <row r="295" spans="1:5" x14ac:dyDescent="0.25">
      <c r="A295" s="548"/>
      <c r="B295" s="192" t="str">
        <f>IF(A295&lt;&gt;"",INDEX('Base de données'!A$4:L$990,MATCH(A295,'Base de données'!A$4:A$990,0),2),"")</f>
        <v/>
      </c>
      <c r="C295" s="192" t="str">
        <f>IF(A295&lt;&gt;"",INDEX('Base de données'!A$4:L$990,MATCH(A295,'Base de données'!A$4:A$990,0),12),"")</f>
        <v/>
      </c>
      <c r="D295" s="548"/>
      <c r="E295" s="548"/>
    </row>
    <row r="296" spans="1:5" x14ac:dyDescent="0.25">
      <c r="A296" s="548"/>
      <c r="B296" s="192" t="str">
        <f>IF(A296&lt;&gt;"",INDEX('Base de données'!A$4:L$990,MATCH(A296,'Base de données'!A$4:A$990,0),2),"")</f>
        <v/>
      </c>
      <c r="C296" s="192" t="str">
        <f>IF(A296&lt;&gt;"",INDEX('Base de données'!A$4:L$990,MATCH(A296,'Base de données'!A$4:A$990,0),12),"")</f>
        <v/>
      </c>
      <c r="D296" s="548"/>
      <c r="E296" s="548"/>
    </row>
    <row r="297" spans="1:5" x14ac:dyDescent="0.25">
      <c r="A297" s="548"/>
      <c r="B297" s="192" t="str">
        <f>IF(A297&lt;&gt;"",INDEX('Base de données'!A$4:L$990,MATCH(A297,'Base de données'!A$4:A$990,0),2),"")</f>
        <v/>
      </c>
      <c r="C297" s="192" t="str">
        <f>IF(A297&lt;&gt;"",INDEX('Base de données'!A$4:L$990,MATCH(A297,'Base de données'!A$4:A$990,0),12),"")</f>
        <v/>
      </c>
      <c r="D297" s="548"/>
      <c r="E297" s="548"/>
    </row>
    <row r="298" spans="1:5" x14ac:dyDescent="0.25">
      <c r="A298" s="548"/>
      <c r="B298" s="192" t="str">
        <f>IF(A298&lt;&gt;"",INDEX('Base de données'!A$4:L$990,MATCH(A298,'Base de données'!A$4:A$990,0),2),"")</f>
        <v/>
      </c>
      <c r="C298" s="192" t="str">
        <f>IF(A298&lt;&gt;"",INDEX('Base de données'!A$4:L$990,MATCH(A298,'Base de données'!A$4:A$990,0),12),"")</f>
        <v/>
      </c>
      <c r="D298" s="548"/>
      <c r="E298" s="548"/>
    </row>
    <row r="299" spans="1:5" x14ac:dyDescent="0.25">
      <c r="A299" s="548"/>
      <c r="B299" s="192" t="str">
        <f>IF(A299&lt;&gt;"",INDEX('Base de données'!A$4:L$990,MATCH(A299,'Base de données'!A$4:A$990,0),2),"")</f>
        <v/>
      </c>
      <c r="C299" s="192" t="str">
        <f>IF(A299&lt;&gt;"",INDEX('Base de données'!A$4:L$990,MATCH(A299,'Base de données'!A$4:A$990,0),12),"")</f>
        <v/>
      </c>
      <c r="D299" s="548"/>
      <c r="E299" s="548"/>
    </row>
    <row r="300" spans="1:5" x14ac:dyDescent="0.25">
      <c r="A300" s="548"/>
      <c r="B300" s="192" t="str">
        <f>IF(A300&lt;&gt;"",INDEX('Base de données'!A$4:L$990,MATCH(A300,'Base de données'!A$4:A$990,0),2),"")</f>
        <v/>
      </c>
      <c r="C300" s="192" t="str">
        <f>IF(A300&lt;&gt;"",INDEX('Base de données'!A$4:L$990,MATCH(A300,'Base de données'!A$4:A$990,0),12),"")</f>
        <v/>
      </c>
      <c r="D300" s="548"/>
      <c r="E300" s="548"/>
    </row>
    <row r="301" spans="1:5" x14ac:dyDescent="0.25">
      <c r="A301" s="548"/>
      <c r="B301" s="192" t="str">
        <f>IF(A301&lt;&gt;"",INDEX('Base de données'!A$4:L$990,MATCH(A301,'Base de données'!A$4:A$990,0),2),"")</f>
        <v/>
      </c>
      <c r="C301" s="192" t="str">
        <f>IF(A301&lt;&gt;"",INDEX('Base de données'!A$4:L$990,MATCH(A301,'Base de données'!A$4:A$990,0),12),"")</f>
        <v/>
      </c>
      <c r="D301" s="548"/>
      <c r="E301" s="548"/>
    </row>
    <row r="302" spans="1:5" x14ac:dyDescent="0.25">
      <c r="A302" s="548"/>
      <c r="B302" s="192" t="str">
        <f>IF(A302&lt;&gt;"",INDEX('Base de données'!A$4:L$990,MATCH(A302,'Base de données'!A$4:A$990,0),2),"")</f>
        <v/>
      </c>
      <c r="C302" s="192" t="str">
        <f>IF(A302&lt;&gt;"",INDEX('Base de données'!A$4:L$990,MATCH(A302,'Base de données'!A$4:A$990,0),12),"")</f>
        <v/>
      </c>
      <c r="D302" s="548"/>
      <c r="E302" s="548"/>
    </row>
    <row r="303" spans="1:5" x14ac:dyDescent="0.25">
      <c r="A303" s="548"/>
      <c r="B303" s="192" t="str">
        <f>IF(A303&lt;&gt;"",INDEX('Base de données'!A$4:L$990,MATCH(A303,'Base de données'!A$4:A$990,0),2),"")</f>
        <v/>
      </c>
      <c r="C303" s="192" t="str">
        <f>IF(A303&lt;&gt;"",INDEX('Base de données'!A$4:L$990,MATCH(A303,'Base de données'!A$4:A$990,0),12),"")</f>
        <v/>
      </c>
      <c r="D303" s="548"/>
      <c r="E303" s="548"/>
    </row>
    <row r="304" spans="1:5" x14ac:dyDescent="0.25">
      <c r="A304" s="548"/>
      <c r="B304" s="192" t="str">
        <f>IF(A304&lt;&gt;"",INDEX('Base de données'!A$4:L$990,MATCH(A304,'Base de données'!A$4:A$990,0),2),"")</f>
        <v/>
      </c>
      <c r="C304" s="192" t="str">
        <f>IF(A304&lt;&gt;"",INDEX('Base de données'!A$4:L$990,MATCH(A304,'Base de données'!A$4:A$990,0),12),"")</f>
        <v/>
      </c>
      <c r="D304" s="548"/>
      <c r="E304" s="548"/>
    </row>
    <row r="305" spans="1:5" x14ac:dyDescent="0.25">
      <c r="A305" s="548"/>
      <c r="B305" s="192" t="str">
        <f>IF(A305&lt;&gt;"",INDEX('Base de données'!A$4:L$990,MATCH(A305,'Base de données'!A$4:A$990,0),2),"")</f>
        <v/>
      </c>
      <c r="C305" s="192" t="str">
        <f>IF(A305&lt;&gt;"",INDEX('Base de données'!A$4:L$990,MATCH(A305,'Base de données'!A$4:A$990,0),12),"")</f>
        <v/>
      </c>
      <c r="D305" s="548"/>
      <c r="E305" s="548"/>
    </row>
    <row r="306" spans="1:5" x14ac:dyDescent="0.25">
      <c r="A306" s="548"/>
      <c r="B306" s="192" t="str">
        <f>IF(A306&lt;&gt;"",INDEX('Base de données'!A$4:L$990,MATCH(A306,'Base de données'!A$4:A$990,0),2),"")</f>
        <v/>
      </c>
      <c r="C306" s="192" t="str">
        <f>IF(A306&lt;&gt;"",INDEX('Base de données'!A$4:L$990,MATCH(A306,'Base de données'!A$4:A$990,0),12),"")</f>
        <v/>
      </c>
      <c r="D306" s="548"/>
      <c r="E306" s="548"/>
    </row>
    <row r="307" spans="1:5" x14ac:dyDescent="0.25">
      <c r="A307" s="548"/>
      <c r="B307" s="192" t="str">
        <f>IF(A307&lt;&gt;"",INDEX('Base de données'!A$4:L$990,MATCH(A307,'Base de données'!A$4:A$990,0),2),"")</f>
        <v/>
      </c>
      <c r="C307" s="192" t="str">
        <f>IF(A307&lt;&gt;"",INDEX('Base de données'!A$4:L$990,MATCH(A307,'Base de données'!A$4:A$990,0),12),"")</f>
        <v/>
      </c>
      <c r="D307" s="548"/>
      <c r="E307" s="548"/>
    </row>
    <row r="308" spans="1:5" x14ac:dyDescent="0.25">
      <c r="A308" s="548"/>
      <c r="B308" s="192" t="str">
        <f>IF(A308&lt;&gt;"",INDEX('Base de données'!A$4:L$990,MATCH(A308,'Base de données'!A$4:A$990,0),2),"")</f>
        <v/>
      </c>
      <c r="C308" s="192" t="str">
        <f>IF(A308&lt;&gt;"",INDEX('Base de données'!A$4:L$990,MATCH(A308,'Base de données'!A$4:A$990,0),12),"")</f>
        <v/>
      </c>
      <c r="D308" s="548"/>
      <c r="E308" s="548"/>
    </row>
    <row r="309" spans="1:5" x14ac:dyDescent="0.25">
      <c r="A309" s="548"/>
      <c r="B309" s="192" t="str">
        <f>IF(A309&lt;&gt;"",INDEX('Base de données'!A$4:L$990,MATCH(A309,'Base de données'!A$4:A$990,0),2),"")</f>
        <v/>
      </c>
      <c r="C309" s="192" t="str">
        <f>IF(A309&lt;&gt;"",INDEX('Base de données'!A$4:L$990,MATCH(A309,'Base de données'!A$4:A$990,0),12),"")</f>
        <v/>
      </c>
      <c r="D309" s="548"/>
      <c r="E309" s="548"/>
    </row>
    <row r="310" spans="1:5" x14ac:dyDescent="0.25">
      <c r="A310" s="548"/>
      <c r="B310" s="192" t="str">
        <f>IF(A310&lt;&gt;"",INDEX('Base de données'!A$4:L$990,MATCH(A310,'Base de données'!A$4:A$990,0),2),"")</f>
        <v/>
      </c>
      <c r="C310" s="192" t="str">
        <f>IF(A310&lt;&gt;"",INDEX('Base de données'!A$4:L$990,MATCH(A310,'Base de données'!A$4:A$990,0),12),"")</f>
        <v/>
      </c>
      <c r="D310" s="548"/>
      <c r="E310" s="548"/>
    </row>
    <row r="311" spans="1:5" x14ac:dyDescent="0.25">
      <c r="A311" s="548"/>
      <c r="B311" s="192" t="str">
        <f>IF(A311&lt;&gt;"",INDEX('Base de données'!A$4:L$990,MATCH(A311,'Base de données'!A$4:A$990,0),2),"")</f>
        <v/>
      </c>
      <c r="C311" s="192" t="str">
        <f>IF(A311&lt;&gt;"",INDEX('Base de données'!A$4:L$990,MATCH(A311,'Base de données'!A$4:A$990,0),12),"")</f>
        <v/>
      </c>
      <c r="D311" s="548"/>
      <c r="E311" s="548"/>
    </row>
    <row r="312" spans="1:5" x14ac:dyDescent="0.25">
      <c r="A312" s="548"/>
      <c r="B312" s="192" t="str">
        <f>IF(A312&lt;&gt;"",INDEX('Base de données'!A$4:L$990,MATCH(A312,'Base de données'!A$4:A$990,0),2),"")</f>
        <v/>
      </c>
      <c r="C312" s="192" t="str">
        <f>IF(A312&lt;&gt;"",INDEX('Base de données'!A$4:L$990,MATCH(A312,'Base de données'!A$4:A$990,0),12),"")</f>
        <v/>
      </c>
      <c r="D312" s="548"/>
      <c r="E312" s="548"/>
    </row>
    <row r="313" spans="1:5" x14ac:dyDescent="0.25">
      <c r="A313" s="548"/>
      <c r="B313" s="192" t="str">
        <f>IF(A313&lt;&gt;"",INDEX('Base de données'!A$4:L$990,MATCH(A313,'Base de données'!A$4:A$990,0),2),"")</f>
        <v/>
      </c>
      <c r="C313" s="192" t="str">
        <f>IF(A313&lt;&gt;"",INDEX('Base de données'!A$4:L$990,MATCH(A313,'Base de données'!A$4:A$990,0),12),"")</f>
        <v/>
      </c>
      <c r="D313" s="548"/>
      <c r="E313" s="548"/>
    </row>
    <row r="314" spans="1:5" x14ac:dyDescent="0.25">
      <c r="A314" s="548"/>
      <c r="B314" s="192" t="str">
        <f>IF(A314&lt;&gt;"",INDEX('Base de données'!A$4:L$990,MATCH(A314,'Base de données'!A$4:A$990,0),2),"")</f>
        <v/>
      </c>
      <c r="C314" s="192" t="str">
        <f>IF(A314&lt;&gt;"",INDEX('Base de données'!A$4:L$990,MATCH(A314,'Base de données'!A$4:A$990,0),12),"")</f>
        <v/>
      </c>
      <c r="D314" s="548"/>
      <c r="E314" s="548"/>
    </row>
    <row r="315" spans="1:5" x14ac:dyDescent="0.25">
      <c r="A315" s="548"/>
      <c r="B315" s="192" t="str">
        <f>IF(A315&lt;&gt;"",INDEX('Base de données'!A$4:L$990,MATCH(A315,'Base de données'!A$4:A$990,0),2),"")</f>
        <v/>
      </c>
      <c r="C315" s="192" t="str">
        <f>IF(A315&lt;&gt;"",INDEX('Base de données'!A$4:L$990,MATCH(A315,'Base de données'!A$4:A$990,0),12),"")</f>
        <v/>
      </c>
      <c r="D315" s="548"/>
      <c r="E315" s="548"/>
    </row>
    <row r="316" spans="1:5" x14ac:dyDescent="0.25">
      <c r="A316" s="548"/>
      <c r="B316" s="192" t="str">
        <f>IF(A316&lt;&gt;"",INDEX('Base de données'!A$4:L$990,MATCH(A316,'Base de données'!A$4:A$990,0),2),"")</f>
        <v/>
      </c>
      <c r="C316" s="192" t="str">
        <f>IF(A316&lt;&gt;"",INDEX('Base de données'!A$4:L$990,MATCH(A316,'Base de données'!A$4:A$990,0),12),"")</f>
        <v/>
      </c>
      <c r="D316" s="548"/>
      <c r="E316" s="548"/>
    </row>
    <row r="317" spans="1:5" x14ac:dyDescent="0.25">
      <c r="A317" s="548"/>
      <c r="B317" s="192" t="str">
        <f>IF(A317&lt;&gt;"",INDEX('Base de données'!A$4:L$990,MATCH(A317,'Base de données'!A$4:A$990,0),2),"")</f>
        <v/>
      </c>
      <c r="C317" s="192" t="str">
        <f>IF(A317&lt;&gt;"",INDEX('Base de données'!A$4:L$990,MATCH(A317,'Base de données'!A$4:A$990,0),12),"")</f>
        <v/>
      </c>
      <c r="D317" s="548"/>
      <c r="E317" s="548"/>
    </row>
    <row r="318" spans="1:5" x14ac:dyDescent="0.25">
      <c r="A318" s="548"/>
      <c r="B318" s="192" t="str">
        <f>IF(A318&lt;&gt;"",INDEX('Base de données'!A$4:L$990,MATCH(A318,'Base de données'!A$4:A$990,0),2),"")</f>
        <v/>
      </c>
      <c r="C318" s="192" t="str">
        <f>IF(A318&lt;&gt;"",INDEX('Base de données'!A$4:L$990,MATCH(A318,'Base de données'!A$4:A$990,0),12),"")</f>
        <v/>
      </c>
      <c r="D318" s="548"/>
      <c r="E318" s="548"/>
    </row>
  </sheetData>
  <sheetProtection sheet="1" objects="1" scenarios="1" deleteColumns="0" deleteRows="0" selectLockedCells="1" autoFilter="0"/>
  <autoFilter ref="A5:E318"/>
  <conditionalFormatting sqref="A6:A318">
    <cfRule type="duplicateValues" dxfId="7" priority="1"/>
  </conditionalFormatting>
  <dataValidations count="1">
    <dataValidation type="list" allowBlank="1" showInputMessage="1" sqref="J5">
      <formula1>"KHAMISSA HDIMANE,DAOUD ISSKELA,RACHID NAAIMI ,FATIMA EZZAHRA JAIZI,NAJAT SAOUD,MOHAMED ESSAID,Med EGHIZ,HALIMA OUIJANE,FATIMA EZZAHRA AIT AHMED,ZINEB ELKHOUDARI,"</formula1>
    </dataValidation>
  </dataValidation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" operator="greaterThan" id="{F428D8AF-0747-47EA-A52C-424A43B61D1B}">
            <xm:f>'Calendrier fiscal'!$G$35</xm:f>
            <x14:dxf>
              <fill>
                <patternFill>
                  <bgColor rgb="FFFF0000"/>
                </patternFill>
              </fill>
            </x14:dxf>
          </x14:cfRule>
          <xm:sqref>D6:E318</xm:sqref>
        </x14:conditionalFormatting>
        <x14:conditionalFormatting xmlns:xm="http://schemas.microsoft.com/office/excel/2006/main">
          <x14:cfRule type="expression" priority="3" id="{F1353DA3-E83D-473E-B41C-BC94838DE2A8}">
            <xm:f>AND(#REF!="P. Physique",D6&gt;'Calendrier fiscal'!$D$35)</xm:f>
            <x14:dxf>
              <fill>
                <patternFill>
                  <bgColor theme="9"/>
                </patternFill>
              </fill>
            </x14:dxf>
          </x14:cfRule>
          <xm:sqref>D13:E13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7">
    <tabColor theme="3"/>
  </sheetPr>
  <dimension ref="A1:M318"/>
  <sheetViews>
    <sheetView showGridLines="0" showRowColHeaders="0" zoomScale="90" zoomScaleNormal="90" workbookViewId="0">
      <selection activeCell="A18" sqref="A18"/>
    </sheetView>
  </sheetViews>
  <sheetFormatPr baseColWidth="10" defaultColWidth="11.42578125" defaultRowHeight="15" x14ac:dyDescent="0.25"/>
  <cols>
    <col min="1" max="1" width="11.42578125" style="87"/>
    <col min="2" max="2" width="24.140625" style="87" bestFit="1" customWidth="1"/>
    <col min="3" max="3" width="26.28515625" style="87" customWidth="1"/>
    <col min="4" max="5" width="19.28515625" style="87" customWidth="1"/>
    <col min="6" max="7" width="7" style="87" customWidth="1"/>
    <col min="8" max="8" width="14.5703125" style="87" customWidth="1"/>
    <col min="9" max="9" width="15.140625" style="87" customWidth="1"/>
    <col min="10" max="10" width="13.85546875" style="87" customWidth="1"/>
    <col min="11" max="16384" width="11.42578125" style="87"/>
  </cols>
  <sheetData>
    <row r="1" spans="1:13" s="566" customFormat="1" ht="21" customHeight="1" x14ac:dyDescent="0.25">
      <c r="E1" s="458">
        <v>0.7</v>
      </c>
      <c r="F1" s="88">
        <f>COUNTA(D6:D318)</f>
        <v>0</v>
      </c>
      <c r="G1" s="88"/>
    </row>
    <row r="2" spans="1:13" s="566" customFormat="1" ht="20.25" customHeight="1" x14ac:dyDescent="0.25">
      <c r="E2" s="458">
        <v>0.2</v>
      </c>
      <c r="F2" s="88">
        <f>COUNTIF(D6:D318,"&lt;"&amp;'Calendrier fiscal'!H36)</f>
        <v>0</v>
      </c>
      <c r="G2" s="88">
        <f>COUNTIF(D6:D318,"&lt;"&amp;'Calendrier fiscal'!H35)</f>
        <v>0</v>
      </c>
    </row>
    <row r="3" spans="1:13" s="566" customFormat="1" ht="21.75" customHeight="1" x14ac:dyDescent="0.25">
      <c r="E3" s="458">
        <v>0.1</v>
      </c>
      <c r="F3" s="458" t="e">
        <f>F2/F1</f>
        <v>#DIV/0!</v>
      </c>
      <c r="G3" s="458" t="e">
        <f>G2/F1</f>
        <v>#DIV/0!</v>
      </c>
      <c r="H3" s="567"/>
    </row>
    <row r="4" spans="1:13" s="566" customFormat="1" ht="21" customHeight="1" thickBot="1" x14ac:dyDescent="0.3">
      <c r="D4" s="568"/>
      <c r="E4" s="569">
        <f>SUM(E1:E3)</f>
        <v>0.99999999999999989</v>
      </c>
      <c r="F4" s="458" t="e">
        <f>F3</f>
        <v>#DIV/0!</v>
      </c>
      <c r="G4" s="458"/>
      <c r="H4" s="567"/>
    </row>
    <row r="5" spans="1:13" ht="45.75" thickBot="1" x14ac:dyDescent="0.3">
      <c r="A5" s="570" t="s">
        <v>478</v>
      </c>
      <c r="B5" s="570" t="s">
        <v>479</v>
      </c>
      <c r="C5" s="570" t="s">
        <v>480</v>
      </c>
      <c r="D5" s="570" t="s">
        <v>482</v>
      </c>
      <c r="E5" s="570" t="s">
        <v>483</v>
      </c>
      <c r="F5" s="458">
        <v>0.02</v>
      </c>
      <c r="G5" s="567"/>
      <c r="H5" s="458"/>
      <c r="I5" s="571" t="s">
        <v>617</v>
      </c>
      <c r="J5" s="134" t="s">
        <v>586</v>
      </c>
    </row>
    <row r="6" spans="1:13" x14ac:dyDescent="0.25">
      <c r="A6" s="552"/>
      <c r="B6" s="572" t="str">
        <f>IF(A6&lt;&gt;"",INDEX('Base de données'!A$4:L$990,MATCH(A6,'Base de données'!A$4:A$990,0),2),"")</f>
        <v/>
      </c>
      <c r="C6" s="572" t="str">
        <f>IF(A6&lt;&gt;"",INDEX('Base de données'!A$4:L$990,MATCH(A6,'Base de données'!A$4:A$990,0),12),"")</f>
        <v/>
      </c>
      <c r="D6" s="553"/>
      <c r="E6" s="552"/>
      <c r="F6" s="458" t="e">
        <f>F7-SUM(F4:F5)</f>
        <v>#DIV/0!</v>
      </c>
      <c r="G6" s="567"/>
      <c r="H6" s="458"/>
    </row>
    <row r="7" spans="1:13" x14ac:dyDescent="0.25">
      <c r="A7" s="552"/>
      <c r="B7" s="572" t="str">
        <f>IF(A7&lt;&gt;"",INDEX('Base de données'!A$4:L$990,MATCH(A7,'Base de données'!A$4:A$990,0),2),"")</f>
        <v/>
      </c>
      <c r="C7" s="572" t="str">
        <f>IF(A7&lt;&gt;"",INDEX('Base de données'!A$4:L$990,MATCH(A7,'Base de données'!A$4:A$990,0),12),"")</f>
        <v/>
      </c>
      <c r="D7" s="553"/>
      <c r="E7" s="552"/>
      <c r="F7" s="458">
        <f>1.02</f>
        <v>1.02</v>
      </c>
      <c r="G7" s="567"/>
      <c r="H7" s="573" t="s">
        <v>605</v>
      </c>
      <c r="I7" s="574" t="s">
        <v>610</v>
      </c>
      <c r="J7" s="573" t="s">
        <v>611</v>
      </c>
      <c r="K7" s="573" t="s">
        <v>609</v>
      </c>
      <c r="L7" s="573" t="s">
        <v>621</v>
      </c>
      <c r="M7" s="573" t="s">
        <v>639</v>
      </c>
    </row>
    <row r="8" spans="1:13" x14ac:dyDescent="0.25">
      <c r="A8" s="552"/>
      <c r="B8" s="572" t="str">
        <f>IF(A8&lt;&gt;"",INDEX('Base de données'!A$4:L$990,MATCH(A8,'Base de données'!A$4:A$990,0),2),"")</f>
        <v/>
      </c>
      <c r="C8" s="572" t="str">
        <f>IF(A8&lt;&gt;"",INDEX('Base de données'!A$4:L$990,MATCH(A8,'Base de données'!A$4:A$990,0),12),"")</f>
        <v/>
      </c>
      <c r="D8" s="553"/>
      <c r="E8" s="552"/>
      <c r="F8" s="566"/>
      <c r="G8" s="566"/>
      <c r="H8" s="554">
        <f>COUNTIFS(C6:C318,J5,D6:D318,"&lt;&gt;"&amp;"")</f>
        <v>0</v>
      </c>
      <c r="I8" s="554">
        <f>COUNTIFS(C6:C318,J5,D6:D318,"&lt;="&amp;'Calendrier fiscal'!H36)</f>
        <v>0</v>
      </c>
      <c r="J8" s="554">
        <f>COUNTIFS(C6:C318,J5,D6:D318,"&lt;="&amp;'Calendrier fiscal'!H35)</f>
        <v>0</v>
      </c>
      <c r="K8" s="554">
        <f>H8-J8</f>
        <v>0</v>
      </c>
      <c r="L8" s="575" t="str">
        <f>IF(H8&lt;&gt;0,I8/H8,"")</f>
        <v/>
      </c>
      <c r="M8" s="575" t="str">
        <f>IF(H8&lt;&gt;0,J8/H8,"")</f>
        <v/>
      </c>
    </row>
    <row r="9" spans="1:13" x14ac:dyDescent="0.25">
      <c r="A9" s="552"/>
      <c r="B9" s="572" t="str">
        <f>IF(A9&lt;&gt;"",INDEX('Base de données'!A$4:L$990,MATCH(A9,'Base de données'!A$4:A$990,0),2),"")</f>
        <v/>
      </c>
      <c r="C9" s="572" t="str">
        <f>IF(A9&lt;&gt;"",INDEX('Base de données'!A$4:L$990,MATCH(A9,'Base de données'!A$4:A$990,0),12),"")</f>
        <v/>
      </c>
      <c r="D9" s="553"/>
      <c r="E9" s="552"/>
      <c r="F9" s="566"/>
      <c r="G9" s="566"/>
      <c r="H9" s="564"/>
      <c r="I9" s="202"/>
      <c r="J9" s="202"/>
      <c r="K9" s="202"/>
      <c r="L9" s="202"/>
      <c r="M9" s="576"/>
    </row>
    <row r="10" spans="1:13" x14ac:dyDescent="0.25">
      <c r="A10" s="552"/>
      <c r="B10" s="572" t="str">
        <f>IF(A10&lt;&gt;"",INDEX('Base de données'!A$4:L$990,MATCH(A10,'Base de données'!A$4:A$990,0),2),"")</f>
        <v/>
      </c>
      <c r="C10" s="572" t="str">
        <f>IF(A10&lt;&gt;"",INDEX('Base de données'!A$4:L$990,MATCH(A10,'Base de données'!A$4:A$990,0),12),"")</f>
        <v/>
      </c>
      <c r="D10" s="553"/>
      <c r="E10" s="552"/>
      <c r="F10" s="566"/>
      <c r="G10" s="566"/>
      <c r="H10" s="564"/>
      <c r="I10" s="202"/>
      <c r="J10" s="202"/>
      <c r="K10" s="202"/>
      <c r="L10" s="202"/>
      <c r="M10" s="202"/>
    </row>
    <row r="11" spans="1:13" x14ac:dyDescent="0.25">
      <c r="A11" s="552"/>
      <c r="B11" s="572" t="str">
        <f>IF(A11&lt;&gt;"",INDEX('Base de données'!A$4:L$990,MATCH(A11,'Base de données'!A$4:A$990,0),2),"")</f>
        <v/>
      </c>
      <c r="C11" s="572" t="str">
        <f>IF(A11&lt;&gt;"",INDEX('Base de données'!A$4:L$990,MATCH(A11,'Base de données'!A$4:A$990,0),12),"")</f>
        <v/>
      </c>
      <c r="D11" s="553"/>
      <c r="E11" s="552"/>
      <c r="I11" s="202"/>
      <c r="J11" s="202"/>
      <c r="K11" s="202"/>
      <c r="L11" s="202"/>
      <c r="M11" s="202"/>
    </row>
    <row r="12" spans="1:13" x14ac:dyDescent="0.25">
      <c r="A12" s="552"/>
      <c r="B12" s="572" t="str">
        <f>IF(A12&lt;&gt;"",INDEX('Base de données'!A$4:L$990,MATCH(A12,'Base de données'!A$4:A$990,0),2),"")</f>
        <v/>
      </c>
      <c r="C12" s="572" t="str">
        <f>IF(A12&lt;&gt;"",INDEX('Base de données'!A$4:L$990,MATCH(A12,'Base de données'!A$4:A$990,0),12),"")</f>
        <v/>
      </c>
      <c r="D12" s="553"/>
      <c r="E12" s="552"/>
      <c r="I12" s="202"/>
      <c r="J12" s="202"/>
      <c r="K12" s="202"/>
      <c r="L12" s="202"/>
      <c r="M12" s="202"/>
    </row>
    <row r="13" spans="1:13" x14ac:dyDescent="0.25">
      <c r="A13" s="552"/>
      <c r="B13" s="572" t="str">
        <f>IF(A13&lt;&gt;"",INDEX('Base de données'!A$4:L$990,MATCH(A13,'Base de données'!A$4:A$990,0),2),"")</f>
        <v/>
      </c>
      <c r="C13" s="572" t="str">
        <f>IF(A13&lt;&gt;"",INDEX('Base de données'!A$4:L$990,MATCH(A13,'Base de données'!A$4:A$990,0),12),"")</f>
        <v/>
      </c>
      <c r="D13" s="553"/>
      <c r="E13" s="552"/>
      <c r="I13" s="202"/>
      <c r="J13" s="202"/>
      <c r="K13" s="202"/>
      <c r="L13" s="202"/>
      <c r="M13" s="202"/>
    </row>
    <row r="14" spans="1:13" x14ac:dyDescent="0.25">
      <c r="A14" s="552"/>
      <c r="B14" s="572" t="str">
        <f>IF(A14&lt;&gt;"",INDEX('Base de données'!A$4:L$990,MATCH(A14,'Base de données'!A$4:A$990,0),2),"")</f>
        <v/>
      </c>
      <c r="C14" s="572" t="str">
        <f>IF(A14&lt;&gt;"",INDEX('Base de données'!A$4:L$990,MATCH(A14,'Base de données'!A$4:A$990,0),12),"")</f>
        <v/>
      </c>
      <c r="D14" s="553"/>
      <c r="E14" s="552"/>
      <c r="I14" s="202"/>
      <c r="J14" s="202"/>
      <c r="K14" s="202"/>
      <c r="L14" s="202"/>
      <c r="M14" s="202"/>
    </row>
    <row r="15" spans="1:13" x14ac:dyDescent="0.25">
      <c r="A15" s="552"/>
      <c r="B15" s="572" t="str">
        <f>IF(A15&lt;&gt;"",INDEX('Base de données'!A$4:L$990,MATCH(A15,'Base de données'!A$4:A$990,0),2),"")</f>
        <v/>
      </c>
      <c r="C15" s="572" t="str">
        <f>IF(A15&lt;&gt;"",INDEX('Base de données'!A$4:L$990,MATCH(A15,'Base de données'!A$4:A$990,0),12),"")</f>
        <v/>
      </c>
      <c r="D15" s="553"/>
      <c r="E15" s="552"/>
    </row>
    <row r="16" spans="1:13" x14ac:dyDescent="0.25">
      <c r="A16" s="552"/>
      <c r="B16" s="572" t="str">
        <f>IF(A16&lt;&gt;"",INDEX('Base de données'!A$4:L$990,MATCH(A16,'Base de données'!A$4:A$990,0),2),"")</f>
        <v/>
      </c>
      <c r="C16" s="572" t="str">
        <f>IF(A16&lt;&gt;"",INDEX('Base de données'!A$4:L$990,MATCH(A16,'Base de données'!A$4:A$990,0),12),"")</f>
        <v/>
      </c>
      <c r="D16" s="553"/>
      <c r="E16" s="552"/>
    </row>
    <row r="17" spans="1:5" x14ac:dyDescent="0.25">
      <c r="A17" s="552"/>
      <c r="B17" s="572" t="str">
        <f>IF(A17&lt;&gt;"",INDEX('Base de données'!A$4:L$990,MATCH(A17,'Base de données'!A$4:A$990,0),2),"")</f>
        <v/>
      </c>
      <c r="C17" s="572" t="str">
        <f>IF(A17&lt;&gt;"",INDEX('Base de données'!A$4:L$990,MATCH(A17,'Base de données'!A$4:A$990,0),12),"")</f>
        <v/>
      </c>
      <c r="D17" s="553"/>
      <c r="E17" s="552"/>
    </row>
    <row r="18" spans="1:5" x14ac:dyDescent="0.25">
      <c r="A18" s="552"/>
      <c r="B18" s="572" t="str">
        <f>IF(A18&lt;&gt;"",INDEX('Base de données'!A$4:L$990,MATCH(A18,'Base de données'!A$4:A$990,0),2),"")</f>
        <v/>
      </c>
      <c r="C18" s="572" t="str">
        <f>IF(A18&lt;&gt;"",INDEX('Base de données'!A$4:L$990,MATCH(A18,'Base de données'!A$4:A$990,0),12),"")</f>
        <v/>
      </c>
      <c r="D18" s="553"/>
      <c r="E18" s="552"/>
    </row>
    <row r="19" spans="1:5" x14ac:dyDescent="0.25">
      <c r="A19" s="552"/>
      <c r="B19" s="572" t="str">
        <f>IF(A19&lt;&gt;"",INDEX('Base de données'!A$4:L$990,MATCH(A19,'Base de données'!A$4:A$990,0),2),"")</f>
        <v/>
      </c>
      <c r="C19" s="572" t="str">
        <f>IF(A19&lt;&gt;"",INDEX('Base de données'!A$4:L$990,MATCH(A19,'Base de données'!A$4:A$990,0),12),"")</f>
        <v/>
      </c>
      <c r="D19" s="553"/>
      <c r="E19" s="552"/>
    </row>
    <row r="20" spans="1:5" x14ac:dyDescent="0.25">
      <c r="A20" s="552"/>
      <c r="B20" s="572" t="str">
        <f>IF(A20&lt;&gt;"",INDEX('Base de données'!A$4:L$990,MATCH(A20,'Base de données'!A$4:A$990,0),2),"")</f>
        <v/>
      </c>
      <c r="C20" s="572" t="str">
        <f>IF(A20&lt;&gt;"",INDEX('Base de données'!A$4:L$990,MATCH(A20,'Base de données'!A$4:A$990,0),12),"")</f>
        <v/>
      </c>
      <c r="D20" s="553"/>
      <c r="E20" s="552"/>
    </row>
    <row r="21" spans="1:5" x14ac:dyDescent="0.25">
      <c r="A21" s="552"/>
      <c r="B21" s="572" t="str">
        <f>IF(A21&lt;&gt;"",INDEX('Base de données'!A$4:L$990,MATCH(A21,'Base de données'!A$4:A$990,0),2),"")</f>
        <v/>
      </c>
      <c r="C21" s="572" t="str">
        <f>IF(A21&lt;&gt;"",INDEX('Base de données'!A$4:L$990,MATCH(A21,'Base de données'!A$4:A$990,0),12),"")</f>
        <v/>
      </c>
      <c r="D21" s="553"/>
      <c r="E21" s="552"/>
    </row>
    <row r="22" spans="1:5" x14ac:dyDescent="0.25">
      <c r="A22" s="552"/>
      <c r="B22" s="572" t="str">
        <f>IF(A22&lt;&gt;"",INDEX('Base de données'!A$4:L$990,MATCH(A22,'Base de données'!A$4:A$990,0),2),"")</f>
        <v/>
      </c>
      <c r="C22" s="572" t="str">
        <f>IF(A22&lt;&gt;"",INDEX('Base de données'!A$4:L$990,MATCH(A22,'Base de données'!A$4:A$990,0),12),"")</f>
        <v/>
      </c>
      <c r="D22" s="553"/>
      <c r="E22" s="552"/>
    </row>
    <row r="23" spans="1:5" x14ac:dyDescent="0.25">
      <c r="A23" s="552"/>
      <c r="B23" s="572" t="str">
        <f>IF(A23&lt;&gt;"",INDEX('Base de données'!A$4:L$990,MATCH(A23,'Base de données'!A$4:A$990,0),2),"")</f>
        <v/>
      </c>
      <c r="C23" s="572" t="str">
        <f>IF(A23&lt;&gt;"",INDEX('Base de données'!A$4:L$990,MATCH(A23,'Base de données'!A$4:A$990,0),12),"")</f>
        <v/>
      </c>
      <c r="D23" s="553"/>
      <c r="E23" s="552"/>
    </row>
    <row r="24" spans="1:5" x14ac:dyDescent="0.25">
      <c r="A24" s="552"/>
      <c r="B24" s="572" t="str">
        <f>IF(A24&lt;&gt;"",INDEX('Base de données'!A$4:L$990,MATCH(A24,'Base de données'!A$4:A$990,0),2),"")</f>
        <v/>
      </c>
      <c r="C24" s="572" t="str">
        <f>IF(A24&lt;&gt;"",INDEX('Base de données'!A$4:L$990,MATCH(A24,'Base de données'!A$4:A$990,0),12),"")</f>
        <v/>
      </c>
      <c r="D24" s="553"/>
      <c r="E24" s="552"/>
    </row>
    <row r="25" spans="1:5" x14ac:dyDescent="0.25">
      <c r="A25" s="552"/>
      <c r="B25" s="572" t="str">
        <f>IF(A25&lt;&gt;"",INDEX('Base de données'!A$4:L$990,MATCH(A25,'Base de données'!A$4:A$990,0),2),"")</f>
        <v/>
      </c>
      <c r="C25" s="572" t="str">
        <f>IF(A25&lt;&gt;"",INDEX('Base de données'!A$4:L$990,MATCH(A25,'Base de données'!A$4:A$990,0),12),"")</f>
        <v/>
      </c>
      <c r="D25" s="553"/>
      <c r="E25" s="552"/>
    </row>
    <row r="26" spans="1:5" x14ac:dyDescent="0.25">
      <c r="A26" s="552"/>
      <c r="B26" s="572" t="str">
        <f>IF(A26&lt;&gt;"",INDEX('Base de données'!A$4:L$990,MATCH(A26,'Base de données'!A$4:A$990,0),2),"")</f>
        <v/>
      </c>
      <c r="C26" s="572" t="str">
        <f>IF(A26&lt;&gt;"",INDEX('Base de données'!A$4:L$990,MATCH(A26,'Base de données'!A$4:A$990,0),12),"")</f>
        <v/>
      </c>
      <c r="D26" s="553"/>
      <c r="E26" s="552"/>
    </row>
    <row r="27" spans="1:5" x14ac:dyDescent="0.25">
      <c r="A27" s="552"/>
      <c r="B27" s="572" t="str">
        <f>IF(A27&lt;&gt;"",INDEX('Base de données'!A$4:L$990,MATCH(A27,'Base de données'!A$4:A$990,0),2),"")</f>
        <v/>
      </c>
      <c r="C27" s="572" t="str">
        <f>IF(A27&lt;&gt;"",INDEX('Base de données'!A$4:L$990,MATCH(A27,'Base de données'!A$4:A$990,0),12),"")</f>
        <v/>
      </c>
      <c r="D27" s="553"/>
      <c r="E27" s="552"/>
    </row>
    <row r="28" spans="1:5" x14ac:dyDescent="0.25">
      <c r="A28" s="552"/>
      <c r="B28" s="572" t="str">
        <f>IF(A28&lt;&gt;"",INDEX('Base de données'!A$4:L$990,MATCH(A28,'Base de données'!A$4:A$990,0),2),"")</f>
        <v/>
      </c>
      <c r="C28" s="572" t="str">
        <f>IF(A28&lt;&gt;"",INDEX('Base de données'!A$4:L$990,MATCH(A28,'Base de données'!A$4:A$990,0),12),"")</f>
        <v/>
      </c>
      <c r="D28" s="553"/>
      <c r="E28" s="552"/>
    </row>
    <row r="29" spans="1:5" x14ac:dyDescent="0.25">
      <c r="A29" s="552"/>
      <c r="B29" s="572" t="str">
        <f>IF(A29&lt;&gt;"",INDEX('Base de données'!A$4:L$990,MATCH(A29,'Base de données'!A$4:A$990,0),2),"")</f>
        <v/>
      </c>
      <c r="C29" s="572" t="str">
        <f>IF(A29&lt;&gt;"",INDEX('Base de données'!A$4:L$990,MATCH(A29,'Base de données'!A$4:A$990,0),12),"")</f>
        <v/>
      </c>
      <c r="D29" s="553"/>
      <c r="E29" s="552"/>
    </row>
    <row r="30" spans="1:5" x14ac:dyDescent="0.25">
      <c r="A30" s="552"/>
      <c r="B30" s="572" t="str">
        <f>IF(A30&lt;&gt;"",INDEX('Base de données'!A$4:L$990,MATCH(A30,'Base de données'!A$4:A$990,0),2),"")</f>
        <v/>
      </c>
      <c r="C30" s="572" t="str">
        <f>IF(A30&lt;&gt;"",INDEX('Base de données'!A$4:L$990,MATCH(A30,'Base de données'!A$4:A$990,0),12),"")</f>
        <v/>
      </c>
      <c r="D30" s="553"/>
      <c r="E30" s="552"/>
    </row>
    <row r="31" spans="1:5" x14ac:dyDescent="0.25">
      <c r="A31" s="552"/>
      <c r="B31" s="572" t="str">
        <f>IF(A31&lt;&gt;"",INDEX('Base de données'!A$4:L$990,MATCH(A31,'Base de données'!A$4:A$990,0),2),"")</f>
        <v/>
      </c>
      <c r="C31" s="572" t="str">
        <f>IF(A31&lt;&gt;"",INDEX('Base de données'!A$4:L$990,MATCH(A31,'Base de données'!A$4:A$990,0),12),"")</f>
        <v/>
      </c>
      <c r="D31" s="553"/>
      <c r="E31" s="552"/>
    </row>
    <row r="32" spans="1:5" x14ac:dyDescent="0.25">
      <c r="A32" s="552"/>
      <c r="B32" s="572" t="str">
        <f>IF(A32&lt;&gt;"",INDEX('Base de données'!A$4:L$990,MATCH(A32,'Base de données'!A$4:A$990,0),2),"")</f>
        <v/>
      </c>
      <c r="C32" s="572" t="str">
        <f>IF(A32&lt;&gt;"",INDEX('Base de données'!A$4:L$990,MATCH(A32,'Base de données'!A$4:A$990,0),12),"")</f>
        <v/>
      </c>
      <c r="D32" s="553"/>
      <c r="E32" s="552"/>
    </row>
    <row r="33" spans="1:5" x14ac:dyDescent="0.25">
      <c r="A33" s="552"/>
      <c r="B33" s="572" t="str">
        <f>IF(A33&lt;&gt;"",INDEX('Base de données'!A$4:L$990,MATCH(A33,'Base de données'!A$4:A$990,0),2),"")</f>
        <v/>
      </c>
      <c r="C33" s="572" t="str">
        <f>IF(A33&lt;&gt;"",INDEX('Base de données'!A$4:L$990,MATCH(A33,'Base de données'!A$4:A$990,0),12),"")</f>
        <v/>
      </c>
      <c r="D33" s="553"/>
      <c r="E33" s="552"/>
    </row>
    <row r="34" spans="1:5" x14ac:dyDescent="0.25">
      <c r="A34" s="552"/>
      <c r="B34" s="572" t="str">
        <f>IF(A34&lt;&gt;"",INDEX('Base de données'!A$4:L$990,MATCH(A34,'Base de données'!A$4:A$990,0),2),"")</f>
        <v/>
      </c>
      <c r="C34" s="572" t="str">
        <f>IF(A34&lt;&gt;"",INDEX('Base de données'!A$4:L$990,MATCH(A34,'Base de données'!A$4:A$990,0),12),"")</f>
        <v/>
      </c>
      <c r="D34" s="553"/>
      <c r="E34" s="552"/>
    </row>
    <row r="35" spans="1:5" x14ac:dyDescent="0.25">
      <c r="A35" s="552"/>
      <c r="B35" s="572" t="str">
        <f>IF(A35&lt;&gt;"",INDEX('Base de données'!A$4:L$990,MATCH(A35,'Base de données'!A$4:A$990,0),2),"")</f>
        <v/>
      </c>
      <c r="C35" s="572" t="str">
        <f>IF(A35&lt;&gt;"",INDEX('Base de données'!A$4:L$990,MATCH(A35,'Base de données'!A$4:A$990,0),12),"")</f>
        <v/>
      </c>
      <c r="D35" s="553"/>
      <c r="E35" s="552"/>
    </row>
    <row r="36" spans="1:5" x14ac:dyDescent="0.25">
      <c r="A36" s="552"/>
      <c r="B36" s="572" t="str">
        <f>IF(A36&lt;&gt;"",INDEX('Base de données'!A$4:L$990,MATCH(A36,'Base de données'!A$4:A$990,0),2),"")</f>
        <v/>
      </c>
      <c r="C36" s="572" t="str">
        <f>IF(A36&lt;&gt;"",INDEX('Base de données'!A$4:L$990,MATCH(A36,'Base de données'!A$4:A$990,0),12),"")</f>
        <v/>
      </c>
      <c r="D36" s="553"/>
      <c r="E36" s="552"/>
    </row>
    <row r="37" spans="1:5" x14ac:dyDescent="0.25">
      <c r="A37" s="552"/>
      <c r="B37" s="572" t="str">
        <f>IF(A37&lt;&gt;"",INDEX('Base de données'!A$4:L$990,MATCH(A37,'Base de données'!A$4:A$990,0),2),"")</f>
        <v/>
      </c>
      <c r="C37" s="572" t="str">
        <f>IF(A37&lt;&gt;"",INDEX('Base de données'!A$4:L$990,MATCH(A37,'Base de données'!A$4:A$990,0),12),"")</f>
        <v/>
      </c>
      <c r="D37" s="553"/>
      <c r="E37" s="552"/>
    </row>
    <row r="38" spans="1:5" x14ac:dyDescent="0.25">
      <c r="A38" s="552"/>
      <c r="B38" s="572" t="str">
        <f>IF(A38&lt;&gt;"",INDEX('Base de données'!A$4:L$990,MATCH(A38,'Base de données'!A$4:A$990,0),2),"")</f>
        <v/>
      </c>
      <c r="C38" s="572" t="str">
        <f>IF(A38&lt;&gt;"",INDEX('Base de données'!A$4:L$990,MATCH(A38,'Base de données'!A$4:A$990,0),12),"")</f>
        <v/>
      </c>
      <c r="D38" s="553"/>
      <c r="E38" s="552"/>
    </row>
    <row r="39" spans="1:5" x14ac:dyDescent="0.25">
      <c r="A39" s="552"/>
      <c r="B39" s="572" t="str">
        <f>IF(A39&lt;&gt;"",INDEX('Base de données'!A$4:L$990,MATCH(A39,'Base de données'!A$4:A$990,0),2),"")</f>
        <v/>
      </c>
      <c r="C39" s="572" t="str">
        <f>IF(A39&lt;&gt;"",INDEX('Base de données'!A$4:L$990,MATCH(A39,'Base de données'!A$4:A$990,0),12),"")</f>
        <v/>
      </c>
      <c r="D39" s="553"/>
      <c r="E39" s="552"/>
    </row>
    <row r="40" spans="1:5" x14ac:dyDescent="0.25">
      <c r="A40" s="552"/>
      <c r="B40" s="572" t="str">
        <f>IF(A40&lt;&gt;"",INDEX('Base de données'!A$4:L$990,MATCH(A40,'Base de données'!A$4:A$990,0),2),"")</f>
        <v/>
      </c>
      <c r="C40" s="572" t="str">
        <f>IF(A40&lt;&gt;"",INDEX('Base de données'!A$4:L$990,MATCH(A40,'Base de données'!A$4:A$990,0),12),"")</f>
        <v/>
      </c>
      <c r="D40" s="553"/>
      <c r="E40" s="552"/>
    </row>
    <row r="41" spans="1:5" x14ac:dyDescent="0.25">
      <c r="A41" s="552"/>
      <c r="B41" s="572" t="str">
        <f>IF(A41&lt;&gt;"",INDEX('Base de données'!A$4:L$990,MATCH(A41,'Base de données'!A$4:A$990,0),2),"")</f>
        <v/>
      </c>
      <c r="C41" s="572" t="str">
        <f>IF(A41&lt;&gt;"",INDEX('Base de données'!A$4:L$990,MATCH(A41,'Base de données'!A$4:A$990,0),12),"")</f>
        <v/>
      </c>
      <c r="D41" s="553"/>
      <c r="E41" s="552"/>
    </row>
    <row r="42" spans="1:5" x14ac:dyDescent="0.25">
      <c r="A42" s="552"/>
      <c r="B42" s="572" t="str">
        <f>IF(A42&lt;&gt;"",INDEX('Base de données'!A$4:L$990,MATCH(A42,'Base de données'!A$4:A$990,0),2),"")</f>
        <v/>
      </c>
      <c r="C42" s="572" t="str">
        <f>IF(A42&lt;&gt;"",INDEX('Base de données'!A$4:L$990,MATCH(A42,'Base de données'!A$4:A$990,0),12),"")</f>
        <v/>
      </c>
      <c r="D42" s="553"/>
      <c r="E42" s="552"/>
    </row>
    <row r="43" spans="1:5" x14ac:dyDescent="0.25">
      <c r="A43" s="552"/>
      <c r="B43" s="572" t="str">
        <f>IF(A43&lt;&gt;"",INDEX('Base de données'!A$4:L$990,MATCH(A43,'Base de données'!A$4:A$990,0),2),"")</f>
        <v/>
      </c>
      <c r="C43" s="572" t="str">
        <f>IF(A43&lt;&gt;"",INDEX('Base de données'!A$4:L$990,MATCH(A43,'Base de données'!A$4:A$990,0),12),"")</f>
        <v/>
      </c>
      <c r="D43" s="553"/>
      <c r="E43" s="552"/>
    </row>
    <row r="44" spans="1:5" x14ac:dyDescent="0.25">
      <c r="A44" s="552"/>
      <c r="B44" s="572" t="str">
        <f>IF(A44&lt;&gt;"",INDEX('Base de données'!A$4:L$990,MATCH(A44,'Base de données'!A$4:A$990,0),2),"")</f>
        <v/>
      </c>
      <c r="C44" s="572" t="str">
        <f>IF(A44&lt;&gt;"",INDEX('Base de données'!A$4:L$990,MATCH(A44,'Base de données'!A$4:A$990,0),12),"")</f>
        <v/>
      </c>
      <c r="D44" s="553"/>
      <c r="E44" s="552"/>
    </row>
    <row r="45" spans="1:5" x14ac:dyDescent="0.25">
      <c r="A45" s="552"/>
      <c r="B45" s="572" t="str">
        <f>IF(A45&lt;&gt;"",INDEX('Base de données'!A$4:L$990,MATCH(A45,'Base de données'!A$4:A$990,0),2),"")</f>
        <v/>
      </c>
      <c r="C45" s="572" t="str">
        <f>IF(A45&lt;&gt;"",INDEX('Base de données'!A$4:L$990,MATCH(A45,'Base de données'!A$4:A$990,0),12),"")</f>
        <v/>
      </c>
      <c r="D45" s="553"/>
      <c r="E45" s="552"/>
    </row>
    <row r="46" spans="1:5" x14ac:dyDescent="0.25">
      <c r="A46" s="552"/>
      <c r="B46" s="572" t="str">
        <f>IF(A46&lt;&gt;"",INDEX('Base de données'!A$4:L$990,MATCH(A46,'Base de données'!A$4:A$990,0),2),"")</f>
        <v/>
      </c>
      <c r="C46" s="572" t="str">
        <f>IF(A46&lt;&gt;"",INDEX('Base de données'!A$4:L$990,MATCH(A46,'Base de données'!A$4:A$990,0),12),"")</f>
        <v/>
      </c>
      <c r="D46" s="553"/>
      <c r="E46" s="552"/>
    </row>
    <row r="47" spans="1:5" x14ac:dyDescent="0.25">
      <c r="A47" s="552"/>
      <c r="B47" s="572" t="str">
        <f>IF(A47&lt;&gt;"",INDEX('Base de données'!A$4:L$990,MATCH(A47,'Base de données'!A$4:A$990,0),2),"")</f>
        <v/>
      </c>
      <c r="C47" s="572" t="str">
        <f>IF(A47&lt;&gt;"",INDEX('Base de données'!A$4:L$990,MATCH(A47,'Base de données'!A$4:A$990,0),12),"")</f>
        <v/>
      </c>
      <c r="D47" s="553"/>
      <c r="E47" s="552"/>
    </row>
    <row r="48" spans="1:5" x14ac:dyDescent="0.25">
      <c r="A48" s="552"/>
      <c r="B48" s="572" t="str">
        <f>IF(A48&lt;&gt;"",INDEX('Base de données'!A$4:L$990,MATCH(A48,'Base de données'!A$4:A$990,0),2),"")</f>
        <v/>
      </c>
      <c r="C48" s="572" t="str">
        <f>IF(A48&lt;&gt;"",INDEX('Base de données'!A$4:L$990,MATCH(A48,'Base de données'!A$4:A$990,0),12),"")</f>
        <v/>
      </c>
      <c r="D48" s="553"/>
      <c r="E48" s="552"/>
    </row>
    <row r="49" spans="1:5" x14ac:dyDescent="0.25">
      <c r="A49" s="552"/>
      <c r="B49" s="572" t="str">
        <f>IF(A49&lt;&gt;"",INDEX('Base de données'!A$4:L$990,MATCH(A49,'Base de données'!A$4:A$990,0),2),"")</f>
        <v/>
      </c>
      <c r="C49" s="572" t="str">
        <f>IF(A49&lt;&gt;"",INDEX('Base de données'!A$4:L$990,MATCH(A49,'Base de données'!A$4:A$990,0),12),"")</f>
        <v/>
      </c>
      <c r="D49" s="553"/>
      <c r="E49" s="552"/>
    </row>
    <row r="50" spans="1:5" x14ac:dyDescent="0.25">
      <c r="A50" s="552"/>
      <c r="B50" s="572" t="str">
        <f>IF(A50&lt;&gt;"",INDEX('Base de données'!A$4:L$990,MATCH(A50,'Base de données'!A$4:A$990,0),2),"")</f>
        <v/>
      </c>
      <c r="C50" s="572" t="str">
        <f>IF(A50&lt;&gt;"",INDEX('Base de données'!A$4:L$990,MATCH(A50,'Base de données'!A$4:A$990,0),12),"")</f>
        <v/>
      </c>
      <c r="D50" s="553"/>
      <c r="E50" s="552"/>
    </row>
    <row r="51" spans="1:5" x14ac:dyDescent="0.25">
      <c r="A51" s="552"/>
      <c r="B51" s="572" t="str">
        <f>IF(A51&lt;&gt;"",INDEX('Base de données'!A$4:L$990,MATCH(A51,'Base de données'!A$4:A$990,0),2),"")</f>
        <v/>
      </c>
      <c r="C51" s="572" t="str">
        <f>IF(A51&lt;&gt;"",INDEX('Base de données'!A$4:L$990,MATCH(A51,'Base de données'!A$4:A$990,0),12),"")</f>
        <v/>
      </c>
      <c r="D51" s="553"/>
      <c r="E51" s="552"/>
    </row>
    <row r="52" spans="1:5" x14ac:dyDescent="0.25">
      <c r="A52" s="552"/>
      <c r="B52" s="572" t="str">
        <f>IF(A52&lt;&gt;"",INDEX('Base de données'!A$4:L$990,MATCH(A52,'Base de données'!A$4:A$990,0),2),"")</f>
        <v/>
      </c>
      <c r="C52" s="572" t="str">
        <f>IF(A52&lt;&gt;"",INDEX('Base de données'!A$4:L$990,MATCH(A52,'Base de données'!A$4:A$990,0),12),"")</f>
        <v/>
      </c>
      <c r="D52" s="553"/>
      <c r="E52" s="552"/>
    </row>
    <row r="53" spans="1:5" x14ac:dyDescent="0.25">
      <c r="A53" s="552"/>
      <c r="B53" s="572" t="str">
        <f>IF(A53&lt;&gt;"",INDEX('Base de données'!A$4:L$990,MATCH(A53,'Base de données'!A$4:A$990,0),2),"")</f>
        <v/>
      </c>
      <c r="C53" s="572" t="str">
        <f>IF(A53&lt;&gt;"",INDEX('Base de données'!A$4:L$990,MATCH(A53,'Base de données'!A$4:A$990,0),12),"")</f>
        <v/>
      </c>
      <c r="D53" s="553"/>
      <c r="E53" s="552"/>
    </row>
    <row r="54" spans="1:5" x14ac:dyDescent="0.25">
      <c r="A54" s="552"/>
      <c r="B54" s="572" t="str">
        <f>IF(A54&lt;&gt;"",INDEX('Base de données'!A$4:L$990,MATCH(A54,'Base de données'!A$4:A$990,0),2),"")</f>
        <v/>
      </c>
      <c r="C54" s="572" t="str">
        <f>IF(A54&lt;&gt;"",INDEX('Base de données'!A$4:L$990,MATCH(A54,'Base de données'!A$4:A$990,0),12),"")</f>
        <v/>
      </c>
      <c r="D54" s="553"/>
      <c r="E54" s="552"/>
    </row>
    <row r="55" spans="1:5" x14ac:dyDescent="0.25">
      <c r="A55" s="552"/>
      <c r="B55" s="572" t="str">
        <f>IF(A55&lt;&gt;"",INDEX('Base de données'!A$4:L$990,MATCH(A55,'Base de données'!A$4:A$990,0),2),"")</f>
        <v/>
      </c>
      <c r="C55" s="572" t="str">
        <f>IF(A55&lt;&gt;"",INDEX('Base de données'!A$4:L$990,MATCH(A55,'Base de données'!A$4:A$990,0),12),"")</f>
        <v/>
      </c>
      <c r="D55" s="553"/>
      <c r="E55" s="552"/>
    </row>
    <row r="56" spans="1:5" x14ac:dyDescent="0.25">
      <c r="A56" s="552"/>
      <c r="B56" s="572" t="str">
        <f>IF(A56&lt;&gt;"",INDEX('Base de données'!A$4:L$990,MATCH(A56,'Base de données'!A$4:A$990,0),2),"")</f>
        <v/>
      </c>
      <c r="C56" s="572" t="str">
        <f>IF(A56&lt;&gt;"",INDEX('Base de données'!A$4:L$990,MATCH(A56,'Base de données'!A$4:A$990,0),12),"")</f>
        <v/>
      </c>
      <c r="D56" s="553"/>
      <c r="E56" s="552"/>
    </row>
    <row r="57" spans="1:5" x14ac:dyDescent="0.25">
      <c r="A57" s="552"/>
      <c r="B57" s="572" t="str">
        <f>IF(A57&lt;&gt;"",INDEX('Base de données'!A$4:L$990,MATCH(A57,'Base de données'!A$4:A$990,0),2),"")</f>
        <v/>
      </c>
      <c r="C57" s="572" t="str">
        <f>IF(A57&lt;&gt;"",INDEX('Base de données'!A$4:L$990,MATCH(A57,'Base de données'!A$4:A$990,0),12),"")</f>
        <v/>
      </c>
      <c r="D57" s="553"/>
      <c r="E57" s="552"/>
    </row>
    <row r="58" spans="1:5" x14ac:dyDescent="0.25">
      <c r="A58" s="552"/>
      <c r="B58" s="572" t="str">
        <f>IF(A58&lt;&gt;"",INDEX('Base de données'!A$4:L$990,MATCH(A58,'Base de données'!A$4:A$990,0),2),"")</f>
        <v/>
      </c>
      <c r="C58" s="572" t="str">
        <f>IF(A58&lt;&gt;"",INDEX('Base de données'!A$4:L$990,MATCH(A58,'Base de données'!A$4:A$990,0),12),"")</f>
        <v/>
      </c>
      <c r="D58" s="553"/>
      <c r="E58" s="552"/>
    </row>
    <row r="59" spans="1:5" x14ac:dyDescent="0.25">
      <c r="A59" s="552"/>
      <c r="B59" s="572" t="str">
        <f>IF(A59&lt;&gt;"",INDEX('Base de données'!A$4:L$990,MATCH(A59,'Base de données'!A$4:A$990,0),2),"")</f>
        <v/>
      </c>
      <c r="C59" s="572" t="str">
        <f>IF(A59&lt;&gt;"",INDEX('Base de données'!A$4:L$990,MATCH(A59,'Base de données'!A$4:A$990,0),12),"")</f>
        <v/>
      </c>
      <c r="D59" s="553"/>
      <c r="E59" s="552"/>
    </row>
    <row r="60" spans="1:5" x14ac:dyDescent="0.25">
      <c r="A60" s="552"/>
      <c r="B60" s="572" t="str">
        <f>IF(A60&lt;&gt;"",INDEX('Base de données'!A$4:L$990,MATCH(A60,'Base de données'!A$4:A$990,0),2),"")</f>
        <v/>
      </c>
      <c r="C60" s="572" t="str">
        <f>IF(A60&lt;&gt;"",INDEX('Base de données'!A$4:L$990,MATCH(A60,'Base de données'!A$4:A$990,0),12),"")</f>
        <v/>
      </c>
      <c r="D60" s="553"/>
      <c r="E60" s="552"/>
    </row>
    <row r="61" spans="1:5" x14ac:dyDescent="0.25">
      <c r="A61" s="552"/>
      <c r="B61" s="572" t="str">
        <f>IF(A61&lt;&gt;"",INDEX('Base de données'!A$4:L$990,MATCH(A61,'Base de données'!A$4:A$990,0),2),"")</f>
        <v/>
      </c>
      <c r="C61" s="572" t="str">
        <f>IF(A61&lt;&gt;"",INDEX('Base de données'!A$4:L$990,MATCH(A61,'Base de données'!A$4:A$990,0),12),"")</f>
        <v/>
      </c>
      <c r="D61" s="553"/>
      <c r="E61" s="552"/>
    </row>
    <row r="62" spans="1:5" x14ac:dyDescent="0.25">
      <c r="A62" s="552"/>
      <c r="B62" s="572" t="str">
        <f>IF(A62&lt;&gt;"",INDEX('Base de données'!A$4:L$990,MATCH(A62,'Base de données'!A$4:A$990,0),2),"")</f>
        <v/>
      </c>
      <c r="C62" s="572" t="str">
        <f>IF(A62&lt;&gt;"",INDEX('Base de données'!A$4:L$990,MATCH(A62,'Base de données'!A$4:A$990,0),12),"")</f>
        <v/>
      </c>
      <c r="D62" s="553"/>
      <c r="E62" s="552"/>
    </row>
    <row r="63" spans="1:5" x14ac:dyDescent="0.25">
      <c r="A63" s="552"/>
      <c r="B63" s="572" t="str">
        <f>IF(A63&lt;&gt;"",INDEX('Base de données'!A$4:L$990,MATCH(A63,'Base de données'!A$4:A$990,0),2),"")</f>
        <v/>
      </c>
      <c r="C63" s="572" t="str">
        <f>IF(A63&lt;&gt;"",INDEX('Base de données'!A$4:L$990,MATCH(A63,'Base de données'!A$4:A$990,0),12),"")</f>
        <v/>
      </c>
      <c r="D63" s="553"/>
      <c r="E63" s="552"/>
    </row>
    <row r="64" spans="1:5" x14ac:dyDescent="0.25">
      <c r="A64" s="552"/>
      <c r="B64" s="572" t="str">
        <f>IF(A64&lt;&gt;"",INDEX('Base de données'!A$4:L$990,MATCH(A64,'Base de données'!A$4:A$990,0),2),"")</f>
        <v/>
      </c>
      <c r="C64" s="572" t="str">
        <f>IF(A64&lt;&gt;"",INDEX('Base de données'!A$4:L$990,MATCH(A64,'Base de données'!A$4:A$990,0),12),"")</f>
        <v/>
      </c>
      <c r="D64" s="553"/>
      <c r="E64" s="552"/>
    </row>
    <row r="65" spans="1:5" x14ac:dyDescent="0.25">
      <c r="A65" s="552"/>
      <c r="B65" s="572" t="str">
        <f>IF(A65&lt;&gt;"",INDEX('Base de données'!A$4:L$990,MATCH(A65,'Base de données'!A$4:A$990,0),2),"")</f>
        <v/>
      </c>
      <c r="C65" s="572" t="str">
        <f>IF(A65&lt;&gt;"",INDEX('Base de données'!A$4:L$990,MATCH(A65,'Base de données'!A$4:A$990,0),12),"")</f>
        <v/>
      </c>
      <c r="D65" s="553"/>
      <c r="E65" s="552"/>
    </row>
    <row r="66" spans="1:5" x14ac:dyDescent="0.25">
      <c r="A66" s="552"/>
      <c r="B66" s="572" t="str">
        <f>IF(A66&lt;&gt;"",INDEX('Base de données'!A$4:L$990,MATCH(A66,'Base de données'!A$4:A$990,0),2),"")</f>
        <v/>
      </c>
      <c r="C66" s="572" t="str">
        <f>IF(A66&lt;&gt;"",INDEX('Base de données'!A$4:L$990,MATCH(A66,'Base de données'!A$4:A$990,0),12),"")</f>
        <v/>
      </c>
      <c r="D66" s="553"/>
      <c r="E66" s="552"/>
    </row>
    <row r="67" spans="1:5" x14ac:dyDescent="0.25">
      <c r="A67" s="552"/>
      <c r="B67" s="572" t="str">
        <f>IF(A67&lt;&gt;"",INDEX('Base de données'!A$4:L$990,MATCH(A67,'Base de données'!A$4:A$990,0),2),"")</f>
        <v/>
      </c>
      <c r="C67" s="572" t="str">
        <f>IF(A67&lt;&gt;"",INDEX('Base de données'!A$4:L$990,MATCH(A67,'Base de données'!A$4:A$990,0),12),"")</f>
        <v/>
      </c>
      <c r="D67" s="553"/>
      <c r="E67" s="552"/>
    </row>
    <row r="68" spans="1:5" x14ac:dyDescent="0.25">
      <c r="A68" s="552"/>
      <c r="B68" s="572" t="str">
        <f>IF(A68&lt;&gt;"",INDEX('Base de données'!A$4:L$990,MATCH(A68,'Base de données'!A$4:A$990,0),2),"")</f>
        <v/>
      </c>
      <c r="C68" s="572" t="str">
        <f>IF(A68&lt;&gt;"",INDEX('Base de données'!A$4:L$990,MATCH(A68,'Base de données'!A$4:A$990,0),12),"")</f>
        <v/>
      </c>
      <c r="D68" s="553"/>
      <c r="E68" s="552"/>
    </row>
    <row r="69" spans="1:5" x14ac:dyDescent="0.25">
      <c r="A69" s="552"/>
      <c r="B69" s="572" t="str">
        <f>IF(A69&lt;&gt;"",INDEX('Base de données'!A$4:L$990,MATCH(A69,'Base de données'!A$4:A$990,0),2),"")</f>
        <v/>
      </c>
      <c r="C69" s="572" t="str">
        <f>IF(A69&lt;&gt;"",INDEX('Base de données'!A$4:L$990,MATCH(A69,'Base de données'!A$4:A$990,0),12),"")</f>
        <v/>
      </c>
      <c r="D69" s="553"/>
      <c r="E69" s="552"/>
    </row>
    <row r="70" spans="1:5" x14ac:dyDescent="0.25">
      <c r="A70" s="552"/>
      <c r="B70" s="572" t="str">
        <f>IF(A70&lt;&gt;"",INDEX('Base de données'!A$4:L$990,MATCH(A70,'Base de données'!A$4:A$990,0),2),"")</f>
        <v/>
      </c>
      <c r="C70" s="572" t="str">
        <f>IF(A70&lt;&gt;"",INDEX('Base de données'!A$4:L$990,MATCH(A70,'Base de données'!A$4:A$990,0),12),"")</f>
        <v/>
      </c>
      <c r="D70" s="553"/>
      <c r="E70" s="552"/>
    </row>
    <row r="71" spans="1:5" x14ac:dyDescent="0.25">
      <c r="A71" s="552"/>
      <c r="B71" s="572" t="str">
        <f>IF(A71&lt;&gt;"",INDEX('Base de données'!A$4:L$990,MATCH(A71,'Base de données'!A$4:A$990,0),2),"")</f>
        <v/>
      </c>
      <c r="C71" s="572" t="str">
        <f>IF(A71&lt;&gt;"",INDEX('Base de données'!A$4:L$990,MATCH(A71,'Base de données'!A$4:A$990,0),12),"")</f>
        <v/>
      </c>
      <c r="D71" s="553"/>
      <c r="E71" s="552"/>
    </row>
    <row r="72" spans="1:5" x14ac:dyDescent="0.25">
      <c r="A72" s="552"/>
      <c r="B72" s="572" t="str">
        <f>IF(A72&lt;&gt;"",INDEX('Base de données'!A$4:L$990,MATCH(A72,'Base de données'!A$4:A$990,0),2),"")</f>
        <v/>
      </c>
      <c r="C72" s="572" t="str">
        <f>IF(A72&lt;&gt;"",INDEX('Base de données'!A$4:L$990,MATCH(A72,'Base de données'!A$4:A$990,0),12),"")</f>
        <v/>
      </c>
      <c r="D72" s="553"/>
      <c r="E72" s="552"/>
    </row>
    <row r="73" spans="1:5" x14ac:dyDescent="0.25">
      <c r="A73" s="552"/>
      <c r="B73" s="572" t="str">
        <f>IF(A73&lt;&gt;"",INDEX('Base de données'!A$4:L$990,MATCH(A73,'Base de données'!A$4:A$990,0),2),"")</f>
        <v/>
      </c>
      <c r="C73" s="572" t="str">
        <f>IF(A73&lt;&gt;"",INDEX('Base de données'!A$4:L$990,MATCH(A73,'Base de données'!A$4:A$990,0),12),"")</f>
        <v/>
      </c>
      <c r="D73" s="553"/>
      <c r="E73" s="552"/>
    </row>
    <row r="74" spans="1:5" x14ac:dyDescent="0.25">
      <c r="A74" s="552"/>
      <c r="B74" s="572" t="str">
        <f>IF(A74&lt;&gt;"",INDEX('Base de données'!A$4:L$990,MATCH(A74,'Base de données'!A$4:A$990,0),2),"")</f>
        <v/>
      </c>
      <c r="C74" s="572" t="str">
        <f>IF(A74&lt;&gt;"",INDEX('Base de données'!A$4:L$990,MATCH(A74,'Base de données'!A$4:A$990,0),12),"")</f>
        <v/>
      </c>
      <c r="D74" s="553"/>
      <c r="E74" s="552"/>
    </row>
    <row r="75" spans="1:5" x14ac:dyDescent="0.25">
      <c r="A75" s="552"/>
      <c r="B75" s="572" t="str">
        <f>IF(A75&lt;&gt;"",INDEX('Base de données'!A$4:L$990,MATCH(A75,'Base de données'!A$4:A$990,0),2),"")</f>
        <v/>
      </c>
      <c r="C75" s="572" t="str">
        <f>IF(A75&lt;&gt;"",INDEX('Base de données'!A$4:L$990,MATCH(A75,'Base de données'!A$4:A$990,0),12),"")</f>
        <v/>
      </c>
      <c r="D75" s="553"/>
      <c r="E75" s="552"/>
    </row>
    <row r="76" spans="1:5" x14ac:dyDescent="0.25">
      <c r="A76" s="552"/>
      <c r="B76" s="572" t="str">
        <f>IF(A76&lt;&gt;"",INDEX('Base de données'!A$4:L$990,MATCH(A76,'Base de données'!A$4:A$990,0),2),"")</f>
        <v/>
      </c>
      <c r="C76" s="572" t="str">
        <f>IF(A76&lt;&gt;"",INDEX('Base de données'!A$4:L$990,MATCH(A76,'Base de données'!A$4:A$990,0),12),"")</f>
        <v/>
      </c>
      <c r="D76" s="553"/>
      <c r="E76" s="552"/>
    </row>
    <row r="77" spans="1:5" x14ac:dyDescent="0.25">
      <c r="A77" s="552"/>
      <c r="B77" s="572" t="str">
        <f>IF(A77&lt;&gt;"",INDEX('Base de données'!A$4:L$990,MATCH(A77,'Base de données'!A$4:A$990,0),2),"")</f>
        <v/>
      </c>
      <c r="C77" s="572" t="str">
        <f>IF(A77&lt;&gt;"",INDEX('Base de données'!A$4:L$990,MATCH(A77,'Base de données'!A$4:A$990,0),12),"")</f>
        <v/>
      </c>
      <c r="D77" s="553"/>
      <c r="E77" s="552"/>
    </row>
    <row r="78" spans="1:5" x14ac:dyDescent="0.25">
      <c r="A78" s="552"/>
      <c r="B78" s="572" t="str">
        <f>IF(A78&lt;&gt;"",INDEX('Base de données'!A$4:L$990,MATCH(A78,'Base de données'!A$4:A$990,0),2),"")</f>
        <v/>
      </c>
      <c r="C78" s="572" t="str">
        <f>IF(A78&lt;&gt;"",INDEX('Base de données'!A$4:L$990,MATCH(A78,'Base de données'!A$4:A$990,0),12),"")</f>
        <v/>
      </c>
      <c r="D78" s="553"/>
      <c r="E78" s="552"/>
    </row>
    <row r="79" spans="1:5" x14ac:dyDescent="0.25">
      <c r="A79" s="552"/>
      <c r="B79" s="572" t="str">
        <f>IF(A79&lt;&gt;"",INDEX('Base de données'!A$4:L$990,MATCH(A79,'Base de données'!A$4:A$990,0),2),"")</f>
        <v/>
      </c>
      <c r="C79" s="572" t="str">
        <f>IF(A79&lt;&gt;"",INDEX('Base de données'!A$4:L$990,MATCH(A79,'Base de données'!A$4:A$990,0),12),"")</f>
        <v/>
      </c>
      <c r="D79" s="553"/>
      <c r="E79" s="552"/>
    </row>
    <row r="80" spans="1:5" x14ac:dyDescent="0.25">
      <c r="A80" s="552"/>
      <c r="B80" s="572" t="str">
        <f>IF(A80&lt;&gt;"",INDEX('Base de données'!A$4:L$990,MATCH(A80,'Base de données'!A$4:A$990,0),2),"")</f>
        <v/>
      </c>
      <c r="C80" s="572" t="str">
        <f>IF(A80&lt;&gt;"",INDEX('Base de données'!A$4:L$990,MATCH(A80,'Base de données'!A$4:A$990,0),12),"")</f>
        <v/>
      </c>
      <c r="D80" s="553"/>
      <c r="E80" s="552"/>
    </row>
    <row r="81" spans="1:5" x14ac:dyDescent="0.25">
      <c r="A81" s="552"/>
      <c r="B81" s="572" t="str">
        <f>IF(A81&lt;&gt;"",INDEX('Base de données'!A$4:L$990,MATCH(A81,'Base de données'!A$4:A$990,0),2),"")</f>
        <v/>
      </c>
      <c r="C81" s="572" t="str">
        <f>IF(A81&lt;&gt;"",INDEX('Base de données'!A$4:L$990,MATCH(A81,'Base de données'!A$4:A$990,0),12),"")</f>
        <v/>
      </c>
      <c r="D81" s="553"/>
      <c r="E81" s="552"/>
    </row>
    <row r="82" spans="1:5" x14ac:dyDescent="0.25">
      <c r="A82" s="552"/>
      <c r="B82" s="572" t="str">
        <f>IF(A82&lt;&gt;"",INDEX('Base de données'!A$4:L$990,MATCH(A82,'Base de données'!A$4:A$990,0),2),"")</f>
        <v/>
      </c>
      <c r="C82" s="572" t="str">
        <f>IF(A82&lt;&gt;"",INDEX('Base de données'!A$4:L$990,MATCH(A82,'Base de données'!A$4:A$990,0),12),"")</f>
        <v/>
      </c>
      <c r="D82" s="553"/>
      <c r="E82" s="552"/>
    </row>
    <row r="83" spans="1:5" x14ac:dyDescent="0.25">
      <c r="A83" s="552"/>
      <c r="B83" s="572" t="str">
        <f>IF(A83&lt;&gt;"",INDEX('Base de données'!A$4:L$990,MATCH(A83,'Base de données'!A$4:A$990,0),2),"")</f>
        <v/>
      </c>
      <c r="C83" s="572" t="str">
        <f>IF(A83&lt;&gt;"",INDEX('Base de données'!A$4:L$990,MATCH(A83,'Base de données'!A$4:A$990,0),12),"")</f>
        <v/>
      </c>
      <c r="D83" s="553"/>
      <c r="E83" s="552"/>
    </row>
    <row r="84" spans="1:5" x14ac:dyDescent="0.25">
      <c r="A84" s="552"/>
      <c r="B84" s="572" t="str">
        <f>IF(A84&lt;&gt;"",INDEX('Base de données'!A$4:L$990,MATCH(A84,'Base de données'!A$4:A$990,0),2),"")</f>
        <v/>
      </c>
      <c r="C84" s="572" t="str">
        <f>IF(A84&lt;&gt;"",INDEX('Base de données'!A$4:L$990,MATCH(A84,'Base de données'!A$4:A$990,0),12),"")</f>
        <v/>
      </c>
      <c r="D84" s="553"/>
      <c r="E84" s="552"/>
    </row>
    <row r="85" spans="1:5" x14ac:dyDescent="0.25">
      <c r="A85" s="552"/>
      <c r="B85" s="572" t="str">
        <f>IF(A85&lt;&gt;"",INDEX('Base de données'!A$4:L$990,MATCH(A85,'Base de données'!A$4:A$990,0),2),"")</f>
        <v/>
      </c>
      <c r="C85" s="572" t="str">
        <f>IF(A85&lt;&gt;"",INDEX('Base de données'!A$4:L$990,MATCH(A85,'Base de données'!A$4:A$990,0),12),"")</f>
        <v/>
      </c>
      <c r="D85" s="553"/>
      <c r="E85" s="552"/>
    </row>
    <row r="86" spans="1:5" x14ac:dyDescent="0.25">
      <c r="A86" s="552"/>
      <c r="B86" s="572" t="str">
        <f>IF(A86&lt;&gt;"",INDEX('Base de données'!A$4:L$990,MATCH(A86,'Base de données'!A$4:A$990,0),2),"")</f>
        <v/>
      </c>
      <c r="C86" s="572" t="str">
        <f>IF(A86&lt;&gt;"",INDEX('Base de données'!A$4:L$990,MATCH(A86,'Base de données'!A$4:A$990,0),12),"")</f>
        <v/>
      </c>
      <c r="D86" s="553"/>
      <c r="E86" s="552"/>
    </row>
    <row r="87" spans="1:5" x14ac:dyDescent="0.25">
      <c r="A87" s="552"/>
      <c r="B87" s="572" t="str">
        <f>IF(A87&lt;&gt;"",INDEX('Base de données'!A$4:L$990,MATCH(A87,'Base de données'!A$4:A$990,0),2),"")</f>
        <v/>
      </c>
      <c r="C87" s="572" t="str">
        <f>IF(A87&lt;&gt;"",INDEX('Base de données'!A$4:L$990,MATCH(A87,'Base de données'!A$4:A$990,0),12),"")</f>
        <v/>
      </c>
      <c r="D87" s="553"/>
      <c r="E87" s="552"/>
    </row>
    <row r="88" spans="1:5" x14ac:dyDescent="0.25">
      <c r="A88" s="552"/>
      <c r="B88" s="572" t="str">
        <f>IF(A88&lt;&gt;"",INDEX('Base de données'!A$4:L$990,MATCH(A88,'Base de données'!A$4:A$990,0),2),"")</f>
        <v/>
      </c>
      <c r="C88" s="572" t="str">
        <f>IF(A88&lt;&gt;"",INDEX('Base de données'!A$4:L$990,MATCH(A88,'Base de données'!A$4:A$990,0),12),"")</f>
        <v/>
      </c>
      <c r="D88" s="553"/>
      <c r="E88" s="552"/>
    </row>
    <row r="89" spans="1:5" x14ac:dyDescent="0.25">
      <c r="A89" s="552"/>
      <c r="B89" s="572" t="str">
        <f>IF(A89&lt;&gt;"",INDEX('Base de données'!A$4:L$990,MATCH(A89,'Base de données'!A$4:A$990,0),2),"")</f>
        <v/>
      </c>
      <c r="C89" s="572" t="str">
        <f>IF(A89&lt;&gt;"",INDEX('Base de données'!A$4:L$990,MATCH(A89,'Base de données'!A$4:A$990,0),12),"")</f>
        <v/>
      </c>
      <c r="D89" s="553"/>
      <c r="E89" s="552"/>
    </row>
    <row r="90" spans="1:5" x14ac:dyDescent="0.25">
      <c r="A90" s="552"/>
      <c r="B90" s="572" t="str">
        <f>IF(A90&lt;&gt;"",INDEX('Base de données'!A$4:L$990,MATCH(A90,'Base de données'!A$4:A$990,0),2),"")</f>
        <v/>
      </c>
      <c r="C90" s="572" t="str">
        <f>IF(A90&lt;&gt;"",INDEX('Base de données'!A$4:L$990,MATCH(A90,'Base de données'!A$4:A$990,0),12),"")</f>
        <v/>
      </c>
      <c r="D90" s="553"/>
      <c r="E90" s="552"/>
    </row>
    <row r="91" spans="1:5" x14ac:dyDescent="0.25">
      <c r="A91" s="552"/>
      <c r="B91" s="572" t="str">
        <f>IF(A91&lt;&gt;"",INDEX('Base de données'!A$4:L$990,MATCH(A91,'Base de données'!A$4:A$990,0),2),"")</f>
        <v/>
      </c>
      <c r="C91" s="572" t="str">
        <f>IF(A91&lt;&gt;"",INDEX('Base de données'!A$4:L$990,MATCH(A91,'Base de données'!A$4:A$990,0),12),"")</f>
        <v/>
      </c>
      <c r="D91" s="553"/>
      <c r="E91" s="552"/>
    </row>
    <row r="92" spans="1:5" x14ac:dyDescent="0.25">
      <c r="A92" s="552"/>
      <c r="B92" s="572" t="str">
        <f>IF(A92&lt;&gt;"",INDEX('Base de données'!A$4:L$990,MATCH(A92,'Base de données'!A$4:A$990,0),2),"")</f>
        <v/>
      </c>
      <c r="C92" s="572" t="str">
        <f>IF(A92&lt;&gt;"",INDEX('Base de données'!A$4:L$990,MATCH(A92,'Base de données'!A$4:A$990,0),12),"")</f>
        <v/>
      </c>
      <c r="D92" s="553"/>
      <c r="E92" s="552"/>
    </row>
    <row r="93" spans="1:5" x14ac:dyDescent="0.25">
      <c r="A93" s="552"/>
      <c r="B93" s="572" t="str">
        <f>IF(A93&lt;&gt;"",INDEX('Base de données'!A$4:L$990,MATCH(A93,'Base de données'!A$4:A$990,0),2),"")</f>
        <v/>
      </c>
      <c r="C93" s="572" t="str">
        <f>IF(A93&lt;&gt;"",INDEX('Base de données'!A$4:L$990,MATCH(A93,'Base de données'!A$4:A$990,0),12),"")</f>
        <v/>
      </c>
      <c r="D93" s="553"/>
      <c r="E93" s="552"/>
    </row>
    <row r="94" spans="1:5" x14ac:dyDescent="0.25">
      <c r="A94" s="552"/>
      <c r="B94" s="572" t="str">
        <f>IF(A94&lt;&gt;"",INDEX('Base de données'!A$4:L$990,MATCH(A94,'Base de données'!A$4:A$990,0),2),"")</f>
        <v/>
      </c>
      <c r="C94" s="572" t="str">
        <f>IF(A94&lt;&gt;"",INDEX('Base de données'!A$4:L$990,MATCH(A94,'Base de données'!A$4:A$990,0),12),"")</f>
        <v/>
      </c>
      <c r="D94" s="553"/>
      <c r="E94" s="552"/>
    </row>
    <row r="95" spans="1:5" x14ac:dyDescent="0.25">
      <c r="A95" s="552"/>
      <c r="B95" s="572" t="str">
        <f>IF(A95&lt;&gt;"",INDEX('Base de données'!A$4:L$990,MATCH(A95,'Base de données'!A$4:A$990,0),2),"")</f>
        <v/>
      </c>
      <c r="C95" s="572" t="str">
        <f>IF(A95&lt;&gt;"",INDEX('Base de données'!A$4:L$990,MATCH(A95,'Base de données'!A$4:A$990,0),12),"")</f>
        <v/>
      </c>
      <c r="D95" s="553"/>
      <c r="E95" s="552"/>
    </row>
    <row r="96" spans="1:5" x14ac:dyDescent="0.25">
      <c r="A96" s="552"/>
      <c r="B96" s="572" t="str">
        <f>IF(A96&lt;&gt;"",INDEX('Base de données'!A$4:L$990,MATCH(A96,'Base de données'!A$4:A$990,0),2),"")</f>
        <v/>
      </c>
      <c r="C96" s="572" t="str">
        <f>IF(A96&lt;&gt;"",INDEX('Base de données'!A$4:L$990,MATCH(A96,'Base de données'!A$4:A$990,0),12),"")</f>
        <v/>
      </c>
      <c r="D96" s="553"/>
      <c r="E96" s="552"/>
    </row>
    <row r="97" spans="1:5" x14ac:dyDescent="0.25">
      <c r="A97" s="552"/>
      <c r="B97" s="572" t="str">
        <f>IF(A97&lt;&gt;"",INDEX('Base de données'!A$4:L$990,MATCH(A97,'Base de données'!A$4:A$990,0),2),"")</f>
        <v/>
      </c>
      <c r="C97" s="572" t="str">
        <f>IF(A97&lt;&gt;"",INDEX('Base de données'!A$4:L$990,MATCH(A97,'Base de données'!A$4:A$990,0),12),"")</f>
        <v/>
      </c>
      <c r="D97" s="553"/>
      <c r="E97" s="552"/>
    </row>
    <row r="98" spans="1:5" x14ac:dyDescent="0.25">
      <c r="A98" s="552"/>
      <c r="B98" s="572" t="str">
        <f>IF(A98&lt;&gt;"",INDEX('Base de données'!A$4:L$990,MATCH(A98,'Base de données'!A$4:A$990,0),2),"")</f>
        <v/>
      </c>
      <c r="C98" s="572" t="str">
        <f>IF(A98&lt;&gt;"",INDEX('Base de données'!A$4:L$990,MATCH(A98,'Base de données'!A$4:A$990,0),12),"")</f>
        <v/>
      </c>
      <c r="D98" s="553"/>
      <c r="E98" s="552"/>
    </row>
    <row r="99" spans="1:5" x14ac:dyDescent="0.25">
      <c r="A99" s="552"/>
      <c r="B99" s="572" t="str">
        <f>IF(A99&lt;&gt;"",INDEX('Base de données'!A$4:L$990,MATCH(A99,'Base de données'!A$4:A$990,0),2),"")</f>
        <v/>
      </c>
      <c r="C99" s="572" t="str">
        <f>IF(A99&lt;&gt;"",INDEX('Base de données'!A$4:L$990,MATCH(A99,'Base de données'!A$4:A$990,0),12),"")</f>
        <v/>
      </c>
      <c r="D99" s="553"/>
      <c r="E99" s="552"/>
    </row>
    <row r="100" spans="1:5" x14ac:dyDescent="0.25">
      <c r="A100" s="552"/>
      <c r="B100" s="572" t="str">
        <f>IF(A100&lt;&gt;"",INDEX('Base de données'!A$4:L$990,MATCH(A100,'Base de données'!A$4:A$990,0),2),"")</f>
        <v/>
      </c>
      <c r="C100" s="572" t="str">
        <f>IF(A100&lt;&gt;"",INDEX('Base de données'!A$4:L$990,MATCH(A100,'Base de données'!A$4:A$990,0),12),"")</f>
        <v/>
      </c>
      <c r="D100" s="553"/>
      <c r="E100" s="552"/>
    </row>
    <row r="101" spans="1:5" x14ac:dyDescent="0.25">
      <c r="A101" s="552"/>
      <c r="B101" s="572" t="str">
        <f>IF(A101&lt;&gt;"",INDEX('Base de données'!A$4:L$990,MATCH(A101,'Base de données'!A$4:A$990,0),2),"")</f>
        <v/>
      </c>
      <c r="C101" s="572" t="str">
        <f>IF(A101&lt;&gt;"",INDEX('Base de données'!A$4:L$990,MATCH(A101,'Base de données'!A$4:A$990,0),12),"")</f>
        <v/>
      </c>
      <c r="D101" s="553"/>
      <c r="E101" s="552"/>
    </row>
    <row r="102" spans="1:5" x14ac:dyDescent="0.25">
      <c r="A102" s="552"/>
      <c r="B102" s="572" t="str">
        <f>IF(A102&lt;&gt;"",INDEX('Base de données'!A$4:L$990,MATCH(A102,'Base de données'!A$4:A$990,0),2),"")</f>
        <v/>
      </c>
      <c r="C102" s="572" t="str">
        <f>IF(A102&lt;&gt;"",INDEX('Base de données'!A$4:L$990,MATCH(A102,'Base de données'!A$4:A$990,0),12),"")</f>
        <v/>
      </c>
      <c r="D102" s="553"/>
      <c r="E102" s="552"/>
    </row>
    <row r="103" spans="1:5" x14ac:dyDescent="0.25">
      <c r="A103" s="552"/>
      <c r="B103" s="572" t="str">
        <f>IF(A103&lt;&gt;"",INDEX('Base de données'!A$4:L$990,MATCH(A103,'Base de données'!A$4:A$990,0),2),"")</f>
        <v/>
      </c>
      <c r="C103" s="572" t="str">
        <f>IF(A103&lt;&gt;"",INDEX('Base de données'!A$4:L$990,MATCH(A103,'Base de données'!A$4:A$990,0),12),"")</f>
        <v/>
      </c>
      <c r="D103" s="553"/>
      <c r="E103" s="552"/>
    </row>
    <row r="104" spans="1:5" x14ac:dyDescent="0.25">
      <c r="A104" s="552"/>
      <c r="B104" s="572" t="str">
        <f>IF(A104&lt;&gt;"",INDEX('Base de données'!A$4:L$990,MATCH(A104,'Base de données'!A$4:A$990,0),2),"")</f>
        <v/>
      </c>
      <c r="C104" s="572" t="str">
        <f>IF(A104&lt;&gt;"",INDEX('Base de données'!A$4:L$990,MATCH(A104,'Base de données'!A$4:A$990,0),12),"")</f>
        <v/>
      </c>
      <c r="D104" s="553"/>
      <c r="E104" s="552"/>
    </row>
    <row r="105" spans="1:5" x14ac:dyDescent="0.25">
      <c r="A105" s="552"/>
      <c r="B105" s="572" t="str">
        <f>IF(A105&lt;&gt;"",INDEX('Base de données'!A$4:L$990,MATCH(A105,'Base de données'!A$4:A$990,0),2),"")</f>
        <v/>
      </c>
      <c r="C105" s="572" t="str">
        <f>IF(A105&lt;&gt;"",INDEX('Base de données'!A$4:L$990,MATCH(A105,'Base de données'!A$4:A$990,0),12),"")</f>
        <v/>
      </c>
      <c r="D105" s="553"/>
      <c r="E105" s="552"/>
    </row>
    <row r="106" spans="1:5" x14ac:dyDescent="0.25">
      <c r="A106" s="552"/>
      <c r="B106" s="572" t="str">
        <f>IF(A106&lt;&gt;"",INDEX('Base de données'!A$4:L$990,MATCH(A106,'Base de données'!A$4:A$990,0),2),"")</f>
        <v/>
      </c>
      <c r="C106" s="572" t="str">
        <f>IF(A106&lt;&gt;"",INDEX('Base de données'!A$4:L$990,MATCH(A106,'Base de données'!A$4:A$990,0),12),"")</f>
        <v/>
      </c>
      <c r="D106" s="553"/>
      <c r="E106" s="552"/>
    </row>
    <row r="107" spans="1:5" x14ac:dyDescent="0.25">
      <c r="A107" s="552"/>
      <c r="B107" s="572" t="str">
        <f>IF(A107&lt;&gt;"",INDEX('Base de données'!A$4:L$990,MATCH(A107,'Base de données'!A$4:A$990,0),2),"")</f>
        <v/>
      </c>
      <c r="C107" s="572" t="str">
        <f>IF(A107&lt;&gt;"",INDEX('Base de données'!A$4:L$990,MATCH(A107,'Base de données'!A$4:A$990,0),12),"")</f>
        <v/>
      </c>
      <c r="D107" s="553"/>
      <c r="E107" s="552"/>
    </row>
    <row r="108" spans="1:5" x14ac:dyDescent="0.25">
      <c r="A108" s="552"/>
      <c r="B108" s="572" t="str">
        <f>IF(A108&lt;&gt;"",INDEX('Base de données'!A$4:L$990,MATCH(A108,'Base de données'!A$4:A$990,0),2),"")</f>
        <v/>
      </c>
      <c r="C108" s="572" t="str">
        <f>IF(A108&lt;&gt;"",INDEX('Base de données'!A$4:L$990,MATCH(A108,'Base de données'!A$4:A$990,0),12),"")</f>
        <v/>
      </c>
      <c r="D108" s="553"/>
      <c r="E108" s="552"/>
    </row>
    <row r="109" spans="1:5" x14ac:dyDescent="0.25">
      <c r="A109" s="552"/>
      <c r="B109" s="572" t="str">
        <f>IF(A109&lt;&gt;"",INDEX('Base de données'!A$4:L$990,MATCH(A109,'Base de données'!A$4:A$990,0),2),"")</f>
        <v/>
      </c>
      <c r="C109" s="572" t="str">
        <f>IF(A109&lt;&gt;"",INDEX('Base de données'!A$4:L$990,MATCH(A109,'Base de données'!A$4:A$990,0),12),"")</f>
        <v/>
      </c>
      <c r="D109" s="553"/>
      <c r="E109" s="552"/>
    </row>
    <row r="110" spans="1:5" x14ac:dyDescent="0.25">
      <c r="A110" s="552"/>
      <c r="B110" s="572" t="str">
        <f>IF(A110&lt;&gt;"",INDEX('Base de données'!A$4:L$990,MATCH(A110,'Base de données'!A$4:A$990,0),2),"")</f>
        <v/>
      </c>
      <c r="C110" s="572" t="str">
        <f>IF(A110&lt;&gt;"",INDEX('Base de données'!A$4:L$990,MATCH(A110,'Base de données'!A$4:A$990,0),12),"")</f>
        <v/>
      </c>
      <c r="D110" s="553"/>
      <c r="E110" s="552"/>
    </row>
    <row r="111" spans="1:5" x14ac:dyDescent="0.25">
      <c r="A111" s="552"/>
      <c r="B111" s="572" t="str">
        <f>IF(A111&lt;&gt;"",INDEX('Base de données'!A$4:L$990,MATCH(A111,'Base de données'!A$4:A$990,0),2),"")</f>
        <v/>
      </c>
      <c r="C111" s="572" t="str">
        <f>IF(A111&lt;&gt;"",INDEX('Base de données'!A$4:L$990,MATCH(A111,'Base de données'!A$4:A$990,0),12),"")</f>
        <v/>
      </c>
      <c r="D111" s="553"/>
      <c r="E111" s="552"/>
    </row>
    <row r="112" spans="1:5" x14ac:dyDescent="0.25">
      <c r="A112" s="552"/>
      <c r="B112" s="572" t="str">
        <f>IF(A112&lt;&gt;"",INDEX('Base de données'!A$4:L$990,MATCH(A112,'Base de données'!A$4:A$990,0),2),"")</f>
        <v/>
      </c>
      <c r="C112" s="572" t="str">
        <f>IF(A112&lt;&gt;"",INDEX('Base de données'!A$4:L$990,MATCH(A112,'Base de données'!A$4:A$990,0),12),"")</f>
        <v/>
      </c>
      <c r="D112" s="553"/>
      <c r="E112" s="552"/>
    </row>
    <row r="113" spans="1:5" x14ac:dyDescent="0.25">
      <c r="A113" s="552"/>
      <c r="B113" s="572" t="str">
        <f>IF(A113&lt;&gt;"",INDEX('Base de données'!A$4:L$990,MATCH(A113,'Base de données'!A$4:A$990,0),2),"")</f>
        <v/>
      </c>
      <c r="C113" s="572" t="str">
        <f>IF(A113&lt;&gt;"",INDEX('Base de données'!A$4:L$990,MATCH(A113,'Base de données'!A$4:A$990,0),12),"")</f>
        <v/>
      </c>
      <c r="D113" s="553"/>
      <c r="E113" s="552"/>
    </row>
    <row r="114" spans="1:5" x14ac:dyDescent="0.25">
      <c r="A114" s="552"/>
      <c r="B114" s="572" t="str">
        <f>IF(A114&lt;&gt;"",INDEX('Base de données'!A$4:L$990,MATCH(A114,'Base de données'!A$4:A$990,0),2),"")</f>
        <v/>
      </c>
      <c r="C114" s="572" t="str">
        <f>IF(A114&lt;&gt;"",INDEX('Base de données'!A$4:L$990,MATCH(A114,'Base de données'!A$4:A$990,0),12),"")</f>
        <v/>
      </c>
      <c r="D114" s="553"/>
      <c r="E114" s="552"/>
    </row>
    <row r="115" spans="1:5" x14ac:dyDescent="0.25">
      <c r="A115" s="552"/>
      <c r="B115" s="572" t="str">
        <f>IF(A115&lt;&gt;"",INDEX('Base de données'!A$4:L$990,MATCH(A115,'Base de données'!A$4:A$990,0),2),"")</f>
        <v/>
      </c>
      <c r="C115" s="572" t="str">
        <f>IF(A115&lt;&gt;"",INDEX('Base de données'!A$4:L$990,MATCH(A115,'Base de données'!A$4:A$990,0),12),"")</f>
        <v/>
      </c>
      <c r="D115" s="553"/>
      <c r="E115" s="552"/>
    </row>
    <row r="116" spans="1:5" x14ac:dyDescent="0.25">
      <c r="A116" s="552"/>
      <c r="B116" s="572" t="str">
        <f>IF(A116&lt;&gt;"",INDEX('Base de données'!A$4:L$990,MATCH(A116,'Base de données'!A$4:A$990,0),2),"")</f>
        <v/>
      </c>
      <c r="C116" s="572" t="str">
        <f>IF(A116&lt;&gt;"",INDEX('Base de données'!A$4:L$990,MATCH(A116,'Base de données'!A$4:A$990,0),12),"")</f>
        <v/>
      </c>
      <c r="D116" s="553"/>
      <c r="E116" s="552"/>
    </row>
    <row r="117" spans="1:5" x14ac:dyDescent="0.25">
      <c r="A117" s="552"/>
      <c r="B117" s="572" t="str">
        <f>IF(A117&lt;&gt;"",INDEX('Base de données'!A$4:L$990,MATCH(A117,'Base de données'!A$4:A$990,0),2),"")</f>
        <v/>
      </c>
      <c r="C117" s="572" t="str">
        <f>IF(A117&lt;&gt;"",INDEX('Base de données'!A$4:L$990,MATCH(A117,'Base de données'!A$4:A$990,0),12),"")</f>
        <v/>
      </c>
      <c r="D117" s="553"/>
      <c r="E117" s="552"/>
    </row>
    <row r="118" spans="1:5" x14ac:dyDescent="0.25">
      <c r="A118" s="552"/>
      <c r="B118" s="572" t="str">
        <f>IF(A118&lt;&gt;"",INDEX('Base de données'!A$4:L$990,MATCH(A118,'Base de données'!A$4:A$990,0),2),"")</f>
        <v/>
      </c>
      <c r="C118" s="572" t="str">
        <f>IF(A118&lt;&gt;"",INDEX('Base de données'!A$4:L$990,MATCH(A118,'Base de données'!A$4:A$990,0),12),"")</f>
        <v/>
      </c>
      <c r="D118" s="553"/>
      <c r="E118" s="552"/>
    </row>
    <row r="119" spans="1:5" x14ac:dyDescent="0.25">
      <c r="A119" s="552"/>
      <c r="B119" s="572" t="str">
        <f>IF(A119&lt;&gt;"",INDEX('Base de données'!A$4:L$990,MATCH(A119,'Base de données'!A$4:A$990,0),2),"")</f>
        <v/>
      </c>
      <c r="C119" s="572" t="str">
        <f>IF(A119&lt;&gt;"",INDEX('Base de données'!A$4:L$990,MATCH(A119,'Base de données'!A$4:A$990,0),12),"")</f>
        <v/>
      </c>
      <c r="D119" s="553"/>
      <c r="E119" s="552"/>
    </row>
    <row r="120" spans="1:5" x14ac:dyDescent="0.25">
      <c r="A120" s="552"/>
      <c r="B120" s="572" t="str">
        <f>IF(A120&lt;&gt;"",INDEX('Base de données'!A$4:L$990,MATCH(A120,'Base de données'!A$4:A$990,0),2),"")</f>
        <v/>
      </c>
      <c r="C120" s="572" t="str">
        <f>IF(A120&lt;&gt;"",INDEX('Base de données'!A$4:L$990,MATCH(A120,'Base de données'!A$4:A$990,0),12),"")</f>
        <v/>
      </c>
      <c r="D120" s="553"/>
      <c r="E120" s="552"/>
    </row>
    <row r="121" spans="1:5" x14ac:dyDescent="0.25">
      <c r="A121" s="552"/>
      <c r="B121" s="572" t="str">
        <f>IF(A121&lt;&gt;"",INDEX('Base de données'!A$4:L$990,MATCH(A121,'Base de données'!A$4:A$990,0),2),"")</f>
        <v/>
      </c>
      <c r="C121" s="572" t="str">
        <f>IF(A121&lt;&gt;"",INDEX('Base de données'!A$4:L$990,MATCH(A121,'Base de données'!A$4:A$990,0),12),"")</f>
        <v/>
      </c>
      <c r="D121" s="553"/>
      <c r="E121" s="552"/>
    </row>
    <row r="122" spans="1:5" x14ac:dyDescent="0.25">
      <c r="A122" s="552"/>
      <c r="B122" s="572" t="str">
        <f>IF(A122&lt;&gt;"",INDEX('Base de données'!A$4:L$990,MATCH(A122,'Base de données'!A$4:A$990,0),2),"")</f>
        <v/>
      </c>
      <c r="C122" s="572" t="str">
        <f>IF(A122&lt;&gt;"",INDEX('Base de données'!A$4:L$990,MATCH(A122,'Base de données'!A$4:A$990,0),12),"")</f>
        <v/>
      </c>
      <c r="D122" s="553"/>
      <c r="E122" s="552"/>
    </row>
    <row r="123" spans="1:5" x14ac:dyDescent="0.25">
      <c r="A123" s="552"/>
      <c r="B123" s="572" t="str">
        <f>IF(A123&lt;&gt;"",INDEX('Base de données'!A$4:L$990,MATCH(A123,'Base de données'!A$4:A$990,0),2),"")</f>
        <v/>
      </c>
      <c r="C123" s="572" t="str">
        <f>IF(A123&lt;&gt;"",INDEX('Base de données'!A$4:L$990,MATCH(A123,'Base de données'!A$4:A$990,0),12),"")</f>
        <v/>
      </c>
      <c r="D123" s="553"/>
      <c r="E123" s="552"/>
    </row>
    <row r="124" spans="1:5" x14ac:dyDescent="0.25">
      <c r="A124" s="552"/>
      <c r="B124" s="572" t="str">
        <f>IF(A124&lt;&gt;"",INDEX('Base de données'!A$4:L$990,MATCH(A124,'Base de données'!A$4:A$990,0),2),"")</f>
        <v/>
      </c>
      <c r="C124" s="572" t="str">
        <f>IF(A124&lt;&gt;"",INDEX('Base de données'!A$4:L$990,MATCH(A124,'Base de données'!A$4:A$990,0),12),"")</f>
        <v/>
      </c>
      <c r="D124" s="553"/>
      <c r="E124" s="552"/>
    </row>
    <row r="125" spans="1:5" x14ac:dyDescent="0.25">
      <c r="A125" s="552"/>
      <c r="B125" s="572" t="str">
        <f>IF(A125&lt;&gt;"",INDEX('Base de données'!A$4:L$990,MATCH(A125,'Base de données'!A$4:A$990,0),2),"")</f>
        <v/>
      </c>
      <c r="C125" s="572" t="str">
        <f>IF(A125&lt;&gt;"",INDEX('Base de données'!A$4:L$990,MATCH(A125,'Base de données'!A$4:A$990,0),12),"")</f>
        <v/>
      </c>
      <c r="D125" s="553"/>
      <c r="E125" s="552"/>
    </row>
    <row r="126" spans="1:5" x14ac:dyDescent="0.25">
      <c r="A126" s="552"/>
      <c r="B126" s="572" t="str">
        <f>IF(A126&lt;&gt;"",INDEX('Base de données'!A$4:L$990,MATCH(A126,'Base de données'!A$4:A$990,0),2),"")</f>
        <v/>
      </c>
      <c r="C126" s="572" t="str">
        <f>IF(A126&lt;&gt;"",INDEX('Base de données'!A$4:L$990,MATCH(A126,'Base de données'!A$4:A$990,0),12),"")</f>
        <v/>
      </c>
      <c r="D126" s="553"/>
      <c r="E126" s="552"/>
    </row>
    <row r="127" spans="1:5" x14ac:dyDescent="0.25">
      <c r="A127" s="552"/>
      <c r="B127" s="572" t="str">
        <f>IF(A127&lt;&gt;"",INDEX('Base de données'!A$4:L$990,MATCH(A127,'Base de données'!A$4:A$990,0),2),"")</f>
        <v/>
      </c>
      <c r="C127" s="572" t="str">
        <f>IF(A127&lt;&gt;"",INDEX('Base de données'!A$4:L$990,MATCH(A127,'Base de données'!A$4:A$990,0),12),"")</f>
        <v/>
      </c>
      <c r="D127" s="553"/>
      <c r="E127" s="552"/>
    </row>
    <row r="128" spans="1:5" x14ac:dyDescent="0.25">
      <c r="A128" s="552"/>
      <c r="B128" s="572" t="str">
        <f>IF(A128&lt;&gt;"",INDEX('Base de données'!A$4:L$990,MATCH(A128,'Base de données'!A$4:A$990,0),2),"")</f>
        <v/>
      </c>
      <c r="C128" s="572" t="str">
        <f>IF(A128&lt;&gt;"",INDEX('Base de données'!A$4:L$990,MATCH(A128,'Base de données'!A$4:A$990,0),12),"")</f>
        <v/>
      </c>
      <c r="D128" s="553"/>
      <c r="E128" s="552"/>
    </row>
    <row r="129" spans="1:5" x14ac:dyDescent="0.25">
      <c r="A129" s="552"/>
      <c r="B129" s="572" t="str">
        <f>IF(A129&lt;&gt;"",INDEX('Base de données'!A$4:L$990,MATCH(A129,'Base de données'!A$4:A$990,0),2),"")</f>
        <v/>
      </c>
      <c r="C129" s="572" t="str">
        <f>IF(A129&lt;&gt;"",INDEX('Base de données'!A$4:L$990,MATCH(A129,'Base de données'!A$4:A$990,0),12),"")</f>
        <v/>
      </c>
      <c r="D129" s="553"/>
      <c r="E129" s="552"/>
    </row>
    <row r="130" spans="1:5" x14ac:dyDescent="0.25">
      <c r="A130" s="552"/>
      <c r="B130" s="572" t="str">
        <f>IF(A130&lt;&gt;"",INDEX('Base de données'!A$4:L$990,MATCH(A130,'Base de données'!A$4:A$990,0),2),"")</f>
        <v/>
      </c>
      <c r="C130" s="572" t="str">
        <f>IF(A130&lt;&gt;"",INDEX('Base de données'!A$4:L$990,MATCH(A130,'Base de données'!A$4:A$990,0),12),"")</f>
        <v/>
      </c>
      <c r="D130" s="553"/>
      <c r="E130" s="552"/>
    </row>
    <row r="131" spans="1:5" x14ac:dyDescent="0.25">
      <c r="A131" s="552"/>
      <c r="B131" s="572" t="str">
        <f>IF(A131&lt;&gt;"",INDEX('Base de données'!A$4:L$990,MATCH(A131,'Base de données'!A$4:A$990,0),2),"")</f>
        <v/>
      </c>
      <c r="C131" s="572" t="str">
        <f>IF(A131&lt;&gt;"",INDEX('Base de données'!A$4:L$990,MATCH(A131,'Base de données'!A$4:A$990,0),12),"")</f>
        <v/>
      </c>
      <c r="D131" s="553"/>
      <c r="E131" s="552"/>
    </row>
    <row r="132" spans="1:5" x14ac:dyDescent="0.25">
      <c r="A132" s="552"/>
      <c r="B132" s="572" t="str">
        <f>IF(A132&lt;&gt;"",INDEX('Base de données'!A$4:L$990,MATCH(A132,'Base de données'!A$4:A$990,0),2),"")</f>
        <v/>
      </c>
      <c r="C132" s="572" t="str">
        <f>IF(A132&lt;&gt;"",INDEX('Base de données'!A$4:L$990,MATCH(A132,'Base de données'!A$4:A$990,0),12),"")</f>
        <v/>
      </c>
      <c r="D132" s="553"/>
      <c r="E132" s="552"/>
    </row>
    <row r="133" spans="1:5" x14ac:dyDescent="0.25">
      <c r="A133" s="552"/>
      <c r="B133" s="572" t="str">
        <f>IF(A133&lt;&gt;"",INDEX('Base de données'!A$4:L$990,MATCH(A133,'Base de données'!A$4:A$990,0),2),"")</f>
        <v/>
      </c>
      <c r="C133" s="572" t="str">
        <f>IF(A133&lt;&gt;"",INDEX('Base de données'!A$4:L$990,MATCH(A133,'Base de données'!A$4:A$990,0),12),"")</f>
        <v/>
      </c>
      <c r="D133" s="553"/>
      <c r="E133" s="552"/>
    </row>
    <row r="134" spans="1:5" x14ac:dyDescent="0.25">
      <c r="A134" s="552"/>
      <c r="B134" s="572" t="str">
        <f>IF(A134&lt;&gt;"",INDEX('Base de données'!A$4:L$990,MATCH(A134,'Base de données'!A$4:A$990,0),2),"")</f>
        <v/>
      </c>
      <c r="C134" s="572" t="str">
        <f>IF(A134&lt;&gt;"",INDEX('Base de données'!A$4:L$990,MATCH(A134,'Base de données'!A$4:A$990,0),12),"")</f>
        <v/>
      </c>
      <c r="D134" s="553"/>
      <c r="E134" s="552"/>
    </row>
    <row r="135" spans="1:5" x14ac:dyDescent="0.25">
      <c r="A135" s="552"/>
      <c r="B135" s="572" t="str">
        <f>IF(A135&lt;&gt;"",INDEX('Base de données'!A$4:L$990,MATCH(A135,'Base de données'!A$4:A$990,0),2),"")</f>
        <v/>
      </c>
      <c r="C135" s="572" t="str">
        <f>IF(A135&lt;&gt;"",INDEX('Base de données'!A$4:L$990,MATCH(A135,'Base de données'!A$4:A$990,0),12),"")</f>
        <v/>
      </c>
      <c r="D135" s="553"/>
      <c r="E135" s="552"/>
    </row>
    <row r="136" spans="1:5" x14ac:dyDescent="0.25">
      <c r="A136" s="552"/>
      <c r="B136" s="572" t="str">
        <f>IF(A136&lt;&gt;"",INDEX('Base de données'!A$4:L$990,MATCH(A136,'Base de données'!A$4:A$990,0),2),"")</f>
        <v/>
      </c>
      <c r="C136" s="572" t="str">
        <f>IF(A136&lt;&gt;"",INDEX('Base de données'!A$4:L$990,MATCH(A136,'Base de données'!A$4:A$990,0),12),"")</f>
        <v/>
      </c>
      <c r="D136" s="553"/>
      <c r="E136" s="552"/>
    </row>
    <row r="137" spans="1:5" x14ac:dyDescent="0.25">
      <c r="A137" s="552"/>
      <c r="B137" s="572" t="str">
        <f>IF(A137&lt;&gt;"",INDEX('Base de données'!A$4:L$990,MATCH(A137,'Base de données'!A$4:A$990,0),2),"")</f>
        <v/>
      </c>
      <c r="C137" s="572" t="str">
        <f>IF(A137&lt;&gt;"",INDEX('Base de données'!A$4:L$990,MATCH(A137,'Base de données'!A$4:A$990,0),12),"")</f>
        <v/>
      </c>
      <c r="D137" s="553"/>
      <c r="E137" s="552"/>
    </row>
    <row r="138" spans="1:5" x14ac:dyDescent="0.25">
      <c r="A138" s="552"/>
      <c r="B138" s="572" t="str">
        <f>IF(A138&lt;&gt;"",INDEX('Base de données'!A$4:L$990,MATCH(A138,'Base de données'!A$4:A$990,0),2),"")</f>
        <v/>
      </c>
      <c r="C138" s="572" t="str">
        <f>IF(A138&lt;&gt;"",INDEX('Base de données'!A$4:L$990,MATCH(A138,'Base de données'!A$4:A$990,0),12),"")</f>
        <v/>
      </c>
      <c r="D138" s="553"/>
      <c r="E138" s="552"/>
    </row>
    <row r="139" spans="1:5" x14ac:dyDescent="0.25">
      <c r="A139" s="552"/>
      <c r="B139" s="572" t="str">
        <f>IF(A139&lt;&gt;"",INDEX('Base de données'!A$4:L$990,MATCH(A139,'Base de données'!A$4:A$990,0),2),"")</f>
        <v/>
      </c>
      <c r="C139" s="572" t="str">
        <f>IF(A139&lt;&gt;"",INDEX('Base de données'!A$4:L$990,MATCH(A139,'Base de données'!A$4:A$990,0),12),"")</f>
        <v/>
      </c>
      <c r="D139" s="553"/>
      <c r="E139" s="552"/>
    </row>
    <row r="140" spans="1:5" x14ac:dyDescent="0.25">
      <c r="A140" s="552"/>
      <c r="B140" s="572" t="str">
        <f>IF(A140&lt;&gt;"",INDEX('Base de données'!A$4:L$990,MATCH(A140,'Base de données'!A$4:A$990,0),2),"")</f>
        <v/>
      </c>
      <c r="C140" s="572" t="str">
        <f>IF(A140&lt;&gt;"",INDEX('Base de données'!A$4:L$990,MATCH(A140,'Base de données'!A$4:A$990,0),12),"")</f>
        <v/>
      </c>
      <c r="D140" s="553"/>
      <c r="E140" s="552"/>
    </row>
    <row r="141" spans="1:5" x14ac:dyDescent="0.25">
      <c r="A141" s="552"/>
      <c r="B141" s="572" t="str">
        <f>IF(A141&lt;&gt;"",INDEX('Base de données'!A$4:L$990,MATCH(A141,'Base de données'!A$4:A$990,0),2),"")</f>
        <v/>
      </c>
      <c r="C141" s="572" t="str">
        <f>IF(A141&lt;&gt;"",INDEX('Base de données'!A$4:L$990,MATCH(A141,'Base de données'!A$4:A$990,0),12),"")</f>
        <v/>
      </c>
      <c r="D141" s="553"/>
      <c r="E141" s="552"/>
    </row>
    <row r="142" spans="1:5" x14ac:dyDescent="0.25">
      <c r="A142" s="552"/>
      <c r="B142" s="572" t="str">
        <f>IF(A142&lt;&gt;"",INDEX('Base de données'!A$4:L$990,MATCH(A142,'Base de données'!A$4:A$990,0),2),"")</f>
        <v/>
      </c>
      <c r="C142" s="572" t="str">
        <f>IF(A142&lt;&gt;"",INDEX('Base de données'!A$4:L$990,MATCH(A142,'Base de données'!A$4:A$990,0),12),"")</f>
        <v/>
      </c>
      <c r="D142" s="553"/>
      <c r="E142" s="552"/>
    </row>
    <row r="143" spans="1:5" x14ac:dyDescent="0.25">
      <c r="A143" s="552"/>
      <c r="B143" s="572" t="str">
        <f>IF(A143&lt;&gt;"",INDEX('Base de données'!A$4:L$990,MATCH(A143,'Base de données'!A$4:A$990,0),2),"")</f>
        <v/>
      </c>
      <c r="C143" s="572" t="str">
        <f>IF(A143&lt;&gt;"",INDEX('Base de données'!A$4:L$990,MATCH(A143,'Base de données'!A$4:A$990,0),12),"")</f>
        <v/>
      </c>
      <c r="D143" s="553"/>
      <c r="E143" s="552"/>
    </row>
    <row r="144" spans="1:5" x14ac:dyDescent="0.25">
      <c r="A144" s="552"/>
      <c r="B144" s="572" t="str">
        <f>IF(A144&lt;&gt;"",INDEX('Base de données'!A$4:L$990,MATCH(A144,'Base de données'!A$4:A$990,0),2),"")</f>
        <v/>
      </c>
      <c r="C144" s="572" t="str">
        <f>IF(A144&lt;&gt;"",INDEX('Base de données'!A$4:L$990,MATCH(A144,'Base de données'!A$4:A$990,0),12),"")</f>
        <v/>
      </c>
      <c r="D144" s="553"/>
      <c r="E144" s="552"/>
    </row>
    <row r="145" spans="1:5" x14ac:dyDescent="0.25">
      <c r="A145" s="552"/>
      <c r="B145" s="572" t="str">
        <f>IF(A145&lt;&gt;"",INDEX('Base de données'!A$4:L$990,MATCH(A145,'Base de données'!A$4:A$990,0),2),"")</f>
        <v/>
      </c>
      <c r="C145" s="572" t="str">
        <f>IF(A145&lt;&gt;"",INDEX('Base de données'!A$4:L$990,MATCH(A145,'Base de données'!A$4:A$990,0),12),"")</f>
        <v/>
      </c>
      <c r="D145" s="553"/>
      <c r="E145" s="552"/>
    </row>
    <row r="146" spans="1:5" x14ac:dyDescent="0.25">
      <c r="A146" s="552"/>
      <c r="B146" s="572" t="str">
        <f>IF(A146&lt;&gt;"",INDEX('Base de données'!A$4:L$990,MATCH(A146,'Base de données'!A$4:A$990,0),2),"")</f>
        <v/>
      </c>
      <c r="C146" s="572" t="str">
        <f>IF(A146&lt;&gt;"",INDEX('Base de données'!A$4:L$990,MATCH(A146,'Base de données'!A$4:A$990,0),12),"")</f>
        <v/>
      </c>
      <c r="D146" s="553"/>
      <c r="E146" s="552"/>
    </row>
    <row r="147" spans="1:5" x14ac:dyDescent="0.25">
      <c r="A147" s="552"/>
      <c r="B147" s="572" t="str">
        <f>IF(A147&lt;&gt;"",INDEX('Base de données'!A$4:L$990,MATCH(A147,'Base de données'!A$4:A$990,0),2),"")</f>
        <v/>
      </c>
      <c r="C147" s="572" t="str">
        <f>IF(A147&lt;&gt;"",INDEX('Base de données'!A$4:L$990,MATCH(A147,'Base de données'!A$4:A$990,0),12),"")</f>
        <v/>
      </c>
      <c r="D147" s="553"/>
      <c r="E147" s="552"/>
    </row>
    <row r="148" spans="1:5" x14ac:dyDescent="0.25">
      <c r="A148" s="552"/>
      <c r="B148" s="572" t="str">
        <f>IF(A148&lt;&gt;"",INDEX('Base de données'!A$4:L$990,MATCH(A148,'Base de données'!A$4:A$990,0),2),"")</f>
        <v/>
      </c>
      <c r="C148" s="572" t="str">
        <f>IF(A148&lt;&gt;"",INDEX('Base de données'!A$4:L$990,MATCH(A148,'Base de données'!A$4:A$990,0),12),"")</f>
        <v/>
      </c>
      <c r="D148" s="553"/>
      <c r="E148" s="552"/>
    </row>
    <row r="149" spans="1:5" x14ac:dyDescent="0.25">
      <c r="A149" s="552"/>
      <c r="B149" s="572" t="str">
        <f>IF(A149&lt;&gt;"",INDEX('Base de données'!A$4:L$990,MATCH(A149,'Base de données'!A$4:A$990,0),2),"")</f>
        <v/>
      </c>
      <c r="C149" s="572" t="str">
        <f>IF(A149&lt;&gt;"",INDEX('Base de données'!A$4:L$990,MATCH(A149,'Base de données'!A$4:A$990,0),12),"")</f>
        <v/>
      </c>
      <c r="D149" s="553"/>
      <c r="E149" s="552"/>
    </row>
    <row r="150" spans="1:5" x14ac:dyDescent="0.25">
      <c r="A150" s="552"/>
      <c r="B150" s="572" t="str">
        <f>IF(A150&lt;&gt;"",INDEX('Base de données'!A$4:L$990,MATCH(A150,'Base de données'!A$4:A$990,0),2),"")</f>
        <v/>
      </c>
      <c r="C150" s="572" t="str">
        <f>IF(A150&lt;&gt;"",INDEX('Base de données'!A$4:L$990,MATCH(A150,'Base de données'!A$4:A$990,0),12),"")</f>
        <v/>
      </c>
      <c r="D150" s="553"/>
      <c r="E150" s="552"/>
    </row>
    <row r="151" spans="1:5" x14ac:dyDescent="0.25">
      <c r="A151" s="552"/>
      <c r="B151" s="572" t="str">
        <f>IF(A151&lt;&gt;"",INDEX('Base de données'!A$4:L$990,MATCH(A151,'Base de données'!A$4:A$990,0),2),"")</f>
        <v/>
      </c>
      <c r="C151" s="572" t="str">
        <f>IF(A151&lt;&gt;"",INDEX('Base de données'!A$4:L$990,MATCH(A151,'Base de données'!A$4:A$990,0),12),"")</f>
        <v/>
      </c>
      <c r="D151" s="553"/>
      <c r="E151" s="552"/>
    </row>
    <row r="152" spans="1:5" x14ac:dyDescent="0.25">
      <c r="A152" s="552"/>
      <c r="B152" s="572" t="str">
        <f>IF(A152&lt;&gt;"",INDEX('Base de données'!A$4:L$990,MATCH(A152,'Base de données'!A$4:A$990,0),2),"")</f>
        <v/>
      </c>
      <c r="C152" s="572" t="str">
        <f>IF(A152&lt;&gt;"",INDEX('Base de données'!A$4:L$990,MATCH(A152,'Base de données'!A$4:A$990,0),12),"")</f>
        <v/>
      </c>
      <c r="D152" s="553"/>
      <c r="E152" s="552"/>
    </row>
    <row r="153" spans="1:5" x14ac:dyDescent="0.25">
      <c r="A153" s="552"/>
      <c r="B153" s="572" t="str">
        <f>IF(A153&lt;&gt;"",INDEX('Base de données'!A$4:L$990,MATCH(A153,'Base de données'!A$4:A$990,0),2),"")</f>
        <v/>
      </c>
      <c r="C153" s="572" t="str">
        <f>IF(A153&lt;&gt;"",INDEX('Base de données'!A$4:L$990,MATCH(A153,'Base de données'!A$4:A$990,0),12),"")</f>
        <v/>
      </c>
      <c r="D153" s="553"/>
      <c r="E153" s="552"/>
    </row>
    <row r="154" spans="1:5" x14ac:dyDescent="0.25">
      <c r="A154" s="552"/>
      <c r="B154" s="572" t="str">
        <f>IF(A154&lt;&gt;"",INDEX('Base de données'!A$4:L$990,MATCH(A154,'Base de données'!A$4:A$990,0),2),"")</f>
        <v/>
      </c>
      <c r="C154" s="572" t="str">
        <f>IF(A154&lt;&gt;"",INDEX('Base de données'!A$4:L$990,MATCH(A154,'Base de données'!A$4:A$990,0),12),"")</f>
        <v/>
      </c>
      <c r="D154" s="553"/>
      <c r="E154" s="552"/>
    </row>
    <row r="155" spans="1:5" x14ac:dyDescent="0.25">
      <c r="A155" s="552"/>
      <c r="B155" s="572" t="str">
        <f>IF(A155&lt;&gt;"",INDEX('Base de données'!A$4:L$990,MATCH(A155,'Base de données'!A$4:A$990,0),2),"")</f>
        <v/>
      </c>
      <c r="C155" s="572" t="str">
        <f>IF(A155&lt;&gt;"",INDEX('Base de données'!A$4:L$990,MATCH(A155,'Base de données'!A$4:A$990,0),12),"")</f>
        <v/>
      </c>
      <c r="D155" s="553"/>
      <c r="E155" s="552"/>
    </row>
    <row r="156" spans="1:5" x14ac:dyDescent="0.25">
      <c r="A156" s="552"/>
      <c r="B156" s="572" t="str">
        <f>IF(A156&lt;&gt;"",INDEX('Base de données'!A$4:L$990,MATCH(A156,'Base de données'!A$4:A$990,0),2),"")</f>
        <v/>
      </c>
      <c r="C156" s="572" t="str">
        <f>IF(A156&lt;&gt;"",INDEX('Base de données'!A$4:L$990,MATCH(A156,'Base de données'!A$4:A$990,0),12),"")</f>
        <v/>
      </c>
      <c r="D156" s="553"/>
      <c r="E156" s="552"/>
    </row>
    <row r="157" spans="1:5" x14ac:dyDescent="0.25">
      <c r="A157" s="552"/>
      <c r="B157" s="572" t="str">
        <f>IF(A157&lt;&gt;"",INDEX('Base de données'!A$4:L$990,MATCH(A157,'Base de données'!A$4:A$990,0),2),"")</f>
        <v/>
      </c>
      <c r="C157" s="572" t="str">
        <f>IF(A157&lt;&gt;"",INDEX('Base de données'!A$4:L$990,MATCH(A157,'Base de données'!A$4:A$990,0),12),"")</f>
        <v/>
      </c>
      <c r="D157" s="553"/>
      <c r="E157" s="552"/>
    </row>
    <row r="158" spans="1:5" x14ac:dyDescent="0.25">
      <c r="A158" s="552"/>
      <c r="B158" s="572" t="str">
        <f>IF(A158&lt;&gt;"",INDEX('Base de données'!A$4:L$990,MATCH(A158,'Base de données'!A$4:A$990,0),2),"")</f>
        <v/>
      </c>
      <c r="C158" s="572" t="str">
        <f>IF(A158&lt;&gt;"",INDEX('Base de données'!A$4:L$990,MATCH(A158,'Base de données'!A$4:A$990,0),12),"")</f>
        <v/>
      </c>
      <c r="D158" s="553"/>
      <c r="E158" s="552"/>
    </row>
    <row r="159" spans="1:5" x14ac:dyDescent="0.25">
      <c r="A159" s="552"/>
      <c r="B159" s="572" t="str">
        <f>IF(A159&lt;&gt;"",INDEX('Base de données'!A$4:L$990,MATCH(A159,'Base de données'!A$4:A$990,0),2),"")</f>
        <v/>
      </c>
      <c r="C159" s="572" t="str">
        <f>IF(A159&lt;&gt;"",INDEX('Base de données'!A$4:L$990,MATCH(A159,'Base de données'!A$4:A$990,0),12),"")</f>
        <v/>
      </c>
      <c r="D159" s="553"/>
      <c r="E159" s="552"/>
    </row>
    <row r="160" spans="1:5" x14ac:dyDescent="0.25">
      <c r="A160" s="552"/>
      <c r="B160" s="572" t="str">
        <f>IF(A160&lt;&gt;"",INDEX('Base de données'!A$4:L$990,MATCH(A160,'Base de données'!A$4:A$990,0),2),"")</f>
        <v/>
      </c>
      <c r="C160" s="572" t="str">
        <f>IF(A160&lt;&gt;"",INDEX('Base de données'!A$4:L$990,MATCH(A160,'Base de données'!A$4:A$990,0),12),"")</f>
        <v/>
      </c>
      <c r="D160" s="553"/>
      <c r="E160" s="552"/>
    </row>
    <row r="161" spans="1:5" x14ac:dyDescent="0.25">
      <c r="A161" s="552"/>
      <c r="B161" s="572" t="str">
        <f>IF(A161&lt;&gt;"",INDEX('Base de données'!A$4:L$990,MATCH(A161,'Base de données'!A$4:A$990,0),2),"")</f>
        <v/>
      </c>
      <c r="C161" s="572" t="str">
        <f>IF(A161&lt;&gt;"",INDEX('Base de données'!A$4:L$990,MATCH(A161,'Base de données'!A$4:A$990,0),12),"")</f>
        <v/>
      </c>
      <c r="D161" s="553"/>
      <c r="E161" s="552"/>
    </row>
    <row r="162" spans="1:5" x14ac:dyDescent="0.25">
      <c r="A162" s="552"/>
      <c r="B162" s="572" t="str">
        <f>IF(A162&lt;&gt;"",INDEX('Base de données'!A$4:L$990,MATCH(A162,'Base de données'!A$4:A$990,0),2),"")</f>
        <v/>
      </c>
      <c r="C162" s="572" t="str">
        <f>IF(A162&lt;&gt;"",INDEX('Base de données'!A$4:L$990,MATCH(A162,'Base de données'!A$4:A$990,0),12),"")</f>
        <v/>
      </c>
      <c r="D162" s="553"/>
      <c r="E162" s="552"/>
    </row>
    <row r="163" spans="1:5" x14ac:dyDescent="0.25">
      <c r="A163" s="552"/>
      <c r="B163" s="572" t="str">
        <f>IF(A163&lt;&gt;"",INDEX('Base de données'!A$4:L$990,MATCH(A163,'Base de données'!A$4:A$990,0),2),"")</f>
        <v/>
      </c>
      <c r="C163" s="572" t="str">
        <f>IF(A163&lt;&gt;"",INDEX('Base de données'!A$4:L$990,MATCH(A163,'Base de données'!A$4:A$990,0),12),"")</f>
        <v/>
      </c>
      <c r="D163" s="553"/>
      <c r="E163" s="552"/>
    </row>
    <row r="164" spans="1:5" x14ac:dyDescent="0.25">
      <c r="A164" s="552"/>
      <c r="B164" s="572" t="str">
        <f>IF(A164&lt;&gt;"",INDEX('Base de données'!A$4:L$990,MATCH(A164,'Base de données'!A$4:A$990,0),2),"")</f>
        <v/>
      </c>
      <c r="C164" s="572" t="str">
        <f>IF(A164&lt;&gt;"",INDEX('Base de données'!A$4:L$990,MATCH(A164,'Base de données'!A$4:A$990,0),12),"")</f>
        <v/>
      </c>
      <c r="D164" s="553"/>
      <c r="E164" s="552"/>
    </row>
    <row r="165" spans="1:5" x14ac:dyDescent="0.25">
      <c r="A165" s="552"/>
      <c r="B165" s="572" t="str">
        <f>IF(A165&lt;&gt;"",INDEX('Base de données'!A$4:L$990,MATCH(A165,'Base de données'!A$4:A$990,0),2),"")</f>
        <v/>
      </c>
      <c r="C165" s="572" t="str">
        <f>IF(A165&lt;&gt;"",INDEX('Base de données'!A$4:L$990,MATCH(A165,'Base de données'!A$4:A$990,0),12),"")</f>
        <v/>
      </c>
      <c r="D165" s="553"/>
      <c r="E165" s="552"/>
    </row>
    <row r="166" spans="1:5" x14ac:dyDescent="0.25">
      <c r="A166" s="552"/>
      <c r="B166" s="572" t="str">
        <f>IF(A166&lt;&gt;"",INDEX('Base de données'!A$4:L$990,MATCH(A166,'Base de données'!A$4:A$990,0),2),"")</f>
        <v/>
      </c>
      <c r="C166" s="572" t="str">
        <f>IF(A166&lt;&gt;"",INDEX('Base de données'!A$4:L$990,MATCH(A166,'Base de données'!A$4:A$990,0),12),"")</f>
        <v/>
      </c>
      <c r="D166" s="553"/>
      <c r="E166" s="552"/>
    </row>
    <row r="167" spans="1:5" x14ac:dyDescent="0.25">
      <c r="A167" s="552"/>
      <c r="B167" s="572" t="str">
        <f>IF(A167&lt;&gt;"",INDEX('Base de données'!A$4:L$990,MATCH(A167,'Base de données'!A$4:A$990,0),2),"")</f>
        <v/>
      </c>
      <c r="C167" s="572" t="str">
        <f>IF(A167&lt;&gt;"",INDEX('Base de données'!A$4:L$990,MATCH(A167,'Base de données'!A$4:A$990,0),12),"")</f>
        <v/>
      </c>
      <c r="D167" s="553"/>
      <c r="E167" s="552"/>
    </row>
    <row r="168" spans="1:5" x14ac:dyDescent="0.25">
      <c r="A168" s="552"/>
      <c r="B168" s="572" t="str">
        <f>IF(A168&lt;&gt;"",INDEX('Base de données'!A$4:L$990,MATCH(A168,'Base de données'!A$4:A$990,0),2),"")</f>
        <v/>
      </c>
      <c r="C168" s="572" t="str">
        <f>IF(A168&lt;&gt;"",INDEX('Base de données'!A$4:L$990,MATCH(A168,'Base de données'!A$4:A$990,0),12),"")</f>
        <v/>
      </c>
      <c r="D168" s="553"/>
      <c r="E168" s="552"/>
    </row>
    <row r="169" spans="1:5" x14ac:dyDescent="0.25">
      <c r="A169" s="552"/>
      <c r="B169" s="572" t="str">
        <f>IF(A169&lt;&gt;"",INDEX('Base de données'!A$4:L$990,MATCH(A169,'Base de données'!A$4:A$990,0),2),"")</f>
        <v/>
      </c>
      <c r="C169" s="572" t="str">
        <f>IF(A169&lt;&gt;"",INDEX('Base de données'!A$4:L$990,MATCH(A169,'Base de données'!A$4:A$990,0),12),"")</f>
        <v/>
      </c>
      <c r="D169" s="553"/>
      <c r="E169" s="552"/>
    </row>
    <row r="170" spans="1:5" x14ac:dyDescent="0.25">
      <c r="A170" s="552"/>
      <c r="B170" s="572" t="str">
        <f>IF(A170&lt;&gt;"",INDEX('Base de données'!A$4:L$990,MATCH(A170,'Base de données'!A$4:A$990,0),2),"")</f>
        <v/>
      </c>
      <c r="C170" s="572" t="str">
        <f>IF(A170&lt;&gt;"",INDEX('Base de données'!A$4:L$990,MATCH(A170,'Base de données'!A$4:A$990,0),12),"")</f>
        <v/>
      </c>
      <c r="D170" s="553"/>
      <c r="E170" s="552"/>
    </row>
    <row r="171" spans="1:5" x14ac:dyDescent="0.25">
      <c r="A171" s="552"/>
      <c r="B171" s="572" t="str">
        <f>IF(A171&lt;&gt;"",INDEX('Base de données'!A$4:L$990,MATCH(A171,'Base de données'!A$4:A$990,0),2),"")</f>
        <v/>
      </c>
      <c r="C171" s="572" t="str">
        <f>IF(A171&lt;&gt;"",INDEX('Base de données'!A$4:L$990,MATCH(A171,'Base de données'!A$4:A$990,0),12),"")</f>
        <v/>
      </c>
      <c r="D171" s="553"/>
      <c r="E171" s="552"/>
    </row>
    <row r="172" spans="1:5" x14ac:dyDescent="0.25">
      <c r="A172" s="552"/>
      <c r="B172" s="572" t="str">
        <f>IF(A172&lt;&gt;"",INDEX('Base de données'!A$4:L$990,MATCH(A172,'Base de données'!A$4:A$990,0),2),"")</f>
        <v/>
      </c>
      <c r="C172" s="572" t="str">
        <f>IF(A172&lt;&gt;"",INDEX('Base de données'!A$4:L$990,MATCH(A172,'Base de données'!A$4:A$990,0),12),"")</f>
        <v/>
      </c>
      <c r="D172" s="553"/>
      <c r="E172" s="552"/>
    </row>
    <row r="173" spans="1:5" x14ac:dyDescent="0.25">
      <c r="A173" s="552"/>
      <c r="B173" s="572" t="str">
        <f>IF(A173&lt;&gt;"",INDEX('Base de données'!A$4:L$990,MATCH(A173,'Base de données'!A$4:A$990,0),2),"")</f>
        <v/>
      </c>
      <c r="C173" s="572" t="str">
        <f>IF(A173&lt;&gt;"",INDEX('Base de données'!A$4:L$990,MATCH(A173,'Base de données'!A$4:A$990,0),12),"")</f>
        <v/>
      </c>
      <c r="D173" s="553"/>
      <c r="E173" s="552"/>
    </row>
    <row r="174" spans="1:5" x14ac:dyDescent="0.25">
      <c r="A174" s="552"/>
      <c r="B174" s="572" t="str">
        <f>IF(A174&lt;&gt;"",INDEX('Base de données'!A$4:L$990,MATCH(A174,'Base de données'!A$4:A$990,0),2),"")</f>
        <v/>
      </c>
      <c r="C174" s="572" t="str">
        <f>IF(A174&lt;&gt;"",INDEX('Base de données'!A$4:L$990,MATCH(A174,'Base de données'!A$4:A$990,0),12),"")</f>
        <v/>
      </c>
      <c r="D174" s="553"/>
      <c r="E174" s="552"/>
    </row>
    <row r="175" spans="1:5" x14ac:dyDescent="0.25">
      <c r="A175" s="552"/>
      <c r="B175" s="572" t="str">
        <f>IF(A175&lt;&gt;"",INDEX('Base de données'!A$4:L$990,MATCH(A175,'Base de données'!A$4:A$990,0),2),"")</f>
        <v/>
      </c>
      <c r="C175" s="572" t="str">
        <f>IF(A175&lt;&gt;"",INDEX('Base de données'!A$4:L$990,MATCH(A175,'Base de données'!A$4:A$990,0),12),"")</f>
        <v/>
      </c>
      <c r="D175" s="553"/>
      <c r="E175" s="552"/>
    </row>
    <row r="176" spans="1:5" x14ac:dyDescent="0.25">
      <c r="A176" s="552"/>
      <c r="B176" s="572" t="str">
        <f>IF(A176&lt;&gt;"",INDEX('Base de données'!A$4:L$990,MATCH(A176,'Base de données'!A$4:A$990,0),2),"")</f>
        <v/>
      </c>
      <c r="C176" s="572" t="str">
        <f>IF(A176&lt;&gt;"",INDEX('Base de données'!A$4:L$990,MATCH(A176,'Base de données'!A$4:A$990,0),12),"")</f>
        <v/>
      </c>
      <c r="D176" s="553"/>
      <c r="E176" s="552"/>
    </row>
    <row r="177" spans="1:5" x14ac:dyDescent="0.25">
      <c r="A177" s="552"/>
      <c r="B177" s="572" t="str">
        <f>IF(A177&lt;&gt;"",INDEX('Base de données'!A$4:L$990,MATCH(A177,'Base de données'!A$4:A$990,0),2),"")</f>
        <v/>
      </c>
      <c r="C177" s="572" t="str">
        <f>IF(A177&lt;&gt;"",INDEX('Base de données'!A$4:L$990,MATCH(A177,'Base de données'!A$4:A$990,0),12),"")</f>
        <v/>
      </c>
      <c r="D177" s="553"/>
      <c r="E177" s="552"/>
    </row>
    <row r="178" spans="1:5" x14ac:dyDescent="0.25">
      <c r="A178" s="552"/>
      <c r="B178" s="572" t="str">
        <f>IF(A178&lt;&gt;"",INDEX('Base de données'!A$4:L$990,MATCH(A178,'Base de données'!A$4:A$990,0),2),"")</f>
        <v/>
      </c>
      <c r="C178" s="572" t="str">
        <f>IF(A178&lt;&gt;"",INDEX('Base de données'!A$4:L$990,MATCH(A178,'Base de données'!A$4:A$990,0),12),"")</f>
        <v/>
      </c>
      <c r="D178" s="553"/>
      <c r="E178" s="552"/>
    </row>
    <row r="179" spans="1:5" x14ac:dyDescent="0.25">
      <c r="A179" s="552"/>
      <c r="B179" s="572" t="str">
        <f>IF(A179&lt;&gt;"",INDEX('Base de données'!A$4:L$990,MATCH(A179,'Base de données'!A$4:A$990,0),2),"")</f>
        <v/>
      </c>
      <c r="C179" s="572" t="str">
        <f>IF(A179&lt;&gt;"",INDEX('Base de données'!A$4:L$990,MATCH(A179,'Base de données'!A$4:A$990,0),12),"")</f>
        <v/>
      </c>
      <c r="D179" s="553"/>
      <c r="E179" s="552"/>
    </row>
    <row r="180" spans="1:5" x14ac:dyDescent="0.25">
      <c r="A180" s="552"/>
      <c r="B180" s="572" t="str">
        <f>IF(A180&lt;&gt;"",INDEX('Base de données'!A$4:L$990,MATCH(A180,'Base de données'!A$4:A$990,0),2),"")</f>
        <v/>
      </c>
      <c r="C180" s="572" t="str">
        <f>IF(A180&lt;&gt;"",INDEX('Base de données'!A$4:L$990,MATCH(A180,'Base de données'!A$4:A$990,0),12),"")</f>
        <v/>
      </c>
      <c r="D180" s="553"/>
      <c r="E180" s="552"/>
    </row>
    <row r="181" spans="1:5" x14ac:dyDescent="0.25">
      <c r="A181" s="552"/>
      <c r="B181" s="572" t="str">
        <f>IF(A181&lt;&gt;"",INDEX('Base de données'!A$4:L$990,MATCH(A181,'Base de données'!A$4:A$990,0),2),"")</f>
        <v/>
      </c>
      <c r="C181" s="572" t="str">
        <f>IF(A181&lt;&gt;"",INDEX('Base de données'!A$4:L$990,MATCH(A181,'Base de données'!A$4:A$990,0),12),"")</f>
        <v/>
      </c>
      <c r="D181" s="553"/>
      <c r="E181" s="552"/>
    </row>
    <row r="182" spans="1:5" x14ac:dyDescent="0.25">
      <c r="A182" s="552"/>
      <c r="B182" s="572" t="str">
        <f>IF(A182&lt;&gt;"",INDEX('Base de données'!A$4:L$990,MATCH(A182,'Base de données'!A$4:A$990,0),2),"")</f>
        <v/>
      </c>
      <c r="C182" s="572" t="str">
        <f>IF(A182&lt;&gt;"",INDEX('Base de données'!A$4:L$990,MATCH(A182,'Base de données'!A$4:A$990,0),12),"")</f>
        <v/>
      </c>
      <c r="D182" s="553"/>
      <c r="E182" s="552"/>
    </row>
    <row r="183" spans="1:5" x14ac:dyDescent="0.25">
      <c r="A183" s="552"/>
      <c r="B183" s="572" t="str">
        <f>IF(A183&lt;&gt;"",INDEX('Base de données'!A$4:L$990,MATCH(A183,'Base de données'!A$4:A$990,0),2),"")</f>
        <v/>
      </c>
      <c r="C183" s="572" t="str">
        <f>IF(A183&lt;&gt;"",INDEX('Base de données'!A$4:L$990,MATCH(A183,'Base de données'!A$4:A$990,0),12),"")</f>
        <v/>
      </c>
      <c r="D183" s="553"/>
      <c r="E183" s="552"/>
    </row>
    <row r="184" spans="1:5" x14ac:dyDescent="0.25">
      <c r="A184" s="552"/>
      <c r="B184" s="572" t="str">
        <f>IF(A184&lt;&gt;"",INDEX('Base de données'!A$4:L$990,MATCH(A184,'Base de données'!A$4:A$990,0),2),"")</f>
        <v/>
      </c>
      <c r="C184" s="572" t="str">
        <f>IF(A184&lt;&gt;"",INDEX('Base de données'!A$4:L$990,MATCH(A184,'Base de données'!A$4:A$990,0),12),"")</f>
        <v/>
      </c>
      <c r="D184" s="553"/>
      <c r="E184" s="552"/>
    </row>
    <row r="185" spans="1:5" x14ac:dyDescent="0.25">
      <c r="A185" s="552"/>
      <c r="B185" s="572" t="str">
        <f>IF(A185&lt;&gt;"",INDEX('Base de données'!A$4:L$990,MATCH(A185,'Base de données'!A$4:A$990,0),2),"")</f>
        <v/>
      </c>
      <c r="C185" s="572" t="str">
        <f>IF(A185&lt;&gt;"",INDEX('Base de données'!A$4:L$990,MATCH(A185,'Base de données'!A$4:A$990,0),12),"")</f>
        <v/>
      </c>
      <c r="D185" s="553"/>
      <c r="E185" s="552"/>
    </row>
    <row r="186" spans="1:5" x14ac:dyDescent="0.25">
      <c r="A186" s="552"/>
      <c r="B186" s="572" t="str">
        <f>IF(A186&lt;&gt;"",INDEX('Base de données'!A$4:L$990,MATCH(A186,'Base de données'!A$4:A$990,0),2),"")</f>
        <v/>
      </c>
      <c r="C186" s="572" t="str">
        <f>IF(A186&lt;&gt;"",INDEX('Base de données'!A$4:L$990,MATCH(A186,'Base de données'!A$4:A$990,0),12),"")</f>
        <v/>
      </c>
      <c r="D186" s="553"/>
      <c r="E186" s="552"/>
    </row>
    <row r="187" spans="1:5" x14ac:dyDescent="0.25">
      <c r="A187" s="552"/>
      <c r="B187" s="572" t="str">
        <f>IF(A187&lt;&gt;"",INDEX('Base de données'!A$4:L$990,MATCH(A187,'Base de données'!A$4:A$990,0),2),"")</f>
        <v/>
      </c>
      <c r="C187" s="572" t="str">
        <f>IF(A187&lt;&gt;"",INDEX('Base de données'!A$4:L$990,MATCH(A187,'Base de données'!A$4:A$990,0),12),"")</f>
        <v/>
      </c>
      <c r="D187" s="553"/>
      <c r="E187" s="552"/>
    </row>
    <row r="188" spans="1:5" x14ac:dyDescent="0.25">
      <c r="A188" s="552"/>
      <c r="B188" s="572" t="str">
        <f>IF(A188&lt;&gt;"",INDEX('Base de données'!A$4:L$990,MATCH(A188,'Base de données'!A$4:A$990,0),2),"")</f>
        <v/>
      </c>
      <c r="C188" s="572" t="str">
        <f>IF(A188&lt;&gt;"",INDEX('Base de données'!A$4:L$990,MATCH(A188,'Base de données'!A$4:A$990,0),12),"")</f>
        <v/>
      </c>
      <c r="D188" s="553"/>
      <c r="E188" s="552"/>
    </row>
    <row r="189" spans="1:5" x14ac:dyDescent="0.25">
      <c r="A189" s="552"/>
      <c r="B189" s="572" t="str">
        <f>IF(A189&lt;&gt;"",INDEX('Base de données'!A$4:L$990,MATCH(A189,'Base de données'!A$4:A$990,0),2),"")</f>
        <v/>
      </c>
      <c r="C189" s="572" t="str">
        <f>IF(A189&lt;&gt;"",INDEX('Base de données'!A$4:L$990,MATCH(A189,'Base de données'!A$4:A$990,0),12),"")</f>
        <v/>
      </c>
      <c r="D189" s="553"/>
      <c r="E189" s="552"/>
    </row>
    <row r="190" spans="1:5" x14ac:dyDescent="0.25">
      <c r="A190" s="552"/>
      <c r="B190" s="572" t="str">
        <f>IF(A190&lt;&gt;"",INDEX('Base de données'!A$4:L$990,MATCH(A190,'Base de données'!A$4:A$990,0),2),"")</f>
        <v/>
      </c>
      <c r="C190" s="572" t="str">
        <f>IF(A190&lt;&gt;"",INDEX('Base de données'!A$4:L$990,MATCH(A190,'Base de données'!A$4:A$990,0),12),"")</f>
        <v/>
      </c>
      <c r="D190" s="553"/>
      <c r="E190" s="552"/>
    </row>
    <row r="191" spans="1:5" x14ac:dyDescent="0.25">
      <c r="A191" s="552"/>
      <c r="B191" s="572" t="str">
        <f>IF(A191&lt;&gt;"",INDEX('Base de données'!A$4:L$990,MATCH(A191,'Base de données'!A$4:A$990,0),2),"")</f>
        <v/>
      </c>
      <c r="C191" s="572" t="str">
        <f>IF(A191&lt;&gt;"",INDEX('Base de données'!A$4:L$990,MATCH(A191,'Base de données'!A$4:A$990,0),12),"")</f>
        <v/>
      </c>
      <c r="D191" s="553"/>
      <c r="E191" s="552"/>
    </row>
    <row r="192" spans="1:5" x14ac:dyDescent="0.25">
      <c r="A192" s="552"/>
      <c r="B192" s="572" t="str">
        <f>IF(A192&lt;&gt;"",INDEX('Base de données'!A$4:L$990,MATCH(A192,'Base de données'!A$4:A$990,0),2),"")</f>
        <v/>
      </c>
      <c r="C192" s="572" t="str">
        <f>IF(A192&lt;&gt;"",INDEX('Base de données'!A$4:L$990,MATCH(A192,'Base de données'!A$4:A$990,0),12),"")</f>
        <v/>
      </c>
      <c r="D192" s="553"/>
      <c r="E192" s="552"/>
    </row>
    <row r="193" spans="1:5" x14ac:dyDescent="0.25">
      <c r="A193" s="552"/>
      <c r="B193" s="572" t="str">
        <f>IF(A193&lt;&gt;"",INDEX('Base de données'!A$4:L$990,MATCH(A193,'Base de données'!A$4:A$990,0),2),"")</f>
        <v/>
      </c>
      <c r="C193" s="572" t="str">
        <f>IF(A193&lt;&gt;"",INDEX('Base de données'!A$4:L$990,MATCH(A193,'Base de données'!A$4:A$990,0),12),"")</f>
        <v/>
      </c>
      <c r="D193" s="553"/>
      <c r="E193" s="552"/>
    </row>
    <row r="194" spans="1:5" x14ac:dyDescent="0.25">
      <c r="A194" s="552"/>
      <c r="B194" s="572" t="str">
        <f>IF(A194&lt;&gt;"",INDEX('Base de données'!A$4:L$990,MATCH(A194,'Base de données'!A$4:A$990,0),2),"")</f>
        <v/>
      </c>
      <c r="C194" s="572" t="str">
        <f>IF(A194&lt;&gt;"",INDEX('Base de données'!A$4:L$990,MATCH(A194,'Base de données'!A$4:A$990,0),12),"")</f>
        <v/>
      </c>
      <c r="D194" s="553"/>
      <c r="E194" s="552"/>
    </row>
    <row r="195" spans="1:5" x14ac:dyDescent="0.25">
      <c r="A195" s="552"/>
      <c r="B195" s="572" t="str">
        <f>IF(A195&lt;&gt;"",INDEX('Base de données'!A$4:L$990,MATCH(A195,'Base de données'!A$4:A$990,0),2),"")</f>
        <v/>
      </c>
      <c r="C195" s="572" t="str">
        <f>IF(A195&lt;&gt;"",INDEX('Base de données'!A$4:L$990,MATCH(A195,'Base de données'!A$4:A$990,0),12),"")</f>
        <v/>
      </c>
      <c r="D195" s="553"/>
      <c r="E195" s="552"/>
    </row>
    <row r="196" spans="1:5" x14ac:dyDescent="0.25">
      <c r="A196" s="552"/>
      <c r="B196" s="572" t="str">
        <f>IF(A196&lt;&gt;"",INDEX('Base de données'!A$4:L$990,MATCH(A196,'Base de données'!A$4:A$990,0),2),"")</f>
        <v/>
      </c>
      <c r="C196" s="572" t="str">
        <f>IF(A196&lt;&gt;"",INDEX('Base de données'!A$4:L$990,MATCH(A196,'Base de données'!A$4:A$990,0),12),"")</f>
        <v/>
      </c>
      <c r="D196" s="553"/>
      <c r="E196" s="552"/>
    </row>
    <row r="197" spans="1:5" x14ac:dyDescent="0.25">
      <c r="A197" s="552"/>
      <c r="B197" s="572" t="str">
        <f>IF(A197&lt;&gt;"",INDEX('Base de données'!A$4:L$990,MATCH(A197,'Base de données'!A$4:A$990,0),2),"")</f>
        <v/>
      </c>
      <c r="C197" s="572" t="str">
        <f>IF(A197&lt;&gt;"",INDEX('Base de données'!A$4:L$990,MATCH(A197,'Base de données'!A$4:A$990,0),12),"")</f>
        <v/>
      </c>
      <c r="D197" s="553"/>
      <c r="E197" s="552"/>
    </row>
    <row r="198" spans="1:5" x14ac:dyDescent="0.25">
      <c r="A198" s="552"/>
      <c r="B198" s="572" t="str">
        <f>IF(A198&lt;&gt;"",INDEX('Base de données'!A$4:L$990,MATCH(A198,'Base de données'!A$4:A$990,0),2),"")</f>
        <v/>
      </c>
      <c r="C198" s="572" t="str">
        <f>IF(A198&lt;&gt;"",INDEX('Base de données'!A$4:L$990,MATCH(A198,'Base de données'!A$4:A$990,0),12),"")</f>
        <v/>
      </c>
      <c r="D198" s="553"/>
      <c r="E198" s="552"/>
    </row>
    <row r="199" spans="1:5" x14ac:dyDescent="0.25">
      <c r="A199" s="552"/>
      <c r="B199" s="572" t="str">
        <f>IF(A199&lt;&gt;"",INDEX('Base de données'!A$4:L$990,MATCH(A199,'Base de données'!A$4:A$990,0),2),"")</f>
        <v/>
      </c>
      <c r="C199" s="572" t="str">
        <f>IF(A199&lt;&gt;"",INDEX('Base de données'!A$4:L$990,MATCH(A199,'Base de données'!A$4:A$990,0),12),"")</f>
        <v/>
      </c>
      <c r="D199" s="553"/>
      <c r="E199" s="552"/>
    </row>
    <row r="200" spans="1:5" x14ac:dyDescent="0.25">
      <c r="A200" s="552"/>
      <c r="B200" s="572" t="str">
        <f>IF(A200&lt;&gt;"",INDEX('Base de données'!A$4:L$990,MATCH(A200,'Base de données'!A$4:A$990,0),2),"")</f>
        <v/>
      </c>
      <c r="C200" s="572" t="str">
        <f>IF(A200&lt;&gt;"",INDEX('Base de données'!A$4:L$990,MATCH(A200,'Base de données'!A$4:A$990,0),12),"")</f>
        <v/>
      </c>
      <c r="D200" s="553"/>
      <c r="E200" s="552"/>
    </row>
    <row r="201" spans="1:5" x14ac:dyDescent="0.25">
      <c r="A201" s="552"/>
      <c r="B201" s="572" t="str">
        <f>IF(A201&lt;&gt;"",INDEX('Base de données'!A$4:L$990,MATCH(A201,'Base de données'!A$4:A$990,0),2),"")</f>
        <v/>
      </c>
      <c r="C201" s="572" t="str">
        <f>IF(A201&lt;&gt;"",INDEX('Base de données'!A$4:L$990,MATCH(A201,'Base de données'!A$4:A$990,0),12),"")</f>
        <v/>
      </c>
      <c r="D201" s="553"/>
      <c r="E201" s="552"/>
    </row>
    <row r="202" spans="1:5" x14ac:dyDescent="0.25">
      <c r="A202" s="552"/>
      <c r="B202" s="572" t="str">
        <f>IF(A202&lt;&gt;"",INDEX('Base de données'!A$4:L$990,MATCH(A202,'Base de données'!A$4:A$990,0),2),"")</f>
        <v/>
      </c>
      <c r="C202" s="572" t="str">
        <f>IF(A202&lt;&gt;"",INDEX('Base de données'!A$4:L$990,MATCH(A202,'Base de données'!A$4:A$990,0),12),"")</f>
        <v/>
      </c>
      <c r="D202" s="553"/>
      <c r="E202" s="552"/>
    </row>
    <row r="203" spans="1:5" x14ac:dyDescent="0.25">
      <c r="A203" s="552"/>
      <c r="B203" s="572" t="str">
        <f>IF(A203&lt;&gt;"",INDEX('Base de données'!A$4:L$990,MATCH(A203,'Base de données'!A$4:A$990,0),2),"")</f>
        <v/>
      </c>
      <c r="C203" s="572" t="str">
        <f>IF(A203&lt;&gt;"",INDEX('Base de données'!A$4:L$990,MATCH(A203,'Base de données'!A$4:A$990,0),12),"")</f>
        <v/>
      </c>
      <c r="D203" s="553"/>
      <c r="E203" s="552"/>
    </row>
    <row r="204" spans="1:5" x14ac:dyDescent="0.25">
      <c r="A204" s="552"/>
      <c r="B204" s="572" t="str">
        <f>IF(A204&lt;&gt;"",INDEX('Base de données'!A$4:L$990,MATCH(A204,'Base de données'!A$4:A$990,0),2),"")</f>
        <v/>
      </c>
      <c r="C204" s="572" t="str">
        <f>IF(A204&lt;&gt;"",INDEX('Base de données'!A$4:L$990,MATCH(A204,'Base de données'!A$4:A$990,0),12),"")</f>
        <v/>
      </c>
      <c r="D204" s="553"/>
      <c r="E204" s="552"/>
    </row>
    <row r="205" spans="1:5" x14ac:dyDescent="0.25">
      <c r="A205" s="552"/>
      <c r="B205" s="572" t="str">
        <f>IF(A205&lt;&gt;"",INDEX('Base de données'!A$4:L$990,MATCH(A205,'Base de données'!A$4:A$990,0),2),"")</f>
        <v/>
      </c>
      <c r="C205" s="572" t="str">
        <f>IF(A205&lt;&gt;"",INDEX('Base de données'!A$4:L$990,MATCH(A205,'Base de données'!A$4:A$990,0),12),"")</f>
        <v/>
      </c>
      <c r="D205" s="553"/>
      <c r="E205" s="552"/>
    </row>
    <row r="206" spans="1:5" x14ac:dyDescent="0.25">
      <c r="A206" s="552"/>
      <c r="B206" s="572" t="str">
        <f>IF(A206&lt;&gt;"",INDEX('Base de données'!A$4:L$990,MATCH(A206,'Base de données'!A$4:A$990,0),2),"")</f>
        <v/>
      </c>
      <c r="C206" s="572" t="str">
        <f>IF(A206&lt;&gt;"",INDEX('Base de données'!A$4:L$990,MATCH(A206,'Base de données'!A$4:A$990,0),12),"")</f>
        <v/>
      </c>
      <c r="D206" s="553"/>
      <c r="E206" s="552"/>
    </row>
    <row r="207" spans="1:5" x14ac:dyDescent="0.25">
      <c r="A207" s="552"/>
      <c r="B207" s="572" t="str">
        <f>IF(A207&lt;&gt;"",INDEX('Base de données'!A$4:L$990,MATCH(A207,'Base de données'!A$4:A$990,0),2),"")</f>
        <v/>
      </c>
      <c r="C207" s="572" t="str">
        <f>IF(A207&lt;&gt;"",INDEX('Base de données'!A$4:L$990,MATCH(A207,'Base de données'!A$4:A$990,0),12),"")</f>
        <v/>
      </c>
      <c r="D207" s="553"/>
      <c r="E207" s="552"/>
    </row>
    <row r="208" spans="1:5" x14ac:dyDescent="0.25">
      <c r="A208" s="552"/>
      <c r="B208" s="572" t="str">
        <f>IF(A208&lt;&gt;"",INDEX('Base de données'!A$4:L$990,MATCH(A208,'Base de données'!A$4:A$990,0),2),"")</f>
        <v/>
      </c>
      <c r="C208" s="572" t="str">
        <f>IF(A208&lt;&gt;"",INDEX('Base de données'!A$4:L$990,MATCH(A208,'Base de données'!A$4:A$990,0),12),"")</f>
        <v/>
      </c>
      <c r="D208" s="553"/>
      <c r="E208" s="552"/>
    </row>
    <row r="209" spans="1:5" x14ac:dyDescent="0.25">
      <c r="A209" s="552"/>
      <c r="B209" s="572" t="str">
        <f>IF(A209&lt;&gt;"",INDEX('Base de données'!A$4:L$990,MATCH(A209,'Base de données'!A$4:A$990,0),2),"")</f>
        <v/>
      </c>
      <c r="C209" s="572" t="str">
        <f>IF(A209&lt;&gt;"",INDEX('Base de données'!A$4:L$990,MATCH(A209,'Base de données'!A$4:A$990,0),12),"")</f>
        <v/>
      </c>
      <c r="D209" s="552"/>
      <c r="E209" s="552"/>
    </row>
    <row r="210" spans="1:5" x14ac:dyDescent="0.25">
      <c r="A210" s="552"/>
      <c r="B210" s="572" t="str">
        <f>IF(A210&lt;&gt;"",INDEX('Base de données'!A$4:L$990,MATCH(A210,'Base de données'!A$4:A$990,0),2),"")</f>
        <v/>
      </c>
      <c r="C210" s="572" t="str">
        <f>IF(A210&lt;&gt;"",INDEX('Base de données'!A$4:L$990,MATCH(A210,'Base de données'!A$4:A$990,0),12),"")</f>
        <v/>
      </c>
      <c r="D210" s="552"/>
      <c r="E210" s="552"/>
    </row>
    <row r="211" spans="1:5" x14ac:dyDescent="0.25">
      <c r="A211" s="552"/>
      <c r="B211" s="572" t="str">
        <f>IF(A211&lt;&gt;"",INDEX('Base de données'!A$4:L$990,MATCH(A211,'Base de données'!A$4:A$990,0),2),"")</f>
        <v/>
      </c>
      <c r="C211" s="572" t="str">
        <f>IF(A211&lt;&gt;"",INDEX('Base de données'!A$4:L$990,MATCH(A211,'Base de données'!A$4:A$990,0),12),"")</f>
        <v/>
      </c>
      <c r="D211" s="552"/>
      <c r="E211" s="552"/>
    </row>
    <row r="212" spans="1:5" x14ac:dyDescent="0.25">
      <c r="A212" s="552"/>
      <c r="B212" s="572" t="str">
        <f>IF(A212&lt;&gt;"",INDEX('Base de données'!A$4:L$990,MATCH(A212,'Base de données'!A$4:A$990,0),2),"")</f>
        <v/>
      </c>
      <c r="C212" s="572" t="str">
        <f>IF(A212&lt;&gt;"",INDEX('Base de données'!A$4:L$990,MATCH(A212,'Base de données'!A$4:A$990,0),12),"")</f>
        <v/>
      </c>
      <c r="D212" s="552"/>
      <c r="E212" s="552"/>
    </row>
    <row r="213" spans="1:5" x14ac:dyDescent="0.25">
      <c r="A213" s="552"/>
      <c r="B213" s="572" t="str">
        <f>IF(A213&lt;&gt;"",INDEX('Base de données'!A$4:L$990,MATCH(A213,'Base de données'!A$4:A$990,0),2),"")</f>
        <v/>
      </c>
      <c r="C213" s="572" t="str">
        <f>IF(A213&lt;&gt;"",INDEX('Base de données'!A$4:L$990,MATCH(A213,'Base de données'!A$4:A$990,0),12),"")</f>
        <v/>
      </c>
      <c r="D213" s="552"/>
      <c r="E213" s="552"/>
    </row>
    <row r="214" spans="1:5" x14ac:dyDescent="0.25">
      <c r="A214" s="552"/>
      <c r="B214" s="572" t="str">
        <f>IF(A214&lt;&gt;"",INDEX('Base de données'!A$4:L$990,MATCH(A214,'Base de données'!A$4:A$990,0),2),"")</f>
        <v/>
      </c>
      <c r="C214" s="572" t="str">
        <f>IF(A214&lt;&gt;"",INDEX('Base de données'!A$4:L$990,MATCH(A214,'Base de données'!A$4:A$990,0),12),"")</f>
        <v/>
      </c>
      <c r="D214" s="552"/>
      <c r="E214" s="552"/>
    </row>
    <row r="215" spans="1:5" x14ac:dyDescent="0.25">
      <c r="A215" s="552"/>
      <c r="B215" s="572" t="str">
        <f>IF(A215&lt;&gt;"",INDEX('Base de données'!A$4:L$990,MATCH(A215,'Base de données'!A$4:A$990,0),2),"")</f>
        <v/>
      </c>
      <c r="C215" s="572" t="str">
        <f>IF(A215&lt;&gt;"",INDEX('Base de données'!A$4:L$990,MATCH(A215,'Base de données'!A$4:A$990,0),12),"")</f>
        <v/>
      </c>
      <c r="D215" s="552"/>
      <c r="E215" s="552"/>
    </row>
    <row r="216" spans="1:5" x14ac:dyDescent="0.25">
      <c r="A216" s="552"/>
      <c r="B216" s="572" t="str">
        <f>IF(A216&lt;&gt;"",INDEX('Base de données'!A$4:L$990,MATCH(A216,'Base de données'!A$4:A$990,0),2),"")</f>
        <v/>
      </c>
      <c r="C216" s="572" t="str">
        <f>IF(A216&lt;&gt;"",INDEX('Base de données'!A$4:L$990,MATCH(A216,'Base de données'!A$4:A$990,0),12),"")</f>
        <v/>
      </c>
      <c r="D216" s="552"/>
      <c r="E216" s="552"/>
    </row>
    <row r="217" spans="1:5" x14ac:dyDescent="0.25">
      <c r="A217" s="552"/>
      <c r="B217" s="572" t="str">
        <f>IF(A217&lt;&gt;"",INDEX('Base de données'!A$4:L$990,MATCH(A217,'Base de données'!A$4:A$990,0),2),"")</f>
        <v/>
      </c>
      <c r="C217" s="572" t="str">
        <f>IF(A217&lt;&gt;"",INDEX('Base de données'!A$4:L$990,MATCH(A217,'Base de données'!A$4:A$990,0),12),"")</f>
        <v/>
      </c>
      <c r="D217" s="552"/>
      <c r="E217" s="552"/>
    </row>
    <row r="218" spans="1:5" x14ac:dyDescent="0.25">
      <c r="A218" s="552"/>
      <c r="B218" s="572" t="str">
        <f>IF(A218&lt;&gt;"",INDEX('Base de données'!A$4:L$990,MATCH(A218,'Base de données'!A$4:A$990,0),2),"")</f>
        <v/>
      </c>
      <c r="C218" s="572" t="str">
        <f>IF(A218&lt;&gt;"",INDEX('Base de données'!A$4:L$990,MATCH(A218,'Base de données'!A$4:A$990,0),12),"")</f>
        <v/>
      </c>
      <c r="D218" s="552"/>
      <c r="E218" s="552"/>
    </row>
    <row r="219" spans="1:5" x14ac:dyDescent="0.25">
      <c r="A219" s="552"/>
      <c r="B219" s="572" t="str">
        <f>IF(A219&lt;&gt;"",INDEX('Base de données'!A$4:L$990,MATCH(A219,'Base de données'!A$4:A$990,0),2),"")</f>
        <v/>
      </c>
      <c r="C219" s="572" t="str">
        <f>IF(A219&lt;&gt;"",INDEX('Base de données'!A$4:L$990,MATCH(A219,'Base de données'!A$4:A$990,0),12),"")</f>
        <v/>
      </c>
      <c r="D219" s="552"/>
      <c r="E219" s="552"/>
    </row>
    <row r="220" spans="1:5" x14ac:dyDescent="0.25">
      <c r="A220" s="552"/>
      <c r="B220" s="572" t="str">
        <f>IF(A220&lt;&gt;"",INDEX('Base de données'!A$4:L$990,MATCH(A220,'Base de données'!A$4:A$990,0),2),"")</f>
        <v/>
      </c>
      <c r="C220" s="572" t="str">
        <f>IF(A220&lt;&gt;"",INDEX('Base de données'!A$4:L$990,MATCH(A220,'Base de données'!A$4:A$990,0),12),"")</f>
        <v/>
      </c>
      <c r="D220" s="552"/>
      <c r="E220" s="552"/>
    </row>
    <row r="221" spans="1:5" x14ac:dyDescent="0.25">
      <c r="A221" s="552"/>
      <c r="B221" s="572" t="str">
        <f>IF(A221&lt;&gt;"",INDEX('Base de données'!A$4:L$990,MATCH(A221,'Base de données'!A$4:A$990,0),2),"")</f>
        <v/>
      </c>
      <c r="C221" s="572" t="str">
        <f>IF(A221&lt;&gt;"",INDEX('Base de données'!A$4:L$990,MATCH(A221,'Base de données'!A$4:A$990,0),12),"")</f>
        <v/>
      </c>
      <c r="D221" s="552"/>
      <c r="E221" s="552"/>
    </row>
    <row r="222" spans="1:5" x14ac:dyDescent="0.25">
      <c r="A222" s="552"/>
      <c r="B222" s="572" t="str">
        <f>IF(A222&lt;&gt;"",INDEX('Base de données'!A$4:L$990,MATCH(A222,'Base de données'!A$4:A$990,0),2),"")</f>
        <v/>
      </c>
      <c r="C222" s="572" t="str">
        <f>IF(A222&lt;&gt;"",INDEX('Base de données'!A$4:L$990,MATCH(A222,'Base de données'!A$4:A$990,0),12),"")</f>
        <v/>
      </c>
      <c r="D222" s="552"/>
      <c r="E222" s="552"/>
    </row>
    <row r="223" spans="1:5" x14ac:dyDescent="0.25">
      <c r="A223" s="552"/>
      <c r="B223" s="572" t="str">
        <f>IF(A223&lt;&gt;"",INDEX('Base de données'!A$4:L$990,MATCH(A223,'Base de données'!A$4:A$990,0),2),"")</f>
        <v/>
      </c>
      <c r="C223" s="572" t="str">
        <f>IF(A223&lt;&gt;"",INDEX('Base de données'!A$4:L$990,MATCH(A223,'Base de données'!A$4:A$990,0),12),"")</f>
        <v/>
      </c>
      <c r="D223" s="552"/>
      <c r="E223" s="552"/>
    </row>
    <row r="224" spans="1:5" x14ac:dyDescent="0.25">
      <c r="A224" s="552"/>
      <c r="B224" s="572" t="str">
        <f>IF(A224&lt;&gt;"",INDEX('Base de données'!A$4:L$990,MATCH(A224,'Base de données'!A$4:A$990,0),2),"")</f>
        <v/>
      </c>
      <c r="C224" s="572" t="str">
        <f>IF(A224&lt;&gt;"",INDEX('Base de données'!A$4:L$990,MATCH(A224,'Base de données'!A$4:A$990,0),12),"")</f>
        <v/>
      </c>
      <c r="D224" s="552"/>
      <c r="E224" s="552"/>
    </row>
    <row r="225" spans="1:5" x14ac:dyDescent="0.25">
      <c r="A225" s="552"/>
      <c r="B225" s="572" t="str">
        <f>IF(A225&lt;&gt;"",INDEX('Base de données'!A$4:L$990,MATCH(A225,'Base de données'!A$4:A$990,0),2),"")</f>
        <v/>
      </c>
      <c r="C225" s="572" t="str">
        <f>IF(A225&lt;&gt;"",INDEX('Base de données'!A$4:L$990,MATCH(A225,'Base de données'!A$4:A$990,0),12),"")</f>
        <v/>
      </c>
      <c r="D225" s="552"/>
      <c r="E225" s="552"/>
    </row>
    <row r="226" spans="1:5" x14ac:dyDescent="0.25">
      <c r="A226" s="552"/>
      <c r="B226" s="572" t="str">
        <f>IF(A226&lt;&gt;"",INDEX('Base de données'!A$4:L$990,MATCH(A226,'Base de données'!A$4:A$990,0),2),"")</f>
        <v/>
      </c>
      <c r="C226" s="572" t="str">
        <f>IF(A226&lt;&gt;"",INDEX('Base de données'!A$4:L$990,MATCH(A226,'Base de données'!A$4:A$990,0),12),"")</f>
        <v/>
      </c>
      <c r="D226" s="552"/>
      <c r="E226" s="552"/>
    </row>
    <row r="227" spans="1:5" x14ac:dyDescent="0.25">
      <c r="A227" s="552"/>
      <c r="B227" s="572" t="str">
        <f>IF(A227&lt;&gt;"",INDEX('Base de données'!A$4:L$990,MATCH(A227,'Base de données'!A$4:A$990,0),2),"")</f>
        <v/>
      </c>
      <c r="C227" s="572" t="str">
        <f>IF(A227&lt;&gt;"",INDEX('Base de données'!A$4:L$990,MATCH(A227,'Base de données'!A$4:A$990,0),12),"")</f>
        <v/>
      </c>
      <c r="D227" s="552"/>
      <c r="E227" s="552"/>
    </row>
    <row r="228" spans="1:5" x14ac:dyDescent="0.25">
      <c r="A228" s="552"/>
      <c r="B228" s="572" t="str">
        <f>IF(A228&lt;&gt;"",INDEX('Base de données'!A$4:L$990,MATCH(A228,'Base de données'!A$4:A$990,0),2),"")</f>
        <v/>
      </c>
      <c r="C228" s="572" t="str">
        <f>IF(A228&lt;&gt;"",INDEX('Base de données'!A$4:L$990,MATCH(A228,'Base de données'!A$4:A$990,0),12),"")</f>
        <v/>
      </c>
      <c r="D228" s="552"/>
      <c r="E228" s="552"/>
    </row>
    <row r="229" spans="1:5" x14ac:dyDescent="0.25">
      <c r="A229" s="552"/>
      <c r="B229" s="572" t="str">
        <f>IF(A229&lt;&gt;"",INDEX('Base de données'!A$4:L$990,MATCH(A229,'Base de données'!A$4:A$990,0),2),"")</f>
        <v/>
      </c>
      <c r="C229" s="572" t="str">
        <f>IF(A229&lt;&gt;"",INDEX('Base de données'!A$4:L$990,MATCH(A229,'Base de données'!A$4:A$990,0),12),"")</f>
        <v/>
      </c>
      <c r="D229" s="552"/>
      <c r="E229" s="552"/>
    </row>
    <row r="230" spans="1:5" x14ac:dyDescent="0.25">
      <c r="A230" s="552"/>
      <c r="B230" s="572" t="str">
        <f>IF(A230&lt;&gt;"",INDEX('Base de données'!A$4:L$990,MATCH(A230,'Base de données'!A$4:A$990,0),2),"")</f>
        <v/>
      </c>
      <c r="C230" s="572" t="str">
        <f>IF(A230&lt;&gt;"",INDEX('Base de données'!A$4:L$990,MATCH(A230,'Base de données'!A$4:A$990,0),12),"")</f>
        <v/>
      </c>
      <c r="D230" s="552"/>
      <c r="E230" s="552"/>
    </row>
    <row r="231" spans="1:5" x14ac:dyDescent="0.25">
      <c r="A231" s="552"/>
      <c r="B231" s="572" t="str">
        <f>IF(A231&lt;&gt;"",INDEX('Base de données'!A$4:L$990,MATCH(A231,'Base de données'!A$4:A$990,0),2),"")</f>
        <v/>
      </c>
      <c r="C231" s="572" t="str">
        <f>IF(A231&lt;&gt;"",INDEX('Base de données'!A$4:L$990,MATCH(A231,'Base de données'!A$4:A$990,0),12),"")</f>
        <v/>
      </c>
      <c r="D231" s="552"/>
      <c r="E231" s="552"/>
    </row>
    <row r="232" spans="1:5" x14ac:dyDescent="0.25">
      <c r="A232" s="552"/>
      <c r="B232" s="572" t="str">
        <f>IF(A232&lt;&gt;"",INDEX('Base de données'!A$4:L$990,MATCH(A232,'Base de données'!A$4:A$990,0),2),"")</f>
        <v/>
      </c>
      <c r="C232" s="572" t="str">
        <f>IF(A232&lt;&gt;"",INDEX('Base de données'!A$4:L$990,MATCH(A232,'Base de données'!A$4:A$990,0),12),"")</f>
        <v/>
      </c>
      <c r="D232" s="552"/>
      <c r="E232" s="552"/>
    </row>
    <row r="233" spans="1:5" x14ac:dyDescent="0.25">
      <c r="A233" s="552"/>
      <c r="B233" s="572" t="str">
        <f>IF(A233&lt;&gt;"",INDEX('Base de données'!A$4:L$990,MATCH(A233,'Base de données'!A$4:A$990,0),2),"")</f>
        <v/>
      </c>
      <c r="C233" s="572" t="str">
        <f>IF(A233&lt;&gt;"",INDEX('Base de données'!A$4:L$990,MATCH(A233,'Base de données'!A$4:A$990,0),12),"")</f>
        <v/>
      </c>
      <c r="D233" s="552"/>
      <c r="E233" s="552"/>
    </row>
    <row r="234" spans="1:5" x14ac:dyDescent="0.25">
      <c r="A234" s="552"/>
      <c r="B234" s="572" t="str">
        <f>IF(A234&lt;&gt;"",INDEX('Base de données'!A$4:L$990,MATCH(A234,'Base de données'!A$4:A$990,0),2),"")</f>
        <v/>
      </c>
      <c r="C234" s="572" t="str">
        <f>IF(A234&lt;&gt;"",INDEX('Base de données'!A$4:L$990,MATCH(A234,'Base de données'!A$4:A$990,0),12),"")</f>
        <v/>
      </c>
      <c r="D234" s="552"/>
      <c r="E234" s="552"/>
    </row>
    <row r="235" spans="1:5" x14ac:dyDescent="0.25">
      <c r="A235" s="552"/>
      <c r="B235" s="572" t="str">
        <f>IF(A235&lt;&gt;"",INDEX('Base de données'!A$4:L$990,MATCH(A235,'Base de données'!A$4:A$990,0),2),"")</f>
        <v/>
      </c>
      <c r="C235" s="572" t="str">
        <f>IF(A235&lt;&gt;"",INDEX('Base de données'!A$4:L$990,MATCH(A235,'Base de données'!A$4:A$990,0),12),"")</f>
        <v/>
      </c>
      <c r="D235" s="552"/>
      <c r="E235" s="552"/>
    </row>
    <row r="236" spans="1:5" x14ac:dyDescent="0.25">
      <c r="A236" s="552"/>
      <c r="B236" s="572" t="str">
        <f>IF(A236&lt;&gt;"",INDEX('Base de données'!A$4:L$990,MATCH(A236,'Base de données'!A$4:A$990,0),2),"")</f>
        <v/>
      </c>
      <c r="C236" s="572" t="str">
        <f>IF(A236&lt;&gt;"",INDEX('Base de données'!A$4:L$990,MATCH(A236,'Base de données'!A$4:A$990,0),12),"")</f>
        <v/>
      </c>
      <c r="D236" s="552"/>
      <c r="E236" s="552"/>
    </row>
    <row r="237" spans="1:5" x14ac:dyDescent="0.25">
      <c r="A237" s="552"/>
      <c r="B237" s="572" t="str">
        <f>IF(A237&lt;&gt;"",INDEX('Base de données'!A$4:L$990,MATCH(A237,'Base de données'!A$4:A$990,0),2),"")</f>
        <v/>
      </c>
      <c r="C237" s="572" t="str">
        <f>IF(A237&lt;&gt;"",INDEX('Base de données'!A$4:L$990,MATCH(A237,'Base de données'!A$4:A$990,0),12),"")</f>
        <v/>
      </c>
      <c r="D237" s="552"/>
      <c r="E237" s="552"/>
    </row>
    <row r="238" spans="1:5" x14ac:dyDescent="0.25">
      <c r="A238" s="552"/>
      <c r="B238" s="572" t="str">
        <f>IF(A238&lt;&gt;"",INDEX('Base de données'!A$4:L$990,MATCH(A238,'Base de données'!A$4:A$990,0),2),"")</f>
        <v/>
      </c>
      <c r="C238" s="572" t="str">
        <f>IF(A238&lt;&gt;"",INDEX('Base de données'!A$4:L$990,MATCH(A238,'Base de données'!A$4:A$990,0),12),"")</f>
        <v/>
      </c>
      <c r="D238" s="552"/>
      <c r="E238" s="552"/>
    </row>
    <row r="239" spans="1:5" x14ac:dyDescent="0.25">
      <c r="A239" s="552"/>
      <c r="B239" s="572" t="str">
        <f>IF(A239&lt;&gt;"",INDEX('Base de données'!A$4:L$990,MATCH(A239,'Base de données'!A$4:A$990,0),2),"")</f>
        <v/>
      </c>
      <c r="C239" s="572" t="str">
        <f>IF(A239&lt;&gt;"",INDEX('Base de données'!A$4:L$990,MATCH(A239,'Base de données'!A$4:A$990,0),12),"")</f>
        <v/>
      </c>
      <c r="D239" s="552"/>
      <c r="E239" s="552"/>
    </row>
    <row r="240" spans="1:5" x14ac:dyDescent="0.25">
      <c r="A240" s="552"/>
      <c r="B240" s="572" t="str">
        <f>IF(A240&lt;&gt;"",INDEX('Base de données'!A$4:L$990,MATCH(A240,'Base de données'!A$4:A$990,0),2),"")</f>
        <v/>
      </c>
      <c r="C240" s="572" t="str">
        <f>IF(A240&lt;&gt;"",INDEX('Base de données'!A$4:L$990,MATCH(A240,'Base de données'!A$4:A$990,0),12),"")</f>
        <v/>
      </c>
      <c r="D240" s="552"/>
      <c r="E240" s="552"/>
    </row>
    <row r="241" spans="1:5" x14ac:dyDescent="0.25">
      <c r="A241" s="552"/>
      <c r="B241" s="572" t="str">
        <f>IF(A241&lt;&gt;"",INDEX('Base de données'!A$4:L$990,MATCH(A241,'Base de données'!A$4:A$990,0),2),"")</f>
        <v/>
      </c>
      <c r="C241" s="572" t="str">
        <f>IF(A241&lt;&gt;"",INDEX('Base de données'!A$4:L$990,MATCH(A241,'Base de données'!A$4:A$990,0),12),"")</f>
        <v/>
      </c>
      <c r="D241" s="552"/>
      <c r="E241" s="552"/>
    </row>
    <row r="242" spans="1:5" x14ac:dyDescent="0.25">
      <c r="A242" s="552"/>
      <c r="B242" s="572" t="str">
        <f>IF(A242&lt;&gt;"",INDEX('Base de données'!A$4:L$990,MATCH(A242,'Base de données'!A$4:A$990,0),2),"")</f>
        <v/>
      </c>
      <c r="C242" s="572" t="str">
        <f>IF(A242&lt;&gt;"",INDEX('Base de données'!A$4:L$990,MATCH(A242,'Base de données'!A$4:A$990,0),12),"")</f>
        <v/>
      </c>
      <c r="D242" s="552"/>
      <c r="E242" s="552"/>
    </row>
    <row r="243" spans="1:5" x14ac:dyDescent="0.25">
      <c r="A243" s="552"/>
      <c r="B243" s="572" t="str">
        <f>IF(A243&lt;&gt;"",INDEX('Base de données'!A$4:L$990,MATCH(A243,'Base de données'!A$4:A$990,0),2),"")</f>
        <v/>
      </c>
      <c r="C243" s="572" t="str">
        <f>IF(A243&lt;&gt;"",INDEX('Base de données'!A$4:L$990,MATCH(A243,'Base de données'!A$4:A$990,0),12),"")</f>
        <v/>
      </c>
      <c r="D243" s="552"/>
      <c r="E243" s="552"/>
    </row>
    <row r="244" spans="1:5" x14ac:dyDescent="0.25">
      <c r="A244" s="552"/>
      <c r="B244" s="572" t="str">
        <f>IF(A244&lt;&gt;"",INDEX('Base de données'!A$4:L$990,MATCH(A244,'Base de données'!A$4:A$990,0),2),"")</f>
        <v/>
      </c>
      <c r="C244" s="572" t="str">
        <f>IF(A244&lt;&gt;"",INDEX('Base de données'!A$4:L$990,MATCH(A244,'Base de données'!A$4:A$990,0),12),"")</f>
        <v/>
      </c>
      <c r="D244" s="552"/>
      <c r="E244" s="552"/>
    </row>
    <row r="245" spans="1:5" x14ac:dyDescent="0.25">
      <c r="A245" s="552"/>
      <c r="B245" s="572" t="str">
        <f>IF(A245&lt;&gt;"",INDEX('Base de données'!A$4:L$990,MATCH(A245,'Base de données'!A$4:A$990,0),2),"")</f>
        <v/>
      </c>
      <c r="C245" s="572" t="str">
        <f>IF(A245&lt;&gt;"",INDEX('Base de données'!A$4:L$990,MATCH(A245,'Base de données'!A$4:A$990,0),12),"")</f>
        <v/>
      </c>
      <c r="D245" s="552"/>
      <c r="E245" s="552"/>
    </row>
    <row r="246" spans="1:5" x14ac:dyDescent="0.25">
      <c r="A246" s="552"/>
      <c r="B246" s="572" t="str">
        <f>IF(A246&lt;&gt;"",INDEX('Base de données'!A$4:L$990,MATCH(A246,'Base de données'!A$4:A$990,0),2),"")</f>
        <v/>
      </c>
      <c r="C246" s="572" t="str">
        <f>IF(A246&lt;&gt;"",INDEX('Base de données'!A$4:L$990,MATCH(A246,'Base de données'!A$4:A$990,0),12),"")</f>
        <v/>
      </c>
      <c r="D246" s="552"/>
      <c r="E246" s="552"/>
    </row>
    <row r="247" spans="1:5" x14ac:dyDescent="0.25">
      <c r="A247" s="552"/>
      <c r="B247" s="572" t="str">
        <f>IF(A247&lt;&gt;"",INDEX('Base de données'!A$4:L$990,MATCH(A247,'Base de données'!A$4:A$990,0),2),"")</f>
        <v/>
      </c>
      <c r="C247" s="572" t="str">
        <f>IF(A247&lt;&gt;"",INDEX('Base de données'!A$4:L$990,MATCH(A247,'Base de données'!A$4:A$990,0),12),"")</f>
        <v/>
      </c>
      <c r="D247" s="552"/>
      <c r="E247" s="552"/>
    </row>
    <row r="248" spans="1:5" x14ac:dyDescent="0.25">
      <c r="A248" s="552"/>
      <c r="B248" s="572" t="str">
        <f>IF(A248&lt;&gt;"",INDEX('Base de données'!A$4:L$990,MATCH(A248,'Base de données'!A$4:A$990,0),2),"")</f>
        <v/>
      </c>
      <c r="C248" s="572" t="str">
        <f>IF(A248&lt;&gt;"",INDEX('Base de données'!A$4:L$990,MATCH(A248,'Base de données'!A$4:A$990,0),12),"")</f>
        <v/>
      </c>
      <c r="D248" s="552"/>
      <c r="E248" s="552"/>
    </row>
    <row r="249" spans="1:5" x14ac:dyDescent="0.25">
      <c r="A249" s="552"/>
      <c r="B249" s="572" t="str">
        <f>IF(A249&lt;&gt;"",INDEX('Base de données'!A$4:L$990,MATCH(A249,'Base de données'!A$4:A$990,0),2),"")</f>
        <v/>
      </c>
      <c r="C249" s="572" t="str">
        <f>IF(A249&lt;&gt;"",INDEX('Base de données'!A$4:L$990,MATCH(A249,'Base de données'!A$4:A$990,0),12),"")</f>
        <v/>
      </c>
      <c r="D249" s="552"/>
      <c r="E249" s="552"/>
    </row>
    <row r="250" spans="1:5" x14ac:dyDescent="0.25">
      <c r="A250" s="552"/>
      <c r="B250" s="572" t="str">
        <f>IF(A250&lt;&gt;"",INDEX('Base de données'!A$4:L$990,MATCH(A250,'Base de données'!A$4:A$990,0),2),"")</f>
        <v/>
      </c>
      <c r="C250" s="572" t="str">
        <f>IF(A250&lt;&gt;"",INDEX('Base de données'!A$4:L$990,MATCH(A250,'Base de données'!A$4:A$990,0),12),"")</f>
        <v/>
      </c>
      <c r="D250" s="552"/>
      <c r="E250" s="552"/>
    </row>
    <row r="251" spans="1:5" x14ac:dyDescent="0.25">
      <c r="A251" s="552"/>
      <c r="B251" s="572" t="str">
        <f>IF(A251&lt;&gt;"",INDEX('Base de données'!A$4:L$990,MATCH(A251,'Base de données'!A$4:A$990,0),2),"")</f>
        <v/>
      </c>
      <c r="C251" s="572" t="str">
        <f>IF(A251&lt;&gt;"",INDEX('Base de données'!A$4:L$990,MATCH(A251,'Base de données'!A$4:A$990,0),12),"")</f>
        <v/>
      </c>
      <c r="D251" s="552"/>
      <c r="E251" s="552"/>
    </row>
    <row r="252" spans="1:5" x14ac:dyDescent="0.25">
      <c r="A252" s="552"/>
      <c r="B252" s="572" t="str">
        <f>IF(A252&lt;&gt;"",INDEX('Base de données'!A$4:L$990,MATCH(A252,'Base de données'!A$4:A$990,0),2),"")</f>
        <v/>
      </c>
      <c r="C252" s="572" t="str">
        <f>IF(A252&lt;&gt;"",INDEX('Base de données'!A$4:L$990,MATCH(A252,'Base de données'!A$4:A$990,0),12),"")</f>
        <v/>
      </c>
      <c r="D252" s="552"/>
      <c r="E252" s="552"/>
    </row>
    <row r="253" spans="1:5" x14ac:dyDescent="0.25">
      <c r="A253" s="552"/>
      <c r="B253" s="572" t="str">
        <f>IF(A253&lt;&gt;"",INDEX('Base de données'!A$4:L$990,MATCH(A253,'Base de données'!A$4:A$990,0),2),"")</f>
        <v/>
      </c>
      <c r="C253" s="572" t="str">
        <f>IF(A253&lt;&gt;"",INDEX('Base de données'!A$4:L$990,MATCH(A253,'Base de données'!A$4:A$990,0),12),"")</f>
        <v/>
      </c>
      <c r="D253" s="552"/>
      <c r="E253" s="552"/>
    </row>
    <row r="254" spans="1:5" x14ac:dyDescent="0.25">
      <c r="A254" s="552"/>
      <c r="B254" s="572" t="str">
        <f>IF(A254&lt;&gt;"",INDEX('Base de données'!A$4:L$990,MATCH(A254,'Base de données'!A$4:A$990,0),2),"")</f>
        <v/>
      </c>
      <c r="C254" s="572" t="str">
        <f>IF(A254&lt;&gt;"",INDEX('Base de données'!A$4:L$990,MATCH(A254,'Base de données'!A$4:A$990,0),12),"")</f>
        <v/>
      </c>
      <c r="D254" s="552"/>
      <c r="E254" s="552"/>
    </row>
    <row r="255" spans="1:5" x14ac:dyDescent="0.25">
      <c r="A255" s="552"/>
      <c r="B255" s="572" t="str">
        <f>IF(A255&lt;&gt;"",INDEX('Base de données'!A$4:L$990,MATCH(A255,'Base de données'!A$4:A$990,0),2),"")</f>
        <v/>
      </c>
      <c r="C255" s="572" t="str">
        <f>IF(A255&lt;&gt;"",INDEX('Base de données'!A$4:L$990,MATCH(A255,'Base de données'!A$4:A$990,0),12),"")</f>
        <v/>
      </c>
      <c r="D255" s="552"/>
      <c r="E255" s="552"/>
    </row>
    <row r="256" spans="1:5" x14ac:dyDescent="0.25">
      <c r="A256" s="552"/>
      <c r="B256" s="572" t="str">
        <f>IF(A256&lt;&gt;"",INDEX('Base de données'!A$4:L$990,MATCH(A256,'Base de données'!A$4:A$990,0),2),"")</f>
        <v/>
      </c>
      <c r="C256" s="572" t="str">
        <f>IF(A256&lt;&gt;"",INDEX('Base de données'!A$4:L$990,MATCH(A256,'Base de données'!A$4:A$990,0),12),"")</f>
        <v/>
      </c>
      <c r="D256" s="552"/>
      <c r="E256" s="552"/>
    </row>
    <row r="257" spans="1:5" x14ac:dyDescent="0.25">
      <c r="A257" s="552"/>
      <c r="B257" s="572" t="str">
        <f>IF(A257&lt;&gt;"",INDEX('Base de données'!A$4:L$990,MATCH(A257,'Base de données'!A$4:A$990,0),2),"")</f>
        <v/>
      </c>
      <c r="C257" s="572" t="str">
        <f>IF(A257&lt;&gt;"",INDEX('Base de données'!A$4:L$990,MATCH(A257,'Base de données'!A$4:A$990,0),12),"")</f>
        <v/>
      </c>
      <c r="D257" s="552"/>
      <c r="E257" s="552"/>
    </row>
    <row r="258" spans="1:5" x14ac:dyDescent="0.25">
      <c r="A258" s="552"/>
      <c r="B258" s="572" t="str">
        <f>IF(A258&lt;&gt;"",INDEX('Base de données'!A$4:L$990,MATCH(A258,'Base de données'!A$4:A$990,0),2),"")</f>
        <v/>
      </c>
      <c r="C258" s="572" t="str">
        <f>IF(A258&lt;&gt;"",INDEX('Base de données'!A$4:L$990,MATCH(A258,'Base de données'!A$4:A$990,0),12),"")</f>
        <v/>
      </c>
      <c r="D258" s="552"/>
      <c r="E258" s="552"/>
    </row>
    <row r="259" spans="1:5" x14ac:dyDescent="0.25">
      <c r="A259" s="552"/>
      <c r="B259" s="572" t="str">
        <f>IF(A259&lt;&gt;"",INDEX('Base de données'!A$4:L$990,MATCH(A259,'Base de données'!A$4:A$990,0),2),"")</f>
        <v/>
      </c>
      <c r="C259" s="572" t="str">
        <f>IF(A259&lt;&gt;"",INDEX('Base de données'!A$4:L$990,MATCH(A259,'Base de données'!A$4:A$990,0),12),"")</f>
        <v/>
      </c>
      <c r="D259" s="552"/>
      <c r="E259" s="552"/>
    </row>
    <row r="260" spans="1:5" x14ac:dyDescent="0.25">
      <c r="A260" s="552"/>
      <c r="B260" s="572" t="str">
        <f>IF(A260&lt;&gt;"",INDEX('Base de données'!A$4:L$990,MATCH(A260,'Base de données'!A$4:A$990,0),2),"")</f>
        <v/>
      </c>
      <c r="C260" s="572" t="str">
        <f>IF(A260&lt;&gt;"",INDEX('Base de données'!A$4:L$990,MATCH(A260,'Base de données'!A$4:A$990,0),12),"")</f>
        <v/>
      </c>
      <c r="D260" s="552"/>
      <c r="E260" s="552"/>
    </row>
    <row r="261" spans="1:5" x14ac:dyDescent="0.25">
      <c r="A261" s="552"/>
      <c r="B261" s="572" t="str">
        <f>IF(A261&lt;&gt;"",INDEX('Base de données'!A$4:L$990,MATCH(A261,'Base de données'!A$4:A$990,0),2),"")</f>
        <v/>
      </c>
      <c r="C261" s="572" t="str">
        <f>IF(A261&lt;&gt;"",INDEX('Base de données'!A$4:L$990,MATCH(A261,'Base de données'!A$4:A$990,0),12),"")</f>
        <v/>
      </c>
      <c r="D261" s="552"/>
      <c r="E261" s="552"/>
    </row>
    <row r="262" spans="1:5" x14ac:dyDescent="0.25">
      <c r="A262" s="552"/>
      <c r="B262" s="572" t="str">
        <f>IF(A262&lt;&gt;"",INDEX('Base de données'!A$4:L$990,MATCH(A262,'Base de données'!A$4:A$990,0),2),"")</f>
        <v/>
      </c>
      <c r="C262" s="572" t="str">
        <f>IF(A262&lt;&gt;"",INDEX('Base de données'!A$4:L$990,MATCH(A262,'Base de données'!A$4:A$990,0),12),"")</f>
        <v/>
      </c>
      <c r="D262" s="552"/>
      <c r="E262" s="552"/>
    </row>
    <row r="263" spans="1:5" x14ac:dyDescent="0.25">
      <c r="A263" s="552"/>
      <c r="B263" s="572" t="str">
        <f>IF(A263&lt;&gt;"",INDEX('Base de données'!A$4:L$990,MATCH(A263,'Base de données'!A$4:A$990,0),2),"")</f>
        <v/>
      </c>
      <c r="C263" s="572" t="str">
        <f>IF(A263&lt;&gt;"",INDEX('Base de données'!A$4:L$990,MATCH(A263,'Base de données'!A$4:A$990,0),12),"")</f>
        <v/>
      </c>
      <c r="D263" s="552"/>
      <c r="E263" s="552"/>
    </row>
    <row r="264" spans="1:5" x14ac:dyDescent="0.25">
      <c r="A264" s="552"/>
      <c r="B264" s="572" t="str">
        <f>IF(A264&lt;&gt;"",INDEX('Base de données'!A$4:L$990,MATCH(A264,'Base de données'!A$4:A$990,0),2),"")</f>
        <v/>
      </c>
      <c r="C264" s="572" t="str">
        <f>IF(A264&lt;&gt;"",INDEX('Base de données'!A$4:L$990,MATCH(A264,'Base de données'!A$4:A$990,0),12),"")</f>
        <v/>
      </c>
      <c r="D264" s="552"/>
      <c r="E264" s="552"/>
    </row>
    <row r="265" spans="1:5" x14ac:dyDescent="0.25">
      <c r="A265" s="552"/>
      <c r="B265" s="572" t="str">
        <f>IF(A265&lt;&gt;"",INDEX('Base de données'!A$4:L$990,MATCH(A265,'Base de données'!A$4:A$990,0),2),"")</f>
        <v/>
      </c>
      <c r="C265" s="572" t="str">
        <f>IF(A265&lt;&gt;"",INDEX('Base de données'!A$4:L$990,MATCH(A265,'Base de données'!A$4:A$990,0),12),"")</f>
        <v/>
      </c>
      <c r="D265" s="552"/>
      <c r="E265" s="552"/>
    </row>
    <row r="266" spans="1:5" x14ac:dyDescent="0.25">
      <c r="A266" s="552"/>
      <c r="B266" s="572" t="str">
        <f>IF(A266&lt;&gt;"",INDEX('Base de données'!A$4:L$990,MATCH(A266,'Base de données'!A$4:A$990,0),2),"")</f>
        <v/>
      </c>
      <c r="C266" s="572" t="str">
        <f>IF(A266&lt;&gt;"",INDEX('Base de données'!A$4:L$990,MATCH(A266,'Base de données'!A$4:A$990,0),12),"")</f>
        <v/>
      </c>
      <c r="D266" s="552"/>
      <c r="E266" s="552"/>
    </row>
    <row r="267" spans="1:5" x14ac:dyDescent="0.25">
      <c r="A267" s="552"/>
      <c r="B267" s="572" t="str">
        <f>IF(A267&lt;&gt;"",INDEX('Base de données'!A$4:L$990,MATCH(A267,'Base de données'!A$4:A$990,0),2),"")</f>
        <v/>
      </c>
      <c r="C267" s="572" t="str">
        <f>IF(A267&lt;&gt;"",INDEX('Base de données'!A$4:L$990,MATCH(A267,'Base de données'!A$4:A$990,0),12),"")</f>
        <v/>
      </c>
      <c r="D267" s="552"/>
      <c r="E267" s="552"/>
    </row>
    <row r="268" spans="1:5" x14ac:dyDescent="0.25">
      <c r="A268" s="552"/>
      <c r="B268" s="572" t="str">
        <f>IF(A268&lt;&gt;"",INDEX('Base de données'!A$4:L$990,MATCH(A268,'Base de données'!A$4:A$990,0),2),"")</f>
        <v/>
      </c>
      <c r="C268" s="572" t="str">
        <f>IF(A268&lt;&gt;"",INDEX('Base de données'!A$4:L$990,MATCH(A268,'Base de données'!A$4:A$990,0),12),"")</f>
        <v/>
      </c>
      <c r="D268" s="552"/>
      <c r="E268" s="552"/>
    </row>
    <row r="269" spans="1:5" x14ac:dyDescent="0.25">
      <c r="A269" s="552"/>
      <c r="B269" s="572" t="str">
        <f>IF(A269&lt;&gt;"",INDEX('Base de données'!A$4:L$990,MATCH(A269,'Base de données'!A$4:A$990,0),2),"")</f>
        <v/>
      </c>
      <c r="C269" s="572" t="str">
        <f>IF(A269&lt;&gt;"",INDEX('Base de données'!A$4:L$990,MATCH(A269,'Base de données'!A$4:A$990,0),12),"")</f>
        <v/>
      </c>
      <c r="D269" s="552"/>
      <c r="E269" s="552"/>
    </row>
    <row r="270" spans="1:5" x14ac:dyDescent="0.25">
      <c r="A270" s="552"/>
      <c r="B270" s="572" t="str">
        <f>IF(A270&lt;&gt;"",INDEX('Base de données'!A$4:L$990,MATCH(A270,'Base de données'!A$4:A$990,0),2),"")</f>
        <v/>
      </c>
      <c r="C270" s="572" t="str">
        <f>IF(A270&lt;&gt;"",INDEX('Base de données'!A$4:L$990,MATCH(A270,'Base de données'!A$4:A$990,0),12),"")</f>
        <v/>
      </c>
      <c r="D270" s="552"/>
      <c r="E270" s="552"/>
    </row>
    <row r="271" spans="1:5" x14ac:dyDescent="0.25">
      <c r="A271" s="552"/>
      <c r="B271" s="572" t="str">
        <f>IF(A271&lt;&gt;"",INDEX('Base de données'!A$4:L$990,MATCH(A271,'Base de données'!A$4:A$990,0),2),"")</f>
        <v/>
      </c>
      <c r="C271" s="572" t="str">
        <f>IF(A271&lt;&gt;"",INDEX('Base de données'!A$4:L$990,MATCH(A271,'Base de données'!A$4:A$990,0),12),"")</f>
        <v/>
      </c>
      <c r="D271" s="552"/>
      <c r="E271" s="552"/>
    </row>
    <row r="272" spans="1:5" x14ac:dyDescent="0.25">
      <c r="A272" s="552"/>
      <c r="B272" s="572" t="str">
        <f>IF(A272&lt;&gt;"",INDEX('Base de données'!A$4:L$990,MATCH(A272,'Base de données'!A$4:A$990,0),2),"")</f>
        <v/>
      </c>
      <c r="C272" s="572" t="str">
        <f>IF(A272&lt;&gt;"",INDEX('Base de données'!A$4:L$990,MATCH(A272,'Base de données'!A$4:A$990,0),12),"")</f>
        <v/>
      </c>
      <c r="D272" s="552"/>
      <c r="E272" s="552"/>
    </row>
    <row r="273" spans="1:5" x14ac:dyDescent="0.25">
      <c r="A273" s="552"/>
      <c r="B273" s="572" t="str">
        <f>IF(A273&lt;&gt;"",INDEX('Base de données'!A$4:L$990,MATCH(A273,'Base de données'!A$4:A$990,0),2),"")</f>
        <v/>
      </c>
      <c r="C273" s="572" t="str">
        <f>IF(A273&lt;&gt;"",INDEX('Base de données'!A$4:L$990,MATCH(A273,'Base de données'!A$4:A$990,0),12),"")</f>
        <v/>
      </c>
      <c r="D273" s="552"/>
      <c r="E273" s="552"/>
    </row>
    <row r="274" spans="1:5" x14ac:dyDescent="0.25">
      <c r="A274" s="552"/>
      <c r="B274" s="572" t="str">
        <f>IF(A274&lt;&gt;"",INDEX('Base de données'!A$4:L$990,MATCH(A274,'Base de données'!A$4:A$990,0),2),"")</f>
        <v/>
      </c>
      <c r="C274" s="572" t="str">
        <f>IF(A274&lt;&gt;"",INDEX('Base de données'!A$4:L$990,MATCH(A274,'Base de données'!A$4:A$990,0),12),"")</f>
        <v/>
      </c>
      <c r="D274" s="552"/>
      <c r="E274" s="552"/>
    </row>
    <row r="275" spans="1:5" x14ac:dyDescent="0.25">
      <c r="A275" s="552"/>
      <c r="B275" s="572" t="str">
        <f>IF(A275&lt;&gt;"",INDEX('Base de données'!A$4:L$990,MATCH(A275,'Base de données'!A$4:A$990,0),2),"")</f>
        <v/>
      </c>
      <c r="C275" s="572" t="str">
        <f>IF(A275&lt;&gt;"",INDEX('Base de données'!A$4:L$990,MATCH(A275,'Base de données'!A$4:A$990,0),12),"")</f>
        <v/>
      </c>
      <c r="D275" s="552"/>
      <c r="E275" s="552"/>
    </row>
    <row r="276" spans="1:5" x14ac:dyDescent="0.25">
      <c r="A276" s="552"/>
      <c r="B276" s="572" t="str">
        <f>IF(A276&lt;&gt;"",INDEX('Base de données'!A$4:L$990,MATCH(A276,'Base de données'!A$4:A$990,0),2),"")</f>
        <v/>
      </c>
      <c r="C276" s="572" t="str">
        <f>IF(A276&lt;&gt;"",INDEX('Base de données'!A$4:L$990,MATCH(A276,'Base de données'!A$4:A$990,0),12),"")</f>
        <v/>
      </c>
      <c r="D276" s="552"/>
      <c r="E276" s="552"/>
    </row>
    <row r="277" spans="1:5" x14ac:dyDescent="0.25">
      <c r="A277" s="552"/>
      <c r="B277" s="572" t="str">
        <f>IF(A277&lt;&gt;"",INDEX('Base de données'!A$4:L$990,MATCH(A277,'Base de données'!A$4:A$990,0),2),"")</f>
        <v/>
      </c>
      <c r="C277" s="572" t="str">
        <f>IF(A277&lt;&gt;"",INDEX('Base de données'!A$4:L$990,MATCH(A277,'Base de données'!A$4:A$990,0),12),"")</f>
        <v/>
      </c>
      <c r="D277" s="552"/>
      <c r="E277" s="552"/>
    </row>
    <row r="278" spans="1:5" x14ac:dyDescent="0.25">
      <c r="A278" s="552"/>
      <c r="B278" s="572" t="str">
        <f>IF(A278&lt;&gt;"",INDEX('Base de données'!A$4:L$990,MATCH(A278,'Base de données'!A$4:A$990,0),2),"")</f>
        <v/>
      </c>
      <c r="C278" s="572" t="str">
        <f>IF(A278&lt;&gt;"",INDEX('Base de données'!A$4:L$990,MATCH(A278,'Base de données'!A$4:A$990,0),12),"")</f>
        <v/>
      </c>
      <c r="D278" s="552"/>
      <c r="E278" s="552"/>
    </row>
    <row r="279" spans="1:5" x14ac:dyDescent="0.25">
      <c r="A279" s="552"/>
      <c r="B279" s="572" t="str">
        <f>IF(A279&lt;&gt;"",INDEX('Base de données'!A$4:L$990,MATCH(A279,'Base de données'!A$4:A$990,0),2),"")</f>
        <v/>
      </c>
      <c r="C279" s="572" t="str">
        <f>IF(A279&lt;&gt;"",INDEX('Base de données'!A$4:L$990,MATCH(A279,'Base de données'!A$4:A$990,0),12),"")</f>
        <v/>
      </c>
      <c r="D279" s="552"/>
      <c r="E279" s="552"/>
    </row>
    <row r="280" spans="1:5" x14ac:dyDescent="0.25">
      <c r="A280" s="552"/>
      <c r="B280" s="572" t="str">
        <f>IF(A280&lt;&gt;"",INDEX('Base de données'!A$4:L$990,MATCH(A280,'Base de données'!A$4:A$990,0),2),"")</f>
        <v/>
      </c>
      <c r="C280" s="572" t="str">
        <f>IF(A280&lt;&gt;"",INDEX('Base de données'!A$4:L$990,MATCH(A280,'Base de données'!A$4:A$990,0),12),"")</f>
        <v/>
      </c>
      <c r="D280" s="552"/>
      <c r="E280" s="552"/>
    </row>
    <row r="281" spans="1:5" x14ac:dyDescent="0.25">
      <c r="A281" s="552"/>
      <c r="B281" s="572" t="str">
        <f>IF(A281&lt;&gt;"",INDEX('Base de données'!A$4:L$990,MATCH(A281,'Base de données'!A$4:A$990,0),2),"")</f>
        <v/>
      </c>
      <c r="C281" s="572" t="str">
        <f>IF(A281&lt;&gt;"",INDEX('Base de données'!A$4:L$990,MATCH(A281,'Base de données'!A$4:A$990,0),12),"")</f>
        <v/>
      </c>
      <c r="D281" s="552"/>
      <c r="E281" s="552"/>
    </row>
    <row r="282" spans="1:5" x14ac:dyDescent="0.25">
      <c r="A282" s="552"/>
      <c r="B282" s="572" t="str">
        <f>IF(A282&lt;&gt;"",INDEX('Base de données'!A$4:L$990,MATCH(A282,'Base de données'!A$4:A$990,0),2),"")</f>
        <v/>
      </c>
      <c r="C282" s="572" t="str">
        <f>IF(A282&lt;&gt;"",INDEX('Base de données'!A$4:L$990,MATCH(A282,'Base de données'!A$4:A$990,0),12),"")</f>
        <v/>
      </c>
      <c r="D282" s="552"/>
      <c r="E282" s="552"/>
    </row>
    <row r="283" spans="1:5" x14ac:dyDescent="0.25">
      <c r="A283" s="552"/>
      <c r="B283" s="572" t="str">
        <f>IF(A283&lt;&gt;"",INDEX('Base de données'!A$4:L$990,MATCH(A283,'Base de données'!A$4:A$990,0),2),"")</f>
        <v/>
      </c>
      <c r="C283" s="572" t="str">
        <f>IF(A283&lt;&gt;"",INDEX('Base de données'!A$4:L$990,MATCH(A283,'Base de données'!A$4:A$990,0),12),"")</f>
        <v/>
      </c>
      <c r="D283" s="552"/>
      <c r="E283" s="552"/>
    </row>
    <row r="284" spans="1:5" x14ac:dyDescent="0.25">
      <c r="A284" s="552"/>
      <c r="B284" s="572" t="str">
        <f>IF(A284&lt;&gt;"",INDEX('Base de données'!A$4:L$990,MATCH(A284,'Base de données'!A$4:A$990,0),2),"")</f>
        <v/>
      </c>
      <c r="C284" s="572" t="str">
        <f>IF(A284&lt;&gt;"",INDEX('Base de données'!A$4:L$990,MATCH(A284,'Base de données'!A$4:A$990,0),12),"")</f>
        <v/>
      </c>
      <c r="D284" s="552"/>
      <c r="E284" s="552"/>
    </row>
    <row r="285" spans="1:5" x14ac:dyDescent="0.25">
      <c r="A285" s="552"/>
      <c r="B285" s="572" t="str">
        <f>IF(A285&lt;&gt;"",INDEX('Base de données'!A$4:L$990,MATCH(A285,'Base de données'!A$4:A$990,0),2),"")</f>
        <v/>
      </c>
      <c r="C285" s="572" t="str">
        <f>IF(A285&lt;&gt;"",INDEX('Base de données'!A$4:L$990,MATCH(A285,'Base de données'!A$4:A$990,0),12),"")</f>
        <v/>
      </c>
      <c r="D285" s="552"/>
      <c r="E285" s="552"/>
    </row>
    <row r="286" spans="1:5" x14ac:dyDescent="0.25">
      <c r="A286" s="552"/>
      <c r="B286" s="572" t="str">
        <f>IF(A286&lt;&gt;"",INDEX('Base de données'!A$4:L$990,MATCH(A286,'Base de données'!A$4:A$990,0),2),"")</f>
        <v/>
      </c>
      <c r="C286" s="572" t="str">
        <f>IF(A286&lt;&gt;"",INDEX('Base de données'!A$4:L$990,MATCH(A286,'Base de données'!A$4:A$990,0),12),"")</f>
        <v/>
      </c>
      <c r="D286" s="552"/>
      <c r="E286" s="552"/>
    </row>
    <row r="287" spans="1:5" x14ac:dyDescent="0.25">
      <c r="A287" s="552"/>
      <c r="B287" s="572" t="str">
        <f>IF(A287&lt;&gt;"",INDEX('Base de données'!A$4:L$990,MATCH(A287,'Base de données'!A$4:A$990,0),2),"")</f>
        <v/>
      </c>
      <c r="C287" s="572" t="str">
        <f>IF(A287&lt;&gt;"",INDEX('Base de données'!A$4:L$990,MATCH(A287,'Base de données'!A$4:A$990,0),12),"")</f>
        <v/>
      </c>
      <c r="D287" s="552"/>
      <c r="E287" s="552"/>
    </row>
    <row r="288" spans="1:5" x14ac:dyDescent="0.25">
      <c r="A288" s="552"/>
      <c r="B288" s="572" t="str">
        <f>IF(A288&lt;&gt;"",INDEX('Base de données'!A$4:L$990,MATCH(A288,'Base de données'!A$4:A$990,0),2),"")</f>
        <v/>
      </c>
      <c r="C288" s="572" t="str">
        <f>IF(A288&lt;&gt;"",INDEX('Base de données'!A$4:L$990,MATCH(A288,'Base de données'!A$4:A$990,0),12),"")</f>
        <v/>
      </c>
      <c r="D288" s="552"/>
      <c r="E288" s="552"/>
    </row>
    <row r="289" spans="1:5" x14ac:dyDescent="0.25">
      <c r="A289" s="552"/>
      <c r="B289" s="572" t="str">
        <f>IF(A289&lt;&gt;"",INDEX('Base de données'!A$4:L$990,MATCH(A289,'Base de données'!A$4:A$990,0),2),"")</f>
        <v/>
      </c>
      <c r="C289" s="572" t="str">
        <f>IF(A289&lt;&gt;"",INDEX('Base de données'!A$4:L$990,MATCH(A289,'Base de données'!A$4:A$990,0),12),"")</f>
        <v/>
      </c>
      <c r="D289" s="552"/>
      <c r="E289" s="552"/>
    </row>
    <row r="290" spans="1:5" x14ac:dyDescent="0.25">
      <c r="A290" s="552"/>
      <c r="B290" s="572" t="str">
        <f>IF(A290&lt;&gt;"",INDEX('Base de données'!A$4:L$990,MATCH(A290,'Base de données'!A$4:A$990,0),2),"")</f>
        <v/>
      </c>
      <c r="C290" s="572" t="str">
        <f>IF(A290&lt;&gt;"",INDEX('Base de données'!A$4:L$990,MATCH(A290,'Base de données'!A$4:A$990,0),12),"")</f>
        <v/>
      </c>
      <c r="D290" s="552"/>
      <c r="E290" s="552"/>
    </row>
    <row r="291" spans="1:5" x14ac:dyDescent="0.25">
      <c r="A291" s="552"/>
      <c r="B291" s="572" t="str">
        <f>IF(A291&lt;&gt;"",INDEX('Base de données'!A$4:L$990,MATCH(A291,'Base de données'!A$4:A$990,0),2),"")</f>
        <v/>
      </c>
      <c r="C291" s="572" t="str">
        <f>IF(A291&lt;&gt;"",INDEX('Base de données'!A$4:L$990,MATCH(A291,'Base de données'!A$4:A$990,0),12),"")</f>
        <v/>
      </c>
      <c r="D291" s="552"/>
      <c r="E291" s="552"/>
    </row>
    <row r="292" spans="1:5" x14ac:dyDescent="0.25">
      <c r="A292" s="552"/>
      <c r="B292" s="572" t="str">
        <f>IF(A292&lt;&gt;"",INDEX('Base de données'!A$4:L$990,MATCH(A292,'Base de données'!A$4:A$990,0),2),"")</f>
        <v/>
      </c>
      <c r="C292" s="572" t="str">
        <f>IF(A292&lt;&gt;"",INDEX('Base de données'!A$4:L$990,MATCH(A292,'Base de données'!A$4:A$990,0),12),"")</f>
        <v/>
      </c>
      <c r="D292" s="552"/>
      <c r="E292" s="552"/>
    </row>
    <row r="293" spans="1:5" x14ac:dyDescent="0.25">
      <c r="A293" s="552"/>
      <c r="B293" s="572" t="str">
        <f>IF(A293&lt;&gt;"",INDEX('Base de données'!A$4:L$990,MATCH(A293,'Base de données'!A$4:A$990,0),2),"")</f>
        <v/>
      </c>
      <c r="C293" s="572" t="str">
        <f>IF(A293&lt;&gt;"",INDEX('Base de données'!A$4:L$990,MATCH(A293,'Base de données'!A$4:A$990,0),12),"")</f>
        <v/>
      </c>
      <c r="D293" s="552"/>
      <c r="E293" s="552"/>
    </row>
    <row r="294" spans="1:5" x14ac:dyDescent="0.25">
      <c r="A294" s="552"/>
      <c r="B294" s="572" t="str">
        <f>IF(A294&lt;&gt;"",INDEX('Base de données'!A$4:L$990,MATCH(A294,'Base de données'!A$4:A$990,0),2),"")</f>
        <v/>
      </c>
      <c r="C294" s="572" t="str">
        <f>IF(A294&lt;&gt;"",INDEX('Base de données'!A$4:L$990,MATCH(A294,'Base de données'!A$4:A$990,0),12),"")</f>
        <v/>
      </c>
      <c r="D294" s="552"/>
      <c r="E294" s="552"/>
    </row>
    <row r="295" spans="1:5" x14ac:dyDescent="0.25">
      <c r="A295" s="552"/>
      <c r="B295" s="572" t="str">
        <f>IF(A295&lt;&gt;"",INDEX('Base de données'!A$4:L$990,MATCH(A295,'Base de données'!A$4:A$990,0),2),"")</f>
        <v/>
      </c>
      <c r="C295" s="572" t="str">
        <f>IF(A295&lt;&gt;"",INDEX('Base de données'!A$4:L$990,MATCH(A295,'Base de données'!A$4:A$990,0),12),"")</f>
        <v/>
      </c>
      <c r="D295" s="552"/>
      <c r="E295" s="552"/>
    </row>
    <row r="296" spans="1:5" x14ac:dyDescent="0.25">
      <c r="A296" s="552"/>
      <c r="B296" s="572" t="str">
        <f>IF(A296&lt;&gt;"",INDEX('Base de données'!A$4:L$990,MATCH(A296,'Base de données'!A$4:A$990,0),2),"")</f>
        <v/>
      </c>
      <c r="C296" s="572" t="str">
        <f>IF(A296&lt;&gt;"",INDEX('Base de données'!A$4:L$990,MATCH(A296,'Base de données'!A$4:A$990,0),12),"")</f>
        <v/>
      </c>
      <c r="D296" s="552"/>
      <c r="E296" s="552"/>
    </row>
    <row r="297" spans="1:5" x14ac:dyDescent="0.25">
      <c r="A297" s="552"/>
      <c r="B297" s="572" t="str">
        <f>IF(A297&lt;&gt;"",INDEX('Base de données'!A$4:L$990,MATCH(A297,'Base de données'!A$4:A$990,0),2),"")</f>
        <v/>
      </c>
      <c r="C297" s="572" t="str">
        <f>IF(A297&lt;&gt;"",INDEX('Base de données'!A$4:L$990,MATCH(A297,'Base de données'!A$4:A$990,0),12),"")</f>
        <v/>
      </c>
      <c r="D297" s="552"/>
      <c r="E297" s="552"/>
    </row>
    <row r="298" spans="1:5" x14ac:dyDescent="0.25">
      <c r="A298" s="552"/>
      <c r="B298" s="572" t="str">
        <f>IF(A298&lt;&gt;"",INDEX('Base de données'!A$4:L$990,MATCH(A298,'Base de données'!A$4:A$990,0),2),"")</f>
        <v/>
      </c>
      <c r="C298" s="572" t="str">
        <f>IF(A298&lt;&gt;"",INDEX('Base de données'!A$4:L$990,MATCH(A298,'Base de données'!A$4:A$990,0),12),"")</f>
        <v/>
      </c>
      <c r="D298" s="552"/>
      <c r="E298" s="552"/>
    </row>
    <row r="299" spans="1:5" x14ac:dyDescent="0.25">
      <c r="A299" s="552"/>
      <c r="B299" s="572" t="str">
        <f>IF(A299&lt;&gt;"",INDEX('Base de données'!A$4:L$990,MATCH(A299,'Base de données'!A$4:A$990,0),2),"")</f>
        <v/>
      </c>
      <c r="C299" s="572" t="str">
        <f>IF(A299&lt;&gt;"",INDEX('Base de données'!A$4:L$990,MATCH(A299,'Base de données'!A$4:A$990,0),12),"")</f>
        <v/>
      </c>
      <c r="D299" s="552"/>
      <c r="E299" s="552"/>
    </row>
    <row r="300" spans="1:5" x14ac:dyDescent="0.25">
      <c r="A300" s="552"/>
      <c r="B300" s="572" t="str">
        <f>IF(A300&lt;&gt;"",INDEX('Base de données'!A$4:L$990,MATCH(A300,'Base de données'!A$4:A$990,0),2),"")</f>
        <v/>
      </c>
      <c r="C300" s="572" t="str">
        <f>IF(A300&lt;&gt;"",INDEX('Base de données'!A$4:L$990,MATCH(A300,'Base de données'!A$4:A$990,0),12),"")</f>
        <v/>
      </c>
      <c r="D300" s="552"/>
      <c r="E300" s="552"/>
    </row>
    <row r="301" spans="1:5" x14ac:dyDescent="0.25">
      <c r="A301" s="552"/>
      <c r="B301" s="572" t="str">
        <f>IF(A301&lt;&gt;"",INDEX('Base de données'!A$4:L$990,MATCH(A301,'Base de données'!A$4:A$990,0),2),"")</f>
        <v/>
      </c>
      <c r="C301" s="572" t="str">
        <f>IF(A301&lt;&gt;"",INDEX('Base de données'!A$4:L$990,MATCH(A301,'Base de données'!A$4:A$990,0),12),"")</f>
        <v/>
      </c>
      <c r="D301" s="552"/>
      <c r="E301" s="552"/>
    </row>
    <row r="302" spans="1:5" x14ac:dyDescent="0.25">
      <c r="A302" s="552"/>
      <c r="B302" s="572" t="str">
        <f>IF(A302&lt;&gt;"",INDEX('Base de données'!A$4:L$990,MATCH(A302,'Base de données'!A$4:A$990,0),2),"")</f>
        <v/>
      </c>
      <c r="C302" s="572" t="str">
        <f>IF(A302&lt;&gt;"",INDEX('Base de données'!A$4:L$990,MATCH(A302,'Base de données'!A$4:A$990,0),12),"")</f>
        <v/>
      </c>
      <c r="D302" s="552"/>
      <c r="E302" s="552"/>
    </row>
    <row r="303" spans="1:5" x14ac:dyDescent="0.25">
      <c r="A303" s="552"/>
      <c r="B303" s="572" t="str">
        <f>IF(A303&lt;&gt;"",INDEX('Base de données'!A$4:L$990,MATCH(A303,'Base de données'!A$4:A$990,0),2),"")</f>
        <v/>
      </c>
      <c r="C303" s="572" t="str">
        <f>IF(A303&lt;&gt;"",INDEX('Base de données'!A$4:L$990,MATCH(A303,'Base de données'!A$4:A$990,0),12),"")</f>
        <v/>
      </c>
      <c r="D303" s="552"/>
      <c r="E303" s="552"/>
    </row>
    <row r="304" spans="1:5" x14ac:dyDescent="0.25">
      <c r="A304" s="552"/>
      <c r="B304" s="572" t="str">
        <f>IF(A304&lt;&gt;"",INDEX('Base de données'!A$4:L$990,MATCH(A304,'Base de données'!A$4:A$990,0),2),"")</f>
        <v/>
      </c>
      <c r="C304" s="572" t="str">
        <f>IF(A304&lt;&gt;"",INDEX('Base de données'!A$4:L$990,MATCH(A304,'Base de données'!A$4:A$990,0),12),"")</f>
        <v/>
      </c>
      <c r="D304" s="552"/>
      <c r="E304" s="552"/>
    </row>
    <row r="305" spans="1:5" x14ac:dyDescent="0.25">
      <c r="A305" s="552"/>
      <c r="B305" s="572" t="str">
        <f>IF(A305&lt;&gt;"",INDEX('Base de données'!A$4:L$990,MATCH(A305,'Base de données'!A$4:A$990,0),2),"")</f>
        <v/>
      </c>
      <c r="C305" s="572" t="str">
        <f>IF(A305&lt;&gt;"",INDEX('Base de données'!A$4:L$990,MATCH(A305,'Base de données'!A$4:A$990,0),12),"")</f>
        <v/>
      </c>
      <c r="D305" s="552"/>
      <c r="E305" s="552"/>
    </row>
    <row r="306" spans="1:5" x14ac:dyDescent="0.25">
      <c r="A306" s="552"/>
      <c r="B306" s="572" t="str">
        <f>IF(A306&lt;&gt;"",INDEX('Base de données'!A$4:L$990,MATCH(A306,'Base de données'!A$4:A$990,0),2),"")</f>
        <v/>
      </c>
      <c r="C306" s="572" t="str">
        <f>IF(A306&lt;&gt;"",INDEX('Base de données'!A$4:L$990,MATCH(A306,'Base de données'!A$4:A$990,0),12),"")</f>
        <v/>
      </c>
      <c r="D306" s="552"/>
      <c r="E306" s="552"/>
    </row>
    <row r="307" spans="1:5" x14ac:dyDescent="0.25">
      <c r="A307" s="552"/>
      <c r="B307" s="572" t="str">
        <f>IF(A307&lt;&gt;"",INDEX('Base de données'!A$4:L$990,MATCH(A307,'Base de données'!A$4:A$990,0),2),"")</f>
        <v/>
      </c>
      <c r="C307" s="572" t="str">
        <f>IF(A307&lt;&gt;"",INDEX('Base de données'!A$4:L$990,MATCH(A307,'Base de données'!A$4:A$990,0),12),"")</f>
        <v/>
      </c>
      <c r="D307" s="552"/>
      <c r="E307" s="552"/>
    </row>
    <row r="308" spans="1:5" x14ac:dyDescent="0.25">
      <c r="A308" s="552"/>
      <c r="B308" s="572" t="str">
        <f>IF(A308&lt;&gt;"",INDEX('Base de données'!A$4:L$990,MATCH(A308,'Base de données'!A$4:A$990,0),2),"")</f>
        <v/>
      </c>
      <c r="C308" s="572" t="str">
        <f>IF(A308&lt;&gt;"",INDEX('Base de données'!A$4:L$990,MATCH(A308,'Base de données'!A$4:A$990,0),12),"")</f>
        <v/>
      </c>
      <c r="D308" s="552"/>
      <c r="E308" s="552"/>
    </row>
    <row r="309" spans="1:5" x14ac:dyDescent="0.25">
      <c r="A309" s="552"/>
      <c r="B309" s="572" t="str">
        <f>IF(A309&lt;&gt;"",INDEX('Base de données'!A$4:L$990,MATCH(A309,'Base de données'!A$4:A$990,0),2),"")</f>
        <v/>
      </c>
      <c r="C309" s="572" t="str">
        <f>IF(A309&lt;&gt;"",INDEX('Base de données'!A$4:L$990,MATCH(A309,'Base de données'!A$4:A$990,0),12),"")</f>
        <v/>
      </c>
      <c r="D309" s="552"/>
      <c r="E309" s="552"/>
    </row>
    <row r="310" spans="1:5" x14ac:dyDescent="0.25">
      <c r="A310" s="552"/>
      <c r="B310" s="572" t="str">
        <f>IF(A310&lt;&gt;"",INDEX('Base de données'!A$4:L$990,MATCH(A310,'Base de données'!A$4:A$990,0),2),"")</f>
        <v/>
      </c>
      <c r="C310" s="572" t="str">
        <f>IF(A310&lt;&gt;"",INDEX('Base de données'!A$4:L$990,MATCH(A310,'Base de données'!A$4:A$990,0),12),"")</f>
        <v/>
      </c>
      <c r="D310" s="552"/>
      <c r="E310" s="552"/>
    </row>
    <row r="311" spans="1:5" x14ac:dyDescent="0.25">
      <c r="A311" s="552"/>
      <c r="B311" s="572" t="str">
        <f>IF(A311&lt;&gt;"",INDEX('Base de données'!A$4:L$990,MATCH(A311,'Base de données'!A$4:A$990,0),2),"")</f>
        <v/>
      </c>
      <c r="C311" s="572" t="str">
        <f>IF(A311&lt;&gt;"",INDEX('Base de données'!A$4:L$990,MATCH(A311,'Base de données'!A$4:A$990,0),12),"")</f>
        <v/>
      </c>
      <c r="D311" s="552"/>
      <c r="E311" s="552"/>
    </row>
    <row r="312" spans="1:5" x14ac:dyDescent="0.25">
      <c r="A312" s="552"/>
      <c r="B312" s="572" t="str">
        <f>IF(A312&lt;&gt;"",INDEX('Base de données'!A$4:L$990,MATCH(A312,'Base de données'!A$4:A$990,0),2),"")</f>
        <v/>
      </c>
      <c r="C312" s="572" t="str">
        <f>IF(A312&lt;&gt;"",INDEX('Base de données'!A$4:L$990,MATCH(A312,'Base de données'!A$4:A$990,0),12),"")</f>
        <v/>
      </c>
      <c r="D312" s="552"/>
      <c r="E312" s="552"/>
    </row>
    <row r="313" spans="1:5" x14ac:dyDescent="0.25">
      <c r="A313" s="552"/>
      <c r="B313" s="572" t="str">
        <f>IF(A313&lt;&gt;"",INDEX('Base de données'!A$4:L$990,MATCH(A313,'Base de données'!A$4:A$990,0),2),"")</f>
        <v/>
      </c>
      <c r="C313" s="572" t="str">
        <f>IF(A313&lt;&gt;"",INDEX('Base de données'!A$4:L$990,MATCH(A313,'Base de données'!A$4:A$990,0),12),"")</f>
        <v/>
      </c>
      <c r="D313" s="552"/>
      <c r="E313" s="552"/>
    </row>
    <row r="314" spans="1:5" x14ac:dyDescent="0.25">
      <c r="A314" s="552"/>
      <c r="B314" s="572" t="str">
        <f>IF(A314&lt;&gt;"",INDEX('Base de données'!A$4:L$990,MATCH(A314,'Base de données'!A$4:A$990,0),2),"")</f>
        <v/>
      </c>
      <c r="C314" s="572" t="str">
        <f>IF(A314&lt;&gt;"",INDEX('Base de données'!A$4:L$990,MATCH(A314,'Base de données'!A$4:A$990,0),12),"")</f>
        <v/>
      </c>
      <c r="D314" s="552"/>
      <c r="E314" s="552"/>
    </row>
    <row r="315" spans="1:5" x14ac:dyDescent="0.25">
      <c r="A315" s="552"/>
      <c r="B315" s="572" t="str">
        <f>IF(A315&lt;&gt;"",INDEX('Base de données'!A$4:L$990,MATCH(A315,'Base de données'!A$4:A$990,0),2),"")</f>
        <v/>
      </c>
      <c r="C315" s="572" t="str">
        <f>IF(A315&lt;&gt;"",INDEX('Base de données'!A$4:L$990,MATCH(A315,'Base de données'!A$4:A$990,0),12),"")</f>
        <v/>
      </c>
      <c r="D315" s="552"/>
      <c r="E315" s="552"/>
    </row>
    <row r="316" spans="1:5" x14ac:dyDescent="0.25">
      <c r="A316" s="552"/>
      <c r="B316" s="572" t="str">
        <f>IF(A316&lt;&gt;"",INDEX('Base de données'!A$4:L$990,MATCH(A316,'Base de données'!A$4:A$990,0),2),"")</f>
        <v/>
      </c>
      <c r="C316" s="572" t="str">
        <f>IF(A316&lt;&gt;"",INDEX('Base de données'!A$4:L$990,MATCH(A316,'Base de données'!A$4:A$990,0),12),"")</f>
        <v/>
      </c>
      <c r="D316" s="552"/>
      <c r="E316" s="552"/>
    </row>
    <row r="317" spans="1:5" x14ac:dyDescent="0.25">
      <c r="A317" s="552"/>
      <c r="B317" s="572" t="str">
        <f>IF(A317&lt;&gt;"",INDEX('Base de données'!A$4:L$990,MATCH(A317,'Base de données'!A$4:A$990,0),2),"")</f>
        <v/>
      </c>
      <c r="C317" s="572" t="str">
        <f>IF(A317&lt;&gt;"",INDEX('Base de données'!A$4:L$990,MATCH(A317,'Base de données'!A$4:A$990,0),12),"")</f>
        <v/>
      </c>
      <c r="D317" s="552"/>
      <c r="E317" s="552"/>
    </row>
    <row r="318" spans="1:5" x14ac:dyDescent="0.25">
      <c r="A318" s="552"/>
      <c r="B318" s="572" t="str">
        <f>IF(A318&lt;&gt;"",INDEX('Base de données'!A$4:L$990,MATCH(A318,'Base de données'!A$4:A$990,0),2),"")</f>
        <v/>
      </c>
      <c r="C318" s="572" t="str">
        <f>IF(A318&lt;&gt;"",INDEX('Base de données'!A$4:L$990,MATCH(A318,'Base de données'!A$4:A$990,0),12),"")</f>
        <v/>
      </c>
      <c r="D318" s="552"/>
      <c r="E318" s="552"/>
    </row>
  </sheetData>
  <sheetProtection sheet="1" objects="1" scenarios="1" deleteColumns="0" deleteRows="0" selectLockedCells="1" autoFilter="0"/>
  <autoFilter ref="A5:E5"/>
  <conditionalFormatting sqref="A6:A318">
    <cfRule type="duplicateValues" dxfId="4" priority="4"/>
  </conditionalFormatting>
  <dataValidations count="1">
    <dataValidation type="list" allowBlank="1" showInputMessage="1" sqref="J5">
      <formula1>"KHAMISSA HDIMANE,DAOUD ISSKELA,RACHID NAAIMI ,FATIMA EZZAHRA JAIZI,NAJAT SAOUD,MOHAMED ESSAID,Med EGHIZ,HALIMA OUIJANE,FATIMA EZZAHRA AIT AHMED,ZINEB ELKHOUDARI,"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5" operator="greaterThan" id="{B5300E4C-CE31-40EB-B8EC-F3C517690D92}">
            <xm:f>'Calendrier fiscal'!$H$36</xm:f>
            <x14:dxf>
              <fill>
                <patternFill>
                  <bgColor rgb="FFFF0000"/>
                </patternFill>
              </fill>
            </x14:dxf>
          </x14:cfRule>
          <xm:sqref>D209:E318 D6:D10 E27:E208</xm:sqref>
        </x14:conditionalFormatting>
        <x14:conditionalFormatting xmlns:xm="http://schemas.microsoft.com/office/excel/2006/main">
          <x14:cfRule type="cellIs" priority="3" operator="greaterThan" id="{5BF2D6F5-7CB6-400A-B27E-1A197F44D3DF}">
            <xm:f>'Calendrier fiscal'!$H$36</xm:f>
            <x14:dxf>
              <fill>
                <patternFill>
                  <bgColor rgb="FFFF0000"/>
                </patternFill>
              </fill>
            </x14:dxf>
          </x14:cfRule>
          <xm:sqref>D11:D30</xm:sqref>
        </x14:conditionalFormatting>
        <x14:conditionalFormatting xmlns:xm="http://schemas.microsoft.com/office/excel/2006/main">
          <x14:cfRule type="cellIs" priority="2" operator="greaterThan" id="{9A69D735-68E4-4061-8663-2E77CDB49C0B}">
            <xm:f>'Calendrier fiscal'!$H$36</xm:f>
            <x14:dxf>
              <fill>
                <patternFill>
                  <bgColor rgb="FFFF0000"/>
                </patternFill>
              </fill>
            </x14:dxf>
          </x14:cfRule>
          <xm:sqref>D31:D208</xm:sqref>
        </x14:conditionalFormatting>
        <x14:conditionalFormatting xmlns:xm="http://schemas.microsoft.com/office/excel/2006/main">
          <x14:cfRule type="cellIs" priority="1" operator="greaterThan" id="{18A407F7-24F1-4C2B-8890-919278892EFB}">
            <xm:f>'Calendrier fiscal'!$H$36</xm:f>
            <x14:dxf>
              <fill>
                <patternFill>
                  <bgColor rgb="FFFF0000"/>
                </patternFill>
              </fill>
            </x14:dxf>
          </x14:cfRule>
          <xm:sqref>E6:E26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>
    <tabColor theme="1"/>
  </sheetPr>
  <dimension ref="B1:J47"/>
  <sheetViews>
    <sheetView showGridLines="0" workbookViewId="0">
      <pane xSplit="2" ySplit="2" topLeftCell="C6" activePane="bottomRight" state="frozen"/>
      <selection pane="topRight" activeCell="C1" sqref="C1"/>
      <selection pane="bottomLeft" activeCell="A3" sqref="A3"/>
      <selection pane="bottomRight" activeCell="E2" sqref="E2"/>
    </sheetView>
  </sheetViews>
  <sheetFormatPr baseColWidth="10" defaultColWidth="11.42578125" defaultRowHeight="15" x14ac:dyDescent="0.25"/>
  <cols>
    <col min="1" max="1" width="4" style="87" customWidth="1"/>
    <col min="2" max="2" width="23.42578125" style="87" customWidth="1"/>
    <col min="3" max="3" width="23.140625" style="87" customWidth="1"/>
    <col min="4" max="4" width="23.28515625" style="87" customWidth="1"/>
    <col min="5" max="5" width="20.85546875" style="87" customWidth="1"/>
    <col min="6" max="6" width="28.42578125" style="87" customWidth="1"/>
    <col min="7" max="7" width="23.28515625" style="87" customWidth="1"/>
    <col min="8" max="8" width="22.28515625" style="87" customWidth="1"/>
    <col min="9" max="9" width="19.28515625" style="87" customWidth="1"/>
    <col min="10" max="10" width="19.42578125" style="87" customWidth="1"/>
    <col min="11" max="11" width="21.42578125" style="87" customWidth="1"/>
    <col min="12" max="16384" width="11.42578125" style="87"/>
  </cols>
  <sheetData>
    <row r="1" spans="3:10" ht="15.75" thickBot="1" x14ac:dyDescent="0.3"/>
    <row r="2" spans="3:10" ht="17.25" thickTop="1" thickBot="1" x14ac:dyDescent="0.3">
      <c r="D2" s="193" t="s">
        <v>625</v>
      </c>
      <c r="E2" s="268">
        <v>15</v>
      </c>
      <c r="F2" s="194" t="str">
        <f>_xlfn.IFNA(INDEX('Base de données'!A$4:L$990,MATCH($E$2,'Base de données'!A$4:A$990,0),2),"Aucun client")</f>
        <v>ATLANTIC MEDICAL</v>
      </c>
    </row>
    <row r="3" spans="3:10" x14ac:dyDescent="0.25">
      <c r="E3" s="195"/>
    </row>
    <row r="5" spans="3:10" ht="15.75" thickBot="1" x14ac:dyDescent="0.3"/>
    <row r="6" spans="3:10" x14ac:dyDescent="0.25">
      <c r="C6" s="196" t="s">
        <v>626</v>
      </c>
      <c r="D6" s="197" t="str">
        <f>_xlfn.IFNA(INDEX('Base de données'!A$4:L$990,MATCH($E$2,'Base de données'!A$4:A$990,0),2),"")</f>
        <v>ATLANTIC MEDICAL</v>
      </c>
      <c r="E6" s="198" t="s">
        <v>627</v>
      </c>
      <c r="F6" s="199" t="str">
        <f>IFERROR(INDEX('Base de données'!A$4:L$990,MATCH($E$2,'Base de données'!A$4:A$990,0),5)&amp;"","")</f>
        <v>6505097</v>
      </c>
      <c r="G6" s="200" t="s">
        <v>1224</v>
      </c>
      <c r="H6" s="201" t="str">
        <f>IFERROR(INDEX('Base de données'!A$4:L$990,MATCH($E$2,'Base de données'!A$4:A$990,0),9)&amp;"","")</f>
        <v>14803</v>
      </c>
      <c r="I6" s="202"/>
      <c r="J6" s="202"/>
    </row>
    <row r="7" spans="3:10" x14ac:dyDescent="0.25">
      <c r="C7" s="203" t="s">
        <v>632</v>
      </c>
      <c r="D7" s="204" t="str">
        <f>_xlfn.IFNA(INDEX('Base de données'!A$4:L$990,MATCH($E$2,'Base de données'!A$4:A$990,0),12),"")</f>
        <v>DAOUD ISSKELA</v>
      </c>
      <c r="E7" s="205" t="s">
        <v>628</v>
      </c>
      <c r="F7" s="206" t="str">
        <f>IFERROR(INDEX('Base de données'!A$4:L$990,MATCH($E$2,'Base de données'!A$4:A$990,0),6)&amp;"","")</f>
        <v>47916873</v>
      </c>
      <c r="G7" s="207" t="s">
        <v>629</v>
      </c>
      <c r="H7" s="208">
        <f>IFERROR(VALUE(INDEX('Base de données'!A$4:L$990,MATCH($E$2,'Base de données'!A$4:A$990,0),10)&amp;""),"")</f>
        <v>37530</v>
      </c>
      <c r="I7" s="202"/>
      <c r="J7" s="202"/>
    </row>
    <row r="8" spans="3:10" x14ac:dyDescent="0.25">
      <c r="C8" s="203" t="s">
        <v>476</v>
      </c>
      <c r="D8" s="209" t="str">
        <f>IFERROR(INDEX('Base de données'!A$4:L$990,MATCH($E$2,'Base de données'!A$4:A$990,0),3)&amp;"","")</f>
        <v/>
      </c>
      <c r="E8" s="205" t="s">
        <v>5</v>
      </c>
      <c r="F8" s="206" t="str">
        <f>IFERROR(INDEX('Base de données'!A$4:L$990,MATCH($E$2,'Base de données'!A$4:A$990,0),7)&amp;"","")</f>
        <v>000100306000075</v>
      </c>
      <c r="G8" s="210" t="s">
        <v>630</v>
      </c>
      <c r="H8" s="661" t="str">
        <f>IFERROR(INDEX('Base de données'!A$4:L$990,MATCH($E$2,'Base de données'!A$4:A$990,0),11)&amp;"","")</f>
        <v>MARCHAND IMPORTEUR VENDANT 
EN DEMI GROS</v>
      </c>
      <c r="I8" s="202"/>
      <c r="J8" s="202"/>
    </row>
    <row r="9" spans="3:10" ht="24" customHeight="1" thickBot="1" x14ac:dyDescent="0.3">
      <c r="C9" s="211" t="s">
        <v>0</v>
      </c>
      <c r="D9" s="212" t="str">
        <f>IFERROR(INDEX('Base de données'!A$4:L$990,MATCH($E$2,'Base de données'!A$4:A$990,0),4)&amp;"","")</f>
        <v>MASSIRA 2 A N° 829</v>
      </c>
      <c r="E9" s="213" t="s">
        <v>4</v>
      </c>
      <c r="F9" s="214" t="str">
        <f>IFERROR(INDEX('Base de données'!A$4:L$990,MATCH($E$2,'Base de données'!A$4:A$990,0),8)&amp;"","")</f>
        <v>6435946</v>
      </c>
      <c r="G9" s="215"/>
      <c r="H9" s="662"/>
      <c r="I9" s="202"/>
      <c r="J9" s="202"/>
    </row>
    <row r="10" spans="3:10" ht="24" customHeight="1" x14ac:dyDescent="0.25">
      <c r="C10" s="561"/>
      <c r="D10" s="562"/>
      <c r="E10" s="561"/>
      <c r="F10" s="563"/>
      <c r="G10" s="564"/>
      <c r="H10" s="560"/>
      <c r="I10" s="202"/>
      <c r="J10" s="202"/>
    </row>
    <row r="11" spans="3:10" x14ac:dyDescent="0.25">
      <c r="C11" s="202"/>
      <c r="D11" s="202"/>
      <c r="E11" s="202"/>
    </row>
    <row r="12" spans="3:10" x14ac:dyDescent="0.25">
      <c r="C12" s="202"/>
      <c r="D12" s="202"/>
      <c r="E12" s="202"/>
    </row>
    <row r="13" spans="3:10" ht="17.25" customHeight="1" x14ac:dyDescent="0.25"/>
    <row r="14" spans="3:10" ht="17.25" customHeight="1" thickBot="1" x14ac:dyDescent="0.3"/>
    <row r="15" spans="3:10" ht="19.5" thickTop="1" x14ac:dyDescent="0.25">
      <c r="C15" s="663" t="s">
        <v>631</v>
      </c>
      <c r="D15" s="664"/>
      <c r="E15" s="665" t="s">
        <v>521</v>
      </c>
      <c r="F15" s="666"/>
      <c r="G15" s="216" t="s">
        <v>4</v>
      </c>
      <c r="H15" s="659" t="s">
        <v>525</v>
      </c>
      <c r="I15" s="660"/>
    </row>
    <row r="16" spans="3:10" ht="16.5" thickBot="1" x14ac:dyDescent="0.3">
      <c r="C16" s="217" t="s">
        <v>633</v>
      </c>
      <c r="D16" s="218" t="s">
        <v>634</v>
      </c>
      <c r="E16" s="219" t="s">
        <v>633</v>
      </c>
      <c r="F16" s="220" t="s">
        <v>634</v>
      </c>
      <c r="G16" s="221" t="s">
        <v>633</v>
      </c>
      <c r="H16" s="222" t="s">
        <v>633</v>
      </c>
      <c r="I16" s="223" t="s">
        <v>634</v>
      </c>
    </row>
    <row r="17" spans="2:9" ht="16.5" thickTop="1" x14ac:dyDescent="0.25">
      <c r="B17" s="224" t="s">
        <v>604</v>
      </c>
      <c r="C17" s="225" t="str">
        <f>IFERROR(VALUE(INDEX(' TVA M'!A9:AA361,MATCH($E$2,' TVA M'!A9:A361,0),4)&amp;""),"")</f>
        <v/>
      </c>
      <c r="D17" s="226" t="str">
        <f>IFERROR(INDEX(' TVA M'!A9:AA361,MATCH($E$2,' TVA M'!A9:A361,0),5)&amp;"","")</f>
        <v/>
      </c>
      <c r="E17" s="227" t="str">
        <f>IFERROR(VALUE(INDEX(IR!A9:AA356,MATCH($E$2,IR!A9:A356,0),4)&amp;""),"")</f>
        <v/>
      </c>
      <c r="F17" s="228" t="str">
        <f>IFERROR(INDEX(IR!A9:AA356,MATCH($E$2,IR!A9:A356,0),5)&amp;"","")</f>
        <v/>
      </c>
      <c r="G17" s="227" t="str">
        <f>IFERROR(VALUE(INDEX(CNSS!A12:O281,MATCH($E$2,CNSS!A12:A281,0),4)&amp;""),"")</f>
        <v/>
      </c>
      <c r="H17" s="227" t="str">
        <f>IFERROR(VALUE(INDEX(' Droit de timbre'!A9:AA361,MATCH($E$2,' Droit de timbre'!A9:A361,0),4)&amp;""),"")</f>
        <v/>
      </c>
      <c r="I17" s="228" t="str">
        <f>IFERROR(INDEX(' Droit de timbre'!A9:AA361,MATCH($E$2,' Droit de timbre'!A9:A361,0),5)&amp;"","")</f>
        <v/>
      </c>
    </row>
    <row r="18" spans="2:9" ht="15.75" x14ac:dyDescent="0.25">
      <c r="B18" s="229" t="s">
        <v>484</v>
      </c>
      <c r="C18" s="230" t="str">
        <f>IFERROR(VALUE(INDEX(' TVA M'!A9:AA361,MATCH($E$2,' TVA M'!A9:A361,0),6)&amp;""),"")</f>
        <v/>
      </c>
      <c r="D18" s="231" t="str">
        <f>IFERROR(INDEX(' TVA M'!A9:AA361,MATCH($E$2,' TVA M'!A9:A361,0),7)&amp;"","")</f>
        <v/>
      </c>
      <c r="E18" s="232" t="str">
        <f>IFERROR(VALUE(INDEX(IR!A9:AA356,MATCH($E$2,IR!A9:A356,0),6)&amp;""),"")</f>
        <v/>
      </c>
      <c r="F18" s="231" t="str">
        <f>IFERROR(INDEX(IR!A9:AA356,MATCH($E$2,IR!A9:A356,0),7)&amp;"","")</f>
        <v/>
      </c>
      <c r="G18" s="232" t="str">
        <f>IFERROR(VALUE(INDEX(CNSS!A12:O281,MATCH($E$2,CNSS!A12:A281,0),5)&amp;""),"")</f>
        <v/>
      </c>
      <c r="H18" s="232" t="str">
        <f>IFERROR(VALUE(INDEX(' Droit de timbre'!A9:AA361,MATCH($E$2,' Droit de timbre'!A9:A361,0),6)&amp;""),"")</f>
        <v/>
      </c>
      <c r="I18" s="231" t="str">
        <f>IFERROR(INDEX(' Droit de timbre'!A9:AA361,MATCH($E$2,' Droit de timbre'!A9:A361,0),7)&amp;"","")</f>
        <v/>
      </c>
    </row>
    <row r="19" spans="2:9" ht="15.75" x14ac:dyDescent="0.25">
      <c r="B19" s="229" t="s">
        <v>485</v>
      </c>
      <c r="C19" s="230" t="str">
        <f>IFERROR(VALUE(INDEX(' TVA M'!A9:AA361,MATCH($E$2,' TVA M'!A9:A361,0),8)&amp;""),"")</f>
        <v/>
      </c>
      <c r="D19" s="231" t="str">
        <f>IFERROR(INDEX(' TVA M'!A9:AA361,MATCH($E$2,' TVA M'!A9:A361,0),9)&amp;"","")</f>
        <v/>
      </c>
      <c r="E19" s="232" t="str">
        <f>IFERROR(VALUE(INDEX(IR!A9:AA356,MATCH($E$2,IR!A9:A356,0),8)&amp;""),"")</f>
        <v/>
      </c>
      <c r="F19" s="231" t="str">
        <f>IFERROR(INDEX(IR!A9:AA356,MATCH($E$2,IR!A9:A356,0),9)&amp;"","")</f>
        <v/>
      </c>
      <c r="G19" s="232" t="str">
        <f>IFERROR(VALUE(INDEX(CNSS!A12:O281,MATCH($E$2,CNSS!A12:A281,0),6)&amp;""),"")</f>
        <v/>
      </c>
      <c r="H19" s="232" t="str">
        <f>IFERROR(VALUE(INDEX(' Droit de timbre'!A9:AA361,MATCH($E$2,' Droit de timbre'!A9:A361,0),8)&amp;""),"")</f>
        <v/>
      </c>
      <c r="I19" s="231" t="str">
        <f>IFERROR(INDEX(' Droit de timbre'!A9:AA361,MATCH($E$2,' Droit de timbre'!A9:A361,0),9)&amp;"","")</f>
        <v/>
      </c>
    </row>
    <row r="20" spans="2:9" ht="15.75" x14ac:dyDescent="0.25">
      <c r="B20" s="229" t="s">
        <v>486</v>
      </c>
      <c r="C20" s="230" t="str">
        <f>IFERROR(VALUE(INDEX(' TVA M'!A9:AA361,MATCH($E$2,' TVA M'!A9:A361,0),10)&amp;""),"")</f>
        <v/>
      </c>
      <c r="D20" s="231" t="str">
        <f>IFERROR(INDEX(' TVA M'!A9:AA361,MATCH($E$2,' TVA M'!A9:A361,0),11)&amp;"","")</f>
        <v/>
      </c>
      <c r="E20" s="232" t="str">
        <f>IFERROR(VALUE(INDEX(IR!A9:AA356,MATCH($E$2,IR!A9:A356,0),10)&amp;""),"")</f>
        <v/>
      </c>
      <c r="F20" s="231" t="str">
        <f>IFERROR(INDEX(IR!A9:AA356,MATCH($E$2,IR!A9:A356,0),11)&amp;"","")</f>
        <v/>
      </c>
      <c r="G20" s="232" t="str">
        <f>IFERROR(VALUE(INDEX(CNSS!A12:O281,MATCH($E$2,CNSS!A12:A281,0),7)&amp;""),"")</f>
        <v/>
      </c>
      <c r="H20" s="232" t="str">
        <f>IFERROR(VALUE(INDEX(' Droit de timbre'!A9:AA361,MATCH($E$2,' Droit de timbre'!A9:A361,0),10)&amp;""),"")</f>
        <v/>
      </c>
      <c r="I20" s="231" t="str">
        <f>IFERROR(INDEX(' Droit de timbre'!A9:AA361,MATCH($E$2,' Droit de timbre'!A9:A361,0),11)&amp;"","")</f>
        <v/>
      </c>
    </row>
    <row r="21" spans="2:9" ht="15.75" x14ac:dyDescent="0.25">
      <c r="B21" s="229" t="s">
        <v>487</v>
      </c>
      <c r="C21" s="230" t="str">
        <f>IFERROR(VALUE(INDEX(' TVA M'!A9:AA361,MATCH($E$2,' TVA M'!A9:A361,0),12)&amp;""),"")</f>
        <v/>
      </c>
      <c r="D21" s="231" t="str">
        <f>IFERROR(INDEX(' TVA M'!A9:AA361,MATCH($E$2,' TVA M'!A9:A361,0),13)&amp;"","")</f>
        <v/>
      </c>
      <c r="E21" s="232" t="str">
        <f>IFERROR(VALUE(INDEX(IR!A9:AA356,MATCH($E$2,IR!A9:A356,0),12)&amp;""),"")</f>
        <v/>
      </c>
      <c r="F21" s="231" t="str">
        <f>IFERROR(INDEX(IR!A9:AA356,MATCH($E$2,IR!A9:A356,0),13)&amp;"","")</f>
        <v/>
      </c>
      <c r="G21" s="232" t="str">
        <f>IFERROR(VALUE(INDEX(CNSS!A12:O281,MATCH($E$2,CNSS!A12:A281,0),8)&amp;""),"")</f>
        <v/>
      </c>
      <c r="H21" s="232" t="str">
        <f>IFERROR(VALUE(INDEX(' Droit de timbre'!A9:AA361,MATCH($E$2,' Droit de timbre'!A9:A361,0),12)&amp;""),"")</f>
        <v/>
      </c>
      <c r="I21" s="231" t="str">
        <f>IFERROR(INDEX(' Droit de timbre'!A9:AA361,MATCH($E$2,' Droit de timbre'!A9:A361,0),13)&amp;"","")</f>
        <v/>
      </c>
    </row>
    <row r="22" spans="2:9" ht="15.75" x14ac:dyDescent="0.25">
      <c r="B22" s="229" t="s">
        <v>488</v>
      </c>
      <c r="C22" s="230" t="str">
        <f>IFERROR(VALUE(INDEX(' TVA M'!A9:AA361,MATCH($E$2,' TVA M'!A9:A361,0),14)&amp;""),"")</f>
        <v/>
      </c>
      <c r="D22" s="231" t="str">
        <f>IFERROR(INDEX(' TVA M'!A9:AA361,MATCH($E$2,' TVA M'!A9:A361,0),15)&amp;"","")</f>
        <v/>
      </c>
      <c r="E22" s="232" t="str">
        <f>IFERROR(VALUE(INDEX(IR!A9:AA356,MATCH($E$2,IR!A9:A356,0),14)&amp;""),"")</f>
        <v/>
      </c>
      <c r="F22" s="231" t="str">
        <f>IFERROR(INDEX(IR!A9:AA356,MATCH($E$2,IR!A9:A356,0),15)&amp;"","")</f>
        <v/>
      </c>
      <c r="G22" s="232" t="str">
        <f>IFERROR(VALUE(INDEX(CNSS!A12:O281,MATCH($E$2,CNSS!A12:A281,0),9)&amp;""),"")</f>
        <v/>
      </c>
      <c r="H22" s="232" t="str">
        <f>IFERROR(VALUE(INDEX(' Droit de timbre'!A9:AA361,MATCH($E$2,' Droit de timbre'!A9:A361,0),14)&amp;""),"")</f>
        <v/>
      </c>
      <c r="I22" s="231" t="str">
        <f>IFERROR(INDEX(' Droit de timbre'!A9:AA361,MATCH($E$2,' Droit de timbre'!A9:A361,0),15)&amp;"","")</f>
        <v/>
      </c>
    </row>
    <row r="23" spans="2:9" ht="15.75" x14ac:dyDescent="0.25">
      <c r="B23" s="229" t="s">
        <v>489</v>
      </c>
      <c r="C23" s="230" t="str">
        <f>IFERROR(VALUE(INDEX(' TVA M'!A9:AA361,MATCH($E$2,' TVA M'!A9:A361,0),16)&amp;""),"")</f>
        <v/>
      </c>
      <c r="D23" s="231" t="str">
        <f>IFERROR(INDEX(' TVA M'!A9:AA361,MATCH($E$2,' TVA M'!A9:A361,0),17)&amp;"","")</f>
        <v/>
      </c>
      <c r="E23" s="232" t="str">
        <f>IFERROR(VALUE(INDEX(IR!A9:AA356,MATCH($E$2,IR!A9:A356,0),16)&amp;""),"")</f>
        <v/>
      </c>
      <c r="F23" s="231" t="str">
        <f>IFERROR(INDEX(IR!A9:AA356,MATCH($E$2,IR!A9:A356,0),17)&amp;"","")</f>
        <v/>
      </c>
      <c r="G23" s="232" t="str">
        <f>IFERROR(VALUE(INDEX(CNSS!A12:O281,MATCH($E$2,CNSS!A12:A281,0),10)&amp;""),"")</f>
        <v/>
      </c>
      <c r="H23" s="232" t="str">
        <f>IFERROR(VALUE(INDEX(' Droit de timbre'!A9:AA361,MATCH($E$2,' Droit de timbre'!A9:A361,0),16)&amp;""),"")</f>
        <v/>
      </c>
      <c r="I23" s="231" t="str">
        <f>IFERROR(INDEX(' Droit de timbre'!A9:AA361,MATCH($E$2,' Droit de timbre'!A9:A361,0),17)&amp;"","")</f>
        <v/>
      </c>
    </row>
    <row r="24" spans="2:9" ht="15.75" x14ac:dyDescent="0.25">
      <c r="B24" s="229" t="s">
        <v>490</v>
      </c>
      <c r="C24" s="230" t="str">
        <f>IFERROR(VALUE(INDEX(' TVA M'!A9:AA361,MATCH($E$2,' TVA M'!A9:A361,0),18)&amp;""),"")</f>
        <v/>
      </c>
      <c r="D24" s="231" t="str">
        <f>IFERROR(INDEX(' TVA M'!A9:AA361,MATCH($E$2,' TVA M'!A9:A361,0),19)&amp;"","")</f>
        <v/>
      </c>
      <c r="E24" s="232" t="str">
        <f>IFERROR(VALUE(INDEX(IR!A9:AA356,MATCH($E$2,IR!A9:A356,0),18)&amp;""),"")</f>
        <v/>
      </c>
      <c r="F24" s="231" t="str">
        <f>IFERROR(INDEX(IR!A9:AA356,MATCH($E$2,IR!A9:A356,0),19)&amp;"","")</f>
        <v/>
      </c>
      <c r="G24" s="232" t="str">
        <f>IFERROR(VALUE(INDEX(CNSS!A12:O281,MATCH($E$2,CNSS!A12:A281,0),11)&amp;""),"")</f>
        <v/>
      </c>
      <c r="H24" s="232" t="str">
        <f>IFERROR(VALUE(INDEX(' Droit de timbre'!A9:AA361,MATCH($E$2,' Droit de timbre'!A9:A361,0),18)&amp;""),"")</f>
        <v/>
      </c>
      <c r="I24" s="231" t="str">
        <f>IFERROR(INDEX(' Droit de timbre'!A9:AA361,MATCH($E$2,' Droit de timbre'!A9:A361,0),19)&amp;"","")</f>
        <v/>
      </c>
    </row>
    <row r="25" spans="2:9" ht="15.75" x14ac:dyDescent="0.25">
      <c r="B25" s="229" t="s">
        <v>491</v>
      </c>
      <c r="C25" s="230" t="str">
        <f>IFERROR(VALUE(INDEX(' TVA M'!A9:AA361,MATCH($E$2,' TVA M'!A9:A361,0),20)&amp;""),"")</f>
        <v/>
      </c>
      <c r="D25" s="231" t="str">
        <f>IFERROR(INDEX(' TVA M'!A9:AA361,MATCH($E$2,' TVA M'!A9:A361,0),21)&amp;"","")</f>
        <v/>
      </c>
      <c r="E25" s="232" t="str">
        <f>IFERROR(VALUE(INDEX(IR!A9:AA356,MATCH($E$2,IR!A9:A356,0),20)&amp;""),"")</f>
        <v/>
      </c>
      <c r="F25" s="231" t="str">
        <f>IFERROR(INDEX(IR!A9:AA356,MATCH($E$2,IR!A9:A356,0),21)&amp;"","")</f>
        <v/>
      </c>
      <c r="G25" s="232" t="str">
        <f>IFERROR(VALUE(INDEX(CNSS!A12:O281,MATCH($E$2,CNSS!A12:A281,0),12)&amp;""),"")</f>
        <v/>
      </c>
      <c r="H25" s="232" t="str">
        <f>IFERROR(VALUE(INDEX(' Droit de timbre'!A9:AA361,MATCH($E$2,' Droit de timbre'!A9:A361,0),20)&amp;""),"")</f>
        <v/>
      </c>
      <c r="I25" s="231" t="str">
        <f>IFERROR(INDEX(' Droit de timbre'!A9:AA361,MATCH($E$2,' Droit de timbre'!A9:A361,0),21)&amp;"","")</f>
        <v/>
      </c>
    </row>
    <row r="26" spans="2:9" ht="15.75" x14ac:dyDescent="0.25">
      <c r="B26" s="229" t="s">
        <v>492</v>
      </c>
      <c r="C26" s="230" t="str">
        <f>IFERROR(VALUE(INDEX(' TVA M'!A9:AA361,MATCH($E$2,' TVA M'!A9:A361,0),22)&amp;""),"")</f>
        <v/>
      </c>
      <c r="D26" s="231" t="str">
        <f>IFERROR(INDEX(' TVA M'!A9:AA361,MATCH($E$2,' TVA M'!A9:A361,0),23)&amp;"","")</f>
        <v/>
      </c>
      <c r="E26" s="232" t="str">
        <f>IFERROR(VALUE(INDEX(IR!A9:AA356,MATCH($E$2,IR!A9:A356,0),22)&amp;""),"")</f>
        <v/>
      </c>
      <c r="F26" s="231" t="str">
        <f>IFERROR(INDEX(IR!A9:AA356,MATCH($E$2,IR!A9:A356,0),23)&amp;"","")</f>
        <v/>
      </c>
      <c r="G26" s="232" t="str">
        <f>IFERROR(VALUE(INDEX(CNSS!A12:O281,MATCH($E$2,CNSS!A12:A281,0),13)&amp;""),"")</f>
        <v/>
      </c>
      <c r="H26" s="232" t="str">
        <f>IFERROR(VALUE(INDEX(' Droit de timbre'!A9:AA361,MATCH($E$2,' Droit de timbre'!A9:A361,0),22)&amp;""),"")</f>
        <v/>
      </c>
      <c r="I26" s="231" t="str">
        <f>IFERROR(INDEX(' Droit de timbre'!A9:AA361,MATCH($E$2,' Droit de timbre'!A9:A361,0),23)&amp;"","")</f>
        <v/>
      </c>
    </row>
    <row r="27" spans="2:9" ht="15.75" x14ac:dyDescent="0.25">
      <c r="B27" s="229" t="s">
        <v>493</v>
      </c>
      <c r="C27" s="230" t="str">
        <f>IFERROR(VALUE(INDEX(' TVA M'!A9:AA361,MATCH($E$2,' TVA M'!A9:A361,0),24)&amp;""),"")</f>
        <v/>
      </c>
      <c r="D27" s="231" t="str">
        <f>IFERROR(INDEX(' TVA M'!A9:AA361,MATCH($E$2,' TVA M'!A9:A361,0),25)&amp;"","")</f>
        <v/>
      </c>
      <c r="E27" s="232" t="str">
        <f>IFERROR(VALUE(INDEX(IR!A9:AA356,MATCH($E$2,IR!A9:A356,0),24)&amp;""),"")</f>
        <v/>
      </c>
      <c r="F27" s="231" t="str">
        <f>IFERROR(INDEX(IR!A9:AA356,MATCH($E$2,IR!A9:A356,0),25)&amp;"","")</f>
        <v/>
      </c>
      <c r="G27" s="232" t="str">
        <f>IFERROR(VALUE(INDEX(CNSS!A12:O281,MATCH($E$2,CNSS!A12:A281,0),14)&amp;""),"")</f>
        <v/>
      </c>
      <c r="H27" s="232" t="str">
        <f>IFERROR(VALUE(INDEX(' Droit de timbre'!A9:AA361,MATCH($E$2,' Droit de timbre'!A9:A361,0),24)&amp;""),"")</f>
        <v/>
      </c>
      <c r="I27" s="231" t="str">
        <f>IFERROR(INDEX(' Droit de timbre'!A9:AA361,MATCH($E$2,' Droit de timbre'!A9:A361,0),25)&amp;"","")</f>
        <v/>
      </c>
    </row>
    <row r="28" spans="2:9" ht="16.5" thickBot="1" x14ac:dyDescent="0.3">
      <c r="B28" s="233" t="s">
        <v>494</v>
      </c>
      <c r="C28" s="234" t="str">
        <f>IFERROR(VALUE(INDEX(' TVA M'!A9:AA361,MATCH($E$2,' TVA M'!A9:A361,0),26)&amp;""),"")</f>
        <v/>
      </c>
      <c r="D28" s="235" t="str">
        <f>IFERROR(INDEX(' TVA M'!A9:AA361,MATCH($E$2,' TVA M'!A9:A361,0),27)&amp;"","")</f>
        <v/>
      </c>
      <c r="E28" s="236" t="str">
        <f>IFERROR(VALUE(INDEX(IR!A9:AA356,MATCH($E$2,IR!A9:A356,0),26)&amp;""),"")</f>
        <v/>
      </c>
      <c r="F28" s="235" t="str">
        <f>IFERROR(INDEX(IR!A9:AA356,MATCH($E$2,IR!A9:A356,0),27)&amp;"","")</f>
        <v/>
      </c>
      <c r="G28" s="236" t="str">
        <f>IFERROR(VALUE(INDEX(CNSS!A12:O281,MATCH($E$2,CNSS!A12:A281,0),15)&amp;""),"")</f>
        <v/>
      </c>
      <c r="H28" s="236" t="str">
        <f>IFERROR(VALUE(INDEX(' Droit de timbre'!A9:AA361,MATCH($E$2,' Droit de timbre'!A9:A361,0),26)&amp;""),"")</f>
        <v/>
      </c>
      <c r="I28" s="235" t="str">
        <f>IFERROR(INDEX(' Droit de timbre'!A9:AA361,MATCH($E$2,' Droit de timbre'!A9:A361,0),27)&amp;"","")</f>
        <v/>
      </c>
    </row>
    <row r="29" spans="2:9" ht="15.75" thickTop="1" x14ac:dyDescent="0.25"/>
    <row r="32" spans="2:9" ht="15.75" thickBot="1" x14ac:dyDescent="0.3"/>
    <row r="33" spans="2:7" ht="16.5" thickTop="1" x14ac:dyDescent="0.25">
      <c r="C33" s="669" t="s">
        <v>513</v>
      </c>
      <c r="D33" s="670"/>
      <c r="E33" s="667" t="s">
        <v>528</v>
      </c>
      <c r="F33" s="668"/>
    </row>
    <row r="34" spans="2:7" ht="16.5" thickBot="1" x14ac:dyDescent="0.3">
      <c r="C34" s="237" t="s">
        <v>633</v>
      </c>
      <c r="D34" s="238" t="s">
        <v>634</v>
      </c>
      <c r="E34" s="239" t="s">
        <v>633</v>
      </c>
      <c r="F34" s="240" t="s">
        <v>634</v>
      </c>
    </row>
    <row r="35" spans="2:7" ht="16.5" thickTop="1" x14ac:dyDescent="0.25">
      <c r="B35" s="241" t="s">
        <v>514</v>
      </c>
      <c r="C35" s="242" t="str">
        <f>IFERROR(VALUE(INDEX('TVA T'!A10:K200,MATCH($E$2,'TVA T'!A10:A200,0),4)&amp;""),"")</f>
        <v/>
      </c>
      <c r="D35" s="243" t="str">
        <f>IFERROR(INDEX('TVA T'!A10:K200,MATCH($E$2,'TVA T'!A10:A200,0),5)&amp;"","")</f>
        <v/>
      </c>
      <c r="E35" s="244" t="str">
        <f>IFERROR(VALUE(INDEX(Acompte!A10:M300,MATCH($E$2,Acompte!A10:A300,0),6)&amp;""),"")</f>
        <v/>
      </c>
      <c r="F35" s="245" t="str">
        <f>IFERROR(INDEX(Acompte!A10:M300,MATCH($E$2,Acompte!A10:A300,0),7)&amp;"","")</f>
        <v/>
      </c>
    </row>
    <row r="36" spans="2:7" ht="15.75" x14ac:dyDescent="0.25">
      <c r="B36" s="246" t="s">
        <v>515</v>
      </c>
      <c r="C36" s="247" t="str">
        <f>IFERROR(VALUE(INDEX('TVA T'!A10:K200,MATCH($E$2,'TVA T'!A10:A200,0),6)&amp;""),"")</f>
        <v/>
      </c>
      <c r="D36" s="248" t="str">
        <f>IFERROR(INDEX('TVA T'!A10:K200,MATCH($E$2,'TVA T'!A10:A200,0),7)&amp;"","")</f>
        <v/>
      </c>
      <c r="E36" s="249" t="str">
        <f>IFERROR(VALUE(INDEX(Acompte!A10:M300,MATCH($E$2,Acompte!A10:A300,0),8)&amp;""),"")</f>
        <v/>
      </c>
      <c r="F36" s="248" t="str">
        <f>IFERROR(INDEX(Acompte!A10:M300,MATCH($E$2,Acompte!A10:A300,0),9)&amp;"","")</f>
        <v/>
      </c>
    </row>
    <row r="37" spans="2:7" ht="15.75" x14ac:dyDescent="0.25">
      <c r="B37" s="246" t="s">
        <v>516</v>
      </c>
      <c r="C37" s="247" t="str">
        <f>IFERROR(VALUE(INDEX('TVA T'!A10:K200,MATCH($E$2,'TVA T'!A10:A200,0),8)&amp;""),"")</f>
        <v/>
      </c>
      <c r="D37" s="248" t="str">
        <f>IFERROR(INDEX('TVA T'!A10:K200,MATCH($E$2,'TVA T'!A10:A200,0),9)&amp;"","")</f>
        <v/>
      </c>
      <c r="E37" s="249" t="str">
        <f>IFERROR(VALUE(INDEX(Acompte!A10:M300,MATCH($E$2,Acompte!A10:A300,0),10)&amp;""),"")</f>
        <v/>
      </c>
      <c r="F37" s="248" t="str">
        <f>IFERROR(INDEX(Acompte!A10:M300,MATCH($E$2,Acompte!A10:A300,0),11)&amp;"","")</f>
        <v/>
      </c>
    </row>
    <row r="38" spans="2:7" ht="15.75" x14ac:dyDescent="0.25">
      <c r="B38" s="246" t="s">
        <v>517</v>
      </c>
      <c r="C38" s="247" t="str">
        <f>IFERROR(VALUE(INDEX('TVA T'!A10:K200,MATCH($E$2,'TVA T'!A10:A200,0),10)&amp;""),"")</f>
        <v/>
      </c>
      <c r="D38" s="248" t="str">
        <f>IFERROR(INDEX('TVA T'!A10:K200,MATCH($E$2,'TVA T'!A10:A200,0),11)&amp;"","")</f>
        <v/>
      </c>
      <c r="E38" s="249" t="str">
        <f>IFERROR(VALUE(INDEX(Acompte!A10:M300,MATCH($E$2,Acompte!A10:A300,0),12)&amp;""),"")</f>
        <v/>
      </c>
      <c r="F38" s="248" t="str">
        <f>IFERROR(INDEX(Acompte!A10:M300,MATCH($E$2,Acompte!A10:A300,0),13)&amp;"","")</f>
        <v/>
      </c>
    </row>
    <row r="39" spans="2:7" ht="16.5" thickBot="1" x14ac:dyDescent="0.3">
      <c r="B39" s="250" t="s">
        <v>523</v>
      </c>
      <c r="C39" s="251"/>
      <c r="D39" s="252"/>
      <c r="E39" s="253" t="str">
        <f>IFERROR(VALUE(INDEX(Acompte!A10:M300,MATCH($E$2,Acompte!A10:A300,0),4)&amp;""),"")</f>
        <v/>
      </c>
      <c r="F39" s="254" t="str">
        <f>IFERROR(INDEX(Acompte!A10:M300,MATCH($E$2,Acompte!A10:A300,0),5)&amp;"","")</f>
        <v/>
      </c>
    </row>
    <row r="40" spans="2:7" ht="15.75" thickTop="1" x14ac:dyDescent="0.25"/>
    <row r="43" spans="2:7" ht="15.75" thickBot="1" x14ac:dyDescent="0.3"/>
    <row r="44" spans="2:7" ht="33" thickTop="1" thickBot="1" x14ac:dyDescent="0.3">
      <c r="C44" s="255" t="s">
        <v>518</v>
      </c>
      <c r="D44" s="256" t="s">
        <v>636</v>
      </c>
      <c r="E44" s="257" t="s">
        <v>522</v>
      </c>
      <c r="F44" s="258" t="s">
        <v>524</v>
      </c>
      <c r="G44" s="259" t="s">
        <v>624</v>
      </c>
    </row>
    <row r="45" spans="2:7" ht="16.5" thickTop="1" x14ac:dyDescent="0.25">
      <c r="B45" s="241" t="s">
        <v>482</v>
      </c>
      <c r="C45" s="260" t="str">
        <f>IFERROR(VALUE(INDEX('ETAT 9421'!A6:E318,MATCH($E$2,'ETAT 9421'!A6:A318,0),4)&amp;""),"")</f>
        <v/>
      </c>
      <c r="D45" s="261" t="str">
        <f>IFERROR(VALUE(INDEX('Bilan '!A6:F318,MATCH($E$2,'Bilan '!A6:A318,0),5)&amp;""),"")</f>
        <v/>
      </c>
      <c r="E45" s="262" t="str">
        <f>IFERROR(VALUE(INDEX(TP!A6:E318,MATCH($E$2,TP!A6:A318,0),4)&amp;""),"")</f>
        <v/>
      </c>
      <c r="F45" s="261" t="str">
        <f>IFERROR(VALUE(INDEX(CM!A6:F318,MATCH($E$2,CM!A6:A318,0),4)&amp;""),"")</f>
        <v/>
      </c>
      <c r="G45" s="263" t="str">
        <f>IFERROR(VALUE(INDEX('IR PROF global'!A6:E318,MATCH($E$2,'IR PROF global'!A6:A318,0),4)&amp;""),"")</f>
        <v/>
      </c>
    </row>
    <row r="46" spans="2:7" ht="16.5" thickBot="1" x14ac:dyDescent="0.3">
      <c r="B46" s="250" t="s">
        <v>635</v>
      </c>
      <c r="C46" s="264" t="str">
        <f>IFERROR(INDEX('ETAT 9421'!A6:E318,MATCH($E$2,'ETAT 9421'!A6:A318,0),5)&amp;"","")</f>
        <v/>
      </c>
      <c r="D46" s="265" t="str">
        <f>IFERROR(INDEX('Bilan '!A6:F318,MATCH($E$2,'Bilan '!A6:A318,0),6)&amp;"","")</f>
        <v/>
      </c>
      <c r="E46" s="266" t="str">
        <f>IFERROR(INDEX(TP!A6:E318,MATCH($E$2,TP!A6:A318,0),5)&amp;"","")</f>
        <v/>
      </c>
      <c r="F46" s="265" t="str">
        <f>IFERROR(INDEX(CM!A6:F318,MATCH($E$2,CM!A6:A318,0),5)&amp;"","")</f>
        <v/>
      </c>
      <c r="G46" s="267" t="str">
        <f>IFERROR(INDEX('IR PROF global'!A6:E318,MATCH($E$2,'IR PROF global'!A6:A318,0),5)&amp;"","")</f>
        <v/>
      </c>
    </row>
    <row r="47" spans="2:7" ht="15.75" thickTop="1" x14ac:dyDescent="0.25"/>
  </sheetData>
  <sheetProtection sheet="1" scenarios="1" deleteColumns="0" deleteRows="0" selectLockedCells="1"/>
  <mergeCells count="6">
    <mergeCell ref="H15:I15"/>
    <mergeCell ref="H8:H9"/>
    <mergeCell ref="C15:D15"/>
    <mergeCell ref="E15:F15"/>
    <mergeCell ref="E33:F33"/>
    <mergeCell ref="C33:D33"/>
  </mergeCells>
  <phoneticPr fontId="6" type="noConversion"/>
  <pageMargins left="0.7" right="0.7" top="0.75" bottom="0.75" header="0.3" footer="0.3"/>
  <pageSetup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6"/>
  <dimension ref="C6:N89"/>
  <sheetViews>
    <sheetView showGridLines="0" showRowColHeaders="0" topLeftCell="A100" workbookViewId="0">
      <selection activeCell="O9" sqref="O9"/>
    </sheetView>
  </sheetViews>
  <sheetFormatPr baseColWidth="10" defaultColWidth="11.42578125" defaultRowHeight="15" x14ac:dyDescent="0.25"/>
  <cols>
    <col min="1" max="1" width="11.42578125" style="55"/>
    <col min="2" max="2" width="8.28515625" style="55" customWidth="1"/>
    <col min="3" max="3" width="18.42578125" style="55" bestFit="1" customWidth="1"/>
    <col min="4" max="4" width="15.28515625" style="55" bestFit="1" customWidth="1"/>
    <col min="5" max="5" width="15.85546875" style="55" customWidth="1"/>
    <col min="6" max="7" width="15.28515625" style="55" bestFit="1" customWidth="1"/>
    <col min="8" max="8" width="14.28515625" style="55" customWidth="1"/>
    <col min="9" max="9" width="16.85546875" style="55" customWidth="1"/>
    <col min="10" max="10" width="14.28515625" style="55" customWidth="1"/>
    <col min="11" max="11" width="12.42578125" style="55" customWidth="1"/>
    <col min="12" max="12" width="11.42578125" style="55"/>
    <col min="13" max="13" width="16.140625" style="55" customWidth="1"/>
    <col min="14" max="14" width="17" style="55" customWidth="1"/>
    <col min="15" max="16384" width="11.42578125" style="55"/>
  </cols>
  <sheetData>
    <row r="6" spans="3:11" ht="15.75" thickBot="1" x14ac:dyDescent="0.3"/>
    <row r="7" spans="3:11" ht="16.5" thickTop="1" x14ac:dyDescent="0.25">
      <c r="D7" s="679" t="s">
        <v>510</v>
      </c>
      <c r="E7" s="680"/>
      <c r="F7" s="681" t="s">
        <v>521</v>
      </c>
      <c r="G7" s="682"/>
      <c r="H7" s="683" t="s">
        <v>4</v>
      </c>
      <c r="I7" s="684"/>
      <c r="J7" s="673" t="s">
        <v>525</v>
      </c>
      <c r="K7" s="674"/>
    </row>
    <row r="8" spans="3:11" ht="33.75" customHeight="1" x14ac:dyDescent="0.25">
      <c r="D8" s="270" t="s">
        <v>649</v>
      </c>
      <c r="E8" s="271" t="s">
        <v>638</v>
      </c>
      <c r="F8" s="272" t="s">
        <v>649</v>
      </c>
      <c r="G8" s="273" t="s">
        <v>638</v>
      </c>
      <c r="H8" s="274" t="s">
        <v>649</v>
      </c>
      <c r="I8" s="275" t="s">
        <v>638</v>
      </c>
      <c r="J8" s="276" t="s">
        <v>649</v>
      </c>
      <c r="K8" s="277" t="s">
        <v>638</v>
      </c>
    </row>
    <row r="9" spans="3:11" ht="15.75" x14ac:dyDescent="0.25">
      <c r="C9" s="278" t="s">
        <v>481</v>
      </c>
      <c r="D9" s="281">
        <f>' TVA M'!E2</f>
        <v>0.8</v>
      </c>
      <c r="E9" s="282">
        <f>' TVA M'!E1</f>
        <v>0.25</v>
      </c>
      <c r="F9" s="281">
        <f>IR!E2</f>
        <v>0.83333333333333337</v>
      </c>
      <c r="G9" s="282">
        <f>IR!E1</f>
        <v>0.41666666666666669</v>
      </c>
      <c r="H9" s="281">
        <f>CNSS!D2</f>
        <v>1</v>
      </c>
      <c r="I9" s="282">
        <f>CNSS!D5</f>
        <v>0.98648648648648651</v>
      </c>
      <c r="J9" s="281">
        <f>' Droit de timbre'!E2</f>
        <v>0.83333333333333337</v>
      </c>
      <c r="K9" s="282">
        <f>' Droit de timbre'!E1</f>
        <v>0.83333333333333337</v>
      </c>
    </row>
    <row r="10" spans="3:11" ht="15.75" x14ac:dyDescent="0.25">
      <c r="C10" s="269" t="s">
        <v>512</v>
      </c>
      <c r="D10" s="283">
        <f>' TVA M'!G2</f>
        <v>0.77777777777777779</v>
      </c>
      <c r="E10" s="284">
        <f>' TVA M'!G1</f>
        <v>0.66666666666666663</v>
      </c>
      <c r="F10" s="283">
        <f>IR!G2</f>
        <v>0.90909090909090906</v>
      </c>
      <c r="G10" s="284">
        <f>IR!G1</f>
        <v>0.36363636363636365</v>
      </c>
      <c r="H10" s="283">
        <f>CNSS!E2</f>
        <v>1</v>
      </c>
      <c r="I10" s="284">
        <f>CNSS!E5</f>
        <v>0.95774647887323938</v>
      </c>
      <c r="J10" s="283">
        <f>' Droit de timbre'!G2</f>
        <v>1</v>
      </c>
      <c r="K10" s="284">
        <f>' Droit de timbre'!G1</f>
        <v>0.33333333333333331</v>
      </c>
    </row>
    <row r="11" spans="3:11" ht="15.75" x14ac:dyDescent="0.25">
      <c r="C11" s="278" t="s">
        <v>485</v>
      </c>
      <c r="D11" s="281">
        <f>' TVA M'!I2</f>
        <v>0.73333333333333328</v>
      </c>
      <c r="E11" s="282">
        <f>' TVA M'!I1</f>
        <v>0.4</v>
      </c>
      <c r="F11" s="281">
        <f>IR!I2</f>
        <v>0.77777777777777779</v>
      </c>
      <c r="G11" s="282">
        <f>IR!I1</f>
        <v>0.22222222222222221</v>
      </c>
      <c r="H11" s="281">
        <f>CNSS!F2</f>
        <v>1</v>
      </c>
      <c r="I11" s="282">
        <f>CNSS!F2</f>
        <v>1</v>
      </c>
      <c r="J11" s="281">
        <f>' Droit de timbre'!I2</f>
        <v>1</v>
      </c>
      <c r="K11" s="282">
        <f>' Droit de timbre'!I1</f>
        <v>0.5</v>
      </c>
    </row>
    <row r="12" spans="3:11" ht="15.75" x14ac:dyDescent="0.25">
      <c r="C12" s="269" t="s">
        <v>486</v>
      </c>
      <c r="D12" s="283">
        <f>' TVA M'!K2</f>
        <v>0.6</v>
      </c>
      <c r="E12" s="284">
        <f>' TVA M'!K1</f>
        <v>0.46666666666666667</v>
      </c>
      <c r="F12" s="283">
        <f>IR!K2</f>
        <v>0.66666666666666663</v>
      </c>
      <c r="G12" s="284">
        <f>IR!K1</f>
        <v>0.55555555555555558</v>
      </c>
      <c r="H12" s="283">
        <f>CNSS!G2</f>
        <v>0.5714285714285714</v>
      </c>
      <c r="I12" s="284">
        <f>CNSS!G5</f>
        <v>0.66666666666666663</v>
      </c>
      <c r="J12" s="283">
        <f>' Droit de timbre'!K2</f>
        <v>0</v>
      </c>
      <c r="K12" s="284">
        <f>' Droit de timbre'!K1</f>
        <v>0</v>
      </c>
    </row>
    <row r="13" spans="3:11" ht="15.75" x14ac:dyDescent="0.25">
      <c r="C13" s="278" t="s">
        <v>487</v>
      </c>
      <c r="D13" s="281">
        <f>' TVA M'!M2</f>
        <v>1</v>
      </c>
      <c r="E13" s="282">
        <f>' TVA M'!M1</f>
        <v>0.53333333333333333</v>
      </c>
      <c r="F13" s="281">
        <f>IR!M2</f>
        <v>0.8</v>
      </c>
      <c r="G13" s="282">
        <f>IR!M1</f>
        <v>0.8</v>
      </c>
      <c r="H13" s="281">
        <f>CNSS!H2</f>
        <v>0.90322580645161288</v>
      </c>
      <c r="I13" s="282">
        <f>CNSS!H5</f>
        <v>0.79032258064516125</v>
      </c>
      <c r="J13" s="281" t="e">
        <f>' Droit de timbre'!M2</f>
        <v>#DIV/0!</v>
      </c>
      <c r="K13" s="282" t="e">
        <f>' Droit de timbre'!M1</f>
        <v>#DIV/0!</v>
      </c>
    </row>
    <row r="14" spans="3:11" ht="15.75" x14ac:dyDescent="0.25">
      <c r="C14" s="269" t="s">
        <v>488</v>
      </c>
      <c r="D14" s="283">
        <f>' TVA M'!O2</f>
        <v>0.93333333333333335</v>
      </c>
      <c r="E14" s="284">
        <f>' TVA M'!O1</f>
        <v>0.93333333333333335</v>
      </c>
      <c r="F14" s="283">
        <f>IR!O2</f>
        <v>0.83333333333333337</v>
      </c>
      <c r="G14" s="284">
        <f>IR!O1</f>
        <v>0.83333333333333337</v>
      </c>
      <c r="H14" s="283">
        <f>CNSS!I2</f>
        <v>1</v>
      </c>
      <c r="I14" s="284">
        <f>CNSS!I5</f>
        <v>0.83333333333333337</v>
      </c>
      <c r="J14" s="283">
        <f>' Droit de timbre'!O2</f>
        <v>1</v>
      </c>
      <c r="K14" s="284">
        <f>' Droit de timbre'!O1</f>
        <v>1</v>
      </c>
    </row>
    <row r="15" spans="3:11" ht="15.75" x14ac:dyDescent="0.25">
      <c r="C15" s="278" t="s">
        <v>489</v>
      </c>
      <c r="D15" s="281">
        <f>' TVA M'!Q2</f>
        <v>0.8571428571428571</v>
      </c>
      <c r="E15" s="282">
        <f>' TVA M'!Q1</f>
        <v>0.8571428571428571</v>
      </c>
      <c r="F15" s="281">
        <f>IR!Q2</f>
        <v>0.8571428571428571</v>
      </c>
      <c r="G15" s="282">
        <f>IR!Q1</f>
        <v>0.8571428571428571</v>
      </c>
      <c r="H15" s="281">
        <f>CNSS!J2</f>
        <v>0.98412698412698407</v>
      </c>
      <c r="I15" s="282">
        <f>CNSS!J5</f>
        <v>0.92063492063492058</v>
      </c>
      <c r="J15" s="281">
        <f>' Droit de timbre'!Q2</f>
        <v>0.66666666666666663</v>
      </c>
      <c r="K15" s="282">
        <f>' Droit de timbre'!Q1</f>
        <v>0.66666666666666663</v>
      </c>
    </row>
    <row r="16" spans="3:11" ht="15.75" x14ac:dyDescent="0.25">
      <c r="C16" s="269" t="s">
        <v>490</v>
      </c>
      <c r="D16" s="283">
        <f>' TVA M'!S2</f>
        <v>1</v>
      </c>
      <c r="E16" s="284">
        <f>' TVA M'!S1</f>
        <v>0.72727272727272729</v>
      </c>
      <c r="F16" s="283">
        <f>IR!S2</f>
        <v>0.83333333333333337</v>
      </c>
      <c r="G16" s="284">
        <f>IR!S1</f>
        <v>0.66666666666666663</v>
      </c>
      <c r="H16" s="283">
        <f>CNSS!K2</f>
        <v>0.96825396825396826</v>
      </c>
      <c r="I16" s="284">
        <f>CNSS!K5</f>
        <v>0.77777777777777779</v>
      </c>
      <c r="J16" s="283">
        <f>' Droit de timbre'!S2</f>
        <v>1</v>
      </c>
      <c r="K16" s="284">
        <f>' Droit de timbre'!S1</f>
        <v>0.5</v>
      </c>
    </row>
    <row r="17" spans="3:11" ht="15.75" x14ac:dyDescent="0.25">
      <c r="C17" s="278" t="s">
        <v>491</v>
      </c>
      <c r="D17" s="281">
        <f>' TVA M'!U2</f>
        <v>0.7142857142857143</v>
      </c>
      <c r="E17" s="282">
        <f>' TVA M'!U1</f>
        <v>0.42857142857142855</v>
      </c>
      <c r="F17" s="281">
        <f>IR!U2</f>
        <v>0.5</v>
      </c>
      <c r="G17" s="282">
        <f>IR!U1</f>
        <v>0.5</v>
      </c>
      <c r="H17" s="281">
        <f>CNSS!L2</f>
        <v>1</v>
      </c>
      <c r="I17" s="282">
        <f>CNSS!L5</f>
        <v>0.8</v>
      </c>
      <c r="J17" s="281" t="e">
        <f>' Droit de timbre'!U2</f>
        <v>#DIV/0!</v>
      </c>
      <c r="K17" s="282" t="e">
        <f>' Droit de timbre'!U1</f>
        <v>#DIV/0!</v>
      </c>
    </row>
    <row r="18" spans="3:11" ht="15.75" x14ac:dyDescent="0.25">
      <c r="C18" s="269" t="s">
        <v>492</v>
      </c>
      <c r="D18" s="283">
        <f>' TVA M'!W2</f>
        <v>1</v>
      </c>
      <c r="E18" s="284">
        <f>' TVA M'!W1</f>
        <v>0.5</v>
      </c>
      <c r="F18" s="283">
        <f>IR!W2</f>
        <v>0</v>
      </c>
      <c r="G18" s="284">
        <f>IR!W1</f>
        <v>0</v>
      </c>
      <c r="H18" s="283">
        <f>CNSS!M2</f>
        <v>0.88888888888888884</v>
      </c>
      <c r="I18" s="284">
        <f>CNSS!M5</f>
        <v>0.88888888888888884</v>
      </c>
      <c r="J18" s="283">
        <f>' Droit de timbre'!W2</f>
        <v>1</v>
      </c>
      <c r="K18" s="284">
        <f>' Droit de timbre'!W1</f>
        <v>1</v>
      </c>
    </row>
    <row r="19" spans="3:11" ht="15.75" x14ac:dyDescent="0.25">
      <c r="C19" s="278" t="s">
        <v>493</v>
      </c>
      <c r="D19" s="281">
        <f>' TVA M'!Y2</f>
        <v>0.83333333333333337</v>
      </c>
      <c r="E19" s="282">
        <f>' TVA M'!Y1</f>
        <v>0.33333333333333331</v>
      </c>
      <c r="F19" s="281">
        <f>IR!Y2</f>
        <v>1</v>
      </c>
      <c r="G19" s="282">
        <f>IR!Y1</f>
        <v>1</v>
      </c>
      <c r="H19" s="281">
        <f>CNSS!N2</f>
        <v>1</v>
      </c>
      <c r="I19" s="282">
        <f>CNSS!N5</f>
        <v>1</v>
      </c>
      <c r="J19" s="281" t="e">
        <f>' Droit de timbre'!Y2</f>
        <v>#DIV/0!</v>
      </c>
      <c r="K19" s="282" t="e">
        <f>' Droit de timbre'!Y1</f>
        <v>#DIV/0!</v>
      </c>
    </row>
    <row r="20" spans="3:11" ht="16.5" thickBot="1" x14ac:dyDescent="0.3">
      <c r="C20" s="269" t="s">
        <v>494</v>
      </c>
      <c r="D20" s="286">
        <f>' TVA M'!AA2</f>
        <v>1</v>
      </c>
      <c r="E20" s="287">
        <f>' TVA M'!AA1</f>
        <v>1</v>
      </c>
      <c r="F20" s="286">
        <f>IR!AA2</f>
        <v>0</v>
      </c>
      <c r="G20" s="287">
        <f>IR!AA1</f>
        <v>0</v>
      </c>
      <c r="H20" s="286">
        <f>CNSS!O2</f>
        <v>1</v>
      </c>
      <c r="I20" s="287">
        <f>CNSS!O5</f>
        <v>1</v>
      </c>
      <c r="J20" s="286">
        <f>' Droit de timbre'!AA2</f>
        <v>0</v>
      </c>
      <c r="K20" s="287">
        <f>' Droit de timbre'!AA1</f>
        <v>0</v>
      </c>
    </row>
    <row r="21" spans="3:11" ht="17.25" thickTop="1" thickBot="1" x14ac:dyDescent="0.3">
      <c r="C21" s="285" t="s">
        <v>637</v>
      </c>
      <c r="D21" s="288">
        <f t="shared" ref="D21:K21" si="0">AVERAGE(D9:D20)</f>
        <v>0.85410052910052914</v>
      </c>
      <c r="E21" s="289">
        <f t="shared" si="0"/>
        <v>0.59136002886002881</v>
      </c>
      <c r="F21" s="291">
        <f t="shared" si="0"/>
        <v>0.66755651755651746</v>
      </c>
      <c r="G21" s="289">
        <f t="shared" si="0"/>
        <v>0.51793530543530542</v>
      </c>
      <c r="H21" s="291">
        <f t="shared" si="0"/>
        <v>0.94299368492916891</v>
      </c>
      <c r="I21" s="289">
        <f t="shared" si="0"/>
        <v>0.88515476110887281</v>
      </c>
      <c r="J21" s="291" t="e">
        <f t="shared" si="0"/>
        <v>#DIV/0!</v>
      </c>
      <c r="K21" s="289" t="e">
        <f t="shared" si="0"/>
        <v>#DIV/0!</v>
      </c>
    </row>
    <row r="22" spans="3:11" ht="15.75" thickTop="1" x14ac:dyDescent="0.25"/>
    <row r="56" spans="4:8" ht="15.75" thickBot="1" x14ac:dyDescent="0.3"/>
    <row r="57" spans="4:8" ht="16.5" thickTop="1" x14ac:dyDescent="0.25">
      <c r="E57" s="675" t="s">
        <v>513</v>
      </c>
      <c r="F57" s="676"/>
      <c r="G57" s="677" t="s">
        <v>528</v>
      </c>
      <c r="H57" s="678"/>
    </row>
    <row r="58" spans="4:8" ht="45.75" thickBot="1" x14ac:dyDescent="0.3">
      <c r="E58" s="315" t="s">
        <v>649</v>
      </c>
      <c r="F58" s="316" t="s">
        <v>638</v>
      </c>
      <c r="G58" s="314" t="s">
        <v>649</v>
      </c>
      <c r="H58" s="317" t="s">
        <v>638</v>
      </c>
    </row>
    <row r="59" spans="4:8" ht="16.5" thickTop="1" x14ac:dyDescent="0.25">
      <c r="D59" s="299" t="s">
        <v>514</v>
      </c>
      <c r="E59" s="308">
        <f>'TVA T'!E2</f>
        <v>0.80232558139534882</v>
      </c>
      <c r="F59" s="309">
        <f>'TVA T'!E1</f>
        <v>0.41860465116279072</v>
      </c>
      <c r="G59" s="326">
        <f>Acompte!G2</f>
        <v>0.33333333333333331</v>
      </c>
      <c r="H59" s="329">
        <f>Acompte!G1</f>
        <v>0.33333333333333331</v>
      </c>
    </row>
    <row r="60" spans="4:8" ht="15.75" x14ac:dyDescent="0.25">
      <c r="D60" s="307" t="s">
        <v>515</v>
      </c>
      <c r="E60" s="310">
        <f>'TVA T'!G2</f>
        <v>0.95348837209302328</v>
      </c>
      <c r="F60" s="311">
        <f>'TVA T'!G1</f>
        <v>0.94186046511627908</v>
      </c>
      <c r="G60" s="327">
        <f>Acompte!I2</f>
        <v>1</v>
      </c>
      <c r="H60" s="330">
        <f>Acompte!I1</f>
        <v>0.59090909090909094</v>
      </c>
    </row>
    <row r="61" spans="4:8" ht="15.75" x14ac:dyDescent="0.25">
      <c r="D61" s="300" t="s">
        <v>516</v>
      </c>
      <c r="E61" s="312">
        <f>'TVA T'!I2</f>
        <v>0.8</v>
      </c>
      <c r="F61" s="313">
        <f>'TVA T'!I1</f>
        <v>0.75</v>
      </c>
      <c r="G61" s="328">
        <f>Acompte!K2</f>
        <v>0.88888888888888884</v>
      </c>
      <c r="H61" s="331">
        <f>Acompte!K1</f>
        <v>0.44444444444444442</v>
      </c>
    </row>
    <row r="62" spans="4:8" ht="15.75" x14ac:dyDescent="0.25">
      <c r="D62" s="307" t="s">
        <v>517</v>
      </c>
      <c r="E62" s="310">
        <f>'TVA T'!K2</f>
        <v>0.92</v>
      </c>
      <c r="F62" s="311">
        <f>'TVA T'!K1</f>
        <v>0.8</v>
      </c>
      <c r="G62" s="327">
        <f>Acompte!M2</f>
        <v>1</v>
      </c>
      <c r="H62" s="330">
        <f>Acompte!M1</f>
        <v>1</v>
      </c>
    </row>
    <row r="63" spans="4:8" ht="16.5" thickBot="1" x14ac:dyDescent="0.3">
      <c r="D63" s="301" t="s">
        <v>523</v>
      </c>
      <c r="E63" s="333"/>
      <c r="F63" s="334"/>
      <c r="G63" s="336">
        <f>Acompte!E2</f>
        <v>1</v>
      </c>
      <c r="H63" s="337">
        <f>Acompte!E1</f>
        <v>1</v>
      </c>
    </row>
    <row r="64" spans="4:8" ht="17.25" thickTop="1" thickBot="1" x14ac:dyDescent="0.3">
      <c r="D64" s="306" t="s">
        <v>642</v>
      </c>
      <c r="E64" s="340">
        <f>AVERAGE(E59:E62)</f>
        <v>0.86895348837209307</v>
      </c>
      <c r="F64" s="335">
        <f>AVERAGE(F59:F62)</f>
        <v>0.72761627906976734</v>
      </c>
      <c r="G64" s="338">
        <f>AVERAGE(G59:G63)</f>
        <v>0.84444444444444444</v>
      </c>
      <c r="H64" s="339">
        <f>AVERAGE(H59:H63)</f>
        <v>0.67373737373737375</v>
      </c>
    </row>
    <row r="65" ht="15.75" thickTop="1" x14ac:dyDescent="0.25"/>
    <row r="82" spans="3:14" ht="15.75" thickBot="1" x14ac:dyDescent="0.3"/>
    <row r="83" spans="3:14" ht="15.75" thickTop="1" x14ac:dyDescent="0.25">
      <c r="K83" s="671" t="s">
        <v>645</v>
      </c>
      <c r="L83" s="672"/>
    </row>
    <row r="85" spans="3:14" ht="30.75" thickBot="1" x14ac:dyDescent="0.3">
      <c r="J85" s="360" t="s">
        <v>605</v>
      </c>
      <c r="K85" s="361" t="s">
        <v>610</v>
      </c>
      <c r="L85" s="362" t="s">
        <v>611</v>
      </c>
      <c r="M85" s="359" t="s">
        <v>650</v>
      </c>
      <c r="N85" s="359" t="s">
        <v>644</v>
      </c>
    </row>
    <row r="86" spans="3:14" ht="30.75" thickTop="1" x14ac:dyDescent="0.25">
      <c r="D86" s="355" t="s">
        <v>518</v>
      </c>
      <c r="E86" s="356" t="s">
        <v>522</v>
      </c>
      <c r="F86" s="357" t="s">
        <v>524</v>
      </c>
      <c r="G86" s="358" t="s">
        <v>624</v>
      </c>
      <c r="I86" s="353" t="s">
        <v>646</v>
      </c>
      <c r="J86" s="363">
        <f>'Bilan '!G1</f>
        <v>22</v>
      </c>
      <c r="K86" s="363">
        <f>'Bilan '!G2</f>
        <v>20</v>
      </c>
      <c r="L86" s="363">
        <f>'Bilan '!I1</f>
        <v>20</v>
      </c>
      <c r="M86" s="371">
        <f>'Bilan '!$I$2</f>
        <v>0.90909090909090906</v>
      </c>
      <c r="N86" s="368">
        <f>'Bilan '!G3</f>
        <v>0.90909090909090906</v>
      </c>
    </row>
    <row r="87" spans="3:14" ht="31.5" x14ac:dyDescent="0.25">
      <c r="C87" s="341" t="s">
        <v>643</v>
      </c>
      <c r="D87" s="342">
        <f>'ETAT 9421'!G3</f>
        <v>1</v>
      </c>
      <c r="E87" s="342" t="e">
        <f>TP!G3</f>
        <v>#DIV/0!</v>
      </c>
      <c r="F87" s="342">
        <f>CM!H3</f>
        <v>1</v>
      </c>
      <c r="G87" s="342" t="e">
        <f>'IR PROF global'!G3</f>
        <v>#DIV/0!</v>
      </c>
      <c r="I87" s="354" t="s">
        <v>647</v>
      </c>
      <c r="J87" s="364">
        <f>'Bilan '!H1</f>
        <v>3</v>
      </c>
      <c r="K87" s="364">
        <f>'Bilan '!H2</f>
        <v>2</v>
      </c>
      <c r="L87" s="365">
        <f>'Bilan '!I3</f>
        <v>3</v>
      </c>
      <c r="M87" s="372">
        <f>'Bilan '!I4</f>
        <v>1</v>
      </c>
      <c r="N87" s="369">
        <f>'Bilan '!H3</f>
        <v>0.66666666666666663</v>
      </c>
    </row>
    <row r="88" spans="3:14" ht="32.25" thickBot="1" x14ac:dyDescent="0.3">
      <c r="C88" s="341" t="s">
        <v>644</v>
      </c>
      <c r="D88" s="343">
        <f>'ETAT 9421'!F3</f>
        <v>1</v>
      </c>
      <c r="E88" s="343" t="e">
        <f>TP!F3</f>
        <v>#DIV/0!</v>
      </c>
      <c r="F88" s="343">
        <f>CM!G3</f>
        <v>1</v>
      </c>
      <c r="G88" s="343" t="e">
        <f>'IR PROF global'!F3</f>
        <v>#DIV/0!</v>
      </c>
      <c r="I88" s="366" t="s">
        <v>642</v>
      </c>
      <c r="J88" s="367">
        <f>SUM(J86:J87)</f>
        <v>25</v>
      </c>
      <c r="K88" s="367">
        <f>SUM(K86:K87)</f>
        <v>22</v>
      </c>
      <c r="L88" s="367">
        <f>SUM(L86:L87)</f>
        <v>23</v>
      </c>
      <c r="M88" s="373">
        <f>L88/J88</f>
        <v>0.92</v>
      </c>
      <c r="N88" s="370">
        <f>K88/J88</f>
        <v>0.88</v>
      </c>
    </row>
    <row r="89" spans="3:14" ht="15.75" thickTop="1" x14ac:dyDescent="0.25"/>
  </sheetData>
  <sheetProtection sheet="1" objects="1" scenarios="1" selectLockedCells="1"/>
  <mergeCells count="7">
    <mergeCell ref="K83:L83"/>
    <mergeCell ref="J7:K7"/>
    <mergeCell ref="E57:F57"/>
    <mergeCell ref="G57:H57"/>
    <mergeCell ref="D7:E7"/>
    <mergeCell ref="F7:G7"/>
    <mergeCell ref="H7:I7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17</vt:i4>
      </vt:variant>
    </vt:vector>
  </HeadingPairs>
  <TitlesOfParts>
    <vt:vector size="17" baseType="lpstr">
      <vt:lpstr>PRINCIPALE</vt:lpstr>
      <vt:lpstr>Calendrier fiscal</vt:lpstr>
      <vt:lpstr>Base de données</vt:lpstr>
      <vt:lpstr> TVA M</vt:lpstr>
      <vt:lpstr>TVA T</vt:lpstr>
      <vt:lpstr>CNSS</vt:lpstr>
      <vt:lpstr>IR</vt:lpstr>
      <vt:lpstr> Droit de timbre</vt:lpstr>
      <vt:lpstr>ETAT 9421</vt:lpstr>
      <vt:lpstr>Bilan </vt:lpstr>
      <vt:lpstr>Acompte</vt:lpstr>
      <vt:lpstr>CM</vt:lpstr>
      <vt:lpstr>TP</vt:lpstr>
      <vt:lpstr>IR PROF global</vt:lpstr>
      <vt:lpstr>PV de l'AGO</vt:lpstr>
      <vt:lpstr>SUIVI CLIENT</vt:lpstr>
      <vt:lpstr>TB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cp:lastPrinted>2020-09-19T11:43:12Z</cp:lastPrinted>
  <dcterms:created xsi:type="dcterms:W3CDTF">2019-09-02T10:31:29Z</dcterms:created>
  <dcterms:modified xsi:type="dcterms:W3CDTF">2024-09-14T11:10:37Z</dcterms:modified>
</cp:coreProperties>
</file>